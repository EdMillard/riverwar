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1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2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NOV" sheetId="1" state="visible" r:id="rId2"/>
    <sheet name="DEC" sheetId="2" state="visible" r:id="rId3"/>
    <sheet name="JAN" sheetId="3" state="visible" r:id="rId4"/>
    <sheet name="FEB" sheetId="4" state="visible" r:id="rId5"/>
    <sheet name="MAR" sheetId="5" state="visible" r:id="rId6"/>
    <sheet name="APR" sheetId="6" state="visible" r:id="rId7"/>
    <sheet name="MAY" sheetId="7" state="visible" r:id="rId8"/>
    <sheet name="JUN" sheetId="8" state="visible" r:id="rId9"/>
    <sheet name="JUL" sheetId="9" state="visible" r:id="rId10"/>
    <sheet name="AUG" sheetId="10" state="visible" r:id="rId11"/>
    <sheet name="SEP" sheetId="11" state="visible" r:id="rId12"/>
    <sheet name="OCT" sheetId="12" state="visible" r:id="rId13"/>
  </sheets>
  <externalReferences>
    <externalReference r:id="rId14"/>
  </externalReferences>
  <definedNames>
    <definedName function="false" hidden="false" localSheetId="5" name="_xlnm.Print_Area" vbProcedure="false">APR!$A$1:$AD$55</definedName>
    <definedName function="false" hidden="false" localSheetId="9" name="_xlnm.Print_Area" vbProcedure="false">AUG!$A$1:$AD$57</definedName>
    <definedName function="false" hidden="false" localSheetId="1" name="_xlnm.Print_Area" vbProcedure="false">DEC!$A$1:$AD$52</definedName>
    <definedName function="false" hidden="false" localSheetId="3" name="_xlnm.Print_Area" vbProcedure="false">FEB!$A$1:$AD$53</definedName>
    <definedName function="false" hidden="false" localSheetId="2" name="_xlnm.Print_Area" vbProcedure="false">JAN!$A$1:$AD$55</definedName>
    <definedName function="false" hidden="false" localSheetId="8" name="_xlnm.Print_Area" vbProcedure="false">JUL!$A$1:$AD$55</definedName>
    <definedName function="false" hidden="false" localSheetId="7" name="_xlnm.Print_Area" vbProcedure="false">JUN!$A$1:$AD$55</definedName>
    <definedName function="false" hidden="false" localSheetId="4" name="_xlnm.Print_Area" vbProcedure="false">MAR!$A$1:$AD$55</definedName>
    <definedName function="false" hidden="false" localSheetId="6" name="_xlnm.Print_Area" vbProcedure="false">MAY!$A$1:$AD$55</definedName>
    <definedName function="false" hidden="false" localSheetId="0" name="_xlnm.Print_Area" vbProcedure="false">NOV!$A$1:$AD$54</definedName>
    <definedName function="false" hidden="false" localSheetId="11" name="_xlnm.Print_Area" vbProcedure="false">OCT!$A$1:$AD$55</definedName>
    <definedName function="false" hidden="false" localSheetId="10" name="_xlnm.Print_Area" vbProcedure="false">SEP!$A$1:$AD$57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W10" authorId="0">
      <text>
        <r>
          <rPr>
            <b val="true"/>
            <sz val="8"/>
            <color rgb="FF000000"/>
            <rFont val="Tahoma"/>
            <family val="0"/>
          </rPr>
          <t xml:space="preserve">E A Birk:
</t>
        </r>
        <r>
          <rPr>
            <sz val="8"/>
            <color rgb="FF000000"/>
            <rFont val="Tahoma"/>
            <family val="0"/>
          </rPr>
          <t xml:space="preserve">The amount of water charged to release will be the scheduled plus 2cfs if the release is more.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14" authorId="0">
      <text>
        <r>
          <rPr>
            <sz val="8"/>
            <color rgb="FF000000"/>
            <rFont val="Tahoma"/>
            <family val="2"/>
          </rPr>
          <t xml:space="preserve">River gage froze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17" authorId="0">
      <text>
        <r>
          <rPr>
            <b val="true"/>
            <sz val="8"/>
            <color rgb="FF000000"/>
            <rFont val="Tahoma"/>
            <family val="0"/>
          </rPr>
          <t xml:space="preserve">EA BIRK:
</t>
        </r>
        <r>
          <rPr>
            <sz val="8"/>
            <color rgb="FF000000"/>
            <rFont val="Tahoma"/>
            <family val="0"/>
          </rPr>
          <t xml:space="preserve">MV1 BEGAN 40 CFS FROM GROUNDHOG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28" authorId="0">
      <text>
        <r>
          <rPr>
            <b val="true"/>
            <sz val="8"/>
            <color rgb="FF000000"/>
            <rFont val="Tahoma"/>
            <family val="0"/>
          </rPr>
          <t xml:space="preserve">E A Birk:
</t>
        </r>
        <r>
          <rPr>
            <sz val="8"/>
            <color rgb="FF000000"/>
            <rFont val="Tahoma"/>
            <family val="0"/>
          </rPr>
          <t xml:space="preserve">Groundhog turned out
</t>
        </r>
      </text>
    </comment>
  </commentList>
</comments>
</file>

<file path=xl/sharedStrings.xml><?xml version="1.0" encoding="utf-8"?>
<sst xmlns="http://schemas.openxmlformats.org/spreadsheetml/2006/main" count="851" uniqueCount="87">
  <si>
    <t xml:space="preserve">MC  PHEE  RESERVOIR  IN/OUT  FLOW  TABULATION</t>
  </si>
  <si>
    <t xml:space="preserve">AF/cfs  CONVERT FACTOR</t>
  </si>
  <si>
    <t xml:space="preserve">NOVEMBER  "99"</t>
  </si>
  <si>
    <t xml:space="preserve">DATE</t>
  </si>
  <si>
    <t xml:space="preserve">RESERV</t>
  </si>
  <si>
    <t xml:space="preserve">AC  FT</t>
  </si>
  <si>
    <t xml:space="preserve">ACTIVE</t>
  </si>
  <si>
    <t xml:space="preserve">CONV  TO</t>
  </si>
  <si>
    <t xml:space="preserve">DOLORES</t>
  </si>
  <si>
    <t xml:space="preserve">LOST</t>
  </si>
  <si>
    <t xml:space="preserve">RECORDED</t>
  </si>
  <si>
    <t xml:space="preserve">CALC</t>
  </si>
  <si>
    <t xml:space="preserve">TOTAL</t>
  </si>
  <si>
    <t xml:space="preserve">DOLORES TUNNEL</t>
  </si>
  <si>
    <t xml:space="preserve">LONE</t>
  </si>
  <si>
    <t xml:space="preserve">U</t>
  </si>
  <si>
    <t xml:space="preserve">MVI</t>
  </si>
  <si>
    <t xml:space="preserve">DV  CR</t>
  </si>
  <si>
    <t xml:space="preserve">BELOW</t>
  </si>
  <si>
    <t xml:space="preserve">REMAIN</t>
  </si>
  <si>
    <t xml:space="preserve">RAIN</t>
  </si>
  <si>
    <t xml:space="preserve">MAX</t>
  </si>
  <si>
    <t xml:space="preserve">MIN</t>
  </si>
  <si>
    <t xml:space="preserve">"NOV"</t>
  </si>
  <si>
    <t xml:space="preserve">ELEV</t>
  </si>
  <si>
    <t xml:space="preserve">CHANGE</t>
  </si>
  <si>
    <t xml:space="preserve">CAP</t>
  </si>
  <si>
    <t xml:space="preserve">CFS</t>
  </si>
  <si>
    <t xml:space="preserve">RIVER</t>
  </si>
  <si>
    <t xml:space="preserve">CANYON</t>
  </si>
  <si>
    <t xml:space="preserve">INFLOW</t>
  </si>
  <si>
    <t xml:space="preserve">INF/OTF</t>
  </si>
  <si>
    <t xml:space="preserve">TOT DIV</t>
  </si>
  <si>
    <t xml:space="preserve">WETLAND</t>
  </si>
  <si>
    <t xml:space="preserve">UTE F&amp;R</t>
  </si>
  <si>
    <t xml:space="preserve">MVI,CTZ</t>
  </si>
  <si>
    <t xml:space="preserve">PINE</t>
  </si>
  <si>
    <t xml:space="preserve">LAT</t>
  </si>
  <si>
    <t xml:space="preserve">CALL</t>
  </si>
  <si>
    <t xml:space="preserve">CANAL</t>
  </si>
  <si>
    <t xml:space="preserve">MC  PHEE</t>
  </si>
  <si>
    <t xml:space="preserve">RELEASE</t>
  </si>
  <si>
    <t xml:space="preserve">OUTFLOW</t>
  </si>
  <si>
    <t xml:space="preserve">TMP</t>
  </si>
  <si>
    <t xml:space="preserve">SEASON BAL</t>
  </si>
  <si>
    <t xml:space="preserve">YTD</t>
  </si>
  <si>
    <t xml:space="preserve">MONTH / CFS</t>
  </si>
  <si>
    <t xml:space="preserve">AVE</t>
  </si>
  <si>
    <t xml:space="preserve">MONTH / AF</t>
  </si>
  <si>
    <t xml:space="preserve">HI</t>
  </si>
  <si>
    <t xml:space="preserve">SEASON / CFS</t>
  </si>
  <si>
    <t xml:space="preserve">LO</t>
  </si>
  <si>
    <t xml:space="preserve">SEASON / AF</t>
  </si>
  <si>
    <t xml:space="preserve">YTD / CFS</t>
  </si>
  <si>
    <t xml:space="preserve">YTD / AF</t>
  </si>
  <si>
    <t xml:space="preserve">DECEMBER  "99"</t>
  </si>
  <si>
    <t xml:space="preserve">"DEC"</t>
  </si>
  <si>
    <t xml:space="preserve">JANUARY  "2000"</t>
  </si>
  <si>
    <t xml:space="preserve">"JAN"</t>
  </si>
  <si>
    <t xml:space="preserve">FEBRUARY  "2000"</t>
  </si>
  <si>
    <t xml:space="preserve">FEB</t>
  </si>
  <si>
    <t xml:space="preserve">MARCH  "2000"</t>
  </si>
  <si>
    <t xml:space="preserve">MAR</t>
  </si>
  <si>
    <t xml:space="preserve">APRIL  "2000"</t>
  </si>
  <si>
    <t xml:space="preserve">"APR"</t>
  </si>
  <si>
    <t xml:space="preserve">MVI/CTZ/MWC</t>
  </si>
  <si>
    <t xml:space="preserve">Avg</t>
  </si>
  <si>
    <t xml:space="preserve">hi</t>
  </si>
  <si>
    <t xml:space="preserve">lo</t>
  </si>
  <si>
    <t xml:space="preserve">MAY  "2000"</t>
  </si>
  <si>
    <t xml:space="preserve">"MAY"</t>
  </si>
  <si>
    <t xml:space="preserve">AVG</t>
  </si>
  <si>
    <t xml:space="preserve">JUNE  "2000"</t>
  </si>
  <si>
    <t xml:space="preserve">"JUN"</t>
  </si>
  <si>
    <t xml:space="preserve">JULY  "2000"</t>
  </si>
  <si>
    <t xml:space="preserve">"JUL"</t>
  </si>
  <si>
    <t xml:space="preserve">MVI non-project water 6/30 = </t>
  </si>
  <si>
    <t xml:space="preserve">AUGUST  "2000"</t>
  </si>
  <si>
    <t xml:space="preserve">"AUG"</t>
  </si>
  <si>
    <t xml:space="preserve">SEPTEMBER  "2000"</t>
  </si>
  <si>
    <t xml:space="preserve">"SEP"</t>
  </si>
  <si>
    <t xml:space="preserve">OCTOBER  "2000"</t>
  </si>
  <si>
    <t xml:space="preserve">"OCT"</t>
  </si>
  <si>
    <t xml:space="preserve">Ctz</t>
  </si>
  <si>
    <t xml:space="preserve">Utes</t>
  </si>
  <si>
    <t xml:space="preserve">MWC</t>
  </si>
  <si>
    <t xml:space="preserve">Total MVIC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</si>
</sst>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#,##0"/>
    <numFmt numFmtId="166" formatCode="0.00_);\(0.00\)"/>
    <numFmt numFmtId="167" formatCode="0.0"/>
    <numFmt numFmtId="168" formatCode="0"/>
    <numFmt numFmtId="169" formatCode="#,##0.0"/>
    <numFmt numFmtId="170" formatCode="0.0000"/>
    <numFmt numFmtId="171" formatCode="0.000"/>
    <numFmt numFmtId="172" formatCode="#,##0.00"/>
    <numFmt numFmtId="173" formatCode="[$-409]d\-mmm"/>
    <numFmt numFmtId="174" formatCode="##0.0"/>
    <numFmt numFmtId="175" formatCode="0%"/>
    <numFmt numFmtId="176" formatCode="0.00"/>
    <numFmt numFmtId="177" formatCode="[$-409]mmm\-yy"/>
    <numFmt numFmtId="178" formatCode="#,##0.00000"/>
    <numFmt numFmtId="179" formatCode="#,##0.0000"/>
    <numFmt numFmtId="180" formatCode="[$-409]m/d/yyyy"/>
    <numFmt numFmtId="181" formatCode="0.00_);[RED]\(0.00\)"/>
    <numFmt numFmtId="182" formatCode="0.00%"/>
    <numFmt numFmtId="183" formatCode="0.0%"/>
  </numFmts>
  <fonts count="21">
    <font>
      <sz val="8"/>
      <name val="LinePrinter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 Narrow"/>
      <family val="0"/>
    </font>
    <font>
      <b val="true"/>
      <i val="true"/>
      <sz val="12"/>
      <name val="Arial Narrow"/>
      <family val="0"/>
    </font>
    <font>
      <sz val="6"/>
      <name val="Arial Narrow"/>
      <family val="0"/>
    </font>
    <font>
      <b val="true"/>
      <sz val="6"/>
      <name val="Arial Narrow"/>
      <family val="0"/>
    </font>
    <font>
      <sz val="6"/>
      <name val="Arial Narrow"/>
      <family val="2"/>
    </font>
    <font>
      <b val="true"/>
      <sz val="9"/>
      <name val="Arial Narrow"/>
      <family val="0"/>
    </font>
    <font>
      <b val="true"/>
      <sz val="8"/>
      <color rgb="FF000000"/>
      <name val="Tahoma"/>
      <family val="0"/>
    </font>
    <font>
      <sz val="8"/>
      <color rgb="FF000000"/>
      <name val="Tahoma"/>
      <family val="0"/>
    </font>
    <font>
      <sz val="8"/>
      <color rgb="FF000000"/>
      <name val="Tahoma"/>
      <family val="2"/>
    </font>
    <font>
      <sz val="6"/>
      <name val="Arial"/>
      <family val="0"/>
    </font>
    <font>
      <sz val="8"/>
      <name val="Arial"/>
      <family val="0"/>
    </font>
    <font>
      <sz val="8"/>
      <color rgb="FF000000"/>
      <name val="LinePrinter"/>
      <family val="0"/>
    </font>
    <font>
      <b val="true"/>
      <sz val="12"/>
      <name val="Arial Narrow"/>
      <family val="0"/>
    </font>
    <font>
      <sz val="4"/>
      <color rgb="FF000000"/>
      <name val="LinePrinter"/>
      <family val="0"/>
    </font>
    <font>
      <sz val="7"/>
      <name val="Arial Narrow"/>
      <family val="2"/>
    </font>
    <font>
      <b val="true"/>
      <sz val="8"/>
      <name val="Arial Narrow"/>
      <family val="0"/>
    </font>
    <font>
      <sz val="6"/>
      <name val="LinePrinter"/>
      <family val="0"/>
    </font>
  </fonts>
  <fills count="5">
    <fill>
      <patternFill patternType="none"/>
    </fill>
    <fill>
      <patternFill patternType="gray125"/>
    </fill>
    <fill>
      <patternFill patternType="solid">
        <fgColor rgb="FF464648"/>
        <bgColor rgb="FF2D2E30"/>
      </patternFill>
    </fill>
    <fill>
      <patternFill patternType="solid">
        <fgColor rgb="FF1EFC1E"/>
        <bgColor rgb="FF33CCCC"/>
      </patternFill>
    </fill>
    <fill>
      <patternFill patternType="solid">
        <fgColor rgb="FF2D2E30"/>
        <bgColor rgb="FF464648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>
        <color rgb="FFEEEEEC"/>
      </top>
      <bottom style="thin">
        <color rgb="FFEEEEEC"/>
      </bottom>
      <diagonal/>
    </border>
    <border diagonalUp="false" diagonalDown="false">
      <left style="thin">
        <color rgb="FFEEEEEC"/>
      </left>
      <right style="thin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/>
      <right/>
      <top style="thin">
        <color rgb="FFEEEEEC"/>
      </top>
      <bottom/>
      <diagonal/>
    </border>
    <border diagonalUp="false" diagonalDown="false">
      <left/>
      <right/>
      <top/>
      <bottom style="thin">
        <color rgb="FFEEEEE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2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5" fontId="0" fillId="0" borderId="0" applyFont="true" applyBorder="false" applyAlignment="false" applyProtection="false"/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1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4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1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RIVER054" xfId="20"/>
  </cellStyles>
  <colors>
    <indexedColors>
      <rgbColor rgb="FF000000"/>
      <rgbColor rgb="FFEEEEEC"/>
      <rgbColor rgb="FFFF0000"/>
      <rgbColor rgb="FF1EFC1E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64648"/>
      <rgbColor rgb="FF993300"/>
      <rgbColor rgb="FF993366"/>
      <rgbColor rgb="FF333399"/>
      <rgbColor rgb="FF2D2E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externalLink" Target="externalLinks/externalLink1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485280</xdr:colOff>
      <xdr:row>28</xdr:row>
      <xdr:rowOff>0</xdr:rowOff>
    </xdr:from>
    <xdr:to>
      <xdr:col>7</xdr:col>
      <xdr:colOff>21960</xdr:colOff>
      <xdr:row>29</xdr:row>
      <xdr:rowOff>28440</xdr:rowOff>
    </xdr:to>
    <xdr:sp>
      <xdr:nvSpPr>
        <xdr:cNvPr id="0" name="Text 1"/>
        <xdr:cNvSpPr/>
      </xdr:nvSpPr>
      <xdr:spPr>
        <a:xfrm>
          <a:off x="2802960" y="3920400"/>
          <a:ext cx="496080" cy="1695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7360" rIns="0" tIns="22680" bIns="0" anchor="t">
          <a:noAutofit/>
        </a:bodyPr>
        <a:p>
          <a:r>
            <a:rPr b="0" lang="en-US" sz="800" spc="-1" strike="noStrike">
              <a:solidFill>
                <a:srgbClr val="000000"/>
              </a:solidFill>
              <a:latin typeface="LinePrinter"/>
            </a:rPr>
            <a:t>thawed</a:t>
          </a:r>
          <a:endParaRPr b="0" lang="en-US" sz="800" spc="-1" strike="noStrike">
            <a:latin typeface="Times New Roman"/>
          </a:endParaRPr>
        </a:p>
        <a:p>
          <a:endParaRPr b="0" lang="en-US" sz="8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129600</xdr:colOff>
      <xdr:row>9</xdr:row>
      <xdr:rowOff>57240</xdr:rowOff>
    </xdr:from>
    <xdr:to>
      <xdr:col>23</xdr:col>
      <xdr:colOff>216360</xdr:colOff>
      <xdr:row>11</xdr:row>
      <xdr:rowOff>19440</xdr:rowOff>
    </xdr:to>
    <xdr:sp>
      <xdr:nvSpPr>
        <xdr:cNvPr id="1" name="Text 2"/>
        <xdr:cNvSpPr/>
      </xdr:nvSpPr>
      <xdr:spPr>
        <a:xfrm>
          <a:off x="10014480" y="1299240"/>
          <a:ext cx="528840" cy="2440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18000" rIns="0" tIns="18000" bIns="0" anchor="t">
          <a:noAutofit/>
        </a:bodyPr>
        <a:p>
          <a:r>
            <a:rPr b="0" lang="en-US" sz="400" spc="-1" strike="noStrike">
              <a:solidFill>
                <a:srgbClr val="000000"/>
              </a:solidFill>
              <a:latin typeface="LinePrinter"/>
            </a:rPr>
            <a:t>SPILL STARTED</a:t>
          </a:r>
          <a:endParaRPr b="0" lang="en-US" sz="400" spc="-1" strike="noStrike">
            <a:latin typeface="Times New Roman"/>
          </a:endParaRPr>
        </a:p>
        <a:p>
          <a:r>
            <a:rPr b="0" lang="en-US" sz="400" spc="-1" strike="noStrike">
              <a:solidFill>
                <a:srgbClr val="000000"/>
              </a:solidFill>
              <a:latin typeface="LinePrinter"/>
            </a:rPr>
            <a:t>NO DEBIT</a:t>
          </a:r>
          <a:endParaRPr b="0" lang="en-US" sz="4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34</xdr:row>
      <xdr:rowOff>0</xdr:rowOff>
    </xdr:from>
    <xdr:to>
      <xdr:col>15</xdr:col>
      <xdr:colOff>360</xdr:colOff>
      <xdr:row>34</xdr:row>
      <xdr:rowOff>140760</xdr:rowOff>
    </xdr:to>
    <xdr:sp>
      <xdr:nvSpPr>
        <xdr:cNvPr id="2" name="Rectangle 1"/>
        <xdr:cNvSpPr/>
      </xdr:nvSpPr>
      <xdr:spPr>
        <a:xfrm>
          <a:off x="6468120" y="4766400"/>
          <a:ext cx="4208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0</xdr:rowOff>
    </xdr:from>
    <xdr:to>
      <xdr:col>15</xdr:col>
      <xdr:colOff>360</xdr:colOff>
      <xdr:row>34</xdr:row>
      <xdr:rowOff>140760</xdr:rowOff>
    </xdr:to>
    <xdr:sp>
      <xdr:nvSpPr>
        <xdr:cNvPr id="3" name="Rectangle 3"/>
        <xdr:cNvSpPr/>
      </xdr:nvSpPr>
      <xdr:spPr>
        <a:xfrm>
          <a:off x="6468120" y="4766400"/>
          <a:ext cx="4208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0</xdr:rowOff>
    </xdr:from>
    <xdr:to>
      <xdr:col>15</xdr:col>
      <xdr:colOff>360</xdr:colOff>
      <xdr:row>34</xdr:row>
      <xdr:rowOff>140760</xdr:rowOff>
    </xdr:to>
    <xdr:sp>
      <xdr:nvSpPr>
        <xdr:cNvPr id="4" name="Rectangle 4"/>
        <xdr:cNvSpPr/>
      </xdr:nvSpPr>
      <xdr:spPr>
        <a:xfrm>
          <a:off x="6468120" y="4766400"/>
          <a:ext cx="4208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0</xdr:rowOff>
    </xdr:from>
    <xdr:to>
      <xdr:col>15</xdr:col>
      <xdr:colOff>360</xdr:colOff>
      <xdr:row>34</xdr:row>
      <xdr:rowOff>140760</xdr:rowOff>
    </xdr:to>
    <xdr:sp>
      <xdr:nvSpPr>
        <xdr:cNvPr id="5" name="Rectangle 6"/>
        <xdr:cNvSpPr/>
      </xdr:nvSpPr>
      <xdr:spPr>
        <a:xfrm>
          <a:off x="6468120" y="4766400"/>
          <a:ext cx="4208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0</xdr:rowOff>
    </xdr:from>
    <xdr:to>
      <xdr:col>15</xdr:col>
      <xdr:colOff>360</xdr:colOff>
      <xdr:row>34</xdr:row>
      <xdr:rowOff>140760</xdr:rowOff>
    </xdr:to>
    <xdr:sp>
      <xdr:nvSpPr>
        <xdr:cNvPr id="6" name="Rectangle 8"/>
        <xdr:cNvSpPr/>
      </xdr:nvSpPr>
      <xdr:spPr>
        <a:xfrm>
          <a:off x="6468120" y="4766400"/>
          <a:ext cx="4208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124200</xdr:rowOff>
    </xdr:from>
    <xdr:to>
      <xdr:col>14</xdr:col>
      <xdr:colOff>11160</xdr:colOff>
      <xdr:row>34</xdr:row>
      <xdr:rowOff>140760</xdr:rowOff>
    </xdr:to>
    <xdr:sp>
      <xdr:nvSpPr>
        <xdr:cNvPr id="7" name="Rectangle 10"/>
        <xdr:cNvSpPr/>
      </xdr:nvSpPr>
      <xdr:spPr>
        <a:xfrm>
          <a:off x="6468120" y="4890600"/>
          <a:ext cx="11160" cy="1656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0</xdr:rowOff>
    </xdr:from>
    <xdr:to>
      <xdr:col>15</xdr:col>
      <xdr:colOff>360</xdr:colOff>
      <xdr:row>34</xdr:row>
      <xdr:rowOff>140760</xdr:rowOff>
    </xdr:to>
    <xdr:sp>
      <xdr:nvSpPr>
        <xdr:cNvPr id="8" name="Rectangle 11"/>
        <xdr:cNvSpPr/>
      </xdr:nvSpPr>
      <xdr:spPr>
        <a:xfrm>
          <a:off x="6468120" y="4766400"/>
          <a:ext cx="420840" cy="140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28</xdr:row>
      <xdr:rowOff>0</xdr:rowOff>
    </xdr:from>
    <xdr:to>
      <xdr:col>15</xdr:col>
      <xdr:colOff>360</xdr:colOff>
      <xdr:row>28</xdr:row>
      <xdr:rowOff>141120</xdr:rowOff>
    </xdr:to>
    <xdr:sp>
      <xdr:nvSpPr>
        <xdr:cNvPr id="9" name="Rectangle 12"/>
        <xdr:cNvSpPr/>
      </xdr:nvSpPr>
      <xdr:spPr>
        <a:xfrm>
          <a:off x="6468120" y="3920400"/>
          <a:ext cx="420840" cy="14112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28</xdr:row>
      <xdr:rowOff>0</xdr:rowOff>
    </xdr:from>
    <xdr:to>
      <xdr:col>15</xdr:col>
      <xdr:colOff>360</xdr:colOff>
      <xdr:row>28</xdr:row>
      <xdr:rowOff>141120</xdr:rowOff>
    </xdr:to>
    <xdr:sp>
      <xdr:nvSpPr>
        <xdr:cNvPr id="10" name="Rectangle 13"/>
        <xdr:cNvSpPr/>
      </xdr:nvSpPr>
      <xdr:spPr>
        <a:xfrm>
          <a:off x="6468120" y="3920400"/>
          <a:ext cx="420840" cy="1411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A:/River2000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9">
          <cell r="B39">
            <v>6883.59</v>
          </cell>
          <cell r="C39">
            <v>227215</v>
          </cell>
        </row>
        <row r="44">
          <cell r="F44">
            <v>-51128.8127048147</v>
          </cell>
          <cell r="G44">
            <v>100576</v>
          </cell>
          <cell r="H44">
            <v>1956.67</v>
          </cell>
          <cell r="I44">
            <v>102532.67</v>
          </cell>
          <cell r="J44">
            <v>10856.877471641</v>
          </cell>
          <cell r="K44">
            <v>113389.547471641</v>
          </cell>
          <cell r="L44">
            <v>5559.17729518528</v>
          </cell>
          <cell r="M44">
            <v>48771.3</v>
          </cell>
          <cell r="N44">
            <v>204.87</v>
          </cell>
          <cell r="O44">
            <v>11053.4015</v>
          </cell>
          <cell r="P44">
            <v>37513.0285</v>
          </cell>
          <cell r="Q44">
            <v>22644</v>
          </cell>
          <cell r="R44">
            <v>11840.1</v>
          </cell>
          <cell r="S44">
            <v>71997.1285</v>
          </cell>
          <cell r="T44">
            <v>-23247.400408243</v>
          </cell>
          <cell r="U44">
            <v>28843.26</v>
          </cell>
          <cell r="V44">
            <v>47122</v>
          </cell>
        </row>
        <row r="44">
          <cell r="X44">
            <v>159220.66</v>
          </cell>
          <cell r="Y44">
            <v>5297.70017645576</v>
          </cell>
          <cell r="Z44">
            <v>164518.360176456</v>
          </cell>
        </row>
        <row r="47">
          <cell r="F47">
            <v>-51658.6841441896</v>
          </cell>
          <cell r="G47">
            <v>110160</v>
          </cell>
          <cell r="H47">
            <v>2221.95</v>
          </cell>
          <cell r="I47">
            <v>112381.95</v>
          </cell>
          <cell r="J47">
            <v>13205.0384471893</v>
          </cell>
          <cell r="K47">
            <v>125583.255702042</v>
          </cell>
          <cell r="L47">
            <v>7236.75585581044</v>
          </cell>
          <cell r="M47">
            <v>51210.06</v>
          </cell>
          <cell r="N47">
            <v>271.25</v>
          </cell>
          <cell r="O47">
            <v>11494.742</v>
          </cell>
          <cell r="P47">
            <v>39444.068</v>
          </cell>
          <cell r="Q47">
            <v>23688</v>
          </cell>
          <cell r="R47">
            <v>12400.1</v>
          </cell>
          <cell r="S47">
            <v>75532.168</v>
          </cell>
          <cell r="T47">
            <v>-23247.400408243</v>
          </cell>
          <cell r="U47">
            <v>28843.26</v>
          </cell>
          <cell r="V47">
            <v>55135.97</v>
          </cell>
          <cell r="W47">
            <v>7651</v>
          </cell>
          <cell r="X47">
            <v>171277.39</v>
          </cell>
          <cell r="Y47">
            <v>5968.28259137888</v>
          </cell>
          <cell r="Z47">
            <v>177245.672591379</v>
          </cell>
          <cell r="AA47">
            <v>10.05</v>
          </cell>
        </row>
        <row r="48">
          <cell r="D48">
            <v>-102465</v>
          </cell>
          <cell r="E48">
            <v>75237</v>
          </cell>
        </row>
      </sheetData>
      <sheetData sheetId="11"/>
    </sheetDataSet>
  </externalBook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3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S10" activeCellId="0" sqref="S10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49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2" width="6.66"/>
    <col collapsed="false" customWidth="true" hidden="false" outlineLevel="0" max="9" min="9" style="0" width="7.99"/>
    <col collapsed="false" customWidth="true" hidden="false" outlineLevel="0" max="10" min="10" style="0" width="6.66"/>
    <col collapsed="false" customWidth="true" hidden="false" outlineLevel="0" max="12" min="11" style="0" width="7.16"/>
    <col collapsed="false" customWidth="true" hidden="false" outlineLevel="0" max="13" min="13" style="3" width="6.16"/>
    <col collapsed="false" customWidth="true" hidden="false" outlineLevel="0" max="14" min="14" style="3" width="7.32"/>
    <col collapsed="false" customWidth="true" hidden="false" outlineLevel="0" max="15" min="15" style="3" width="6.49"/>
    <col collapsed="false" customWidth="true" hidden="fals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3" min="23" style="0" width="6.82"/>
    <col collapsed="false" customWidth="true" hidden="false" outlineLevel="0" max="25" min="24" style="0" width="7.82"/>
    <col collapsed="false" customWidth="true" hidden="false" outlineLevel="0" max="26" min="26" style="2" width="8.16"/>
    <col collapsed="false" customWidth="true" hidden="false" outlineLevel="0" max="27" min="27" style="2" width="4.66"/>
    <col collapsed="false" customWidth="true" hidden="false" outlineLevel="0" max="28" min="28" style="4" width="4.66"/>
    <col collapsed="false" customWidth="true" hidden="false" outlineLevel="0" max="29" min="29" style="5" width="4.66"/>
    <col collapsed="false" customWidth="true" hidden="false" outlineLevel="0" max="30" min="30" style="0" width="5.66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8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6"/>
      <c r="V1" s="7"/>
      <c r="W1" s="6"/>
      <c r="X1" s="6"/>
      <c r="Y1" s="6"/>
      <c r="Z1" s="8"/>
      <c r="AA1" s="8"/>
      <c r="AB1" s="10"/>
      <c r="AC1" s="11"/>
    </row>
    <row r="2" customFormat="false" ht="14.1" hidden="false" customHeight="true" outlineLevel="0" collapsed="false">
      <c r="A2" s="6" t="s">
        <v>1</v>
      </c>
      <c r="B2" s="6"/>
      <c r="C2" s="7"/>
      <c r="D2" s="12" t="n">
        <v>1.9835</v>
      </c>
      <c r="E2" s="7"/>
      <c r="F2" s="6"/>
      <c r="G2" s="6"/>
      <c r="H2" s="8"/>
      <c r="I2" s="6"/>
      <c r="J2" s="6"/>
      <c r="K2" s="6"/>
      <c r="L2" s="9" t="s">
        <v>2</v>
      </c>
      <c r="M2" s="6"/>
      <c r="N2" s="6"/>
      <c r="O2" s="6"/>
      <c r="P2" s="6"/>
      <c r="Q2" s="6"/>
      <c r="R2" s="6"/>
      <c r="S2" s="7"/>
      <c r="T2" s="6"/>
      <c r="U2" s="6"/>
      <c r="V2" s="7"/>
      <c r="W2" s="6"/>
      <c r="X2" s="6"/>
      <c r="Y2" s="6"/>
      <c r="Z2" s="8"/>
      <c r="AA2" s="8"/>
      <c r="AB2" s="10"/>
      <c r="AC2" s="11"/>
    </row>
    <row r="3" customFormat="false" ht="11.1" hidden="false" customHeight="true" outlineLevel="0" collapsed="false">
      <c r="A3" s="6"/>
      <c r="B3" s="6"/>
      <c r="C3" s="7"/>
      <c r="D3" s="13"/>
      <c r="E3" s="7"/>
      <c r="F3" s="6"/>
      <c r="G3" s="6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6"/>
      <c r="V3" s="7"/>
      <c r="W3" s="6"/>
      <c r="X3" s="6"/>
      <c r="Y3" s="6"/>
      <c r="Z3" s="8"/>
      <c r="AA3" s="8"/>
      <c r="AB3" s="10"/>
      <c r="AC3" s="11"/>
    </row>
    <row r="4" customFormat="false" ht="11.1" hidden="false" customHeight="true" outlineLevel="0" collapsed="false">
      <c r="A4" s="14" t="s">
        <v>3</v>
      </c>
      <c r="B4" s="14" t="s">
        <v>4</v>
      </c>
      <c r="C4" s="15" t="s">
        <v>4</v>
      </c>
      <c r="D4" s="14" t="s">
        <v>5</v>
      </c>
      <c r="E4" s="15" t="s">
        <v>6</v>
      </c>
      <c r="F4" s="14" t="s">
        <v>7</v>
      </c>
      <c r="G4" s="14" t="s">
        <v>8</v>
      </c>
      <c r="H4" s="16" t="s">
        <v>9</v>
      </c>
      <c r="I4" s="14" t="s">
        <v>10</v>
      </c>
      <c r="J4" s="14" t="s">
        <v>11</v>
      </c>
      <c r="K4" s="14" t="s">
        <v>12</v>
      </c>
      <c r="L4" s="14" t="s">
        <v>11</v>
      </c>
      <c r="M4" s="17" t="s">
        <v>13</v>
      </c>
      <c r="N4" s="17"/>
      <c r="O4" s="17"/>
      <c r="P4" s="17"/>
      <c r="Q4" s="14" t="s">
        <v>14</v>
      </c>
      <c r="R4" s="14" t="s">
        <v>15</v>
      </c>
      <c r="S4" s="14" t="s">
        <v>12</v>
      </c>
      <c r="T4" s="15" t="s">
        <v>16</v>
      </c>
      <c r="U4" s="14" t="s">
        <v>17</v>
      </c>
      <c r="V4" s="14" t="s">
        <v>18</v>
      </c>
      <c r="W4" s="15" t="s">
        <v>19</v>
      </c>
      <c r="X4" s="14" t="s">
        <v>10</v>
      </c>
      <c r="Y4" s="14" t="s">
        <v>11</v>
      </c>
      <c r="Z4" s="16" t="s">
        <v>12</v>
      </c>
      <c r="AA4" s="16" t="s">
        <v>20</v>
      </c>
      <c r="AB4" s="18" t="s">
        <v>21</v>
      </c>
      <c r="AC4" s="18" t="s">
        <v>22</v>
      </c>
      <c r="AD4" s="18" t="s">
        <v>3</v>
      </c>
    </row>
    <row r="5" customFormat="false" ht="11.1" hidden="false" customHeight="true" outlineLevel="0" collapsed="false">
      <c r="A5" s="19" t="s">
        <v>23</v>
      </c>
      <c r="B5" s="14" t="s">
        <v>24</v>
      </c>
      <c r="C5" s="15" t="s">
        <v>5</v>
      </c>
      <c r="D5" s="14" t="s">
        <v>25</v>
      </c>
      <c r="E5" s="15" t="s">
        <v>26</v>
      </c>
      <c r="F5" s="14" t="s">
        <v>27</v>
      </c>
      <c r="G5" s="14" t="s">
        <v>28</v>
      </c>
      <c r="H5" s="16" t="s">
        <v>29</v>
      </c>
      <c r="I5" s="14" t="s">
        <v>30</v>
      </c>
      <c r="J5" s="14" t="s">
        <v>30</v>
      </c>
      <c r="K5" s="14" t="s">
        <v>30</v>
      </c>
      <c r="L5" s="14" t="s">
        <v>31</v>
      </c>
      <c r="M5" s="14" t="s">
        <v>32</v>
      </c>
      <c r="N5" s="14" t="s">
        <v>33</v>
      </c>
      <c r="O5" s="14" t="s">
        <v>34</v>
      </c>
      <c r="P5" s="20" t="s">
        <v>35</v>
      </c>
      <c r="Q5" s="14" t="s">
        <v>36</v>
      </c>
      <c r="R5" s="14" t="s">
        <v>37</v>
      </c>
      <c r="S5" s="14" t="s">
        <v>16</v>
      </c>
      <c r="T5" s="15" t="s">
        <v>38</v>
      </c>
      <c r="U5" s="14" t="s">
        <v>39</v>
      </c>
      <c r="V5" s="14" t="s">
        <v>40</v>
      </c>
      <c r="W5" s="15" t="s">
        <v>41</v>
      </c>
      <c r="X5" s="14" t="s">
        <v>42</v>
      </c>
      <c r="Y5" s="14" t="s">
        <v>42</v>
      </c>
      <c r="Z5" s="16" t="s">
        <v>42</v>
      </c>
      <c r="AA5" s="21"/>
      <c r="AB5" s="18" t="s">
        <v>43</v>
      </c>
      <c r="AC5" s="18" t="s">
        <v>43</v>
      </c>
      <c r="AD5" s="22" t="s">
        <v>23</v>
      </c>
    </row>
    <row r="6" customFormat="false" ht="11.1" hidden="false" customHeight="true" outlineLevel="0" collapsed="false">
      <c r="A6" s="23"/>
      <c r="B6" s="23"/>
      <c r="C6" s="24"/>
      <c r="D6" s="23"/>
      <c r="E6" s="24"/>
      <c r="F6" s="23"/>
      <c r="G6" s="23"/>
      <c r="H6" s="25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4"/>
      <c r="U6" s="23"/>
      <c r="V6" s="23"/>
      <c r="W6" s="26"/>
      <c r="X6" s="23"/>
      <c r="Y6" s="23"/>
      <c r="Z6" s="25"/>
      <c r="AA6" s="8"/>
      <c r="AB6" s="11"/>
      <c r="AC6" s="11"/>
      <c r="AD6" s="11"/>
    </row>
    <row r="7" customFormat="false" ht="11.1" hidden="false" customHeight="true" outlineLevel="0" collapsed="false">
      <c r="A7" s="6" t="s">
        <v>44</v>
      </c>
      <c r="B7" s="6"/>
      <c r="C7" s="7"/>
      <c r="D7" s="7"/>
      <c r="E7" s="7"/>
      <c r="F7" s="7"/>
      <c r="G7" s="7"/>
      <c r="H7" s="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27"/>
      <c r="X7" s="7"/>
      <c r="Y7" s="7"/>
      <c r="Z7" s="8"/>
      <c r="AA7" s="8"/>
      <c r="AB7" s="10"/>
      <c r="AC7" s="10"/>
      <c r="AD7" s="11"/>
    </row>
    <row r="8" s="1" customFormat="true" ht="11.1" hidden="false" customHeight="true" outlineLevel="0" collapsed="false">
      <c r="A8" s="7" t="s">
        <v>45</v>
      </c>
      <c r="B8" s="28" t="n">
        <v>6911.91</v>
      </c>
      <c r="C8" s="7" t="n">
        <v>329680</v>
      </c>
      <c r="D8" s="7"/>
      <c r="E8" s="7"/>
      <c r="F8" s="7"/>
      <c r="G8" s="7"/>
      <c r="H8" s="8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 t="n">
        <v>6452</v>
      </c>
      <c r="X8" s="7"/>
      <c r="Y8" s="7"/>
      <c r="Z8" s="8"/>
      <c r="AA8" s="8"/>
      <c r="AB8" s="10"/>
      <c r="AC8" s="10"/>
      <c r="AD8" s="11"/>
    </row>
    <row r="9" customFormat="false" ht="3" hidden="false" customHeight="true" outlineLevel="0" collapsed="false">
      <c r="A9" s="29"/>
      <c r="B9" s="30"/>
      <c r="C9" s="31"/>
      <c r="D9" s="29"/>
      <c r="E9" s="31"/>
      <c r="F9" s="29"/>
      <c r="G9" s="29"/>
      <c r="H9" s="32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31"/>
      <c r="U9" s="29"/>
      <c r="V9" s="29"/>
      <c r="W9" s="31"/>
      <c r="X9" s="29"/>
      <c r="Y9" s="29"/>
      <c r="Z9" s="32"/>
      <c r="AA9" s="32"/>
      <c r="AB9" s="33"/>
      <c r="AC9" s="33"/>
      <c r="AD9" s="34"/>
    </row>
    <row r="10" customFormat="false" ht="11.1" hidden="false" customHeight="true" outlineLevel="0" collapsed="false">
      <c r="A10" s="11" t="n">
        <v>1</v>
      </c>
      <c r="B10" s="28" t="n">
        <v>6911.81</v>
      </c>
      <c r="C10" s="7" t="n">
        <v>329276</v>
      </c>
      <c r="D10" s="10" t="n">
        <f aca="false">C10-C8</f>
        <v>-404</v>
      </c>
      <c r="E10" s="7" t="n">
        <f aca="false">C10-152000</f>
        <v>177276</v>
      </c>
      <c r="F10" s="6" t="n">
        <f aca="false">D10/$D$2</f>
        <v>-203.680362994706</v>
      </c>
      <c r="G10" s="6" t="n">
        <v>73</v>
      </c>
      <c r="H10" s="8" t="n">
        <v>1</v>
      </c>
      <c r="I10" s="6" t="n">
        <f aca="false">G10+H10</f>
        <v>74</v>
      </c>
      <c r="J10" s="35" t="n">
        <f aca="false">IF(L10&gt;0,L10,0)</f>
        <v>0</v>
      </c>
      <c r="K10" s="6" t="n">
        <f aca="false">I10+J10</f>
        <v>74</v>
      </c>
      <c r="L10" s="6" t="n">
        <f aca="false">F10-(I10-X10)</f>
        <v>-31.6803629947063</v>
      </c>
      <c r="M10" s="6" t="n">
        <v>128</v>
      </c>
      <c r="N10" s="6"/>
      <c r="O10" s="6" t="n">
        <f aca="false">23.85+24.66*1.05</f>
        <v>49.743</v>
      </c>
      <c r="P10" s="6" t="n">
        <f aca="false">M10-(N10+O10)</f>
        <v>78.257</v>
      </c>
      <c r="Q10" s="6" t="n">
        <v>0</v>
      </c>
      <c r="R10" s="6" t="n">
        <v>33</v>
      </c>
      <c r="S10" s="6" t="n">
        <f aca="false">SUM(P10:R10)</f>
        <v>111.257</v>
      </c>
      <c r="T10" s="7"/>
      <c r="U10" s="6" t="n">
        <v>0</v>
      </c>
      <c r="V10" s="6" t="n">
        <v>85</v>
      </c>
      <c r="W10" s="7" t="n">
        <f aca="false">(W7+W8)-45-2</f>
        <v>6405</v>
      </c>
      <c r="X10" s="6" t="n">
        <f aca="false">N10+O10+S10+U10+V10</f>
        <v>246</v>
      </c>
      <c r="Y10" s="6" t="n">
        <f aca="false">IF(L10&lt;0,L10*-1,0)</f>
        <v>31.6803629947063</v>
      </c>
      <c r="Z10" s="8" t="n">
        <f aca="false">X10+Y10</f>
        <v>277.680362994706</v>
      </c>
      <c r="AA10" s="8" t="n">
        <v>0</v>
      </c>
      <c r="AB10" s="10" t="n">
        <v>72</v>
      </c>
      <c r="AC10" s="10" t="n">
        <v>34</v>
      </c>
      <c r="AD10" s="11" t="n">
        <v>1</v>
      </c>
    </row>
    <row r="11" customFormat="false" ht="11.1" hidden="false" customHeight="true" outlineLevel="0" collapsed="false">
      <c r="A11" s="11" t="n">
        <f aca="false">A10+1</f>
        <v>2</v>
      </c>
      <c r="B11" s="36" t="n">
        <v>6911.7</v>
      </c>
      <c r="C11" s="7" t="n">
        <v>328831</v>
      </c>
      <c r="D11" s="10" t="n">
        <f aca="false">C11-C10</f>
        <v>-445</v>
      </c>
      <c r="E11" s="7" t="n">
        <f aca="false">C11-152000</f>
        <v>176831</v>
      </c>
      <c r="F11" s="6" t="n">
        <f aca="false">D11/$D$2</f>
        <v>-224.350894882783</v>
      </c>
      <c r="G11" s="6" t="n">
        <v>70</v>
      </c>
      <c r="H11" s="8" t="n">
        <v>0.93</v>
      </c>
      <c r="I11" s="6" t="n">
        <f aca="false">G11+H11</f>
        <v>70.93</v>
      </c>
      <c r="J11" s="35" t="n">
        <f aca="false">IF(L11&gt;0,L11,0)</f>
        <v>0</v>
      </c>
      <c r="K11" s="6" t="n">
        <f aca="false">I11+J11</f>
        <v>70.93</v>
      </c>
      <c r="L11" s="6" t="n">
        <f aca="false">F11-(I11-X11)</f>
        <v>-25.280894882783</v>
      </c>
      <c r="M11" s="6" t="n">
        <v>154</v>
      </c>
      <c r="N11" s="6"/>
      <c r="O11" s="6" t="n">
        <f aca="false">37.71+39.18*1.05</f>
        <v>78.849</v>
      </c>
      <c r="P11" s="6" t="n">
        <f aca="false">M11-(N11+O11)</f>
        <v>75.151</v>
      </c>
      <c r="Q11" s="6" t="n">
        <v>0</v>
      </c>
      <c r="R11" s="6" t="n">
        <v>31</v>
      </c>
      <c r="S11" s="6" t="n">
        <f aca="false">SUM(P11:R11)</f>
        <v>106.151</v>
      </c>
      <c r="T11" s="7"/>
      <c r="U11" s="6" t="n">
        <v>0</v>
      </c>
      <c r="V11" s="6" t="n">
        <v>85</v>
      </c>
      <c r="W11" s="7" t="n">
        <f aca="false">W10-45-2</f>
        <v>6358</v>
      </c>
      <c r="X11" s="6" t="n">
        <f aca="false">N11+O11+S11+U11+V11</f>
        <v>270</v>
      </c>
      <c r="Y11" s="6" t="n">
        <f aca="false">IF(L11&lt;0,L11*-1,0)</f>
        <v>25.280894882783</v>
      </c>
      <c r="Z11" s="8" t="n">
        <f aca="false">X11+Y11</f>
        <v>295.280894882783</v>
      </c>
      <c r="AA11" s="8" t="n">
        <v>0</v>
      </c>
      <c r="AB11" s="10" t="n">
        <v>76</v>
      </c>
      <c r="AC11" s="10" t="n">
        <v>30</v>
      </c>
      <c r="AD11" s="11" t="n">
        <f aca="false">AD10+1</f>
        <v>2</v>
      </c>
    </row>
    <row r="12" customFormat="false" ht="11.1" hidden="false" customHeight="true" outlineLevel="0" collapsed="false">
      <c r="A12" s="11" t="n">
        <f aca="false">A11+1</f>
        <v>3</v>
      </c>
      <c r="B12" s="28" t="n">
        <v>6911.59</v>
      </c>
      <c r="C12" s="7" t="n">
        <v>328386</v>
      </c>
      <c r="D12" s="10" t="n">
        <f aca="false">C12-C11</f>
        <v>-445</v>
      </c>
      <c r="E12" s="7" t="n">
        <f aca="false">C12-152000</f>
        <v>176386</v>
      </c>
      <c r="F12" s="6" t="n">
        <f aca="false">D12/$D$2</f>
        <v>-224.350894882783</v>
      </c>
      <c r="G12" s="6" t="n">
        <v>62</v>
      </c>
      <c r="H12" s="8" t="n">
        <v>1.2</v>
      </c>
      <c r="I12" s="6" t="n">
        <f aca="false">G12+H12</f>
        <v>63.2</v>
      </c>
      <c r="J12" s="35" t="n">
        <f aca="false">IF(L12&gt;0,L12,0)</f>
        <v>0</v>
      </c>
      <c r="K12" s="6" t="n">
        <f aca="false">I12+J12</f>
        <v>63.2</v>
      </c>
      <c r="L12" s="6" t="n">
        <f aca="false">F12-(I12-X12)</f>
        <v>-20.550894882783</v>
      </c>
      <c r="M12" s="6" t="n">
        <v>151</v>
      </c>
      <c r="N12" s="6"/>
      <c r="O12" s="6" t="n">
        <f aca="false">37.95+39.43*1.05</f>
        <v>79.3515</v>
      </c>
      <c r="P12" s="6" t="n">
        <f aca="false">M12-(N12+O12)</f>
        <v>71.6485</v>
      </c>
      <c r="Q12" s="6" t="n">
        <v>0</v>
      </c>
      <c r="R12" s="6" t="n">
        <v>31</v>
      </c>
      <c r="S12" s="6" t="n">
        <f aca="false">SUM(P12:R12)</f>
        <v>102.6485</v>
      </c>
      <c r="T12" s="7"/>
      <c r="U12" s="6" t="n">
        <v>0</v>
      </c>
      <c r="V12" s="6" t="n">
        <v>85</v>
      </c>
      <c r="W12" s="7" t="n">
        <f aca="false">W11-45-2</f>
        <v>6311</v>
      </c>
      <c r="X12" s="6" t="n">
        <f aca="false">N12+O12+S12+U12+V12</f>
        <v>267</v>
      </c>
      <c r="Y12" s="6" t="n">
        <f aca="false">IF(L12&lt;0,L12*-1,0)</f>
        <v>20.550894882783</v>
      </c>
      <c r="Z12" s="8" t="n">
        <f aca="false">X12+Y12</f>
        <v>287.550894882783</v>
      </c>
      <c r="AA12" s="8" t="n">
        <v>0</v>
      </c>
      <c r="AB12" s="10" t="n">
        <v>64</v>
      </c>
      <c r="AC12" s="10" t="n">
        <v>28</v>
      </c>
      <c r="AD12" s="11" t="n">
        <f aca="false">AD11+1</f>
        <v>3</v>
      </c>
    </row>
    <row r="13" customFormat="false" ht="11.1" hidden="false" customHeight="true" outlineLevel="0" collapsed="false">
      <c r="A13" s="11" t="n">
        <f aca="false">A12+1</f>
        <v>4</v>
      </c>
      <c r="B13" s="28" t="n">
        <v>6911.5</v>
      </c>
      <c r="C13" s="7" t="n">
        <v>328022</v>
      </c>
      <c r="D13" s="10" t="n">
        <f aca="false">C13-C12</f>
        <v>-364</v>
      </c>
      <c r="E13" s="7" t="n">
        <f aca="false">C13-152000</f>
        <v>176022</v>
      </c>
      <c r="F13" s="6" t="n">
        <f aca="false">D13/$D$2</f>
        <v>-183.513990420973</v>
      </c>
      <c r="G13" s="6" t="n">
        <v>61</v>
      </c>
      <c r="H13" s="8" t="n">
        <v>1.1</v>
      </c>
      <c r="I13" s="6" t="n">
        <f aca="false">G13+H13</f>
        <v>62.1</v>
      </c>
      <c r="J13" s="35" t="n">
        <f aca="false">IF(L13&gt;0,L13,0)</f>
        <v>10.386009579027</v>
      </c>
      <c r="K13" s="6" t="n">
        <f aca="false">I13+J13</f>
        <v>72.486009579027</v>
      </c>
      <c r="L13" s="6" t="n">
        <f aca="false">F13-(I13-X13)</f>
        <v>10.386009579027</v>
      </c>
      <c r="M13" s="6" t="n">
        <v>140</v>
      </c>
      <c r="N13" s="6"/>
      <c r="O13" s="6" t="n">
        <f aca="false">33.88+36.42*1.05</f>
        <v>72.121</v>
      </c>
      <c r="P13" s="6" t="n">
        <f aca="false">M13-(N13+O13)</f>
        <v>67.879</v>
      </c>
      <c r="Q13" s="6" t="n">
        <v>0</v>
      </c>
      <c r="R13" s="6" t="n">
        <v>31</v>
      </c>
      <c r="S13" s="6" t="n">
        <f aca="false">SUM(P13:R13)</f>
        <v>98.879</v>
      </c>
      <c r="T13" s="7"/>
      <c r="U13" s="6" t="n">
        <v>0</v>
      </c>
      <c r="V13" s="6" t="n">
        <v>85</v>
      </c>
      <c r="W13" s="7" t="n">
        <f aca="false">W12-45-2</f>
        <v>6264</v>
      </c>
      <c r="X13" s="6" t="n">
        <f aca="false">N13+O13+S13+U13+V13</f>
        <v>256</v>
      </c>
      <c r="Y13" s="6" t="n">
        <f aca="false">IF(L13&lt;0,L13*-1,0)</f>
        <v>0</v>
      </c>
      <c r="Z13" s="8" t="n">
        <f aca="false">X13+Y13</f>
        <v>256</v>
      </c>
      <c r="AA13" s="8" t="n">
        <v>0</v>
      </c>
      <c r="AB13" s="10" t="n">
        <v>69</v>
      </c>
      <c r="AC13" s="10" t="n">
        <v>32</v>
      </c>
      <c r="AD13" s="11" t="n">
        <f aca="false">AD12+1</f>
        <v>4</v>
      </c>
    </row>
    <row r="14" customFormat="false" ht="11.1" hidden="false" customHeight="true" outlineLevel="0" collapsed="false">
      <c r="A14" s="11" t="n">
        <f aca="false">A13+1</f>
        <v>5</v>
      </c>
      <c r="B14" s="28" t="n">
        <v>6911.43</v>
      </c>
      <c r="C14" s="7" t="n">
        <v>327739</v>
      </c>
      <c r="D14" s="10" t="n">
        <f aca="false">C14-C13</f>
        <v>-283</v>
      </c>
      <c r="E14" s="7" t="n">
        <f aca="false">C14-152000</f>
        <v>175739</v>
      </c>
      <c r="F14" s="6" t="n">
        <f aca="false">D14/$D$2</f>
        <v>-142.677085959163</v>
      </c>
      <c r="G14" s="6" t="n">
        <v>63</v>
      </c>
      <c r="H14" s="8" t="n">
        <v>0.94</v>
      </c>
      <c r="I14" s="6" t="n">
        <f aca="false">G14+H14</f>
        <v>63.94</v>
      </c>
      <c r="J14" s="35" t="n">
        <f aca="false">IF(L14&gt;0,L14,0)</f>
        <v>0</v>
      </c>
      <c r="K14" s="6" t="n">
        <f aca="false">I14+J14</f>
        <v>63.94</v>
      </c>
      <c r="L14" s="6" t="n">
        <f aca="false">F14-(I14-X14)</f>
        <v>-0.617085959163092</v>
      </c>
      <c r="M14" s="6" t="n">
        <v>90</v>
      </c>
      <c r="N14" s="6"/>
      <c r="O14" s="6" t="n">
        <f aca="false">15.55+17.16*1.05</f>
        <v>33.568</v>
      </c>
      <c r="P14" s="6" t="n">
        <f aca="false">M14-(N14+O14)</f>
        <v>56.432</v>
      </c>
      <c r="Q14" s="6" t="n">
        <v>0</v>
      </c>
      <c r="R14" s="6" t="n">
        <v>31</v>
      </c>
      <c r="S14" s="6" t="n">
        <f aca="false">SUM(P14:R14)</f>
        <v>87.432</v>
      </c>
      <c r="T14" s="7"/>
      <c r="U14" s="6" t="n">
        <v>0</v>
      </c>
      <c r="V14" s="6" t="n">
        <v>85</v>
      </c>
      <c r="W14" s="7" t="n">
        <f aca="false">W13-45-2</f>
        <v>6217</v>
      </c>
      <c r="X14" s="6" t="n">
        <f aca="false">N14+O14+S14+U14+V14</f>
        <v>206</v>
      </c>
      <c r="Y14" s="6" t="n">
        <f aca="false">IF(L14&lt;0,L14*-1,0)</f>
        <v>0.617085959163092</v>
      </c>
      <c r="Z14" s="8" t="n">
        <f aca="false">X14+Y14</f>
        <v>206.617085959163</v>
      </c>
      <c r="AA14" s="8" t="n">
        <v>0</v>
      </c>
      <c r="AB14" s="10" t="n">
        <v>68</v>
      </c>
      <c r="AC14" s="10" t="n">
        <v>30</v>
      </c>
      <c r="AD14" s="11" t="n">
        <f aca="false">AD13+1</f>
        <v>5</v>
      </c>
    </row>
    <row r="15" customFormat="false" ht="11.1" hidden="false" customHeight="true" outlineLevel="0" collapsed="false">
      <c r="A15" s="11" t="n">
        <f aca="false">A14+1</f>
        <v>6</v>
      </c>
      <c r="B15" s="28" t="n">
        <v>6911.38</v>
      </c>
      <c r="C15" s="7" t="n">
        <v>327536</v>
      </c>
      <c r="D15" s="10" t="n">
        <f aca="false">C15-C14</f>
        <v>-203</v>
      </c>
      <c r="E15" s="7" t="n">
        <f aca="false">C15-152000</f>
        <v>175536</v>
      </c>
      <c r="F15" s="6" t="n">
        <f aca="false">D15/$D$2</f>
        <v>-102.344340811697</v>
      </c>
      <c r="G15" s="6" t="n">
        <v>62</v>
      </c>
      <c r="H15" s="8" t="n">
        <v>0.94</v>
      </c>
      <c r="I15" s="6" t="n">
        <f aca="false">G15+H15</f>
        <v>62.94</v>
      </c>
      <c r="J15" s="35" t="n">
        <f aca="false">IF(L15&gt;0,L15,0)</f>
        <v>21.7156591883035</v>
      </c>
      <c r="K15" s="6" t="n">
        <f aca="false">I15+J15</f>
        <v>84.6556591883035</v>
      </c>
      <c r="L15" s="6" t="n">
        <f aca="false">F15-(I15-X15)</f>
        <v>21.7156591883035</v>
      </c>
      <c r="M15" s="6" t="n">
        <v>71</v>
      </c>
      <c r="N15" s="6"/>
      <c r="O15" s="6" t="n">
        <f aca="false">2.83+3.07*1.05</f>
        <v>6.0535</v>
      </c>
      <c r="P15" s="6" t="n">
        <f aca="false">M15-(N15+O15)</f>
        <v>64.9465</v>
      </c>
      <c r="Q15" s="6" t="n">
        <v>0</v>
      </c>
      <c r="R15" s="6" t="n">
        <v>31</v>
      </c>
      <c r="S15" s="6" t="n">
        <f aca="false">SUM(P15:R15)</f>
        <v>95.9465</v>
      </c>
      <c r="T15" s="7"/>
      <c r="U15" s="6" t="n">
        <v>0</v>
      </c>
      <c r="V15" s="6" t="n">
        <v>85</v>
      </c>
      <c r="W15" s="7" t="n">
        <f aca="false">W14-45-2</f>
        <v>6170</v>
      </c>
      <c r="X15" s="6" t="n">
        <f aca="false">N15+O15+S15+U15+V15</f>
        <v>187</v>
      </c>
      <c r="Y15" s="6" t="n">
        <f aca="false">IF(L15&lt;0,L15*-1,0)</f>
        <v>0</v>
      </c>
      <c r="Z15" s="8" t="n">
        <f aca="false">X15+Y15</f>
        <v>187</v>
      </c>
      <c r="AA15" s="8" t="n">
        <v>0</v>
      </c>
      <c r="AB15" s="10" t="n">
        <v>74</v>
      </c>
      <c r="AC15" s="10" t="n">
        <v>36</v>
      </c>
      <c r="AD15" s="11" t="n">
        <f aca="false">AD14+1</f>
        <v>6</v>
      </c>
    </row>
    <row r="16" customFormat="false" ht="11.1" hidden="false" customHeight="true" outlineLevel="0" collapsed="false">
      <c r="A16" s="11" t="n">
        <f aca="false">A15+1</f>
        <v>7</v>
      </c>
      <c r="B16" s="28" t="n">
        <v>6911.32</v>
      </c>
      <c r="C16" s="7" t="n">
        <v>327294</v>
      </c>
      <c r="D16" s="10" t="n">
        <f aca="false">C16-C15</f>
        <v>-242</v>
      </c>
      <c r="E16" s="7" t="n">
        <f aca="false">C16-152000</f>
        <v>175294</v>
      </c>
      <c r="F16" s="6" t="n">
        <f aca="false">D16/$D$2</f>
        <v>-122.006554071086</v>
      </c>
      <c r="G16" s="6" t="n">
        <v>62</v>
      </c>
      <c r="H16" s="8" t="n">
        <v>1</v>
      </c>
      <c r="I16" s="6" t="n">
        <f aca="false">G16+H16</f>
        <v>63</v>
      </c>
      <c r="J16" s="35" t="n">
        <f aca="false">IF(L16&gt;0,L16,0)</f>
        <v>1.99344592891354</v>
      </c>
      <c r="K16" s="6" t="n">
        <f aca="false">I16+J16</f>
        <v>64.9934459289135</v>
      </c>
      <c r="L16" s="6" t="n">
        <f aca="false">F16-(I16-X16)</f>
        <v>1.99344592891354</v>
      </c>
      <c r="M16" s="6" t="n">
        <v>72</v>
      </c>
      <c r="N16" s="6"/>
      <c r="O16" s="6" t="n">
        <f aca="false">2.67+3.07*1.05</f>
        <v>5.8935</v>
      </c>
      <c r="P16" s="6" t="n">
        <f aca="false">M16-(N16+O16)</f>
        <v>66.1065</v>
      </c>
      <c r="Q16" s="6" t="n">
        <v>0</v>
      </c>
      <c r="R16" s="6" t="n">
        <v>30</v>
      </c>
      <c r="S16" s="6" t="n">
        <f aca="false">SUM(P16:R16)</f>
        <v>96.1065</v>
      </c>
      <c r="T16" s="7"/>
      <c r="U16" s="6" t="n">
        <v>0</v>
      </c>
      <c r="V16" s="6" t="n">
        <v>85</v>
      </c>
      <c r="W16" s="7" t="n">
        <f aca="false">W15-45-2</f>
        <v>6123</v>
      </c>
      <c r="X16" s="6" t="n">
        <f aca="false">N16+O16+S16+U16+V16</f>
        <v>187</v>
      </c>
      <c r="Y16" s="6" t="n">
        <f aca="false">IF(L16&lt;0,L16*-1,0)</f>
        <v>0</v>
      </c>
      <c r="Z16" s="8" t="n">
        <f aca="false">X16+Y16</f>
        <v>187</v>
      </c>
      <c r="AA16" s="8" t="n">
        <v>0</v>
      </c>
      <c r="AB16" s="10" t="n">
        <v>71</v>
      </c>
      <c r="AC16" s="10" t="n">
        <v>38</v>
      </c>
      <c r="AD16" s="11" t="n">
        <f aca="false">AD15+1</f>
        <v>7</v>
      </c>
    </row>
    <row r="17" customFormat="false" ht="11.1" hidden="false" customHeight="true" outlineLevel="0" collapsed="false">
      <c r="A17" s="11" t="n">
        <f aca="false">A16+1</f>
        <v>8</v>
      </c>
      <c r="B17" s="28" t="n">
        <v>6911.26</v>
      </c>
      <c r="C17" s="7" t="n">
        <v>327051</v>
      </c>
      <c r="D17" s="10" t="n">
        <f aca="false">C17-C16</f>
        <v>-243</v>
      </c>
      <c r="E17" s="7" t="n">
        <f aca="false">C17-152000</f>
        <v>175051</v>
      </c>
      <c r="F17" s="6" t="n">
        <f aca="false">D17/$D$2</f>
        <v>-122.51071338543</v>
      </c>
      <c r="G17" s="6" t="n">
        <v>67</v>
      </c>
      <c r="H17" s="8" t="n">
        <v>1.1</v>
      </c>
      <c r="I17" s="6" t="n">
        <f aca="false">G17+H17</f>
        <v>68.1</v>
      </c>
      <c r="J17" s="35" t="n">
        <f aca="false">IF(L17&gt;0,L17,0)</f>
        <v>0</v>
      </c>
      <c r="K17" s="6" t="n">
        <f aca="false">I17+J17</f>
        <v>68.1</v>
      </c>
      <c r="L17" s="6" t="n">
        <f aca="false">F17-(I17-X17)</f>
        <v>-0.61071338542979</v>
      </c>
      <c r="M17" s="6" t="n">
        <v>74</v>
      </c>
      <c r="N17" s="6"/>
      <c r="O17" s="6" t="n">
        <f aca="false">13.1+13.1*1.05</f>
        <v>26.855</v>
      </c>
      <c r="P17" s="6" t="n">
        <f aca="false">M17-(N17+O17)</f>
        <v>47.145</v>
      </c>
      <c r="Q17" s="6" t="n">
        <v>0</v>
      </c>
      <c r="R17" s="6" t="n">
        <v>30</v>
      </c>
      <c r="S17" s="6" t="n">
        <f aca="false">SUM(P17:R17)</f>
        <v>77.145</v>
      </c>
      <c r="T17" s="7"/>
      <c r="U17" s="6" t="n">
        <v>0</v>
      </c>
      <c r="V17" s="6" t="n">
        <v>86</v>
      </c>
      <c r="W17" s="7" t="n">
        <f aca="false">W16-45-2</f>
        <v>6076</v>
      </c>
      <c r="X17" s="6" t="n">
        <f aca="false">N17+O17+S17+U17+V17</f>
        <v>190</v>
      </c>
      <c r="Y17" s="6" t="n">
        <f aca="false">IF(L17&lt;0,L17*-1,0)</f>
        <v>0.61071338542979</v>
      </c>
      <c r="Z17" s="8" t="n">
        <f aca="false">X17+Y17</f>
        <v>190.61071338543</v>
      </c>
      <c r="AA17" s="8" t="n">
        <v>0</v>
      </c>
      <c r="AB17" s="10" t="n">
        <v>66</v>
      </c>
      <c r="AC17" s="10" t="n">
        <v>44</v>
      </c>
      <c r="AD17" s="11" t="n">
        <f aca="false">AD16+1</f>
        <v>8</v>
      </c>
    </row>
    <row r="18" customFormat="false" ht="11.1" hidden="false" customHeight="true" outlineLevel="0" collapsed="false">
      <c r="A18" s="11" t="n">
        <f aca="false">A17+1</f>
        <v>9</v>
      </c>
      <c r="B18" s="28" t="n">
        <v>6911.19</v>
      </c>
      <c r="C18" s="7" t="n">
        <v>326768</v>
      </c>
      <c r="D18" s="10" t="n">
        <f aca="false">C18-C17</f>
        <v>-283</v>
      </c>
      <c r="E18" s="7" t="n">
        <f aca="false">C18-152000</f>
        <v>174768</v>
      </c>
      <c r="F18" s="6" t="n">
        <f aca="false">D18/$D$2</f>
        <v>-142.677085959163</v>
      </c>
      <c r="G18" s="6" t="n">
        <v>67</v>
      </c>
      <c r="H18" s="8" t="n">
        <v>1.2</v>
      </c>
      <c r="I18" s="6" t="n">
        <f aca="false">G18+H18</f>
        <v>68.2</v>
      </c>
      <c r="J18" s="35" t="n">
        <f aca="false">IF(L18&gt;0,L18,0)</f>
        <v>12.1229140408369</v>
      </c>
      <c r="K18" s="6" t="n">
        <f aca="false">I18+J18</f>
        <v>80.3229140408369</v>
      </c>
      <c r="L18" s="6" t="n">
        <f aca="false">F18-(I18-X18)</f>
        <v>12.1229140408369</v>
      </c>
      <c r="M18" s="6" t="n">
        <v>106</v>
      </c>
      <c r="N18" s="6"/>
      <c r="O18" s="6" t="n">
        <f aca="false">17.85+16.93*1.05</f>
        <v>35.6265</v>
      </c>
      <c r="P18" s="6" t="n">
        <f aca="false">M18-(N18+O18)</f>
        <v>70.3735</v>
      </c>
      <c r="Q18" s="6" t="n">
        <v>0</v>
      </c>
      <c r="R18" s="6" t="n">
        <v>30</v>
      </c>
      <c r="S18" s="6" t="n">
        <f aca="false">SUM(P18:R18)</f>
        <v>100.3735</v>
      </c>
      <c r="T18" s="7"/>
      <c r="U18" s="6" t="n">
        <v>0</v>
      </c>
      <c r="V18" s="6" t="n">
        <v>87</v>
      </c>
      <c r="W18" s="7" t="n">
        <f aca="false">W17-45-2</f>
        <v>6029</v>
      </c>
      <c r="X18" s="6" t="n">
        <f aca="false">N18+O18+S18+U18+V18</f>
        <v>223</v>
      </c>
      <c r="Y18" s="6" t="n">
        <f aca="false">IF(L18&lt;0,L18*-1,0)</f>
        <v>0</v>
      </c>
      <c r="Z18" s="8" t="n">
        <f aca="false">X18+Y18</f>
        <v>223</v>
      </c>
      <c r="AA18" s="8" t="n">
        <v>0</v>
      </c>
      <c r="AB18" s="37" t="n">
        <v>62</v>
      </c>
      <c r="AC18" s="10" t="n">
        <v>28</v>
      </c>
      <c r="AD18" s="11" t="n">
        <f aca="false">AD17+1</f>
        <v>9</v>
      </c>
    </row>
    <row r="19" customFormat="false" ht="11.1" hidden="false" customHeight="true" outlineLevel="0" collapsed="false">
      <c r="A19" s="11" t="n">
        <f aca="false">A18+1</f>
        <v>10</v>
      </c>
      <c r="B19" s="28" t="n">
        <v>6911.14</v>
      </c>
      <c r="C19" s="7" t="n">
        <v>326566</v>
      </c>
      <c r="D19" s="10" t="n">
        <f aca="false">C19-C18</f>
        <v>-202</v>
      </c>
      <c r="E19" s="7" t="n">
        <f aca="false">C19-152000</f>
        <v>174566</v>
      </c>
      <c r="F19" s="6" t="n">
        <f aca="false">D19/$D$2</f>
        <v>-101.840181497353</v>
      </c>
      <c r="G19" s="6" t="n">
        <v>60</v>
      </c>
      <c r="H19" s="8" t="n">
        <v>1.2</v>
      </c>
      <c r="I19" s="6" t="n">
        <f aca="false">G19+H19</f>
        <v>61.2</v>
      </c>
      <c r="J19" s="35" t="n">
        <f aca="false">IF(L19&gt;0,L19,0)</f>
        <v>13.9598185026468</v>
      </c>
      <c r="K19" s="6" t="n">
        <f aca="false">I19+J19</f>
        <v>75.1598185026468</v>
      </c>
      <c r="L19" s="6" t="n">
        <f aca="false">F19-(I19-X19)</f>
        <v>13.9598185026468</v>
      </c>
      <c r="M19" s="6" t="n">
        <v>60</v>
      </c>
      <c r="N19" s="6"/>
      <c r="O19" s="6" t="n">
        <f aca="false">15.16+16*1.05</f>
        <v>31.96</v>
      </c>
      <c r="P19" s="6" t="n">
        <f aca="false">M19-(N19+O19)</f>
        <v>28.04</v>
      </c>
      <c r="Q19" s="6" t="n">
        <v>0</v>
      </c>
      <c r="R19" s="6" t="n">
        <v>30</v>
      </c>
      <c r="S19" s="6" t="n">
        <f aca="false">SUM(P19:R19)</f>
        <v>58.04</v>
      </c>
      <c r="T19" s="7"/>
      <c r="U19" s="6" t="n">
        <v>0</v>
      </c>
      <c r="V19" s="6" t="n">
        <v>87</v>
      </c>
      <c r="W19" s="7" t="n">
        <f aca="false">W18-45-2</f>
        <v>5982</v>
      </c>
      <c r="X19" s="6" t="n">
        <f aca="false">N19+O19+S19+U19+V19</f>
        <v>177</v>
      </c>
      <c r="Y19" s="6" t="n">
        <f aca="false">IF(L19&lt;0,L19*-1,0)</f>
        <v>0</v>
      </c>
      <c r="Z19" s="8" t="n">
        <f aca="false">X19+Y19</f>
        <v>177</v>
      </c>
      <c r="AA19" s="8" t="n">
        <v>0</v>
      </c>
      <c r="AB19" s="10" t="n">
        <v>66</v>
      </c>
      <c r="AC19" s="10" t="n">
        <v>30</v>
      </c>
      <c r="AD19" s="11" t="n">
        <f aca="false">AD18+1</f>
        <v>10</v>
      </c>
    </row>
    <row r="20" customFormat="false" ht="11.1" hidden="false" customHeight="true" outlineLevel="0" collapsed="false">
      <c r="A20" s="11" t="n">
        <f aca="false">A19+1</f>
        <v>11</v>
      </c>
      <c r="B20" s="28" t="n">
        <v>6911.09</v>
      </c>
      <c r="C20" s="7" t="n">
        <v>326363</v>
      </c>
      <c r="D20" s="10" t="n">
        <f aca="false">C20-C19</f>
        <v>-203</v>
      </c>
      <c r="E20" s="7" t="n">
        <f aca="false">C20-152000</f>
        <v>174363</v>
      </c>
      <c r="F20" s="6" t="n">
        <f aca="false">D20/$D$2</f>
        <v>-102.344340811697</v>
      </c>
      <c r="G20" s="6" t="n">
        <v>58</v>
      </c>
      <c r="H20" s="8" t="n">
        <v>1.1</v>
      </c>
      <c r="I20" s="6" t="n">
        <f aca="false">G20+H20</f>
        <v>59.1</v>
      </c>
      <c r="J20" s="35" t="n">
        <f aca="false">IF(L20&gt;0,L20,0)</f>
        <v>0</v>
      </c>
      <c r="K20" s="6" t="n">
        <f aca="false">I20+J20</f>
        <v>59.1</v>
      </c>
      <c r="L20" s="6" t="n">
        <f aca="false">F20-(I20-X20)</f>
        <v>-4.44434081169649</v>
      </c>
      <c r="M20" s="6" t="n">
        <v>42</v>
      </c>
      <c r="N20" s="6"/>
      <c r="O20" s="6" t="n">
        <f aca="false">10.41+10.39*1.05</f>
        <v>21.3195</v>
      </c>
      <c r="P20" s="6" t="n">
        <f aca="false">M20-(N20+O20)</f>
        <v>20.6805</v>
      </c>
      <c r="Q20" s="6" t="n">
        <v>0</v>
      </c>
      <c r="R20" s="6" t="n">
        <v>28</v>
      </c>
      <c r="S20" s="6" t="n">
        <f aca="false">SUM(P20:R20)</f>
        <v>48.6805</v>
      </c>
      <c r="T20" s="7"/>
      <c r="U20" s="6" t="n">
        <v>0</v>
      </c>
      <c r="V20" s="6" t="n">
        <v>87</v>
      </c>
      <c r="W20" s="7" t="n">
        <f aca="false">W19-45-2</f>
        <v>5935</v>
      </c>
      <c r="X20" s="6" t="n">
        <f aca="false">N20+O20+S20+U20+V20</f>
        <v>157</v>
      </c>
      <c r="Y20" s="6" t="n">
        <f aca="false">IF(L20&lt;0,L20*-1,0)</f>
        <v>4.44434081169649</v>
      </c>
      <c r="Z20" s="8" t="n">
        <f aca="false">X20+Y20</f>
        <v>161.444340811697</v>
      </c>
      <c r="AA20" s="8" t="n">
        <v>0</v>
      </c>
      <c r="AB20" s="10" t="n">
        <v>71</v>
      </c>
      <c r="AC20" s="10" t="n">
        <v>33</v>
      </c>
      <c r="AD20" s="11" t="n">
        <f aca="false">AD19+1</f>
        <v>11</v>
      </c>
    </row>
    <row r="21" customFormat="false" ht="11.1" hidden="false" customHeight="true" outlineLevel="0" collapsed="false">
      <c r="A21" s="11" t="n">
        <f aca="false">A20+1</f>
        <v>12</v>
      </c>
      <c r="B21" s="28" t="n">
        <v>6911.04</v>
      </c>
      <c r="C21" s="7" t="n">
        <v>326161</v>
      </c>
      <c r="D21" s="10" t="n">
        <f aca="false">C21-C20</f>
        <v>-202</v>
      </c>
      <c r="E21" s="7" t="n">
        <f aca="false">C21-152000</f>
        <v>174161</v>
      </c>
      <c r="F21" s="6" t="n">
        <f aca="false">D21/$D$2</f>
        <v>-101.840181497353</v>
      </c>
      <c r="G21" s="6" t="n">
        <v>54</v>
      </c>
      <c r="H21" s="8" t="n">
        <v>0.97</v>
      </c>
      <c r="I21" s="6" t="n">
        <f aca="false">G21+H21</f>
        <v>54.97</v>
      </c>
      <c r="J21" s="35" t="n">
        <f aca="false">IF(L21&gt;0,L21,0)</f>
        <v>0</v>
      </c>
      <c r="K21" s="6" t="n">
        <f aca="false">I21+J21</f>
        <v>54.97</v>
      </c>
      <c r="L21" s="6" t="n">
        <f aca="false">F21-(I21-X21)</f>
        <v>-5.81018149735316</v>
      </c>
      <c r="M21" s="6" t="n">
        <v>38</v>
      </c>
      <c r="N21" s="6"/>
      <c r="O21" s="6" t="n">
        <v>0</v>
      </c>
      <c r="P21" s="6" t="n">
        <f aca="false">M21-(N21+O21)</f>
        <v>38</v>
      </c>
      <c r="Q21" s="6" t="n">
        <v>0</v>
      </c>
      <c r="R21" s="6" t="n">
        <v>26</v>
      </c>
      <c r="S21" s="6" t="n">
        <f aca="false">SUM(P21:R21)</f>
        <v>64</v>
      </c>
      <c r="T21" s="7"/>
      <c r="U21" s="6" t="n">
        <v>0</v>
      </c>
      <c r="V21" s="6" t="n">
        <v>87</v>
      </c>
      <c r="W21" s="7" t="n">
        <f aca="false">W20-45-2</f>
        <v>5888</v>
      </c>
      <c r="X21" s="6" t="n">
        <f aca="false">N21+O21+S21+U21+V21</f>
        <v>151</v>
      </c>
      <c r="Y21" s="6" t="n">
        <f aca="false">IF(L21&lt;0,L21*-1,0)</f>
        <v>5.81018149735316</v>
      </c>
      <c r="Z21" s="8" t="n">
        <f aca="false">X21+Y21</f>
        <v>156.810181497353</v>
      </c>
      <c r="AA21" s="8" t="n">
        <v>0</v>
      </c>
      <c r="AB21" s="10" t="n">
        <v>72</v>
      </c>
      <c r="AC21" s="10" t="n">
        <v>33</v>
      </c>
      <c r="AD21" s="11" t="n">
        <f aca="false">AD20+1</f>
        <v>12</v>
      </c>
    </row>
    <row r="22" customFormat="false" ht="11.1" hidden="false" customHeight="true" outlineLevel="0" collapsed="false">
      <c r="A22" s="11" t="n">
        <f aca="false">A21+1</f>
        <v>13</v>
      </c>
      <c r="B22" s="28" t="n">
        <v>6910.99</v>
      </c>
      <c r="C22" s="7" t="n">
        <v>325959</v>
      </c>
      <c r="D22" s="10" t="n">
        <f aca="false">C22-C21</f>
        <v>-202</v>
      </c>
      <c r="E22" s="7" t="n">
        <f aca="false">C22-152000</f>
        <v>173959</v>
      </c>
      <c r="F22" s="6" t="n">
        <f aca="false">D22/$D$2</f>
        <v>-101.840181497353</v>
      </c>
      <c r="G22" s="6" t="n">
        <v>53</v>
      </c>
      <c r="H22" s="8" t="n">
        <v>0.9</v>
      </c>
      <c r="I22" s="6" t="n">
        <f aca="false">G22+H22</f>
        <v>53.9</v>
      </c>
      <c r="J22" s="35" t="n">
        <f aca="false">IF(L22&gt;0,L22,0)</f>
        <v>0</v>
      </c>
      <c r="K22" s="6" t="n">
        <f aca="false">I22+J22</f>
        <v>53.9</v>
      </c>
      <c r="L22" s="6" t="n">
        <f aca="false">F22-(I22-X22)</f>
        <v>-6.74018149735316</v>
      </c>
      <c r="M22" s="6" t="n">
        <v>37</v>
      </c>
      <c r="N22" s="6"/>
      <c r="O22" s="6" t="n">
        <v>0</v>
      </c>
      <c r="P22" s="6" t="n">
        <f aca="false">M22-(N22+O22)</f>
        <v>37</v>
      </c>
      <c r="Q22" s="6" t="n">
        <v>0</v>
      </c>
      <c r="R22" s="6" t="n">
        <v>25</v>
      </c>
      <c r="S22" s="6" t="n">
        <f aca="false">SUM(P22:R22)</f>
        <v>62</v>
      </c>
      <c r="T22" s="7"/>
      <c r="U22" s="6" t="n">
        <v>0</v>
      </c>
      <c r="V22" s="6" t="n">
        <v>87</v>
      </c>
      <c r="W22" s="7" t="n">
        <f aca="false">W21-45-2</f>
        <v>5841</v>
      </c>
      <c r="X22" s="6" t="n">
        <f aca="false">N22+O22+S22+U22+V22</f>
        <v>149</v>
      </c>
      <c r="Y22" s="6" t="n">
        <f aca="false">IF(L22&lt;0,L22*-1,0)</f>
        <v>6.74018149735316</v>
      </c>
      <c r="Z22" s="8" t="n">
        <f aca="false">X22+Y22</f>
        <v>155.740181497353</v>
      </c>
      <c r="AA22" s="8" t="n">
        <v>0</v>
      </c>
      <c r="AB22" s="10" t="n">
        <v>72</v>
      </c>
      <c r="AC22" s="10" t="n">
        <v>32</v>
      </c>
      <c r="AD22" s="11" t="n">
        <f aca="false">AD21+1</f>
        <v>13</v>
      </c>
    </row>
    <row r="23" customFormat="false" ht="11.1" hidden="false" customHeight="true" outlineLevel="0" collapsed="false">
      <c r="A23" s="11" t="n">
        <f aca="false">A22+1</f>
        <v>14</v>
      </c>
      <c r="B23" s="28" t="n">
        <v>6910.94</v>
      </c>
      <c r="C23" s="7" t="n">
        <v>325759</v>
      </c>
      <c r="D23" s="10" t="n">
        <f aca="false">C23-C22</f>
        <v>-200</v>
      </c>
      <c r="E23" s="7" t="n">
        <f aca="false">C23-152000</f>
        <v>173759</v>
      </c>
      <c r="F23" s="6" t="n">
        <f aca="false">D23/$D$2</f>
        <v>-100.831862868667</v>
      </c>
      <c r="G23" s="6" t="n">
        <v>53</v>
      </c>
      <c r="H23" s="8" t="n">
        <v>0.84</v>
      </c>
      <c r="I23" s="6" t="n">
        <f aca="false">G23+H23</f>
        <v>53.84</v>
      </c>
      <c r="J23" s="35" t="n">
        <f aca="false">IF(L23&gt;0,L23,0)</f>
        <v>0</v>
      </c>
      <c r="K23" s="6" t="n">
        <f aca="false">I23+J23</f>
        <v>53.84</v>
      </c>
      <c r="L23" s="6" t="n">
        <f aca="false">F23-(I23-X23)</f>
        <v>-5.67186286866649</v>
      </c>
      <c r="M23" s="6" t="n">
        <v>37</v>
      </c>
      <c r="N23" s="6"/>
      <c r="O23" s="6" t="n">
        <v>0</v>
      </c>
      <c r="P23" s="6" t="n">
        <f aca="false">M23-(N23+O23)</f>
        <v>37</v>
      </c>
      <c r="Q23" s="6" t="n">
        <v>0</v>
      </c>
      <c r="R23" s="6" t="n">
        <v>25</v>
      </c>
      <c r="S23" s="6" t="n">
        <f aca="false">SUM(P23:R23)</f>
        <v>62</v>
      </c>
      <c r="T23" s="7"/>
      <c r="U23" s="6" t="n">
        <v>0</v>
      </c>
      <c r="V23" s="6" t="n">
        <v>87</v>
      </c>
      <c r="W23" s="7" t="n">
        <f aca="false">W22-45-2</f>
        <v>5794</v>
      </c>
      <c r="X23" s="6" t="n">
        <f aca="false">N23+O23+S23+U23+V23</f>
        <v>149</v>
      </c>
      <c r="Y23" s="6" t="n">
        <f aca="false">IF(L23&lt;0,L23*-1,0)</f>
        <v>5.67186286866649</v>
      </c>
      <c r="Z23" s="8" t="n">
        <f aca="false">X23+Y23</f>
        <v>154.671862868667</v>
      </c>
      <c r="AA23" s="8" t="n">
        <v>0</v>
      </c>
      <c r="AB23" s="37" t="n">
        <v>72</v>
      </c>
      <c r="AC23" s="10" t="n">
        <v>33</v>
      </c>
      <c r="AD23" s="11" t="n">
        <f aca="false">AD22+1</f>
        <v>14</v>
      </c>
    </row>
    <row r="24" customFormat="false" ht="11.1" hidden="false" customHeight="true" outlineLevel="0" collapsed="false">
      <c r="A24" s="11" t="n">
        <f aca="false">A23+1</f>
        <v>15</v>
      </c>
      <c r="B24" s="28" t="n">
        <v>6910.89</v>
      </c>
      <c r="C24" s="7" t="n">
        <v>325558</v>
      </c>
      <c r="D24" s="10" t="n">
        <f aca="false">C24-C23</f>
        <v>-201</v>
      </c>
      <c r="E24" s="7" t="n">
        <f aca="false">C24-152000</f>
        <v>173558</v>
      </c>
      <c r="F24" s="6" t="n">
        <f aca="false">D24/$D$2</f>
        <v>-101.33602218301</v>
      </c>
      <c r="G24" s="6" t="n">
        <v>57</v>
      </c>
      <c r="H24" s="8" t="n">
        <v>0.89</v>
      </c>
      <c r="I24" s="6" t="n">
        <f aca="false">G24+H24</f>
        <v>57.89</v>
      </c>
      <c r="J24" s="35" t="n">
        <f aca="false">IF(L24&gt;0,L24,0)</f>
        <v>0</v>
      </c>
      <c r="K24" s="6" t="n">
        <f aca="false">I24+J24</f>
        <v>57.89</v>
      </c>
      <c r="L24" s="6" t="n">
        <f aca="false">F24-(I24-X24)</f>
        <v>-18.2260221830098</v>
      </c>
      <c r="M24" s="6" t="n">
        <v>37</v>
      </c>
      <c r="N24" s="6"/>
      <c r="O24" s="6" t="n">
        <v>0</v>
      </c>
      <c r="P24" s="6" t="n">
        <f aca="false">M24-(N24+O24)</f>
        <v>37</v>
      </c>
      <c r="Q24" s="6" t="n">
        <v>0</v>
      </c>
      <c r="R24" s="6" t="n">
        <v>24</v>
      </c>
      <c r="S24" s="6" t="n">
        <f aca="false">SUM(P24:R24)</f>
        <v>61</v>
      </c>
      <c r="T24" s="7"/>
      <c r="U24" s="6" t="n">
        <v>0</v>
      </c>
      <c r="V24" s="6" t="n">
        <v>80</v>
      </c>
      <c r="W24" s="7" t="n">
        <f aca="false">W23-45-2</f>
        <v>5747</v>
      </c>
      <c r="X24" s="6" t="n">
        <f aca="false">N24+O24+S24+U24+V24</f>
        <v>141</v>
      </c>
      <c r="Y24" s="6" t="n">
        <f aca="false">IF(L24&lt;0,L24*-1,0)</f>
        <v>18.2260221830098</v>
      </c>
      <c r="Z24" s="8" t="n">
        <f aca="false">X24+Y24</f>
        <v>159.22602218301</v>
      </c>
      <c r="AA24" s="8" t="n">
        <v>0</v>
      </c>
      <c r="AB24" s="37" t="n">
        <v>72</v>
      </c>
      <c r="AC24" s="10" t="n">
        <v>31</v>
      </c>
      <c r="AD24" s="11" t="n">
        <f aca="false">AD23+1</f>
        <v>15</v>
      </c>
    </row>
    <row r="25" customFormat="false" ht="11.1" hidden="false" customHeight="true" outlineLevel="0" collapsed="false">
      <c r="A25" s="11" t="n">
        <f aca="false">A24+1</f>
        <v>16</v>
      </c>
      <c r="B25" s="28" t="n">
        <v>6910.84</v>
      </c>
      <c r="C25" s="7" t="n">
        <v>325357</v>
      </c>
      <c r="D25" s="10" t="n">
        <f aca="false">C25-C24</f>
        <v>-201</v>
      </c>
      <c r="E25" s="7" t="n">
        <f aca="false">C25-152000</f>
        <v>173357</v>
      </c>
      <c r="F25" s="6" t="n">
        <f aca="false">D25/$D$2</f>
        <v>-101.33602218301</v>
      </c>
      <c r="G25" s="6" t="n">
        <v>53</v>
      </c>
      <c r="H25" s="8" t="n">
        <v>0.84</v>
      </c>
      <c r="I25" s="6" t="n">
        <f aca="false">G25+H25</f>
        <v>53.84</v>
      </c>
      <c r="J25" s="35" t="n">
        <f aca="false">IF(L25&gt;0,L25,0)</f>
        <v>0</v>
      </c>
      <c r="K25" s="6" t="n">
        <f aca="false">I25+J25</f>
        <v>53.84</v>
      </c>
      <c r="L25" s="6" t="n">
        <f aca="false">F25-(I25-X25)</f>
        <v>-17.1760221830098</v>
      </c>
      <c r="M25" s="6" t="n">
        <v>39</v>
      </c>
      <c r="N25" s="6"/>
      <c r="O25" s="6" t="n">
        <v>0</v>
      </c>
      <c r="P25" s="6" t="n">
        <f aca="false">M25-(N25+O25)</f>
        <v>39</v>
      </c>
      <c r="Q25" s="6" t="n">
        <v>0</v>
      </c>
      <c r="R25" s="6" t="n">
        <v>24</v>
      </c>
      <c r="S25" s="6" t="n">
        <f aca="false">SUM(P25:R25)</f>
        <v>63</v>
      </c>
      <c r="T25" s="7"/>
      <c r="U25" s="6" t="n">
        <v>0</v>
      </c>
      <c r="V25" s="6" t="n">
        <v>75</v>
      </c>
      <c r="W25" s="7" t="n">
        <f aca="false">W24-45-2</f>
        <v>5700</v>
      </c>
      <c r="X25" s="6" t="n">
        <f aca="false">N25+O25+S25+U25+V25</f>
        <v>138</v>
      </c>
      <c r="Y25" s="6" t="n">
        <f aca="false">IF(L25&lt;0,L25*-1,0)</f>
        <v>17.1760221830098</v>
      </c>
      <c r="Z25" s="8" t="n">
        <f aca="false">X25+Y25</f>
        <v>155.17602218301</v>
      </c>
      <c r="AA25" s="8" t="n">
        <v>0</v>
      </c>
      <c r="AB25" s="37" t="n">
        <v>69</v>
      </c>
      <c r="AC25" s="10" t="n">
        <v>34</v>
      </c>
      <c r="AD25" s="11" t="n">
        <f aca="false">AD24+1</f>
        <v>16</v>
      </c>
    </row>
    <row r="26" customFormat="false" ht="11.1" hidden="false" customHeight="true" outlineLevel="0" collapsed="false">
      <c r="A26" s="11" t="n">
        <f aca="false">A25+1</f>
        <v>17</v>
      </c>
      <c r="B26" s="28" t="n">
        <v>6910.8</v>
      </c>
      <c r="C26" s="7" t="n">
        <v>325197</v>
      </c>
      <c r="D26" s="10" t="n">
        <f aca="false">C26-C25</f>
        <v>-160</v>
      </c>
      <c r="E26" s="7" t="n">
        <f aca="false">C26-152000</f>
        <v>173197</v>
      </c>
      <c r="F26" s="6" t="n">
        <f aca="false">D26/$D$2</f>
        <v>-80.6654902949332</v>
      </c>
      <c r="G26" s="6" t="n">
        <v>53</v>
      </c>
      <c r="H26" s="8" t="n">
        <v>0.88</v>
      </c>
      <c r="I26" s="6" t="n">
        <f aca="false">G26+H26</f>
        <v>53.88</v>
      </c>
      <c r="J26" s="35" t="n">
        <f aca="false">IF(L26&gt;0,L26,0)</f>
        <v>0</v>
      </c>
      <c r="K26" s="6" t="n">
        <f aca="false">I26+J26</f>
        <v>53.88</v>
      </c>
      <c r="L26" s="6" t="n">
        <f aca="false">F26-(I26-X26)</f>
        <v>-11.5454902949332</v>
      </c>
      <c r="M26" s="6" t="n">
        <v>37</v>
      </c>
      <c r="N26" s="6"/>
      <c r="O26" s="6" t="n">
        <v>0</v>
      </c>
      <c r="P26" s="6" t="n">
        <f aca="false">M26-(N26+O26)</f>
        <v>37</v>
      </c>
      <c r="Q26" s="6" t="n">
        <v>0</v>
      </c>
      <c r="R26" s="6" t="n">
        <v>22</v>
      </c>
      <c r="S26" s="6" t="n">
        <f aca="false">SUM(P26:R26)</f>
        <v>59</v>
      </c>
      <c r="T26" s="7"/>
      <c r="U26" s="6" t="n">
        <v>0</v>
      </c>
      <c r="V26" s="6" t="n">
        <v>64</v>
      </c>
      <c r="W26" s="7" t="n">
        <f aca="false">W25-45-2</f>
        <v>5653</v>
      </c>
      <c r="X26" s="6" t="n">
        <f aca="false">N26+O26+S26+U26+V26</f>
        <v>123</v>
      </c>
      <c r="Y26" s="6" t="n">
        <f aca="false">IF(L26&lt;0,L26*-1,0)</f>
        <v>11.5454902949332</v>
      </c>
      <c r="Z26" s="8" t="n">
        <f aca="false">X26+Y26</f>
        <v>134.545490294933</v>
      </c>
      <c r="AA26" s="8" t="n">
        <v>0</v>
      </c>
      <c r="AB26" s="37" t="n">
        <v>66</v>
      </c>
      <c r="AC26" s="10" t="n">
        <v>36</v>
      </c>
      <c r="AD26" s="11" t="n">
        <f aca="false">AD25+1</f>
        <v>17</v>
      </c>
    </row>
    <row r="27" customFormat="false" ht="11.1" hidden="false" customHeight="true" outlineLevel="0" collapsed="false">
      <c r="A27" s="11" t="n">
        <f aca="false">A26+1</f>
        <v>18</v>
      </c>
      <c r="B27" s="28" t="n">
        <v>6910.78</v>
      </c>
      <c r="C27" s="7" t="n">
        <v>325117</v>
      </c>
      <c r="D27" s="10" t="n">
        <f aca="false">C27-C26</f>
        <v>-80</v>
      </c>
      <c r="E27" s="7" t="n">
        <f aca="false">C27-152000</f>
        <v>173117</v>
      </c>
      <c r="F27" s="6" t="n">
        <f aca="false">D27/$D$2</f>
        <v>-40.3327451474666</v>
      </c>
      <c r="G27" s="6" t="n">
        <v>51</v>
      </c>
      <c r="H27" s="8" t="n">
        <v>0.97</v>
      </c>
      <c r="I27" s="6" t="n">
        <f aca="false">G27+H27</f>
        <v>51.97</v>
      </c>
      <c r="J27" s="35" t="n">
        <f aca="false">IF(L27&gt;0,L27,0)</f>
        <v>20.6972548525334</v>
      </c>
      <c r="K27" s="6" t="n">
        <f aca="false">I27+J27</f>
        <v>72.6672548525334</v>
      </c>
      <c r="L27" s="6" t="n">
        <f aca="false">F27-(I27-X27)</f>
        <v>20.6972548525334</v>
      </c>
      <c r="M27" s="6" t="n">
        <v>37</v>
      </c>
      <c r="N27" s="6"/>
      <c r="O27" s="6" t="n">
        <v>0</v>
      </c>
      <c r="P27" s="6" t="n">
        <f aca="false">M27-(N27+O27)</f>
        <v>37</v>
      </c>
      <c r="Q27" s="6" t="n">
        <v>0</v>
      </c>
      <c r="R27" s="6" t="n">
        <v>20</v>
      </c>
      <c r="S27" s="6" t="n">
        <f aca="false">SUM(P27:R27)</f>
        <v>57</v>
      </c>
      <c r="T27" s="7"/>
      <c r="U27" s="6" t="n">
        <v>0</v>
      </c>
      <c r="V27" s="6" t="n">
        <v>56</v>
      </c>
      <c r="W27" s="7" t="n">
        <f aca="false">W26-45-2</f>
        <v>5606</v>
      </c>
      <c r="X27" s="6" t="n">
        <f aca="false">N27+O27+S27+U27+V27</f>
        <v>113</v>
      </c>
      <c r="Y27" s="6" t="n">
        <f aca="false">IF(L27&lt;0,L27*-1,0)</f>
        <v>0</v>
      </c>
      <c r="Z27" s="8" t="n">
        <f aca="false">X27+Y27</f>
        <v>113</v>
      </c>
      <c r="AA27" s="8" t="n">
        <v>0</v>
      </c>
      <c r="AB27" s="37" t="n">
        <v>48</v>
      </c>
      <c r="AC27" s="10" t="n">
        <v>24</v>
      </c>
      <c r="AD27" s="11" t="n">
        <f aca="false">AD26+1</f>
        <v>18</v>
      </c>
    </row>
    <row r="28" customFormat="false" ht="11.1" hidden="false" customHeight="true" outlineLevel="0" collapsed="false">
      <c r="A28" s="11" t="n">
        <f aca="false">A27+1</f>
        <v>19</v>
      </c>
      <c r="B28" s="28" t="n">
        <v>6910.75</v>
      </c>
      <c r="C28" s="7" t="n">
        <v>324996</v>
      </c>
      <c r="D28" s="10" t="n">
        <f aca="false">C28-C27</f>
        <v>-121</v>
      </c>
      <c r="E28" s="7" t="n">
        <f aca="false">C28-152000</f>
        <v>172996</v>
      </c>
      <c r="F28" s="6" t="n">
        <f aca="false">D28/$D$2</f>
        <v>-61.0032770355432</v>
      </c>
      <c r="G28" s="6" t="n">
        <v>45</v>
      </c>
      <c r="H28" s="8" t="n">
        <v>1.1</v>
      </c>
      <c r="I28" s="6" t="n">
        <f aca="false">G28+H28</f>
        <v>46.1</v>
      </c>
      <c r="J28" s="35" t="n">
        <f aca="false">IF(L28&gt;0,L28,0)</f>
        <v>5.89672296445678</v>
      </c>
      <c r="K28" s="6" t="n">
        <f aca="false">I28+J28</f>
        <v>51.9967229644568</v>
      </c>
      <c r="L28" s="6" t="n">
        <f aca="false">F28-(I28-X28)</f>
        <v>5.89672296445678</v>
      </c>
      <c r="M28" s="6" t="n">
        <v>37</v>
      </c>
      <c r="N28" s="6"/>
      <c r="O28" s="6" t="n">
        <v>0</v>
      </c>
      <c r="P28" s="6" t="n">
        <f aca="false">M28-(N28+O28)</f>
        <v>37</v>
      </c>
      <c r="Q28" s="6" t="n">
        <v>0</v>
      </c>
      <c r="R28" s="6" t="n">
        <v>20</v>
      </c>
      <c r="S28" s="6" t="n">
        <f aca="false">SUM(P28:R28)</f>
        <v>57</v>
      </c>
      <c r="T28" s="7"/>
      <c r="U28" s="6" t="n">
        <v>0</v>
      </c>
      <c r="V28" s="6" t="n">
        <v>56</v>
      </c>
      <c r="W28" s="7" t="n">
        <f aca="false">W27-45-2</f>
        <v>5559</v>
      </c>
      <c r="X28" s="6" t="n">
        <f aca="false">N28+O28+S28+U28+V28</f>
        <v>113</v>
      </c>
      <c r="Y28" s="6" t="n">
        <f aca="false">IF(L28&lt;0,L28*-1,0)</f>
        <v>0</v>
      </c>
      <c r="Z28" s="8" t="n">
        <f aca="false">X28+Y28</f>
        <v>113</v>
      </c>
      <c r="AA28" s="8" t="n">
        <v>0</v>
      </c>
      <c r="AB28" s="37" t="n">
        <v>56</v>
      </c>
      <c r="AC28" s="10" t="n">
        <v>20</v>
      </c>
      <c r="AD28" s="11" t="n">
        <f aca="false">AD27+1</f>
        <v>19</v>
      </c>
    </row>
    <row r="29" customFormat="false" ht="11.1" hidden="false" customHeight="true" outlineLevel="0" collapsed="false">
      <c r="A29" s="11" t="n">
        <f aca="false">A28+1</f>
        <v>20</v>
      </c>
      <c r="B29" s="28" t="n">
        <v>6910.72</v>
      </c>
      <c r="C29" s="7" t="n">
        <v>324876</v>
      </c>
      <c r="D29" s="10" t="n">
        <f aca="false">C29-C28</f>
        <v>-120</v>
      </c>
      <c r="E29" s="7" t="n">
        <f aca="false">C29-152000</f>
        <v>172876</v>
      </c>
      <c r="F29" s="6" t="n">
        <f aca="false">D29/$D$2</f>
        <v>-60.4991177211999</v>
      </c>
      <c r="G29" s="6" t="n">
        <v>39</v>
      </c>
      <c r="H29" s="8" t="n">
        <v>0.93</v>
      </c>
      <c r="I29" s="6" t="n">
        <f aca="false">G29+H29</f>
        <v>39.93</v>
      </c>
      <c r="J29" s="35" t="n">
        <f aca="false">IF(L29&gt;0,L29,0)</f>
        <v>12.5708822788001</v>
      </c>
      <c r="K29" s="6" t="n">
        <f aca="false">I29+J29</f>
        <v>52.5008822788001</v>
      </c>
      <c r="L29" s="6" t="n">
        <f aca="false">F29-(I29-X29)</f>
        <v>12.5708822788001</v>
      </c>
      <c r="M29" s="6" t="n">
        <v>37</v>
      </c>
      <c r="N29" s="6"/>
      <c r="O29" s="6" t="n">
        <v>0</v>
      </c>
      <c r="P29" s="6" t="n">
        <f aca="false">M29-(N29+O29)</f>
        <v>37</v>
      </c>
      <c r="Q29" s="6" t="n">
        <v>0</v>
      </c>
      <c r="R29" s="6" t="n">
        <v>20</v>
      </c>
      <c r="S29" s="6" t="n">
        <f aca="false">SUM(P29:R29)</f>
        <v>57</v>
      </c>
      <c r="T29" s="7"/>
      <c r="U29" s="6" t="n">
        <v>0</v>
      </c>
      <c r="V29" s="6" t="n">
        <v>56</v>
      </c>
      <c r="W29" s="7" t="n">
        <f aca="false">W28-45-2</f>
        <v>5512</v>
      </c>
      <c r="X29" s="6" t="n">
        <f aca="false">N29+O29+S29+U29+V29</f>
        <v>113</v>
      </c>
      <c r="Y29" s="6" t="n">
        <f aca="false">IF(L29&lt;0,L29*-1,0)</f>
        <v>0</v>
      </c>
      <c r="Z29" s="8" t="n">
        <f aca="false">X29+Y29</f>
        <v>113</v>
      </c>
      <c r="AA29" s="8" t="n">
        <v>0</v>
      </c>
      <c r="AB29" s="37" t="n">
        <v>54</v>
      </c>
      <c r="AC29" s="10" t="n">
        <v>28</v>
      </c>
      <c r="AD29" s="11" t="n">
        <f aca="false">AD28+1</f>
        <v>20</v>
      </c>
    </row>
    <row r="30" customFormat="false" ht="11.1" hidden="false" customHeight="true" outlineLevel="0" collapsed="false">
      <c r="A30" s="11" t="n">
        <f aca="false">A29+1</f>
        <v>21</v>
      </c>
      <c r="B30" s="28" t="n">
        <v>6910.7</v>
      </c>
      <c r="C30" s="7" t="n">
        <v>324796</v>
      </c>
      <c r="D30" s="10" t="n">
        <f aca="false">C30-C29</f>
        <v>-80</v>
      </c>
      <c r="E30" s="7" t="n">
        <f aca="false">C30-152000</f>
        <v>172796</v>
      </c>
      <c r="F30" s="6" t="n">
        <f aca="false">D30/$D$2</f>
        <v>-40.3327451474666</v>
      </c>
      <c r="G30" s="6" t="n">
        <v>40</v>
      </c>
      <c r="H30" s="8" t="n">
        <v>0.88</v>
      </c>
      <c r="I30" s="6" t="n">
        <f aca="false">G30+H30</f>
        <v>40.88</v>
      </c>
      <c r="J30" s="35" t="n">
        <f aca="false">IF(L30&gt;0,L30,0)</f>
        <v>29.7872548525334</v>
      </c>
      <c r="K30" s="6" t="n">
        <f aca="false">I30+J30</f>
        <v>70.6672548525334</v>
      </c>
      <c r="L30" s="6" t="n">
        <f aca="false">F30-(I30-X30)</f>
        <v>29.7872548525334</v>
      </c>
      <c r="M30" s="6" t="n">
        <v>37</v>
      </c>
      <c r="N30" s="6"/>
      <c r="O30" s="6" t="n">
        <v>0</v>
      </c>
      <c r="P30" s="6" t="n">
        <f aca="false">M30-(N30+O30)</f>
        <v>37</v>
      </c>
      <c r="Q30" s="6" t="n">
        <v>0</v>
      </c>
      <c r="R30" s="6" t="n">
        <v>18</v>
      </c>
      <c r="S30" s="6" t="n">
        <f aca="false">SUM(P30:R30)</f>
        <v>55</v>
      </c>
      <c r="T30" s="7"/>
      <c r="U30" s="6" t="n">
        <v>0</v>
      </c>
      <c r="V30" s="6" t="n">
        <v>56</v>
      </c>
      <c r="W30" s="7" t="n">
        <f aca="false">W29-45-2</f>
        <v>5465</v>
      </c>
      <c r="X30" s="6" t="n">
        <f aca="false">N30+O30+S30+U30+V30</f>
        <v>111</v>
      </c>
      <c r="Y30" s="6" t="n">
        <f aca="false">IF(L30&lt;0,L30*-1,0)</f>
        <v>0</v>
      </c>
      <c r="Z30" s="8" t="n">
        <f aca="false">X30+Y30</f>
        <v>111</v>
      </c>
      <c r="AA30" s="8" t="n">
        <v>0.05</v>
      </c>
      <c r="AB30" s="10" t="n">
        <v>42</v>
      </c>
      <c r="AC30" s="10" t="n">
        <v>22</v>
      </c>
      <c r="AD30" s="11" t="n">
        <f aca="false">AD29+1</f>
        <v>21</v>
      </c>
    </row>
    <row r="31" customFormat="false" ht="11.1" hidden="false" customHeight="true" outlineLevel="0" collapsed="false">
      <c r="A31" s="11" t="n">
        <f aca="false">A30+1</f>
        <v>22</v>
      </c>
      <c r="B31" s="28" t="n">
        <v>6910.64</v>
      </c>
      <c r="C31" s="7" t="n">
        <v>324555</v>
      </c>
      <c r="D31" s="10" t="n">
        <f aca="false">C31-C30</f>
        <v>-241</v>
      </c>
      <c r="E31" s="7" t="n">
        <f aca="false">C31-152000</f>
        <v>172555</v>
      </c>
      <c r="F31" s="6" t="n">
        <f aca="false">D31/$D$2</f>
        <v>-121.502394756743</v>
      </c>
      <c r="G31" s="6" t="n">
        <v>38</v>
      </c>
      <c r="H31" s="8" t="n">
        <v>1</v>
      </c>
      <c r="I31" s="6" t="n">
        <f aca="false">G31+H31</f>
        <v>39</v>
      </c>
      <c r="J31" s="35" t="n">
        <f aca="false">IF(L31&gt;0,L31,0)</f>
        <v>12.4976052432569</v>
      </c>
      <c r="K31" s="6" t="n">
        <f aca="false">I31+J31</f>
        <v>51.4976052432569</v>
      </c>
      <c r="L31" s="6" t="n">
        <f aca="false">F31-(I31-X31)</f>
        <v>12.4976052432569</v>
      </c>
      <c r="M31" s="6" t="n">
        <v>35</v>
      </c>
      <c r="N31" s="6"/>
      <c r="O31" s="6" t="n">
        <v>0</v>
      </c>
      <c r="P31" s="6" t="n">
        <f aca="false">M31-(N31+O31)</f>
        <v>35</v>
      </c>
      <c r="Q31" s="6" t="n">
        <v>82</v>
      </c>
      <c r="R31" s="6" t="n">
        <v>0</v>
      </c>
      <c r="S31" s="6" t="n">
        <f aca="false">SUM(P31:R31)</f>
        <v>117</v>
      </c>
      <c r="T31" s="7"/>
      <c r="U31" s="6" t="n">
        <v>0</v>
      </c>
      <c r="V31" s="6" t="n">
        <v>56</v>
      </c>
      <c r="W31" s="7" t="n">
        <f aca="false">W30-45-2</f>
        <v>5418</v>
      </c>
      <c r="X31" s="6" t="n">
        <f aca="false">N31+O31+S31+U31+V31</f>
        <v>173</v>
      </c>
      <c r="Y31" s="6" t="n">
        <f aca="false">IF(L31&lt;0,L31*-1,0)</f>
        <v>0</v>
      </c>
      <c r="Z31" s="8" t="n">
        <f aca="false">X31+Y31</f>
        <v>173</v>
      </c>
      <c r="AA31" s="8" t="n">
        <v>0</v>
      </c>
      <c r="AB31" s="10" t="n">
        <v>29</v>
      </c>
      <c r="AC31" s="10" t="n">
        <v>21</v>
      </c>
      <c r="AD31" s="11" t="n">
        <f aca="false">AD30+1</f>
        <v>22</v>
      </c>
    </row>
    <row r="32" customFormat="false" ht="11.1" hidden="false" customHeight="true" outlineLevel="0" collapsed="false">
      <c r="A32" s="11" t="n">
        <f aca="false">A31+1</f>
        <v>23</v>
      </c>
      <c r="B32" s="28" t="n">
        <v>6910.55</v>
      </c>
      <c r="C32" s="7" t="n">
        <v>324194</v>
      </c>
      <c r="D32" s="10" t="n">
        <f aca="false">C32-C31</f>
        <v>-361</v>
      </c>
      <c r="E32" s="7" t="n">
        <f aca="false">C32-152000</f>
        <v>172194</v>
      </c>
      <c r="F32" s="6" t="n">
        <f aca="false">D32/$D$2</f>
        <v>-182.001512477943</v>
      </c>
      <c r="G32" s="6" t="n">
        <v>34</v>
      </c>
      <c r="H32" s="8" t="n">
        <v>0.92</v>
      </c>
      <c r="I32" s="6" t="n">
        <f aca="false">G32+H32</f>
        <v>34.92</v>
      </c>
      <c r="J32" s="35" t="n">
        <f aca="false">IF(L32&gt;0,L32,0)</f>
        <v>0</v>
      </c>
      <c r="K32" s="6" t="n">
        <f aca="false">I32+J32</f>
        <v>34.92</v>
      </c>
      <c r="L32" s="6" t="n">
        <f aca="false">F32-(I32-X32)</f>
        <v>-5.32151247794303</v>
      </c>
      <c r="M32" s="6" t="n">
        <v>7.6</v>
      </c>
      <c r="N32" s="6"/>
      <c r="O32" s="6" t="n">
        <v>0</v>
      </c>
      <c r="P32" s="6" t="n">
        <f aca="false">M32-(N32+O32)</f>
        <v>7.6</v>
      </c>
      <c r="Q32" s="6" t="n">
        <v>148</v>
      </c>
      <c r="R32" s="6" t="n">
        <v>0</v>
      </c>
      <c r="S32" s="6" t="n">
        <f aca="false">SUM(P32:R32)</f>
        <v>155.6</v>
      </c>
      <c r="T32" s="7"/>
      <c r="U32" s="6" t="n">
        <v>0</v>
      </c>
      <c r="V32" s="6" t="n">
        <v>56</v>
      </c>
      <c r="W32" s="7" t="n">
        <f aca="false">W31-45-2</f>
        <v>5371</v>
      </c>
      <c r="X32" s="6" t="n">
        <f aca="false">N32+O32+S32+U32+V32</f>
        <v>211.6</v>
      </c>
      <c r="Y32" s="6" t="n">
        <f aca="false">IF(L32&lt;0,L32*-1,0)</f>
        <v>5.32151247794303</v>
      </c>
      <c r="Z32" s="8" t="n">
        <f aca="false">X32+Y32</f>
        <v>216.921512477943</v>
      </c>
      <c r="AA32" s="8" t="n">
        <v>0</v>
      </c>
      <c r="AB32" s="10" t="n">
        <v>36</v>
      </c>
      <c r="AC32" s="37" t="n">
        <v>8</v>
      </c>
      <c r="AD32" s="11" t="n">
        <f aca="false">AD31+1</f>
        <v>23</v>
      </c>
    </row>
    <row r="33" customFormat="false" ht="11.1" hidden="false" customHeight="true" outlineLevel="0" collapsed="false">
      <c r="A33" s="11" t="n">
        <f aca="false">A32+1</f>
        <v>24</v>
      </c>
      <c r="B33" s="28" t="n">
        <v>6910.44</v>
      </c>
      <c r="C33" s="7" t="n">
        <v>323752</v>
      </c>
      <c r="D33" s="10" t="n">
        <f aca="false">C33-C32</f>
        <v>-442</v>
      </c>
      <c r="E33" s="7" t="n">
        <f aca="false">C33-152000</f>
        <v>171752</v>
      </c>
      <c r="F33" s="6" t="n">
        <f aca="false">D33/$D$2</f>
        <v>-222.838416939753</v>
      </c>
      <c r="G33" s="6" t="n">
        <v>38</v>
      </c>
      <c r="H33" s="8" t="n">
        <v>0.8</v>
      </c>
      <c r="I33" s="6" t="n">
        <f aca="false">G33+H33</f>
        <v>38.8</v>
      </c>
      <c r="J33" s="35" t="n">
        <f aca="false">IF(L33&gt;0,L33,0)</f>
        <v>0</v>
      </c>
      <c r="K33" s="6" t="n">
        <f aca="false">I33+J33</f>
        <v>38.8</v>
      </c>
      <c r="L33" s="6" t="n">
        <f aca="false">F33-(I33-X33)</f>
        <v>-53.538416939753</v>
      </c>
      <c r="M33" s="6" t="n">
        <v>4.1</v>
      </c>
      <c r="N33" s="6"/>
      <c r="O33" s="6" t="n">
        <v>0</v>
      </c>
      <c r="P33" s="6" t="n">
        <f aca="false">M33-(N33+O33)</f>
        <v>4.1</v>
      </c>
      <c r="Q33" s="6" t="n">
        <v>148</v>
      </c>
      <c r="R33" s="6" t="n">
        <v>0</v>
      </c>
      <c r="S33" s="6" t="n">
        <f aca="false">SUM(P33:R33)</f>
        <v>152.1</v>
      </c>
      <c r="T33" s="7"/>
      <c r="U33" s="6" t="n">
        <v>0</v>
      </c>
      <c r="V33" s="6" t="n">
        <v>56</v>
      </c>
      <c r="W33" s="7" t="n">
        <f aca="false">W32-45-2</f>
        <v>5324</v>
      </c>
      <c r="X33" s="6" t="n">
        <f aca="false">N33+O33+S33+U33+V33</f>
        <v>208.1</v>
      </c>
      <c r="Y33" s="6" t="n">
        <f aca="false">IF(L33&lt;0,L33*-1,0)</f>
        <v>53.538416939753</v>
      </c>
      <c r="Z33" s="8" t="n">
        <f aca="false">X33+Y33</f>
        <v>261.638416939753</v>
      </c>
      <c r="AA33" s="8" t="n">
        <v>0</v>
      </c>
      <c r="AB33" s="10" t="n">
        <v>38</v>
      </c>
      <c r="AC33" s="37" t="n">
        <v>10</v>
      </c>
      <c r="AD33" s="11" t="n">
        <f aca="false">AD32+1</f>
        <v>24</v>
      </c>
    </row>
    <row r="34" customFormat="false" ht="11.1" hidden="false" customHeight="true" outlineLevel="0" collapsed="false">
      <c r="A34" s="11" t="n">
        <f aca="false">A33+1</f>
        <v>25</v>
      </c>
      <c r="B34" s="28" t="n">
        <v>6910.35</v>
      </c>
      <c r="C34" s="7" t="n">
        <v>323391</v>
      </c>
      <c r="D34" s="10" t="n">
        <f aca="false">C34-C33</f>
        <v>-361</v>
      </c>
      <c r="E34" s="7" t="n">
        <f aca="false">C34-152000</f>
        <v>171391</v>
      </c>
      <c r="F34" s="6" t="n">
        <f aca="false">D34/$D$2</f>
        <v>-182.001512477943</v>
      </c>
      <c r="G34" s="6" t="n">
        <v>40</v>
      </c>
      <c r="H34" s="8" t="n">
        <v>0.71</v>
      </c>
      <c r="I34" s="6" t="n">
        <f aca="false">G34+H34</f>
        <v>40.71</v>
      </c>
      <c r="J34" s="35" t="n">
        <f aca="false">IF(L34&gt;0,L34,0)</f>
        <v>0</v>
      </c>
      <c r="K34" s="6" t="n">
        <f aca="false">I34+J34</f>
        <v>40.71</v>
      </c>
      <c r="L34" s="6" t="n">
        <f aca="false">F34-(I34-X34)</f>
        <v>-15.1115124779431</v>
      </c>
      <c r="M34" s="6" t="n">
        <v>3.6</v>
      </c>
      <c r="N34" s="6"/>
      <c r="O34" s="6" t="n">
        <v>0</v>
      </c>
      <c r="P34" s="6" t="n">
        <f aca="false">M34-(N34+O34)</f>
        <v>3.6</v>
      </c>
      <c r="Q34" s="6" t="n">
        <v>148</v>
      </c>
      <c r="R34" s="6" t="n">
        <v>0</v>
      </c>
      <c r="S34" s="6" t="n">
        <f aca="false">SUM(P34:R34)</f>
        <v>151.6</v>
      </c>
      <c r="T34" s="7"/>
      <c r="U34" s="6" t="n">
        <v>0</v>
      </c>
      <c r="V34" s="6" t="n">
        <v>56</v>
      </c>
      <c r="W34" s="7" t="n">
        <f aca="false">W33-45-2</f>
        <v>5277</v>
      </c>
      <c r="X34" s="6" t="n">
        <f aca="false">N34+O34+S34+U34+V34</f>
        <v>207.6</v>
      </c>
      <c r="Y34" s="6" t="n">
        <f aca="false">IF(L34&lt;0,L34*-1,0)</f>
        <v>15.1115124779431</v>
      </c>
      <c r="Z34" s="8" t="n">
        <f aca="false">X34+Y34</f>
        <v>222.711512477943</v>
      </c>
      <c r="AA34" s="8" t="n">
        <v>0</v>
      </c>
      <c r="AB34" s="10" t="n">
        <v>42</v>
      </c>
      <c r="AC34" s="37" t="n">
        <v>9</v>
      </c>
      <c r="AD34" s="11" t="n">
        <f aca="false">AD33+1</f>
        <v>25</v>
      </c>
    </row>
    <row r="35" customFormat="false" ht="11.1" hidden="false" customHeight="true" outlineLevel="0" collapsed="false">
      <c r="A35" s="11" t="n">
        <f aca="false">A34+1</f>
        <v>26</v>
      </c>
      <c r="B35" s="28" t="n">
        <v>6910.28</v>
      </c>
      <c r="C35" s="7" t="n">
        <v>323110</v>
      </c>
      <c r="D35" s="10" t="n">
        <f aca="false">C35-C34</f>
        <v>-281</v>
      </c>
      <c r="E35" s="7" t="n">
        <f aca="false">C35-152000</f>
        <v>171110</v>
      </c>
      <c r="F35" s="6" t="n">
        <f aca="false">D35/$D$2</f>
        <v>-141.668767330476</v>
      </c>
      <c r="G35" s="6" t="n">
        <v>42</v>
      </c>
      <c r="H35" s="8" t="n">
        <v>0.8</v>
      </c>
      <c r="I35" s="6" t="n">
        <f aca="false">G35+H35</f>
        <v>42.8</v>
      </c>
      <c r="J35" s="35" t="n">
        <f aca="false">IF(L35&gt;0,L35,0)</f>
        <v>22.9312326695236</v>
      </c>
      <c r="K35" s="6" t="n">
        <f aca="false">I35+J35</f>
        <v>65.7312326695236</v>
      </c>
      <c r="L35" s="6" t="n">
        <f aca="false">F35-(I35-X35)</f>
        <v>22.9312326695236</v>
      </c>
      <c r="M35" s="6" t="n">
        <v>3.4</v>
      </c>
      <c r="N35" s="6"/>
      <c r="O35" s="6" t="n">
        <v>0</v>
      </c>
      <c r="P35" s="6" t="n">
        <f aca="false">M35-(N35+O35)</f>
        <v>3.4</v>
      </c>
      <c r="Q35" s="6" t="n">
        <v>148</v>
      </c>
      <c r="R35" s="6" t="n">
        <v>0</v>
      </c>
      <c r="S35" s="6" t="n">
        <f aca="false">SUM(P35:R35)</f>
        <v>151.4</v>
      </c>
      <c r="T35" s="7"/>
      <c r="U35" s="6" t="n">
        <v>0</v>
      </c>
      <c r="V35" s="6" t="n">
        <v>56</v>
      </c>
      <c r="W35" s="7" t="n">
        <f aca="false">W34-45-2</f>
        <v>5230</v>
      </c>
      <c r="X35" s="6" t="n">
        <f aca="false">N35+O35+S35+U35+V35</f>
        <v>207.4</v>
      </c>
      <c r="Y35" s="6" t="n">
        <f aca="false">IF(L35&lt;0,L35*-1,0)</f>
        <v>0</v>
      </c>
      <c r="Z35" s="8" t="n">
        <f aca="false">X35+Y35</f>
        <v>207.4</v>
      </c>
      <c r="AA35" s="8" t="n">
        <v>0</v>
      </c>
      <c r="AB35" s="10" t="n">
        <v>54</v>
      </c>
      <c r="AC35" s="10" t="n">
        <v>15</v>
      </c>
      <c r="AD35" s="11" t="n">
        <f aca="false">AD34+1</f>
        <v>26</v>
      </c>
    </row>
    <row r="36" customFormat="false" ht="11.1" hidden="false" customHeight="true" outlineLevel="0" collapsed="false">
      <c r="A36" s="11" t="n">
        <f aca="false">A35+1</f>
        <v>27</v>
      </c>
      <c r="B36" s="28" t="n">
        <v>6910.2</v>
      </c>
      <c r="C36" s="7" t="n">
        <v>322789</v>
      </c>
      <c r="D36" s="10" t="n">
        <f aca="false">C36-C35</f>
        <v>-321</v>
      </c>
      <c r="E36" s="7" t="n">
        <f aca="false">C36-152000</f>
        <v>170789</v>
      </c>
      <c r="F36" s="6" t="n">
        <f aca="false">D36/$D$2</f>
        <v>-161.83513990421</v>
      </c>
      <c r="G36" s="6" t="n">
        <v>46</v>
      </c>
      <c r="H36" s="8" t="n">
        <v>0.94</v>
      </c>
      <c r="I36" s="6" t="n">
        <f aca="false">G36+H36</f>
        <v>46.94</v>
      </c>
      <c r="J36" s="35" t="n">
        <f aca="false">IF(L36&gt;0,L36,0)</f>
        <v>6.62486009579027</v>
      </c>
      <c r="K36" s="6" t="n">
        <f aca="false">I36+J36</f>
        <v>53.5648600957903</v>
      </c>
      <c r="L36" s="6" t="n">
        <f aca="false">F36-(I36-X36)</f>
        <v>6.62486009579027</v>
      </c>
      <c r="M36" s="6" t="n">
        <v>3.4</v>
      </c>
      <c r="N36" s="6"/>
      <c r="O36" s="6" t="n">
        <v>0</v>
      </c>
      <c r="P36" s="6" t="n">
        <f aca="false">M36-(N36+O36)</f>
        <v>3.4</v>
      </c>
      <c r="Q36" s="6" t="n">
        <v>156</v>
      </c>
      <c r="R36" s="6" t="n">
        <v>0</v>
      </c>
      <c r="S36" s="6" t="n">
        <f aca="false">SUM(P36:R36)</f>
        <v>159.4</v>
      </c>
      <c r="T36" s="7"/>
      <c r="U36" s="6" t="n">
        <v>0</v>
      </c>
      <c r="V36" s="6" t="n">
        <v>56</v>
      </c>
      <c r="W36" s="7" t="n">
        <f aca="false">W35-45-2</f>
        <v>5183</v>
      </c>
      <c r="X36" s="6" t="n">
        <f aca="false">N36+O36+S36+U36+V36</f>
        <v>215.4</v>
      </c>
      <c r="Y36" s="6" t="n">
        <f aca="false">IF(L36&lt;0,L36*-1,0)</f>
        <v>0</v>
      </c>
      <c r="Z36" s="8" t="n">
        <f aca="false">X36+Y36</f>
        <v>215.4</v>
      </c>
      <c r="AA36" s="8" t="n">
        <v>0</v>
      </c>
      <c r="AB36" s="10" t="n">
        <v>58</v>
      </c>
      <c r="AC36" s="10" t="n">
        <v>17</v>
      </c>
      <c r="AD36" s="11" t="n">
        <f aca="false">AD35+1</f>
        <v>27</v>
      </c>
    </row>
    <row r="37" customFormat="false" ht="11.1" hidden="false" customHeight="true" outlineLevel="0" collapsed="false">
      <c r="A37" s="11" t="n">
        <f aca="false">A36+1</f>
        <v>28</v>
      </c>
      <c r="B37" s="28" t="n">
        <v>6910.13</v>
      </c>
      <c r="C37" s="7" t="n">
        <v>322508</v>
      </c>
      <c r="D37" s="10" t="n">
        <f aca="false">C37-C36</f>
        <v>-281</v>
      </c>
      <c r="E37" s="7" t="n">
        <f aca="false">C37-152000</f>
        <v>170508</v>
      </c>
      <c r="F37" s="6" t="n">
        <f aca="false">D37/$D$2</f>
        <v>-141.668767330476</v>
      </c>
      <c r="G37" s="6" t="n">
        <v>50</v>
      </c>
      <c r="H37" s="8" t="n">
        <v>0.92</v>
      </c>
      <c r="I37" s="6" t="n">
        <f aca="false">G37+H37</f>
        <v>50.92</v>
      </c>
      <c r="J37" s="35" t="n">
        <f aca="false">IF(L37&gt;0,L37,0)</f>
        <v>30.8112326695236</v>
      </c>
      <c r="K37" s="6" t="n">
        <f aca="false">I37+J37</f>
        <v>81.7312326695236</v>
      </c>
      <c r="L37" s="6" t="n">
        <f aca="false">F37-(I37-X37)</f>
        <v>30.8112326695236</v>
      </c>
      <c r="M37" s="6" t="n">
        <v>3.4</v>
      </c>
      <c r="N37" s="6"/>
      <c r="O37" s="6" t="n">
        <v>0</v>
      </c>
      <c r="P37" s="6" t="n">
        <f aca="false">M37-(N37+O37)</f>
        <v>3.4</v>
      </c>
      <c r="Q37" s="6" t="n">
        <v>164</v>
      </c>
      <c r="R37" s="6" t="n">
        <v>0</v>
      </c>
      <c r="S37" s="6" t="n">
        <f aca="false">SUM(P37:R37)</f>
        <v>167.4</v>
      </c>
      <c r="T37" s="7"/>
      <c r="U37" s="6" t="n">
        <v>0</v>
      </c>
      <c r="V37" s="6" t="n">
        <v>56</v>
      </c>
      <c r="W37" s="7" t="n">
        <f aca="false">W36-45-2</f>
        <v>5136</v>
      </c>
      <c r="X37" s="6" t="n">
        <f aca="false">N37+O37+S37+U37+V37</f>
        <v>223.4</v>
      </c>
      <c r="Y37" s="6" t="n">
        <f aca="false">IF(L37&lt;0,L37*-1,0)</f>
        <v>0</v>
      </c>
      <c r="Z37" s="8" t="n">
        <f aca="false">X37+Y37</f>
        <v>223.4</v>
      </c>
      <c r="AA37" s="8" t="n">
        <v>0</v>
      </c>
      <c r="AB37" s="10" t="n">
        <v>64</v>
      </c>
      <c r="AC37" s="10" t="n">
        <v>28</v>
      </c>
      <c r="AD37" s="11" t="n">
        <f aca="false">AD36+1</f>
        <v>28</v>
      </c>
    </row>
    <row r="38" customFormat="false" ht="11.1" hidden="false" customHeight="true" outlineLevel="0" collapsed="false">
      <c r="A38" s="11" t="n">
        <f aca="false">A37+1</f>
        <v>29</v>
      </c>
      <c r="B38" s="28" t="n">
        <v>6910.11</v>
      </c>
      <c r="C38" s="7" t="n">
        <v>322428</v>
      </c>
      <c r="D38" s="10" t="n">
        <f aca="false">C38-C37</f>
        <v>-80</v>
      </c>
      <c r="E38" s="7" t="n">
        <f aca="false">C38-152000</f>
        <v>170428</v>
      </c>
      <c r="F38" s="6" t="n">
        <f aca="false">D38/$D$2</f>
        <v>-40.3327451474666</v>
      </c>
      <c r="G38" s="6" t="n">
        <v>56</v>
      </c>
      <c r="H38" s="8" t="n">
        <v>0.88</v>
      </c>
      <c r="I38" s="6" t="n">
        <f aca="false">G38+H38</f>
        <v>56.88</v>
      </c>
      <c r="J38" s="35" t="n">
        <f aca="false">IF(L38&gt;0,L38,0)</f>
        <v>12.1872548525334</v>
      </c>
      <c r="K38" s="6" t="n">
        <f aca="false">I38+J38</f>
        <v>69.0672548525334</v>
      </c>
      <c r="L38" s="6" t="n">
        <f aca="false">F38-(I38-X38)</f>
        <v>12.1872548525334</v>
      </c>
      <c r="M38" s="6" t="n">
        <v>3.4</v>
      </c>
      <c r="N38" s="6"/>
      <c r="O38" s="6" t="n">
        <v>0</v>
      </c>
      <c r="P38" s="6" t="n">
        <f aca="false">M38-(N38+O38)</f>
        <v>3.4</v>
      </c>
      <c r="Q38" s="6" t="n">
        <v>50</v>
      </c>
      <c r="R38" s="6" t="n">
        <v>0</v>
      </c>
      <c r="S38" s="6" t="n">
        <f aca="false">SUM(P38:R38)</f>
        <v>53.4</v>
      </c>
      <c r="T38" s="7"/>
      <c r="U38" s="6" t="n">
        <v>0</v>
      </c>
      <c r="V38" s="6" t="n">
        <v>56</v>
      </c>
      <c r="W38" s="7" t="n">
        <f aca="false">W37-45-2</f>
        <v>5089</v>
      </c>
      <c r="X38" s="6" t="n">
        <f aca="false">N38+O38+S38+U38+V38</f>
        <v>109.4</v>
      </c>
      <c r="Y38" s="6" t="n">
        <f aca="false">IF(L38&lt;0,L38*-1,0)</f>
        <v>0</v>
      </c>
      <c r="Z38" s="8" t="n">
        <f aca="false">X38+Y38</f>
        <v>109.4</v>
      </c>
      <c r="AA38" s="8" t="n">
        <v>0</v>
      </c>
      <c r="AB38" s="37" t="n">
        <v>65</v>
      </c>
      <c r="AC38" s="10" t="n">
        <v>33</v>
      </c>
      <c r="AD38" s="11" t="n">
        <f aca="false">AD37+1</f>
        <v>29</v>
      </c>
    </row>
    <row r="39" customFormat="false" ht="11.1" hidden="false" customHeight="true" outlineLevel="0" collapsed="false">
      <c r="A39" s="11" t="n">
        <v>30</v>
      </c>
      <c r="B39" s="28" t="n">
        <v>6910.12</v>
      </c>
      <c r="C39" s="7" t="n">
        <v>322468</v>
      </c>
      <c r="D39" s="10" t="n">
        <f aca="false">C39-C38</f>
        <v>40</v>
      </c>
      <c r="E39" s="7" t="n">
        <f aca="false">C39-152000</f>
        <v>170468</v>
      </c>
      <c r="F39" s="6" t="n">
        <f aca="false">D39/$D$2</f>
        <v>20.1663725737333</v>
      </c>
      <c r="G39" s="6" t="n">
        <v>58</v>
      </c>
      <c r="H39" s="8" t="n">
        <v>0.85</v>
      </c>
      <c r="I39" s="6" t="n">
        <f aca="false">G39+H39</f>
        <v>58.85</v>
      </c>
      <c r="J39" s="35" t="n">
        <f aca="false">IF(L39&gt;0,L39,0)</f>
        <v>20.5163725737333</v>
      </c>
      <c r="K39" s="6" t="n">
        <f aca="false">I39+J39</f>
        <v>79.3663725737333</v>
      </c>
      <c r="L39" s="6" t="n">
        <f aca="false">F39-(I39-X39)</f>
        <v>20.5163725737333</v>
      </c>
      <c r="M39" s="6" t="n">
        <v>3.2</v>
      </c>
      <c r="N39" s="6"/>
      <c r="O39" s="6" t="n">
        <v>0</v>
      </c>
      <c r="P39" s="6" t="n">
        <f aca="false">M39-(N39+O39)</f>
        <v>3.2</v>
      </c>
      <c r="Q39" s="6" t="n">
        <v>0</v>
      </c>
      <c r="R39" s="6" t="n">
        <v>0</v>
      </c>
      <c r="S39" s="6" t="n">
        <f aca="false">SUM(P39:R39)</f>
        <v>3.2</v>
      </c>
      <c r="T39" s="7"/>
      <c r="U39" s="6" t="n">
        <v>0</v>
      </c>
      <c r="V39" s="6" t="n">
        <v>56</v>
      </c>
      <c r="W39" s="7" t="n">
        <f aca="false">W38-45-2</f>
        <v>5042</v>
      </c>
      <c r="X39" s="6" t="n">
        <f aca="false">N39+O39+S39+U39+V39</f>
        <v>59.2</v>
      </c>
      <c r="Y39" s="6" t="n">
        <f aca="false">IF(L39&lt;0,L39*-1,0)</f>
        <v>0</v>
      </c>
      <c r="Z39" s="8" t="n">
        <f aca="false">X39+Y39</f>
        <v>59.2</v>
      </c>
      <c r="AA39" s="8" t="n">
        <v>0</v>
      </c>
      <c r="AB39" s="37" t="n">
        <v>64</v>
      </c>
      <c r="AC39" s="10" t="n">
        <v>32</v>
      </c>
      <c r="AD39" s="11" t="n">
        <v>30</v>
      </c>
    </row>
    <row r="40" customFormat="false" ht="3" hidden="false" customHeight="true" outlineLevel="0" collapsed="false">
      <c r="A40" s="29"/>
      <c r="B40" s="29"/>
      <c r="C40" s="31"/>
      <c r="D40" s="29"/>
      <c r="E40" s="31"/>
      <c r="F40" s="29"/>
      <c r="G40" s="29"/>
      <c r="H40" s="32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31"/>
      <c r="U40" s="29"/>
      <c r="V40" s="29"/>
      <c r="W40" s="29"/>
      <c r="X40" s="29"/>
      <c r="Y40" s="29"/>
      <c r="Z40" s="32"/>
      <c r="AA40" s="32"/>
      <c r="AB40" s="33"/>
      <c r="AC40" s="33"/>
      <c r="AD40" s="34"/>
    </row>
    <row r="41" customFormat="false" ht="11.1" hidden="false" customHeight="true" outlineLevel="0" collapsed="false">
      <c r="A41" s="6" t="s">
        <v>46</v>
      </c>
      <c r="B41" s="6"/>
      <c r="C41" s="7"/>
      <c r="D41" s="7"/>
      <c r="E41" s="7"/>
      <c r="F41" s="7" t="n">
        <f aca="false">SUM(F10:F39)</f>
        <v>-3635.99697504411</v>
      </c>
      <c r="G41" s="7" t="n">
        <f aca="false">SUM(G10:G39)</f>
        <v>1605</v>
      </c>
      <c r="H41" s="8" t="n">
        <f aca="false">SUM(H10:H39)</f>
        <v>28.73</v>
      </c>
      <c r="I41" s="7" t="n">
        <f aca="false">SUM(I10:I39)</f>
        <v>1633.73</v>
      </c>
      <c r="J41" s="7" t="n">
        <f aca="false">SUM(J10:J39)</f>
        <v>234.698520292413</v>
      </c>
      <c r="K41" s="7" t="n">
        <f aca="false">SUM(K10:K39)</f>
        <v>1868.42852029241</v>
      </c>
      <c r="L41" s="7" t="n">
        <f aca="false">SUM(L10:L39)</f>
        <v>12.3730249558862</v>
      </c>
      <c r="M41" s="7" t="n">
        <f aca="false">SUM(M10:M39)</f>
        <v>1528.1</v>
      </c>
      <c r="N41" s="7" t="n">
        <f aca="false">SUM(N10:N39)</f>
        <v>0</v>
      </c>
      <c r="O41" s="7" t="n">
        <f aca="false">SUM(O10:O39)</f>
        <v>441.3405</v>
      </c>
      <c r="P41" s="7" t="n">
        <f aca="false">SUM(P10:P39)</f>
        <v>1086.7595</v>
      </c>
      <c r="Q41" s="7" t="n">
        <f aca="false">SUM(Q10:Q39)</f>
        <v>1044</v>
      </c>
      <c r="R41" s="7" t="n">
        <f aca="false">SUM(R10:R39)</f>
        <v>560</v>
      </c>
      <c r="S41" s="7" t="n">
        <f aca="false">SUM(S10:S39)</f>
        <v>2690.7595</v>
      </c>
      <c r="T41" s="7"/>
      <c r="U41" s="7" t="n">
        <f aca="false">SUM(U10:U39)</f>
        <v>0</v>
      </c>
      <c r="V41" s="7" t="n">
        <f aca="false">SUM(V10:V39)</f>
        <v>2150</v>
      </c>
      <c r="W41" s="7"/>
      <c r="X41" s="7" t="n">
        <f aca="false">SUM(X10:X39)</f>
        <v>5282.1</v>
      </c>
      <c r="Y41" s="7" t="n">
        <f aca="false">SUM(Y10:Y39)</f>
        <v>222.325495336526</v>
      </c>
      <c r="Z41" s="8" t="n">
        <f aca="false">SUM(Z10:Z39)</f>
        <v>5504.42549533653</v>
      </c>
      <c r="AA41" s="8" t="n">
        <f aca="false">SUM(AA10:AA39)</f>
        <v>0.05</v>
      </c>
      <c r="AB41" s="10" t="n">
        <f aca="false">AVERAGE(AB10:AB39)</f>
        <v>61.0666666666667</v>
      </c>
      <c r="AC41" s="10" t="n">
        <f aca="false">AVERAGE(AC10:AC39)</f>
        <v>27.6333333333333</v>
      </c>
      <c r="AD41" s="11" t="s">
        <v>47</v>
      </c>
    </row>
    <row r="42" customFormat="false" ht="11.1" hidden="false" customHeight="true" outlineLevel="0" collapsed="false">
      <c r="A42" s="6" t="s">
        <v>48</v>
      </c>
      <c r="B42" s="6"/>
      <c r="C42" s="7"/>
      <c r="D42" s="7" t="n">
        <f aca="false">SUM(D10:D39)</f>
        <v>-7212</v>
      </c>
      <c r="E42" s="7"/>
      <c r="F42" s="7" t="n">
        <f aca="false">F41*$D$2</f>
        <v>-7212</v>
      </c>
      <c r="G42" s="7" t="n">
        <f aca="false">G41*$D$2</f>
        <v>3183.5175</v>
      </c>
      <c r="H42" s="8" t="n">
        <f aca="false">H41*$D$2</f>
        <v>56.985955</v>
      </c>
      <c r="I42" s="7" t="n">
        <f aca="false">I41*$D$2</f>
        <v>3240.503455</v>
      </c>
      <c r="J42" s="7" t="n">
        <f aca="false">J41*$D$2</f>
        <v>465.524515</v>
      </c>
      <c r="K42" s="7" t="n">
        <f aca="false">K41*$D$2</f>
        <v>3706.02797</v>
      </c>
      <c r="L42" s="7" t="n">
        <f aca="false">L41*$D$2</f>
        <v>24.5418950000002</v>
      </c>
      <c r="M42" s="7" t="n">
        <f aca="false">M41*$D$2</f>
        <v>3030.98635</v>
      </c>
      <c r="N42" s="7" t="n">
        <f aca="false">N41*$D$2</f>
        <v>0</v>
      </c>
      <c r="O42" s="7" t="n">
        <f aca="false">O41*$D$2</f>
        <v>875.39888175</v>
      </c>
      <c r="P42" s="7" t="n">
        <f aca="false">P41*$D$2</f>
        <v>2155.58746825</v>
      </c>
      <c r="Q42" s="7" t="n">
        <f aca="false">Q41*$D$2</f>
        <v>2070.774</v>
      </c>
      <c r="R42" s="7" t="n">
        <f aca="false">R41*$D$2</f>
        <v>1110.76</v>
      </c>
      <c r="S42" s="7" t="n">
        <f aca="false">S41*$D$2</f>
        <v>5337.12146825</v>
      </c>
      <c r="T42" s="7"/>
      <c r="U42" s="7" t="n">
        <f aca="false">U41*$D$2</f>
        <v>0</v>
      </c>
      <c r="V42" s="7" t="n">
        <f aca="false">V41*$D$2</f>
        <v>4264.525</v>
      </c>
      <c r="W42" s="7"/>
      <c r="X42" s="7" t="n">
        <f aca="false">X41*$D$2</f>
        <v>10477.04535</v>
      </c>
      <c r="Y42" s="7" t="n">
        <f aca="false">Y41*$D$2</f>
        <v>440.98262</v>
      </c>
      <c r="Z42" s="8" t="n">
        <f aca="false">Z41*$D$2</f>
        <v>10918.02797</v>
      </c>
      <c r="AA42" s="8"/>
      <c r="AB42" s="10" t="n">
        <f aca="false">MAX(AB10:AB39)</f>
        <v>76</v>
      </c>
      <c r="AC42" s="10" t="n">
        <f aca="false">MAX(AC10:AC39)</f>
        <v>44</v>
      </c>
      <c r="AD42" s="11" t="s">
        <v>49</v>
      </c>
    </row>
    <row r="43" customFormat="false" ht="3" hidden="false" customHeight="true" outlineLevel="0" collapsed="false">
      <c r="A43" s="29"/>
      <c r="B43" s="29"/>
      <c r="C43" s="31"/>
      <c r="D43" s="31"/>
      <c r="E43" s="31"/>
      <c r="F43" s="31"/>
      <c r="G43" s="31"/>
      <c r="H43" s="32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29"/>
      <c r="X43" s="31"/>
      <c r="Y43" s="31"/>
      <c r="Z43" s="32"/>
      <c r="AA43" s="8"/>
      <c r="AB43" s="10"/>
      <c r="AC43" s="10"/>
      <c r="AD43" s="11"/>
    </row>
    <row r="44" customFormat="false" ht="11.1" hidden="false" customHeight="true" outlineLevel="0" collapsed="false">
      <c r="A44" s="6" t="s">
        <v>50</v>
      </c>
      <c r="B44" s="6"/>
      <c r="C44" s="7"/>
      <c r="D44" s="7"/>
      <c r="E44" s="7"/>
      <c r="F44" s="7"/>
      <c r="G44" s="7"/>
      <c r="H44" s="8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8"/>
      <c r="AA44" s="8"/>
      <c r="AB44" s="10" t="n">
        <f aca="false">MIN(AB10:AB39)</f>
        <v>29</v>
      </c>
      <c r="AC44" s="10" t="n">
        <f aca="false">MIN(AC10:AC39)</f>
        <v>8</v>
      </c>
      <c r="AD44" s="11" t="s">
        <v>51</v>
      </c>
    </row>
    <row r="45" customFormat="false" ht="11.1" hidden="false" customHeight="true" outlineLevel="0" collapsed="false">
      <c r="A45" s="6" t="s">
        <v>52</v>
      </c>
      <c r="B45" s="6"/>
      <c r="C45" s="7"/>
      <c r="D45" s="7"/>
      <c r="E45" s="7"/>
      <c r="F45" s="7"/>
      <c r="G45" s="7"/>
      <c r="H45" s="8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8"/>
      <c r="AA45" s="8"/>
      <c r="AB45" s="10"/>
      <c r="AC45" s="10"/>
      <c r="AD45" s="11"/>
    </row>
    <row r="46" customFormat="false" ht="3" hidden="false" customHeight="true" outlineLevel="0" collapsed="false">
      <c r="A46" s="29"/>
      <c r="B46" s="29"/>
      <c r="C46" s="31"/>
      <c r="D46" s="31"/>
      <c r="E46" s="31"/>
      <c r="F46" s="31"/>
      <c r="G46" s="31"/>
      <c r="H46" s="32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2"/>
      <c r="AA46" s="32"/>
      <c r="AB46" s="10"/>
      <c r="AC46" s="10"/>
      <c r="AD46" s="11"/>
    </row>
    <row r="47" customFormat="false" ht="11.1" hidden="false" customHeight="true" outlineLevel="0" collapsed="false">
      <c r="A47" s="6" t="s">
        <v>53</v>
      </c>
      <c r="B47" s="6"/>
      <c r="C47" s="7"/>
      <c r="D47" s="7"/>
      <c r="E47" s="7"/>
      <c r="F47" s="7" t="n">
        <f aca="false">F8+F41</f>
        <v>-3635.99697504411</v>
      </c>
      <c r="G47" s="7" t="n">
        <f aca="false">G8+G41</f>
        <v>1605</v>
      </c>
      <c r="H47" s="8" t="n">
        <f aca="false">H8+H41</f>
        <v>28.73</v>
      </c>
      <c r="I47" s="7" t="n">
        <f aca="false">I8+I41</f>
        <v>1633.73</v>
      </c>
      <c r="J47" s="7" t="n">
        <f aca="false">J8+J41</f>
        <v>234.698520292413</v>
      </c>
      <c r="K47" s="7" t="n">
        <f aca="false">K8+K41</f>
        <v>1868.42852029241</v>
      </c>
      <c r="L47" s="7" t="n">
        <f aca="false">L8+L41</f>
        <v>12.3730249558862</v>
      </c>
      <c r="M47" s="7" t="n">
        <f aca="false">M8+M41</f>
        <v>1528.1</v>
      </c>
      <c r="N47" s="7" t="n">
        <f aca="false">N8+N41</f>
        <v>0</v>
      </c>
      <c r="O47" s="7" t="n">
        <f aca="false">O8+O41</f>
        <v>441.3405</v>
      </c>
      <c r="P47" s="7" t="n">
        <f aca="false">P8+P41</f>
        <v>1086.7595</v>
      </c>
      <c r="Q47" s="7" t="n">
        <f aca="false">Q8+Q41</f>
        <v>1044</v>
      </c>
      <c r="R47" s="7" t="n">
        <f aca="false">R8+R41</f>
        <v>560</v>
      </c>
      <c r="S47" s="7" t="n">
        <f aca="false">S8+S41</f>
        <v>2690.7595</v>
      </c>
      <c r="T47" s="7"/>
      <c r="U47" s="7" t="n">
        <f aca="false">U8+U41</f>
        <v>0</v>
      </c>
      <c r="V47" s="7" t="n">
        <f aca="false">V8+V41</f>
        <v>2150</v>
      </c>
      <c r="W47" s="7" t="n">
        <f aca="false">W39</f>
        <v>5042</v>
      </c>
      <c r="X47" s="7" t="n">
        <f aca="false">X8+X41</f>
        <v>5282.1</v>
      </c>
      <c r="Y47" s="7" t="n">
        <f aca="false">Y8+Y41</f>
        <v>222.325495336526</v>
      </c>
      <c r="Z47" s="8" t="n">
        <f aca="false">Z8+Z41</f>
        <v>5504.42549533653</v>
      </c>
      <c r="AA47" s="8" t="n">
        <f aca="false">AA8+AA41</f>
        <v>0.05</v>
      </c>
      <c r="AB47" s="10"/>
      <c r="AC47" s="10"/>
      <c r="AD47" s="11"/>
    </row>
    <row r="48" customFormat="false" ht="11.1" hidden="false" customHeight="true" outlineLevel="0" collapsed="false">
      <c r="A48" s="6" t="s">
        <v>54</v>
      </c>
      <c r="B48" s="6"/>
      <c r="C48" s="7"/>
      <c r="D48" s="7" t="n">
        <f aca="false">D8+D42</f>
        <v>-7212</v>
      </c>
      <c r="E48" s="7" t="n">
        <f aca="false">E39</f>
        <v>170468</v>
      </c>
      <c r="F48" s="7" t="n">
        <f aca="false">F47*$D$2</f>
        <v>-7212</v>
      </c>
      <c r="G48" s="7" t="n">
        <f aca="false">G47*$D$2</f>
        <v>3183.5175</v>
      </c>
      <c r="H48" s="8" t="n">
        <f aca="false">H47*$D$2</f>
        <v>56.985955</v>
      </c>
      <c r="I48" s="7" t="n">
        <f aca="false">I47*$D$2</f>
        <v>3240.503455</v>
      </c>
      <c r="J48" s="7" t="n">
        <f aca="false">J47*$D$2</f>
        <v>465.524515</v>
      </c>
      <c r="K48" s="7" t="n">
        <f aca="false">K47*$D$2</f>
        <v>3706.02797</v>
      </c>
      <c r="L48" s="7" t="n">
        <f aca="false">L47*$D$2</f>
        <v>24.5418950000002</v>
      </c>
      <c r="M48" s="7" t="n">
        <f aca="false">M47*$D$2</f>
        <v>3030.98635</v>
      </c>
      <c r="N48" s="7" t="n">
        <f aca="false">N47*$D$2</f>
        <v>0</v>
      </c>
      <c r="O48" s="7" t="n">
        <f aca="false">O47*$D$2</f>
        <v>875.39888175</v>
      </c>
      <c r="P48" s="7" t="n">
        <f aca="false">P47*$D$2</f>
        <v>2155.58746825</v>
      </c>
      <c r="Q48" s="7" t="n">
        <f aca="false">Q47*$D$2</f>
        <v>2070.774</v>
      </c>
      <c r="R48" s="7" t="n">
        <f aca="false">R47*$D$2</f>
        <v>1110.76</v>
      </c>
      <c r="S48" s="7" t="n">
        <f aca="false">S47*$D$2</f>
        <v>5337.12146825</v>
      </c>
      <c r="T48" s="7" t="n">
        <f aca="false">T47*$D$2</f>
        <v>0</v>
      </c>
      <c r="U48" s="7" t="n">
        <f aca="false">U47*$D$2</f>
        <v>0</v>
      </c>
      <c r="V48" s="7" t="n">
        <f aca="false">V47*$D$2</f>
        <v>4264.525</v>
      </c>
      <c r="W48" s="7" t="n">
        <f aca="false">W47*$D$2</f>
        <v>10000.807</v>
      </c>
      <c r="X48" s="7" t="n">
        <f aca="false">X47*$D$2</f>
        <v>10477.04535</v>
      </c>
      <c r="Y48" s="7" t="n">
        <f aca="false">Y47*$D$2</f>
        <v>440.98262</v>
      </c>
      <c r="Z48" s="8" t="n">
        <f aca="false">Z47*$D$2</f>
        <v>10918.02797</v>
      </c>
      <c r="AA48" s="8"/>
      <c r="AB48" s="10"/>
      <c r="AC48" s="10"/>
      <c r="AD48" s="11"/>
    </row>
    <row r="49" customFormat="false" ht="11.1" hidden="false" customHeight="true" outlineLevel="0" collapsed="false">
      <c r="A49" s="29"/>
      <c r="B49" s="29"/>
      <c r="C49" s="31"/>
      <c r="D49" s="29"/>
      <c r="E49" s="31"/>
      <c r="F49" s="29"/>
      <c r="G49" s="29"/>
      <c r="H49" s="32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31"/>
      <c r="U49" s="29"/>
      <c r="V49" s="29"/>
      <c r="W49" s="31"/>
      <c r="X49" s="29"/>
      <c r="Y49" s="29"/>
      <c r="Z49" s="32"/>
      <c r="AA49" s="8"/>
      <c r="AB49" s="10"/>
      <c r="AC49" s="10"/>
      <c r="AD49" s="11"/>
    </row>
    <row r="50" customFormat="false" ht="14.1" hidden="false" customHeight="true" outlineLevel="0" collapsed="false">
      <c r="A50" s="38"/>
      <c r="B50" s="39"/>
      <c r="C50" s="7"/>
      <c r="D50" s="6"/>
      <c r="E50" s="7"/>
      <c r="F50" s="6"/>
      <c r="G50" s="6"/>
      <c r="H50" s="8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  <c r="U50" s="6"/>
      <c r="V50" s="6"/>
      <c r="W50" s="7"/>
      <c r="X50" s="6"/>
      <c r="Y50" s="6"/>
      <c r="Z50" s="8"/>
      <c r="AA50" s="8"/>
      <c r="AB50" s="10"/>
      <c r="AC50" s="10"/>
      <c r="AD50" s="11"/>
    </row>
    <row r="51" customFormat="false" ht="11.1" hidden="false" customHeight="true" outlineLevel="0" collapsed="false">
      <c r="A51" s="6"/>
      <c r="B51" s="28"/>
      <c r="C51" s="7"/>
      <c r="D51" s="37"/>
      <c r="E51" s="7"/>
      <c r="F51" s="6"/>
      <c r="G51" s="6"/>
      <c r="H51" s="8"/>
      <c r="I51" s="40"/>
      <c r="J51" s="6"/>
      <c r="K51" s="41"/>
      <c r="L51" s="6"/>
      <c r="M51" s="6"/>
      <c r="N51" s="6"/>
      <c r="O51" s="6"/>
      <c r="P51" s="6"/>
      <c r="Q51" s="6"/>
      <c r="R51" s="6"/>
      <c r="S51" s="6"/>
      <c r="T51" s="7"/>
      <c r="U51" s="6"/>
      <c r="V51" s="6"/>
      <c r="W51" s="7"/>
      <c r="X51" s="6"/>
      <c r="Y51" s="6"/>
      <c r="Z51" s="8"/>
      <c r="AA51" s="8"/>
      <c r="AB51" s="10"/>
      <c r="AC51" s="10"/>
      <c r="AD51" s="11"/>
    </row>
    <row r="52" customFormat="false" ht="11.1" hidden="false" customHeight="true" outlineLevel="0" collapsed="false">
      <c r="B52" s="37"/>
      <c r="C52" s="7"/>
      <c r="D52" s="7"/>
      <c r="E52" s="7"/>
      <c r="F52" s="37"/>
      <c r="G52" s="37"/>
      <c r="H52" s="8"/>
      <c r="I52" s="37"/>
      <c r="J52" s="37"/>
      <c r="K52" s="37"/>
      <c r="L52" s="37"/>
      <c r="M52" s="35"/>
      <c r="N52" s="35"/>
      <c r="O52" s="35"/>
      <c r="P52" s="35"/>
      <c r="Q52" s="37"/>
      <c r="R52" s="37"/>
      <c r="S52" s="37"/>
      <c r="T52" s="7"/>
      <c r="U52" s="37"/>
      <c r="V52" s="37"/>
      <c r="W52" s="7"/>
      <c r="X52" s="37"/>
      <c r="Y52" s="37"/>
      <c r="Z52" s="8"/>
      <c r="AA52" s="8"/>
      <c r="AB52" s="10"/>
      <c r="AC52" s="10"/>
      <c r="AD52" s="11"/>
    </row>
    <row r="53" customFormat="false" ht="11.1" hidden="false" customHeight="true" outlineLevel="0" collapsed="false">
      <c r="A53" s="37"/>
      <c r="B53" s="42"/>
      <c r="C53" s="7"/>
      <c r="D53" s="7"/>
      <c r="E53" s="7"/>
      <c r="F53" s="37"/>
      <c r="G53" s="37"/>
      <c r="H53" s="8"/>
      <c r="I53" s="37"/>
      <c r="J53" s="37"/>
      <c r="K53" s="37"/>
      <c r="L53" s="37"/>
      <c r="M53" s="35"/>
      <c r="N53" s="35"/>
      <c r="O53" s="35"/>
      <c r="P53" s="35"/>
      <c r="Q53" s="37"/>
      <c r="R53" s="37"/>
      <c r="S53" s="37"/>
      <c r="T53" s="7"/>
      <c r="U53" s="37"/>
      <c r="V53" s="37"/>
      <c r="W53" s="7"/>
      <c r="X53" s="37"/>
      <c r="Y53" s="37"/>
      <c r="Z53" s="8"/>
      <c r="AA53" s="8"/>
      <c r="AB53" s="10"/>
      <c r="AC53" s="10"/>
      <c r="AD53" s="11"/>
    </row>
    <row r="54" customFormat="false" ht="11.1" hidden="false" customHeight="true" outlineLevel="0" collapsed="false">
      <c r="A54" s="37"/>
      <c r="B54" s="37"/>
      <c r="C54" s="7"/>
      <c r="D54" s="37"/>
      <c r="E54" s="7"/>
      <c r="F54" s="37"/>
      <c r="G54" s="43"/>
      <c r="H54" s="8"/>
      <c r="I54" s="37"/>
      <c r="J54" s="37"/>
      <c r="K54" s="37"/>
      <c r="L54" s="37"/>
      <c r="M54" s="35"/>
      <c r="N54" s="35"/>
      <c r="O54" s="35"/>
      <c r="P54" s="37"/>
      <c r="Q54" s="37"/>
      <c r="R54" s="37"/>
      <c r="S54" s="7"/>
      <c r="T54" s="37"/>
      <c r="U54" s="37"/>
      <c r="V54" s="7"/>
      <c r="W54" s="37"/>
      <c r="X54" s="37"/>
      <c r="Y54" s="37"/>
      <c r="Z54" s="8"/>
      <c r="AA54" s="8"/>
      <c r="AB54" s="10"/>
      <c r="AC54" s="11"/>
    </row>
  </sheetData>
  <mergeCells count="1"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N10" activePane="bottomRight" state="frozen"/>
      <selection pane="topLeft" activeCell="A1" activeCellId="0" sqref="A1"/>
      <selection pane="topRight" activeCell="N1" activeCellId="0" sqref="N1"/>
      <selection pane="bottomLeft" activeCell="A10" activeCellId="0" sqref="A10"/>
      <selection pane="bottomRight" activeCell="S10" activeCellId="0" sqref="S10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46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false" outlineLevel="0" max="14" min="14" style="47" width="7.32"/>
    <col collapsed="false" customWidth="true" hidden="false" outlineLevel="0" max="15" min="15" style="47" width="6.49"/>
    <col collapsed="false" customWidth="true" hidden="fals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3" min="23" style="44" width="6.82"/>
    <col collapsed="false" customWidth="true" hidden="false" outlineLevel="0" max="25" min="24" style="44" width="7.82"/>
    <col collapsed="false" customWidth="true" hidden="false" outlineLevel="0" max="26" min="26" style="48" width="8.16"/>
    <col collapsed="false" customWidth="true" hidden="false" outlineLevel="0" max="27" min="27" style="46" width="4.66"/>
    <col collapsed="false" customWidth="true" hidden="false" outlineLevel="0" max="28" min="28" style="49" width="4.66"/>
    <col collapsed="false" customWidth="true" hidden="false" outlineLevel="0" max="29" min="29" style="50" width="4.66"/>
    <col collapsed="false" customWidth="true" hidden="false" outlineLevel="0" max="30" min="30" style="44" width="5.66"/>
    <col collapsed="false" customWidth="false" hidden="false" outlineLevel="0" max="257" min="31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3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1"/>
      <c r="Z1" s="55"/>
      <c r="AA1" s="53"/>
      <c r="AB1" s="56"/>
      <c r="AC1" s="57"/>
    </row>
    <row r="2" customFormat="false" ht="14.1" hidden="false" customHeight="true" outlineLevel="0" collapsed="false">
      <c r="A2" s="51" t="s">
        <v>1</v>
      </c>
      <c r="B2" s="51"/>
      <c r="C2" s="52"/>
      <c r="D2" s="58" t="n">
        <v>1.9835</v>
      </c>
      <c r="E2" s="52"/>
      <c r="F2" s="51"/>
      <c r="G2" s="51"/>
      <c r="H2" s="53"/>
      <c r="I2" s="51"/>
      <c r="J2" s="51"/>
      <c r="K2" s="59" t="s">
        <v>55</v>
      </c>
      <c r="L2" s="59"/>
      <c r="M2" s="59"/>
      <c r="N2" s="59"/>
      <c r="O2" s="59"/>
      <c r="P2" s="59"/>
      <c r="Q2" s="59"/>
      <c r="R2" s="59"/>
      <c r="S2" s="59"/>
      <c r="T2" s="59"/>
      <c r="U2" s="51"/>
      <c r="V2" s="52"/>
      <c r="W2" s="51"/>
      <c r="X2" s="51"/>
      <c r="Y2" s="51"/>
      <c r="Z2" s="55"/>
      <c r="AA2" s="53"/>
      <c r="AB2" s="56"/>
      <c r="AC2" s="57"/>
    </row>
    <row r="3" customFormat="false" ht="11.1" hidden="false" customHeight="true" outlineLevel="0" collapsed="false">
      <c r="A3" s="51"/>
      <c r="B3" s="51"/>
      <c r="C3" s="52"/>
      <c r="D3" s="60"/>
      <c r="E3" s="52"/>
      <c r="F3" s="51"/>
      <c r="G3" s="51"/>
      <c r="H3" s="53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1"/>
      <c r="Z3" s="55"/>
      <c r="AA3" s="53"/>
      <c r="AB3" s="56"/>
      <c r="AC3" s="57"/>
    </row>
    <row r="4" customFormat="false" ht="11.1" hidden="false" customHeight="true" outlineLevel="0" collapsed="false">
      <c r="A4" s="61" t="s">
        <v>3</v>
      </c>
      <c r="B4" s="61" t="s">
        <v>4</v>
      </c>
      <c r="C4" s="62" t="s">
        <v>4</v>
      </c>
      <c r="D4" s="61" t="s">
        <v>5</v>
      </c>
      <c r="E4" s="62" t="s">
        <v>6</v>
      </c>
      <c r="F4" s="61" t="s">
        <v>7</v>
      </c>
      <c r="G4" s="61" t="s">
        <v>8</v>
      </c>
      <c r="H4" s="63" t="s">
        <v>9</v>
      </c>
      <c r="I4" s="61" t="s">
        <v>10</v>
      </c>
      <c r="J4" s="61" t="s">
        <v>11</v>
      </c>
      <c r="K4" s="61" t="s">
        <v>12</v>
      </c>
      <c r="L4" s="61" t="s">
        <v>11</v>
      </c>
      <c r="M4" s="61" t="s">
        <v>13</v>
      </c>
      <c r="N4" s="61"/>
      <c r="O4" s="61"/>
      <c r="P4" s="61"/>
      <c r="Q4" s="61" t="s">
        <v>14</v>
      </c>
      <c r="R4" s="61" t="s">
        <v>15</v>
      </c>
      <c r="S4" s="61" t="s">
        <v>12</v>
      </c>
      <c r="T4" s="62" t="s">
        <v>16</v>
      </c>
      <c r="U4" s="61" t="s">
        <v>17</v>
      </c>
      <c r="V4" s="61" t="s">
        <v>18</v>
      </c>
      <c r="W4" s="62" t="s">
        <v>19</v>
      </c>
      <c r="X4" s="61" t="s">
        <v>10</v>
      </c>
      <c r="Y4" s="61" t="s">
        <v>11</v>
      </c>
      <c r="Z4" s="61" t="s">
        <v>12</v>
      </c>
      <c r="AA4" s="63" t="s">
        <v>20</v>
      </c>
      <c r="AB4" s="64" t="s">
        <v>21</v>
      </c>
      <c r="AC4" s="64" t="s">
        <v>22</v>
      </c>
      <c r="AD4" s="64" t="s">
        <v>3</v>
      </c>
    </row>
    <row r="5" customFormat="false" ht="11.1" hidden="false" customHeight="true" outlineLevel="0" collapsed="false">
      <c r="A5" s="65" t="s">
        <v>56</v>
      </c>
      <c r="B5" s="61" t="s">
        <v>24</v>
      </c>
      <c r="C5" s="62" t="s">
        <v>5</v>
      </c>
      <c r="D5" s="61" t="s">
        <v>25</v>
      </c>
      <c r="E5" s="62" t="s">
        <v>26</v>
      </c>
      <c r="F5" s="61" t="s">
        <v>27</v>
      </c>
      <c r="G5" s="61" t="s">
        <v>28</v>
      </c>
      <c r="H5" s="63" t="s">
        <v>29</v>
      </c>
      <c r="I5" s="61" t="s">
        <v>30</v>
      </c>
      <c r="J5" s="61" t="s">
        <v>30</v>
      </c>
      <c r="K5" s="61" t="s">
        <v>30</v>
      </c>
      <c r="L5" s="61" t="s">
        <v>31</v>
      </c>
      <c r="M5" s="61" t="s">
        <v>32</v>
      </c>
      <c r="N5" s="61" t="s">
        <v>33</v>
      </c>
      <c r="O5" s="61" t="s">
        <v>34</v>
      </c>
      <c r="P5" s="61" t="s">
        <v>35</v>
      </c>
      <c r="Q5" s="61" t="s">
        <v>36</v>
      </c>
      <c r="R5" s="61" t="s">
        <v>37</v>
      </c>
      <c r="S5" s="61" t="s">
        <v>16</v>
      </c>
      <c r="T5" s="62" t="s">
        <v>38</v>
      </c>
      <c r="U5" s="61" t="s">
        <v>39</v>
      </c>
      <c r="V5" s="61" t="s">
        <v>40</v>
      </c>
      <c r="W5" s="62" t="s">
        <v>41</v>
      </c>
      <c r="X5" s="61" t="s">
        <v>42</v>
      </c>
      <c r="Y5" s="61" t="s">
        <v>42</v>
      </c>
      <c r="Z5" s="61" t="s">
        <v>42</v>
      </c>
      <c r="AA5" s="66"/>
      <c r="AB5" s="64" t="s">
        <v>43</v>
      </c>
      <c r="AC5" s="64" t="s">
        <v>43</v>
      </c>
      <c r="AD5" s="67" t="s">
        <v>56</v>
      </c>
    </row>
    <row r="6" customFormat="false" ht="11.1" hidden="false" customHeight="true" outlineLevel="0" collapsed="false">
      <c r="A6" s="68"/>
      <c r="B6" s="68"/>
      <c r="C6" s="69"/>
      <c r="D6" s="68"/>
      <c r="E6" s="69"/>
      <c r="F6" s="68"/>
      <c r="G6" s="68"/>
      <c r="H6" s="70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9"/>
      <c r="U6" s="68"/>
      <c r="V6" s="68"/>
      <c r="W6" s="69"/>
      <c r="X6" s="68"/>
      <c r="Y6" s="68"/>
      <c r="Z6" s="68"/>
      <c r="AA6" s="53"/>
      <c r="AB6" s="57"/>
      <c r="AC6" s="57"/>
      <c r="AD6" s="57"/>
    </row>
    <row r="7" customFormat="false" ht="11.1" hidden="false" customHeight="true" outlineLevel="0" collapsed="false">
      <c r="A7" s="51" t="s">
        <v>44</v>
      </c>
      <c r="B7" s="51"/>
      <c r="C7" s="52"/>
      <c r="D7" s="52"/>
      <c r="E7" s="52"/>
      <c r="F7" s="52"/>
      <c r="G7" s="52"/>
      <c r="H7" s="53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3"/>
      <c r="AB7" s="56"/>
      <c r="AC7" s="56"/>
      <c r="AD7" s="57"/>
    </row>
    <row r="8" s="45" customFormat="true" ht="11.1" hidden="false" customHeight="true" outlineLevel="0" collapsed="false">
      <c r="A8" s="52" t="s">
        <v>45</v>
      </c>
      <c r="B8" s="71" t="n">
        <f aca="false">NOV!B39</f>
        <v>6910.12</v>
      </c>
      <c r="C8" s="52" t="n">
        <f aca="false">NOV!C39</f>
        <v>322468</v>
      </c>
      <c r="D8" s="52" t="n">
        <f aca="false">NOV!$D$48</f>
        <v>-7212</v>
      </c>
      <c r="E8" s="52" t="n">
        <f aca="false">NOV!$E$39</f>
        <v>170468</v>
      </c>
      <c r="F8" s="52" t="n">
        <f aca="false">NOV!F47</f>
        <v>-3635.99697504411</v>
      </c>
      <c r="G8" s="52" t="n">
        <f aca="false">NOV!G47</f>
        <v>1605</v>
      </c>
      <c r="H8" s="53" t="n">
        <f aca="false">NOV!H47</f>
        <v>28.73</v>
      </c>
      <c r="I8" s="52" t="n">
        <f aca="false">NOV!I47</f>
        <v>1633.73</v>
      </c>
      <c r="J8" s="52" t="n">
        <f aca="false">NOV!J47</f>
        <v>234.698520292413</v>
      </c>
      <c r="K8" s="52" t="n">
        <f aca="false">NOV!K47</f>
        <v>1868.42852029241</v>
      </c>
      <c r="L8" s="52" t="n">
        <f aca="false">NOV!L47</f>
        <v>12.3730249558862</v>
      </c>
      <c r="M8" s="52" t="n">
        <f aca="false">NOV!M47</f>
        <v>1528.1</v>
      </c>
      <c r="N8" s="52" t="n">
        <f aca="false">NOV!N47</f>
        <v>0</v>
      </c>
      <c r="O8" s="52" t="n">
        <f aca="false">NOV!O47</f>
        <v>441.3405</v>
      </c>
      <c r="P8" s="52" t="n">
        <f aca="false">NOV!P47</f>
        <v>1086.7595</v>
      </c>
      <c r="Q8" s="52" t="n">
        <f aca="false">NOV!Q47</f>
        <v>1044</v>
      </c>
      <c r="R8" s="52" t="n">
        <f aca="false">NOV!R47</f>
        <v>560</v>
      </c>
      <c r="S8" s="52" t="n">
        <f aca="false">NOV!S47</f>
        <v>2690.7595</v>
      </c>
      <c r="T8" s="52" t="n">
        <f aca="false">NOV!T47</f>
        <v>0</v>
      </c>
      <c r="U8" s="52" t="n">
        <f aca="false">NOV!U47</f>
        <v>0</v>
      </c>
      <c r="V8" s="52" t="n">
        <f aca="false">NOV!V47</f>
        <v>2150</v>
      </c>
      <c r="W8" s="52" t="n">
        <f aca="false">NOV!W47</f>
        <v>5042</v>
      </c>
      <c r="X8" s="52" t="n">
        <f aca="false">NOV!X47</f>
        <v>5282.1</v>
      </c>
      <c r="Y8" s="52" t="n">
        <f aca="false">NOV!Y47</f>
        <v>222.325495336526</v>
      </c>
      <c r="Z8" s="52" t="n">
        <f aca="false">NOV!Z47</f>
        <v>5504.42549533653</v>
      </c>
      <c r="AA8" s="53" t="n">
        <f aca="false">NOV!AA47</f>
        <v>0.05</v>
      </c>
      <c r="AB8" s="56"/>
      <c r="AC8" s="56"/>
      <c r="AD8" s="57"/>
    </row>
    <row r="9" customFormat="false" ht="3" hidden="false" customHeight="true" outlineLevel="0" collapsed="false">
      <c r="A9" s="72"/>
      <c r="B9" s="73"/>
      <c r="C9" s="74"/>
      <c r="D9" s="72"/>
      <c r="E9" s="74"/>
      <c r="F9" s="72"/>
      <c r="G9" s="72"/>
      <c r="H9" s="75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4"/>
      <c r="U9" s="72"/>
      <c r="V9" s="72"/>
      <c r="W9" s="74"/>
      <c r="X9" s="72"/>
      <c r="Y9" s="72"/>
      <c r="Z9" s="72"/>
      <c r="AA9" s="75"/>
      <c r="AB9" s="76"/>
      <c r="AC9" s="76"/>
      <c r="AD9" s="77"/>
    </row>
    <row r="10" customFormat="false" ht="11.1" hidden="false" customHeight="true" outlineLevel="0" collapsed="false">
      <c r="A10" s="57" t="n">
        <v>1</v>
      </c>
      <c r="B10" s="71" t="n">
        <v>6910.12</v>
      </c>
      <c r="C10" s="52" t="n">
        <v>322468</v>
      </c>
      <c r="D10" s="56" t="n">
        <f aca="false">C10-C8</f>
        <v>0</v>
      </c>
      <c r="E10" s="52" t="n">
        <f aca="false">C10-152000</f>
        <v>170468</v>
      </c>
      <c r="F10" s="51" t="n">
        <f aca="false">D10/$D$2</f>
        <v>0</v>
      </c>
      <c r="G10" s="51" t="n">
        <v>58</v>
      </c>
      <c r="H10" s="53" t="n">
        <v>0.92</v>
      </c>
      <c r="I10" s="51" t="n">
        <f aca="false">G10+H10</f>
        <v>58.92</v>
      </c>
      <c r="J10" s="78" t="n">
        <f aca="false">IF(L10&gt;0,L10,0)</f>
        <v>0.149999999999999</v>
      </c>
      <c r="K10" s="51" t="n">
        <f aca="false">I10+J10</f>
        <v>59.07</v>
      </c>
      <c r="L10" s="51" t="n">
        <f aca="false">F10-(I10-X10)</f>
        <v>0.149999999999999</v>
      </c>
      <c r="M10" s="51" t="n">
        <v>3.1</v>
      </c>
      <c r="N10" s="51"/>
      <c r="O10" s="51" t="n">
        <v>0</v>
      </c>
      <c r="P10" s="6" t="n">
        <f aca="false">M10-(N10+O10)</f>
        <v>3.1</v>
      </c>
      <c r="Q10" s="51" t="n">
        <v>0</v>
      </c>
      <c r="R10" s="51" t="n">
        <v>0</v>
      </c>
      <c r="S10" s="51" t="n">
        <f aca="false">SUM(P10:R10)</f>
        <v>3.1</v>
      </c>
      <c r="T10" s="52"/>
      <c r="U10" s="51" t="n">
        <v>0</v>
      </c>
      <c r="V10" s="51" t="n">
        <v>55.97</v>
      </c>
      <c r="W10" s="52" t="n">
        <f aca="false">W8-45-2</f>
        <v>4995</v>
      </c>
      <c r="X10" s="6" t="n">
        <f aca="false">N10+O10+S10+U10+V10</f>
        <v>59.07</v>
      </c>
      <c r="Y10" s="51" t="n">
        <f aca="false">IF(L10&lt;0,L10*-1,0)</f>
        <v>0</v>
      </c>
      <c r="Z10" s="51" t="n">
        <f aca="false">X10+Y10</f>
        <v>59.07</v>
      </c>
      <c r="AA10" s="53" t="n">
        <v>0.01</v>
      </c>
      <c r="AB10" s="56" t="n">
        <v>60</v>
      </c>
      <c r="AC10" s="56" t="n">
        <v>31</v>
      </c>
      <c r="AD10" s="57" t="n">
        <v>1</v>
      </c>
    </row>
    <row r="11" customFormat="false" ht="11.1" hidden="false" customHeight="true" outlineLevel="0" collapsed="false">
      <c r="A11" s="57" t="n">
        <f aca="false">A10+1</f>
        <v>2</v>
      </c>
      <c r="B11" s="71" t="n">
        <v>6910.11</v>
      </c>
      <c r="C11" s="52" t="n">
        <v>322428</v>
      </c>
      <c r="D11" s="56" t="n">
        <f aca="false">C11-C10</f>
        <v>-40</v>
      </c>
      <c r="E11" s="52" t="n">
        <f aca="false">C11-152000</f>
        <v>170428</v>
      </c>
      <c r="F11" s="51" t="n">
        <f aca="false">D11/$D$2</f>
        <v>-20.1663725737333</v>
      </c>
      <c r="G11" s="51" t="n">
        <v>61</v>
      </c>
      <c r="H11" s="53" t="n">
        <v>1</v>
      </c>
      <c r="I11" s="51" t="n">
        <f aca="false">G11+H11</f>
        <v>62</v>
      </c>
      <c r="J11" s="78" t="n">
        <f aca="false">IF(L11&gt;0,L11,0)</f>
        <v>0</v>
      </c>
      <c r="K11" s="51" t="n">
        <f aca="false">I11+J11</f>
        <v>62</v>
      </c>
      <c r="L11" s="51" t="n">
        <f aca="false">F11-(I11-X11)</f>
        <v>-23.0663725737333</v>
      </c>
      <c r="M11" s="51" t="n">
        <v>3.1</v>
      </c>
      <c r="N11" s="51"/>
      <c r="O11" s="51" t="n">
        <v>0</v>
      </c>
      <c r="P11" s="6" t="n">
        <f aca="false">M11-(N11+O11)</f>
        <v>3.1</v>
      </c>
      <c r="Q11" s="51" t="n">
        <v>0</v>
      </c>
      <c r="R11" s="51" t="n">
        <v>0</v>
      </c>
      <c r="S11" s="51" t="n">
        <f aca="false">SUM(P11:R11)</f>
        <v>3.1</v>
      </c>
      <c r="T11" s="52"/>
      <c r="U11" s="51" t="n">
        <v>0</v>
      </c>
      <c r="V11" s="51" t="n">
        <v>56</v>
      </c>
      <c r="W11" s="52" t="n">
        <f aca="false">W10-45-2</f>
        <v>4948</v>
      </c>
      <c r="X11" s="6" t="n">
        <f aca="false">N11+O11+S11+U11+V11</f>
        <v>59.1</v>
      </c>
      <c r="Y11" s="51" t="n">
        <f aca="false">IF(L11&lt;0,L11*-1,0)</f>
        <v>23.0663725737333</v>
      </c>
      <c r="Z11" s="51" t="n">
        <f aca="false">X11+Y11</f>
        <v>82.1663725737333</v>
      </c>
      <c r="AA11" s="53" t="n">
        <v>0</v>
      </c>
      <c r="AB11" s="56" t="n">
        <v>43</v>
      </c>
      <c r="AC11" s="56" t="n">
        <v>18</v>
      </c>
      <c r="AD11" s="57" t="n">
        <f aca="false">AD10+1</f>
        <v>2</v>
      </c>
    </row>
    <row r="12" customFormat="false" ht="11.1" hidden="false" customHeight="true" outlineLevel="0" collapsed="false">
      <c r="A12" s="57" t="n">
        <f aca="false">A11+1</f>
        <v>3</v>
      </c>
      <c r="B12" s="71" t="n">
        <v>6910.1</v>
      </c>
      <c r="C12" s="52" t="n">
        <v>322388</v>
      </c>
      <c r="D12" s="56" t="n">
        <f aca="false">C12-C11</f>
        <v>-40</v>
      </c>
      <c r="E12" s="52" t="n">
        <f aca="false">C12-152000</f>
        <v>170388</v>
      </c>
      <c r="F12" s="51" t="n">
        <f aca="false">D12/$D$2</f>
        <v>-20.1663725737333</v>
      </c>
      <c r="G12" s="51" t="n">
        <v>57</v>
      </c>
      <c r="H12" s="53" t="n">
        <v>1.1</v>
      </c>
      <c r="I12" s="51" t="n">
        <f aca="false">G12+H12</f>
        <v>58.1</v>
      </c>
      <c r="J12" s="78" t="n">
        <f aca="false">IF(L12&gt;0,L12,0)</f>
        <v>0</v>
      </c>
      <c r="K12" s="51" t="n">
        <f aca="false">I12+J12</f>
        <v>58.1</v>
      </c>
      <c r="L12" s="51" t="n">
        <f aca="false">F12-(I12-X12)</f>
        <v>-19.1663725737333</v>
      </c>
      <c r="M12" s="51" t="n">
        <v>3.1</v>
      </c>
      <c r="N12" s="51"/>
      <c r="O12" s="51" t="n">
        <v>0</v>
      </c>
      <c r="P12" s="6" t="n">
        <f aca="false">M12-(N12+O12)</f>
        <v>3.1</v>
      </c>
      <c r="Q12" s="51" t="n">
        <v>0</v>
      </c>
      <c r="R12" s="51" t="n">
        <v>0</v>
      </c>
      <c r="S12" s="51" t="n">
        <f aca="false">SUM(P12:R12)</f>
        <v>3.1</v>
      </c>
      <c r="T12" s="52"/>
      <c r="U12" s="51" t="n">
        <v>0</v>
      </c>
      <c r="V12" s="51" t="n">
        <v>56</v>
      </c>
      <c r="W12" s="52" t="n">
        <f aca="false">W11-45-2</f>
        <v>4901</v>
      </c>
      <c r="X12" s="6" t="n">
        <f aca="false">N12+O12+S12+U12+V12</f>
        <v>59.1</v>
      </c>
      <c r="Y12" s="51" t="n">
        <f aca="false">IF(L12&lt;0,L12*-1,0)</f>
        <v>19.1663725737333</v>
      </c>
      <c r="Z12" s="51" t="n">
        <f aca="false">X12+Y12</f>
        <v>78.2663725737333</v>
      </c>
      <c r="AA12" s="53" t="n">
        <v>0</v>
      </c>
      <c r="AB12" s="56" t="n">
        <v>42</v>
      </c>
      <c r="AC12" s="56" t="n">
        <v>19</v>
      </c>
      <c r="AD12" s="57" t="n">
        <f aca="false">AD11+1</f>
        <v>3</v>
      </c>
    </row>
    <row r="13" customFormat="false" ht="11.1" hidden="false" customHeight="true" outlineLevel="0" collapsed="false">
      <c r="A13" s="57" t="n">
        <f aca="false">A12+1</f>
        <v>4</v>
      </c>
      <c r="B13" s="71" t="n">
        <v>6910.09</v>
      </c>
      <c r="C13" s="52" t="n">
        <v>322348</v>
      </c>
      <c r="D13" s="56" t="n">
        <f aca="false">C13-C12</f>
        <v>-40</v>
      </c>
      <c r="E13" s="52" t="n">
        <f aca="false">C13-152000</f>
        <v>170348</v>
      </c>
      <c r="F13" s="51" t="n">
        <f aca="false">D13/$D$2</f>
        <v>-20.1663725737333</v>
      </c>
      <c r="G13" s="51" t="n">
        <v>47</v>
      </c>
      <c r="H13" s="53" t="n">
        <v>0.9</v>
      </c>
      <c r="I13" s="51" t="n">
        <f aca="false">G13+H13</f>
        <v>47.9</v>
      </c>
      <c r="J13" s="78" t="n">
        <f aca="false">IF(L13&gt;0,L13,0)</f>
        <v>0</v>
      </c>
      <c r="K13" s="51" t="n">
        <f aca="false">I13+J13</f>
        <v>47.9</v>
      </c>
      <c r="L13" s="51" t="n">
        <f aca="false">F13-(I13-X13)</f>
        <v>-8.7663725737333</v>
      </c>
      <c r="M13" s="51" t="n">
        <v>3.3</v>
      </c>
      <c r="N13" s="51"/>
      <c r="O13" s="51" t="n">
        <v>0</v>
      </c>
      <c r="P13" s="6" t="n">
        <f aca="false">M13-(N13+O13)</f>
        <v>3.3</v>
      </c>
      <c r="Q13" s="51" t="n">
        <v>0</v>
      </c>
      <c r="R13" s="51" t="n">
        <v>0</v>
      </c>
      <c r="S13" s="51" t="n">
        <f aca="false">SUM(P13:R13)</f>
        <v>3.3</v>
      </c>
      <c r="T13" s="52"/>
      <c r="U13" s="51" t="n">
        <v>0</v>
      </c>
      <c r="V13" s="51" t="n">
        <v>56</v>
      </c>
      <c r="W13" s="52" t="n">
        <f aca="false">W12-45-2</f>
        <v>4854</v>
      </c>
      <c r="X13" s="6" t="n">
        <f aca="false">N13+O13+S13+U13+V13</f>
        <v>59.3</v>
      </c>
      <c r="Y13" s="51" t="n">
        <f aca="false">IF(L13&lt;0,L13*-1,0)</f>
        <v>8.7663725737333</v>
      </c>
      <c r="Z13" s="51" t="n">
        <f aca="false">X13+Y13</f>
        <v>68.0663725737333</v>
      </c>
      <c r="AA13" s="53" t="n">
        <v>0</v>
      </c>
      <c r="AB13" s="56" t="n">
        <v>40</v>
      </c>
      <c r="AC13" s="56" t="n">
        <v>20</v>
      </c>
      <c r="AD13" s="57" t="n">
        <f aca="false">AD12+1</f>
        <v>4</v>
      </c>
    </row>
    <row r="14" customFormat="false" ht="11.1" hidden="false" customHeight="true" outlineLevel="0" collapsed="false">
      <c r="A14" s="57" t="n">
        <f aca="false">A13+1</f>
        <v>5</v>
      </c>
      <c r="B14" s="71" t="n">
        <v>6910.08</v>
      </c>
      <c r="C14" s="52" t="n">
        <v>322307</v>
      </c>
      <c r="D14" s="56" t="n">
        <f aca="false">C14-C13</f>
        <v>-41</v>
      </c>
      <c r="E14" s="52" t="n">
        <f aca="false">C14-152000</f>
        <v>170307</v>
      </c>
      <c r="F14" s="51" t="n">
        <f aca="false">D14/$D$2</f>
        <v>-20.6705318880766</v>
      </c>
      <c r="G14" s="51" t="n">
        <v>50</v>
      </c>
      <c r="H14" s="53" t="n">
        <v>0.74</v>
      </c>
      <c r="I14" s="51" t="n">
        <f aca="false">G14+H14</f>
        <v>50.74</v>
      </c>
      <c r="J14" s="78" t="n">
        <f aca="false">IF(L14&gt;0,L14,0)</f>
        <v>0</v>
      </c>
      <c r="K14" s="51" t="n">
        <f aca="false">I14+J14</f>
        <v>50.74</v>
      </c>
      <c r="L14" s="51" t="n">
        <f aca="false">F14-(I14-X14)</f>
        <v>-11.2105318880766</v>
      </c>
      <c r="M14" s="51" t="n">
        <v>4.2</v>
      </c>
      <c r="N14" s="51"/>
      <c r="O14" s="51" t="n">
        <v>0</v>
      </c>
      <c r="P14" s="6" t="n">
        <f aca="false">M14-(N14+O14)</f>
        <v>4.2</v>
      </c>
      <c r="Q14" s="51" t="n">
        <v>0</v>
      </c>
      <c r="R14" s="51" t="n">
        <v>0</v>
      </c>
      <c r="S14" s="51" t="n">
        <f aca="false">SUM(P14:R14)</f>
        <v>4.2</v>
      </c>
      <c r="T14" s="52"/>
      <c r="U14" s="51" t="n">
        <v>0</v>
      </c>
      <c r="V14" s="51" t="n">
        <v>56</v>
      </c>
      <c r="W14" s="52" t="n">
        <f aca="false">W13-45-2</f>
        <v>4807</v>
      </c>
      <c r="X14" s="6" t="n">
        <f aca="false">N14+O14+S14+U14+V14</f>
        <v>60.2</v>
      </c>
      <c r="Y14" s="51" t="n">
        <f aca="false">IF(L14&lt;0,L14*-1,0)</f>
        <v>11.2105318880766</v>
      </c>
      <c r="Z14" s="51" t="n">
        <f aca="false">X14+Y14</f>
        <v>71.4105318880766</v>
      </c>
      <c r="AA14" s="53" t="n">
        <v>0</v>
      </c>
      <c r="AB14" s="56" t="n">
        <v>46</v>
      </c>
      <c r="AC14" s="56" t="n">
        <v>8</v>
      </c>
      <c r="AD14" s="57" t="n">
        <f aca="false">AD13+1</f>
        <v>5</v>
      </c>
    </row>
    <row r="15" customFormat="false" ht="11.1" hidden="false" customHeight="true" outlineLevel="0" collapsed="false">
      <c r="A15" s="57" t="n">
        <f aca="false">A14+1</f>
        <v>6</v>
      </c>
      <c r="B15" s="71" t="n">
        <v>6910.07</v>
      </c>
      <c r="C15" s="52" t="n">
        <v>322267</v>
      </c>
      <c r="D15" s="56" t="n">
        <f aca="false">C15-C14</f>
        <v>-40</v>
      </c>
      <c r="E15" s="52" t="n">
        <f aca="false">C15-152000</f>
        <v>170267</v>
      </c>
      <c r="F15" s="51" t="n">
        <f aca="false">D15/$D$2</f>
        <v>-20.1663725737333</v>
      </c>
      <c r="G15" s="51" t="n">
        <v>50</v>
      </c>
      <c r="H15" s="53" t="n">
        <v>0.7</v>
      </c>
      <c r="I15" s="51" t="n">
        <f aca="false">G15+H15</f>
        <v>50.7</v>
      </c>
      <c r="J15" s="78" t="n">
        <f aca="false">IF(L15&gt;0,L15,0)</f>
        <v>0</v>
      </c>
      <c r="K15" s="51" t="n">
        <f aca="false">I15+J15</f>
        <v>50.7</v>
      </c>
      <c r="L15" s="51" t="n">
        <f aca="false">F15-(I15-X15)</f>
        <v>-9.7663725737333</v>
      </c>
      <c r="M15" s="51" t="n">
        <v>5.1</v>
      </c>
      <c r="N15" s="51"/>
      <c r="O15" s="51" t="n">
        <v>0</v>
      </c>
      <c r="P15" s="6" t="n">
        <f aca="false">M15-(N15+O15)</f>
        <v>5.1</v>
      </c>
      <c r="Q15" s="51" t="n">
        <v>0</v>
      </c>
      <c r="R15" s="51" t="n">
        <v>0</v>
      </c>
      <c r="S15" s="51" t="n">
        <f aca="false">SUM(P15:R15)</f>
        <v>5.1</v>
      </c>
      <c r="T15" s="52"/>
      <c r="U15" s="51" t="n">
        <v>0</v>
      </c>
      <c r="V15" s="51" t="n">
        <v>56</v>
      </c>
      <c r="W15" s="52" t="n">
        <f aca="false">W14-45-2</f>
        <v>4760</v>
      </c>
      <c r="X15" s="6" t="n">
        <f aca="false">N15+O15+S15+U15+V15</f>
        <v>61.1</v>
      </c>
      <c r="Y15" s="51" t="n">
        <f aca="false">IF(L15&lt;0,L15*-1,0)</f>
        <v>9.7663725737333</v>
      </c>
      <c r="Z15" s="51" t="n">
        <f aca="false">X15+Y15</f>
        <v>70.8663725737333</v>
      </c>
      <c r="AA15" s="53" t="n">
        <v>0</v>
      </c>
      <c r="AB15" s="56" t="n">
        <v>44</v>
      </c>
      <c r="AC15" s="56" t="n">
        <v>14</v>
      </c>
      <c r="AD15" s="57" t="n">
        <f aca="false">AD14+1</f>
        <v>6</v>
      </c>
    </row>
    <row r="16" customFormat="false" ht="11.1" hidden="false" customHeight="true" outlineLevel="0" collapsed="false">
      <c r="A16" s="57" t="n">
        <f aca="false">A15+1</f>
        <v>7</v>
      </c>
      <c r="B16" s="71" t="n">
        <v>6910.06</v>
      </c>
      <c r="C16" s="52" t="n">
        <v>322227</v>
      </c>
      <c r="D16" s="56" t="n">
        <f aca="false">C16-C15</f>
        <v>-40</v>
      </c>
      <c r="E16" s="52" t="n">
        <f aca="false">C16-152000</f>
        <v>170227</v>
      </c>
      <c r="F16" s="51" t="n">
        <f aca="false">D16/$D$2</f>
        <v>-20.1663725737333</v>
      </c>
      <c r="G16" s="51" t="n">
        <v>48</v>
      </c>
      <c r="H16" s="53" t="n">
        <v>0.7</v>
      </c>
      <c r="I16" s="51" t="n">
        <f aca="false">G16+H16</f>
        <v>48.7</v>
      </c>
      <c r="J16" s="78" t="n">
        <f aca="false">IF(L16&gt;0,L16,0)</f>
        <v>0</v>
      </c>
      <c r="K16" s="51" t="n">
        <f aca="false">I16+J16</f>
        <v>48.7</v>
      </c>
      <c r="L16" s="51" t="n">
        <f aca="false">F16-(I16-X16)</f>
        <v>-9.6663725737333</v>
      </c>
      <c r="M16" s="51" t="n">
        <v>5.2</v>
      </c>
      <c r="N16" s="51"/>
      <c r="O16" s="51" t="n">
        <v>0</v>
      </c>
      <c r="P16" s="6" t="n">
        <f aca="false">M16-(N16+O16)</f>
        <v>5.2</v>
      </c>
      <c r="Q16" s="51" t="n">
        <v>0</v>
      </c>
      <c r="R16" s="51" t="n">
        <v>0</v>
      </c>
      <c r="S16" s="51" t="n">
        <f aca="false">SUM(P16:R16)</f>
        <v>5.2</v>
      </c>
      <c r="T16" s="52"/>
      <c r="U16" s="51" t="n">
        <v>0</v>
      </c>
      <c r="V16" s="51" t="n">
        <v>54</v>
      </c>
      <c r="W16" s="52" t="n">
        <f aca="false">W15-45-2</f>
        <v>4713</v>
      </c>
      <c r="X16" s="6" t="n">
        <f aca="false">N16+O16+S16+U16+V16</f>
        <v>59.2</v>
      </c>
      <c r="Y16" s="51" t="n">
        <f aca="false">IF(L16&lt;0,L16*-1,0)</f>
        <v>9.6663725737333</v>
      </c>
      <c r="Z16" s="51" t="n">
        <f aca="false">X16+Y16</f>
        <v>68.8663725737333</v>
      </c>
      <c r="AA16" s="53" t="n">
        <v>0</v>
      </c>
      <c r="AB16" s="56" t="n">
        <v>47</v>
      </c>
      <c r="AC16" s="56" t="n">
        <v>24</v>
      </c>
      <c r="AD16" s="57" t="n">
        <f aca="false">AD15+1</f>
        <v>7</v>
      </c>
    </row>
    <row r="17" customFormat="false" ht="11.1" hidden="false" customHeight="true" outlineLevel="0" collapsed="false">
      <c r="A17" s="57" t="n">
        <f aca="false">A16+1</f>
        <v>8</v>
      </c>
      <c r="B17" s="71" t="n">
        <v>6910.05</v>
      </c>
      <c r="C17" s="52" t="n">
        <v>322187</v>
      </c>
      <c r="D17" s="56" t="n">
        <f aca="false">C17-C16</f>
        <v>-40</v>
      </c>
      <c r="E17" s="52" t="n">
        <f aca="false">C17-152000</f>
        <v>170187</v>
      </c>
      <c r="F17" s="51" t="n">
        <f aca="false">D17/$D$2</f>
        <v>-20.1663725737333</v>
      </c>
      <c r="G17" s="51" t="n">
        <v>52</v>
      </c>
      <c r="H17" s="53" t="n">
        <v>0.7</v>
      </c>
      <c r="I17" s="51" t="n">
        <f aca="false">G17+H17</f>
        <v>52.7</v>
      </c>
      <c r="J17" s="78" t="n">
        <f aca="false">IF(L17&gt;0,L17,0)</f>
        <v>0</v>
      </c>
      <c r="K17" s="51" t="n">
        <f aca="false">I17+J17</f>
        <v>52.7</v>
      </c>
      <c r="L17" s="51" t="n">
        <f aca="false">F17-(I17-X17)</f>
        <v>-14.7663725737333</v>
      </c>
      <c r="M17" s="51" t="n">
        <v>5.1</v>
      </c>
      <c r="N17" s="51"/>
      <c r="O17" s="51" t="n">
        <v>0</v>
      </c>
      <c r="P17" s="6" t="n">
        <f aca="false">M17-(N17+O17)</f>
        <v>5.1</v>
      </c>
      <c r="Q17" s="51" t="n">
        <v>0</v>
      </c>
      <c r="R17" s="51" t="n">
        <v>0</v>
      </c>
      <c r="S17" s="51" t="n">
        <f aca="false">SUM(P17:R17)</f>
        <v>5.1</v>
      </c>
      <c r="T17" s="52"/>
      <c r="U17" s="51" t="n">
        <v>0</v>
      </c>
      <c r="V17" s="51" t="n">
        <v>53</v>
      </c>
      <c r="W17" s="52" t="n">
        <f aca="false">W16-45-2</f>
        <v>4666</v>
      </c>
      <c r="X17" s="6" t="n">
        <f aca="false">N17+O17+S17+U17+V17</f>
        <v>58.1</v>
      </c>
      <c r="Y17" s="51" t="n">
        <f aca="false">IF(L17&lt;0,L17*-1,0)</f>
        <v>14.7663725737333</v>
      </c>
      <c r="Z17" s="51" t="n">
        <f aca="false">X17+Y17</f>
        <v>72.8663725737333</v>
      </c>
      <c r="AA17" s="53" t="n">
        <v>0</v>
      </c>
      <c r="AB17" s="56" t="n">
        <v>38</v>
      </c>
      <c r="AC17" s="56" t="n">
        <v>22</v>
      </c>
      <c r="AD17" s="57" t="n">
        <f aca="false">AD16+1</f>
        <v>8</v>
      </c>
    </row>
    <row r="18" customFormat="false" ht="11.1" hidden="false" customHeight="true" outlineLevel="0" collapsed="false">
      <c r="A18" s="57" t="n">
        <f aca="false">A17+1</f>
        <v>9</v>
      </c>
      <c r="B18" s="71" t="n">
        <v>6910.04</v>
      </c>
      <c r="C18" s="52" t="n">
        <v>322147</v>
      </c>
      <c r="D18" s="56" t="n">
        <f aca="false">C18-C17</f>
        <v>-40</v>
      </c>
      <c r="E18" s="52" t="n">
        <f aca="false">C18-152000</f>
        <v>170147</v>
      </c>
      <c r="F18" s="51" t="n">
        <f aca="false">D18/$D$2</f>
        <v>-20.1663725737333</v>
      </c>
      <c r="G18" s="51" t="n">
        <v>48</v>
      </c>
      <c r="H18" s="53" t="n">
        <v>0.7</v>
      </c>
      <c r="I18" s="51" t="n">
        <f aca="false">G18+H18</f>
        <v>48.7</v>
      </c>
      <c r="J18" s="78" t="n">
        <f aca="false">IF(L18&gt;0,L18,0)</f>
        <v>0</v>
      </c>
      <c r="K18" s="51" t="n">
        <f aca="false">I18+J18</f>
        <v>48.7</v>
      </c>
      <c r="L18" s="51" t="n">
        <f aca="false">F18-(I18-X18)</f>
        <v>-10.9663725737333</v>
      </c>
      <c r="M18" s="51" t="n">
        <v>4.9</v>
      </c>
      <c r="N18" s="51"/>
      <c r="O18" s="51" t="n">
        <v>0</v>
      </c>
      <c r="P18" s="6" t="n">
        <f aca="false">M18-(N18+O18)</f>
        <v>4.9</v>
      </c>
      <c r="Q18" s="51" t="n">
        <v>0</v>
      </c>
      <c r="R18" s="51" t="n">
        <v>0</v>
      </c>
      <c r="S18" s="51" t="n">
        <f aca="false">SUM(P18:R18)</f>
        <v>4.9</v>
      </c>
      <c r="T18" s="52"/>
      <c r="U18" s="51" t="n">
        <v>0</v>
      </c>
      <c r="V18" s="51" t="n">
        <v>53</v>
      </c>
      <c r="W18" s="52" t="n">
        <f aca="false">W17-45-2</f>
        <v>4619</v>
      </c>
      <c r="X18" s="6" t="n">
        <f aca="false">N18+O18+S18+U18+V18</f>
        <v>57.9</v>
      </c>
      <c r="Y18" s="51" t="n">
        <f aca="false">IF(L18&lt;0,L18*-1,0)</f>
        <v>10.9663725737333</v>
      </c>
      <c r="Z18" s="51" t="n">
        <f aca="false">X18+Y18</f>
        <v>68.8663725737333</v>
      </c>
      <c r="AA18" s="53" t="n">
        <v>0</v>
      </c>
      <c r="AB18" s="79" t="n">
        <v>38</v>
      </c>
      <c r="AC18" s="56" t="n">
        <v>7</v>
      </c>
      <c r="AD18" s="57" t="n">
        <f aca="false">AD17+1</f>
        <v>9</v>
      </c>
    </row>
    <row r="19" customFormat="false" ht="11.1" hidden="false" customHeight="true" outlineLevel="0" collapsed="false">
      <c r="A19" s="57" t="n">
        <f aca="false">A18+1</f>
        <v>10</v>
      </c>
      <c r="B19" s="71" t="n">
        <v>6910.03</v>
      </c>
      <c r="C19" s="52" t="n">
        <v>322107</v>
      </c>
      <c r="D19" s="56" t="n">
        <f aca="false">C19-C18</f>
        <v>-40</v>
      </c>
      <c r="E19" s="52" t="n">
        <f aca="false">C19-152000</f>
        <v>170107</v>
      </c>
      <c r="F19" s="51" t="n">
        <f aca="false">D19/$D$2</f>
        <v>-20.1663725737333</v>
      </c>
      <c r="G19" s="51" t="n">
        <v>50</v>
      </c>
      <c r="H19" s="53" t="n">
        <v>0.68</v>
      </c>
      <c r="I19" s="51" t="n">
        <f aca="false">G19+H19</f>
        <v>50.68</v>
      </c>
      <c r="J19" s="78" t="n">
        <f aca="false">IF(L19&gt;0,L19,0)</f>
        <v>0</v>
      </c>
      <c r="K19" s="51" t="n">
        <f aca="false">I19+J19</f>
        <v>50.68</v>
      </c>
      <c r="L19" s="51" t="n">
        <f aca="false">F19-(I19-X19)</f>
        <v>-13.5463725737333</v>
      </c>
      <c r="M19" s="51" t="n">
        <v>4.3</v>
      </c>
      <c r="N19" s="51"/>
      <c r="O19" s="51" t="n">
        <v>0</v>
      </c>
      <c r="P19" s="6" t="n">
        <f aca="false">M19-(N19+O19)</f>
        <v>4.3</v>
      </c>
      <c r="Q19" s="51" t="n">
        <v>0</v>
      </c>
      <c r="R19" s="51" t="n">
        <v>0</v>
      </c>
      <c r="S19" s="51" t="n">
        <f aca="false">SUM(P19:R19)</f>
        <v>4.3</v>
      </c>
      <c r="T19" s="52"/>
      <c r="U19" s="51" t="n">
        <v>0</v>
      </c>
      <c r="V19" s="51" t="n">
        <v>53</v>
      </c>
      <c r="W19" s="52" t="n">
        <f aca="false">W18-45-2</f>
        <v>4572</v>
      </c>
      <c r="X19" s="6" t="n">
        <f aca="false">N19+O19+S19+U19+V19</f>
        <v>57.3</v>
      </c>
      <c r="Y19" s="51" t="n">
        <f aca="false">IF(L19&lt;0,L19*-1,0)</f>
        <v>13.5463725737333</v>
      </c>
      <c r="Z19" s="51" t="n">
        <f aca="false">X19+Y19</f>
        <v>70.8463725737333</v>
      </c>
      <c r="AA19" s="53" t="n">
        <v>0</v>
      </c>
      <c r="AB19" s="56" t="n">
        <v>40</v>
      </c>
      <c r="AC19" s="56" t="n">
        <v>19</v>
      </c>
      <c r="AD19" s="57" t="n">
        <f aca="false">AD18+1</f>
        <v>10</v>
      </c>
    </row>
    <row r="20" customFormat="false" ht="11.1" hidden="false" customHeight="true" outlineLevel="0" collapsed="false">
      <c r="A20" s="57" t="n">
        <f aca="false">A19+1</f>
        <v>11</v>
      </c>
      <c r="B20" s="71" t="n">
        <v>6910.02</v>
      </c>
      <c r="C20" s="52" t="n">
        <v>322067</v>
      </c>
      <c r="D20" s="56" t="n">
        <f aca="false">C20-C19</f>
        <v>-40</v>
      </c>
      <c r="E20" s="52" t="n">
        <f aca="false">C20-152000</f>
        <v>170067</v>
      </c>
      <c r="F20" s="51" t="n">
        <f aca="false">D20/$D$2</f>
        <v>-20.1663725737333</v>
      </c>
      <c r="G20" s="51" t="n">
        <v>54</v>
      </c>
      <c r="H20" s="53" t="n">
        <v>0.68</v>
      </c>
      <c r="I20" s="51" t="n">
        <f aca="false">G20+H20</f>
        <v>54.68</v>
      </c>
      <c r="J20" s="78" t="n">
        <f aca="false">IF(L20&gt;0,L20,0)</f>
        <v>0</v>
      </c>
      <c r="K20" s="51" t="n">
        <f aca="false">I20+J20</f>
        <v>54.68</v>
      </c>
      <c r="L20" s="51" t="n">
        <f aca="false">F20-(I20-X20)</f>
        <v>-17.7463725737333</v>
      </c>
      <c r="M20" s="51" t="n">
        <v>4.1</v>
      </c>
      <c r="N20" s="51"/>
      <c r="O20" s="51" t="n">
        <v>0</v>
      </c>
      <c r="P20" s="6" t="n">
        <f aca="false">M20-(N20+O20)</f>
        <v>4.1</v>
      </c>
      <c r="Q20" s="51" t="n">
        <v>0</v>
      </c>
      <c r="R20" s="51" t="n">
        <v>0</v>
      </c>
      <c r="S20" s="51" t="n">
        <f aca="false">SUM(P20:R20)</f>
        <v>4.1</v>
      </c>
      <c r="T20" s="52"/>
      <c r="U20" s="51" t="n">
        <v>0</v>
      </c>
      <c r="V20" s="51" t="n">
        <v>53</v>
      </c>
      <c r="W20" s="52" t="n">
        <f aca="false">W19-45-2</f>
        <v>4525</v>
      </c>
      <c r="X20" s="6" t="n">
        <f aca="false">N20+O20+S20+U20+V20</f>
        <v>57.1</v>
      </c>
      <c r="Y20" s="51" t="n">
        <f aca="false">IF(L20&lt;0,L20*-1,0)</f>
        <v>17.7463725737333</v>
      </c>
      <c r="Z20" s="51" t="n">
        <f aca="false">X20+Y20</f>
        <v>74.8463725737333</v>
      </c>
      <c r="AA20" s="53" t="n">
        <v>0</v>
      </c>
      <c r="AB20" s="56" t="n">
        <v>40</v>
      </c>
      <c r="AC20" s="56" t="n">
        <v>20</v>
      </c>
      <c r="AD20" s="57" t="n">
        <f aca="false">AD19+1</f>
        <v>11</v>
      </c>
    </row>
    <row r="21" customFormat="false" ht="11.1" hidden="false" customHeight="true" outlineLevel="0" collapsed="false">
      <c r="A21" s="57" t="n">
        <f aca="false">A20+1</f>
        <v>12</v>
      </c>
      <c r="B21" s="71" t="n">
        <v>6910.01</v>
      </c>
      <c r="C21" s="52" t="n">
        <v>322027</v>
      </c>
      <c r="D21" s="56" t="n">
        <f aca="false">C21-C20</f>
        <v>-40</v>
      </c>
      <c r="E21" s="52" t="n">
        <f aca="false">C21-152000</f>
        <v>170027</v>
      </c>
      <c r="F21" s="51" t="n">
        <f aca="false">D21/$D$2</f>
        <v>-20.1663725737333</v>
      </c>
      <c r="G21" s="51" t="n">
        <v>48</v>
      </c>
      <c r="H21" s="53" t="n">
        <v>0.68</v>
      </c>
      <c r="I21" s="51" t="n">
        <f aca="false">G21+H21</f>
        <v>48.68</v>
      </c>
      <c r="J21" s="78" t="n">
        <f aca="false">IF(L21&gt;0,L21,0)</f>
        <v>0</v>
      </c>
      <c r="K21" s="51" t="n">
        <f aca="false">I21+J21</f>
        <v>48.68</v>
      </c>
      <c r="L21" s="51" t="n">
        <f aca="false">F21-(I21-X21)</f>
        <v>-11.7463725737333</v>
      </c>
      <c r="M21" s="51" t="n">
        <v>4.1</v>
      </c>
      <c r="N21" s="51"/>
      <c r="O21" s="51" t="n">
        <v>0</v>
      </c>
      <c r="P21" s="6" t="n">
        <f aca="false">M21-(N21+O21)</f>
        <v>4.1</v>
      </c>
      <c r="Q21" s="51" t="n">
        <v>0</v>
      </c>
      <c r="R21" s="51" t="n">
        <v>0</v>
      </c>
      <c r="S21" s="51" t="n">
        <f aca="false">SUM(P21:R21)</f>
        <v>4.1</v>
      </c>
      <c r="T21" s="52"/>
      <c r="U21" s="51" t="n">
        <v>0</v>
      </c>
      <c r="V21" s="51" t="n">
        <v>53</v>
      </c>
      <c r="W21" s="52" t="n">
        <f aca="false">W20-45-2</f>
        <v>4478</v>
      </c>
      <c r="X21" s="6" t="n">
        <f aca="false">N21+O21+S21+U21+V21</f>
        <v>57.1</v>
      </c>
      <c r="Y21" s="51" t="n">
        <f aca="false">IF(L21&lt;0,L21*-1,0)</f>
        <v>11.7463725737333</v>
      </c>
      <c r="Z21" s="51" t="n">
        <f aca="false">X21+Y21</f>
        <v>68.8463725737333</v>
      </c>
      <c r="AA21" s="53" t="n">
        <v>0</v>
      </c>
      <c r="AB21" s="56" t="n">
        <v>46</v>
      </c>
      <c r="AC21" s="56" t="n">
        <v>15</v>
      </c>
      <c r="AD21" s="57" t="n">
        <f aca="false">AD20+1</f>
        <v>12</v>
      </c>
    </row>
    <row r="22" customFormat="false" ht="11.1" hidden="false" customHeight="true" outlineLevel="0" collapsed="false">
      <c r="A22" s="57" t="n">
        <f aca="false">A21+1</f>
        <v>13</v>
      </c>
      <c r="B22" s="71" t="n">
        <v>6910</v>
      </c>
      <c r="C22" s="52" t="n">
        <v>321986</v>
      </c>
      <c r="D22" s="56" t="n">
        <f aca="false">C22-C21</f>
        <v>-41</v>
      </c>
      <c r="E22" s="52" t="n">
        <f aca="false">C22-152000</f>
        <v>169986</v>
      </c>
      <c r="F22" s="51" t="n">
        <f aca="false">D22/$D$2</f>
        <v>-20.6705318880766</v>
      </c>
      <c r="G22" s="51" t="n">
        <v>47</v>
      </c>
      <c r="H22" s="53" t="n">
        <v>0.66</v>
      </c>
      <c r="I22" s="51" t="n">
        <f aca="false">G22+H22</f>
        <v>47.66</v>
      </c>
      <c r="J22" s="78" t="n">
        <f aca="false">IF(L22&gt;0,L22,0)</f>
        <v>0</v>
      </c>
      <c r="K22" s="51" t="n">
        <f aca="false">I22+J22</f>
        <v>47.66</v>
      </c>
      <c r="L22" s="51" t="n">
        <f aca="false">F22-(I22-X22)</f>
        <v>-10.9305318880766</v>
      </c>
      <c r="M22" s="51" t="n">
        <v>4.4</v>
      </c>
      <c r="N22" s="51"/>
      <c r="O22" s="51" t="n">
        <v>0</v>
      </c>
      <c r="P22" s="6" t="n">
        <f aca="false">M22-(N22+O22)</f>
        <v>4.4</v>
      </c>
      <c r="Q22" s="51" t="n">
        <v>0</v>
      </c>
      <c r="R22" s="51" t="n">
        <v>0</v>
      </c>
      <c r="S22" s="51" t="n">
        <f aca="false">SUM(P22:R22)</f>
        <v>4.4</v>
      </c>
      <c r="T22" s="52"/>
      <c r="U22" s="51" t="n">
        <v>0</v>
      </c>
      <c r="V22" s="51" t="n">
        <v>53</v>
      </c>
      <c r="W22" s="52" t="n">
        <f aca="false">W21-45-2</f>
        <v>4431</v>
      </c>
      <c r="X22" s="6" t="n">
        <f aca="false">N22+O22+S22+U22+V22</f>
        <v>57.4</v>
      </c>
      <c r="Y22" s="51" t="n">
        <f aca="false">IF(L22&lt;0,L22*-1,0)</f>
        <v>10.9305318880766</v>
      </c>
      <c r="Z22" s="51" t="n">
        <f aca="false">X22+Y22</f>
        <v>68.3305318880766</v>
      </c>
      <c r="AA22" s="53" t="n">
        <v>0.01</v>
      </c>
      <c r="AB22" s="56" t="n">
        <v>40</v>
      </c>
      <c r="AC22" s="56" t="n">
        <v>13</v>
      </c>
      <c r="AD22" s="57" t="n">
        <f aca="false">AD21+1</f>
        <v>13</v>
      </c>
    </row>
    <row r="23" customFormat="false" ht="11.1" hidden="false" customHeight="true" outlineLevel="0" collapsed="false">
      <c r="A23" s="57" t="n">
        <f aca="false">A22+1</f>
        <v>14</v>
      </c>
      <c r="B23" s="71" t="n">
        <v>6909.99</v>
      </c>
      <c r="C23" s="52" t="n">
        <v>321947</v>
      </c>
      <c r="D23" s="56" t="n">
        <f aca="false">C23-C22</f>
        <v>-39</v>
      </c>
      <c r="E23" s="52" t="n">
        <f aca="false">C23-152000</f>
        <v>169947</v>
      </c>
      <c r="F23" s="51" t="n">
        <f aca="false">D23/$D$2</f>
        <v>-19.66221325939</v>
      </c>
      <c r="G23" s="51" t="n">
        <v>50</v>
      </c>
      <c r="H23" s="53" t="n">
        <v>0.64</v>
      </c>
      <c r="I23" s="51" t="n">
        <f aca="false">G23+H23</f>
        <v>50.64</v>
      </c>
      <c r="J23" s="78" t="n">
        <f aca="false">IF(L23&gt;0,L23,0)</f>
        <v>0</v>
      </c>
      <c r="K23" s="51" t="n">
        <f aca="false">I23+J23</f>
        <v>50.64</v>
      </c>
      <c r="L23" s="51" t="n">
        <f aca="false">F23-(I23-X23)</f>
        <v>-12.50221325939</v>
      </c>
      <c r="M23" s="51" t="n">
        <v>4.8</v>
      </c>
      <c r="N23" s="51"/>
      <c r="O23" s="51" t="n">
        <v>0</v>
      </c>
      <c r="P23" s="6" t="n">
        <f aca="false">M23-(N23+O23)</f>
        <v>4.8</v>
      </c>
      <c r="Q23" s="51" t="n">
        <v>0</v>
      </c>
      <c r="R23" s="51" t="n">
        <v>0</v>
      </c>
      <c r="S23" s="51" t="n">
        <f aca="false">SUM(P23:R23)</f>
        <v>4.8</v>
      </c>
      <c r="T23" s="52"/>
      <c r="U23" s="51" t="n">
        <v>0</v>
      </c>
      <c r="V23" s="51" t="n">
        <v>53</v>
      </c>
      <c r="W23" s="52" t="n">
        <f aca="false">W22-45-2</f>
        <v>4384</v>
      </c>
      <c r="X23" s="6" t="n">
        <f aca="false">N23+O23+S23+U23+V23</f>
        <v>57.8</v>
      </c>
      <c r="Y23" s="51" t="n">
        <f aca="false">IF(L23&lt;0,L23*-1,0)</f>
        <v>12.50221325939</v>
      </c>
      <c r="Z23" s="51" t="n">
        <f aca="false">X23+Y23</f>
        <v>70.30221325939</v>
      </c>
      <c r="AA23" s="53" t="n">
        <v>0</v>
      </c>
      <c r="AB23" s="79" t="n">
        <v>25</v>
      </c>
      <c r="AC23" s="56" t="n">
        <v>4</v>
      </c>
      <c r="AD23" s="57" t="n">
        <f aca="false">AD22+1</f>
        <v>14</v>
      </c>
    </row>
    <row r="24" customFormat="false" ht="11.1" hidden="false" customHeight="true" outlineLevel="0" collapsed="false">
      <c r="A24" s="57" t="n">
        <f aca="false">A23+1</f>
        <v>15</v>
      </c>
      <c r="B24" s="71" t="n">
        <v>6909.978</v>
      </c>
      <c r="C24" s="52" t="n">
        <v>321907</v>
      </c>
      <c r="D24" s="56" t="n">
        <f aca="false">C24-C23</f>
        <v>-40</v>
      </c>
      <c r="E24" s="52" t="n">
        <f aca="false">C24-152000</f>
        <v>169907</v>
      </c>
      <c r="F24" s="51" t="n">
        <f aca="false">D24/$D$2</f>
        <v>-20.1663725737333</v>
      </c>
      <c r="G24" s="51" t="n">
        <v>49</v>
      </c>
      <c r="H24" s="53" t="n">
        <v>0.6</v>
      </c>
      <c r="I24" s="51" t="n">
        <f aca="false">G24+H24</f>
        <v>49.6</v>
      </c>
      <c r="J24" s="78" t="n">
        <f aca="false">IF(L24&gt;0,L24,0)</f>
        <v>0</v>
      </c>
      <c r="K24" s="51" t="n">
        <f aca="false">I24+J24</f>
        <v>49.6</v>
      </c>
      <c r="L24" s="51" t="n">
        <f aca="false">F24-(I24-X24)</f>
        <v>-12.1663725737333</v>
      </c>
      <c r="M24" s="51" t="n">
        <v>4.6</v>
      </c>
      <c r="N24" s="51"/>
      <c r="O24" s="51" t="n">
        <v>0</v>
      </c>
      <c r="P24" s="6" t="n">
        <f aca="false">M24-(N24+O24)</f>
        <v>4.6</v>
      </c>
      <c r="Q24" s="51" t="n">
        <v>0</v>
      </c>
      <c r="R24" s="51" t="n">
        <v>0</v>
      </c>
      <c r="S24" s="51" t="n">
        <f aca="false">SUM(P24:R24)</f>
        <v>4.6</v>
      </c>
      <c r="T24" s="52"/>
      <c r="U24" s="51" t="n">
        <v>0</v>
      </c>
      <c r="V24" s="51" t="n">
        <v>53</v>
      </c>
      <c r="W24" s="52" t="n">
        <f aca="false">W23-45-2</f>
        <v>4337</v>
      </c>
      <c r="X24" s="6" t="n">
        <f aca="false">N24+O24+S24+U24+V24</f>
        <v>57.6</v>
      </c>
      <c r="Y24" s="51" t="n">
        <f aca="false">IF(L24&lt;0,L24*-1,0)</f>
        <v>12.1663725737333</v>
      </c>
      <c r="Z24" s="51" t="n">
        <f aca="false">X24+Y24</f>
        <v>69.7663725737333</v>
      </c>
      <c r="AA24" s="53" t="n">
        <v>0</v>
      </c>
      <c r="AB24" s="79" t="n">
        <v>46</v>
      </c>
      <c r="AC24" s="56" t="n">
        <v>3</v>
      </c>
      <c r="AD24" s="57" t="n">
        <f aca="false">AD23+1</f>
        <v>15</v>
      </c>
    </row>
    <row r="25" customFormat="false" ht="11.1" hidden="false" customHeight="true" outlineLevel="0" collapsed="false">
      <c r="A25" s="57" t="n">
        <f aca="false">A24+1</f>
        <v>16</v>
      </c>
      <c r="B25" s="71" t="n">
        <v>6909.97</v>
      </c>
      <c r="C25" s="52" t="n">
        <v>321867</v>
      </c>
      <c r="D25" s="56" t="n">
        <f aca="false">C25-C24</f>
        <v>-40</v>
      </c>
      <c r="E25" s="52" t="n">
        <f aca="false">C25-152000</f>
        <v>169867</v>
      </c>
      <c r="F25" s="51" t="n">
        <f aca="false">D25/$D$2</f>
        <v>-20.1663725737333</v>
      </c>
      <c r="G25" s="51" t="n">
        <v>49</v>
      </c>
      <c r="H25" s="53" t="n">
        <v>0.5</v>
      </c>
      <c r="I25" s="51" t="n">
        <f aca="false">G25+H25</f>
        <v>49.5</v>
      </c>
      <c r="J25" s="78" t="n">
        <f aca="false">IF(L25&gt;0,L25,0)</f>
        <v>0</v>
      </c>
      <c r="K25" s="51" t="n">
        <f aca="false">I25+J25</f>
        <v>49.5</v>
      </c>
      <c r="L25" s="51" t="n">
        <f aca="false">F25-(I25-X25)</f>
        <v>-12.2663725737333</v>
      </c>
      <c r="M25" s="51" t="n">
        <v>4.4</v>
      </c>
      <c r="N25" s="51"/>
      <c r="O25" s="51" t="n">
        <v>0</v>
      </c>
      <c r="P25" s="6" t="n">
        <f aca="false">M25-(N25+O25)</f>
        <v>4.4</v>
      </c>
      <c r="Q25" s="51" t="n">
        <v>0</v>
      </c>
      <c r="R25" s="51" t="n">
        <v>0</v>
      </c>
      <c r="S25" s="51" t="n">
        <f aca="false">SUM(P25:R25)</f>
        <v>4.4</v>
      </c>
      <c r="T25" s="52"/>
      <c r="U25" s="51" t="n">
        <v>0</v>
      </c>
      <c r="V25" s="51" t="n">
        <v>53</v>
      </c>
      <c r="W25" s="52" t="n">
        <f aca="false">W24-45-2</f>
        <v>4290</v>
      </c>
      <c r="X25" s="6" t="n">
        <f aca="false">N25+O25+S25+U25+V25</f>
        <v>57.4</v>
      </c>
      <c r="Y25" s="51" t="n">
        <f aca="false">IF(L25&lt;0,L25*-1,0)</f>
        <v>12.2663725737333</v>
      </c>
      <c r="Z25" s="51" t="n">
        <f aca="false">X25+Y25</f>
        <v>69.6663725737333</v>
      </c>
      <c r="AA25" s="53" t="n">
        <v>0</v>
      </c>
      <c r="AB25" s="79" t="n">
        <v>42</v>
      </c>
      <c r="AC25" s="56" t="n">
        <v>4</v>
      </c>
      <c r="AD25" s="57" t="n">
        <f aca="false">AD24+1</f>
        <v>16</v>
      </c>
    </row>
    <row r="26" customFormat="false" ht="11.1" hidden="false" customHeight="true" outlineLevel="0" collapsed="false">
      <c r="A26" s="57" t="n">
        <f aca="false">A25+1</f>
        <v>17</v>
      </c>
      <c r="B26" s="71" t="n">
        <v>6909.96</v>
      </c>
      <c r="C26" s="52" t="n">
        <v>321827</v>
      </c>
      <c r="D26" s="56" t="n">
        <f aca="false">C26-C25</f>
        <v>-40</v>
      </c>
      <c r="E26" s="52" t="n">
        <f aca="false">C26-152000</f>
        <v>169827</v>
      </c>
      <c r="F26" s="51" t="n">
        <f aca="false">D26/$D$2</f>
        <v>-20.1663725737333</v>
      </c>
      <c r="G26" s="51" t="n">
        <v>50</v>
      </c>
      <c r="H26" s="53" t="n">
        <v>0.49</v>
      </c>
      <c r="I26" s="51" t="n">
        <f aca="false">G26+H26</f>
        <v>50.49</v>
      </c>
      <c r="J26" s="78" t="n">
        <f aca="false">IF(L26&gt;0,L26,0)</f>
        <v>0</v>
      </c>
      <c r="K26" s="51" t="n">
        <f aca="false">I26+J26</f>
        <v>50.49</v>
      </c>
      <c r="L26" s="51" t="n">
        <f aca="false">F26-(I26-X26)</f>
        <v>-13.2563725737333</v>
      </c>
      <c r="M26" s="51" t="n">
        <v>4.4</v>
      </c>
      <c r="N26" s="51"/>
      <c r="O26" s="51" t="n">
        <v>0</v>
      </c>
      <c r="P26" s="6" t="n">
        <f aca="false">M26-(N26+O26)</f>
        <v>4.4</v>
      </c>
      <c r="Q26" s="51" t="n">
        <v>0</v>
      </c>
      <c r="R26" s="51" t="n">
        <v>0</v>
      </c>
      <c r="S26" s="51" t="n">
        <f aca="false">SUM(P26:R26)</f>
        <v>4.4</v>
      </c>
      <c r="T26" s="52"/>
      <c r="U26" s="51" t="n">
        <v>0</v>
      </c>
      <c r="V26" s="51" t="n">
        <v>53</v>
      </c>
      <c r="W26" s="52" t="n">
        <f aca="false">W25-45-2</f>
        <v>4243</v>
      </c>
      <c r="X26" s="6" t="n">
        <f aca="false">N26+O26+S26+U26+V26</f>
        <v>57.4</v>
      </c>
      <c r="Y26" s="51" t="n">
        <f aca="false">IF(L26&lt;0,L26*-1,0)</f>
        <v>13.2563725737333</v>
      </c>
      <c r="Z26" s="51" t="n">
        <f aca="false">X26+Y26</f>
        <v>70.6563725737333</v>
      </c>
      <c r="AA26" s="53" t="n">
        <v>0</v>
      </c>
      <c r="AB26" s="79" t="n">
        <v>44</v>
      </c>
      <c r="AC26" s="56" t="n">
        <v>12</v>
      </c>
      <c r="AD26" s="57" t="n">
        <f aca="false">AD25+1</f>
        <v>17</v>
      </c>
    </row>
    <row r="27" customFormat="false" ht="11.1" hidden="false" customHeight="true" outlineLevel="0" collapsed="false">
      <c r="A27" s="57" t="n">
        <f aca="false">A26+1</f>
        <v>18</v>
      </c>
      <c r="B27" s="71" t="n">
        <v>6909.96</v>
      </c>
      <c r="C27" s="52" t="n">
        <v>321827</v>
      </c>
      <c r="D27" s="56" t="n">
        <f aca="false">C27-C26</f>
        <v>0</v>
      </c>
      <c r="E27" s="52" t="n">
        <f aca="false">C27-152000</f>
        <v>169827</v>
      </c>
      <c r="F27" s="51" t="n">
        <f aca="false">D27/$D$2</f>
        <v>0</v>
      </c>
      <c r="G27" s="51" t="n">
        <v>50</v>
      </c>
      <c r="H27" s="53" t="n">
        <v>0.5</v>
      </c>
      <c r="I27" s="51" t="n">
        <f aca="false">G27+H27</f>
        <v>50.5</v>
      </c>
      <c r="J27" s="78" t="n">
        <f aca="false">IF(L27&gt;0,L27,0)</f>
        <v>6.9</v>
      </c>
      <c r="K27" s="51" t="n">
        <f aca="false">I27+J27</f>
        <v>57.4</v>
      </c>
      <c r="L27" s="51" t="n">
        <f aca="false">F27-(I27-X27)</f>
        <v>6.9</v>
      </c>
      <c r="M27" s="51" t="n">
        <v>4.4</v>
      </c>
      <c r="N27" s="51"/>
      <c r="O27" s="51" t="n">
        <v>0</v>
      </c>
      <c r="P27" s="6" t="n">
        <f aca="false">M27-(N27+O27)</f>
        <v>4.4</v>
      </c>
      <c r="Q27" s="51" t="n">
        <v>0</v>
      </c>
      <c r="R27" s="51" t="n">
        <v>0</v>
      </c>
      <c r="S27" s="51" t="n">
        <f aca="false">SUM(P27:R27)</f>
        <v>4.4</v>
      </c>
      <c r="T27" s="52"/>
      <c r="U27" s="51" t="n">
        <v>0</v>
      </c>
      <c r="V27" s="51" t="n">
        <v>53</v>
      </c>
      <c r="W27" s="52" t="n">
        <f aca="false">W26-45-2</f>
        <v>4196</v>
      </c>
      <c r="X27" s="6" t="n">
        <f aca="false">N27+O27+S27+U27+V27</f>
        <v>57.4</v>
      </c>
      <c r="Y27" s="51" t="n">
        <f aca="false">IF(L27&lt;0,L27*-1,0)</f>
        <v>0</v>
      </c>
      <c r="Z27" s="51" t="n">
        <f aca="false">X27+Y27</f>
        <v>57.4</v>
      </c>
      <c r="AA27" s="53" t="n">
        <v>0</v>
      </c>
      <c r="AB27" s="79" t="n">
        <v>47</v>
      </c>
      <c r="AC27" s="56" t="n">
        <v>22</v>
      </c>
      <c r="AD27" s="57" t="n">
        <f aca="false">AD26+1</f>
        <v>18</v>
      </c>
    </row>
    <row r="28" customFormat="false" ht="11.1" hidden="false" customHeight="true" outlineLevel="0" collapsed="false">
      <c r="A28" s="57" t="n">
        <f aca="false">A27+1</f>
        <v>19</v>
      </c>
      <c r="B28" s="71" t="n">
        <v>6909.95</v>
      </c>
      <c r="C28" s="52" t="n">
        <v>321787</v>
      </c>
      <c r="D28" s="56" t="n">
        <f aca="false">C28-C27</f>
        <v>-40</v>
      </c>
      <c r="E28" s="52" t="n">
        <f aca="false">C28-152000</f>
        <v>169787</v>
      </c>
      <c r="F28" s="51" t="n">
        <f aca="false">D28/$D$2</f>
        <v>-20.1663725737333</v>
      </c>
      <c r="G28" s="51" t="n">
        <v>49</v>
      </c>
      <c r="H28" s="53" t="n">
        <v>0.5</v>
      </c>
      <c r="I28" s="51" t="n">
        <f aca="false">G28+H28</f>
        <v>49.5</v>
      </c>
      <c r="J28" s="78" t="n">
        <f aca="false">IF(L28&gt;0,L28,0)</f>
        <v>0</v>
      </c>
      <c r="K28" s="51" t="n">
        <f aca="false">I28+J28</f>
        <v>49.5</v>
      </c>
      <c r="L28" s="51" t="n">
        <f aca="false">F28-(I28-X28)</f>
        <v>-12.2663725737333</v>
      </c>
      <c r="M28" s="51" t="n">
        <v>4.4</v>
      </c>
      <c r="N28" s="51"/>
      <c r="O28" s="51" t="n">
        <v>0</v>
      </c>
      <c r="P28" s="6" t="n">
        <f aca="false">M28-(N28+O28)</f>
        <v>4.4</v>
      </c>
      <c r="Q28" s="51" t="n">
        <v>0</v>
      </c>
      <c r="R28" s="51" t="n">
        <v>0</v>
      </c>
      <c r="S28" s="51" t="n">
        <f aca="false">SUM(P28:R28)</f>
        <v>4.4</v>
      </c>
      <c r="T28" s="52"/>
      <c r="U28" s="51" t="n">
        <v>0</v>
      </c>
      <c r="V28" s="51" t="n">
        <v>53</v>
      </c>
      <c r="W28" s="52" t="n">
        <f aca="false">W27-45-2</f>
        <v>4149</v>
      </c>
      <c r="X28" s="6" t="n">
        <f aca="false">N28+O28+S28+U28+V28</f>
        <v>57.4</v>
      </c>
      <c r="Y28" s="51" t="n">
        <f aca="false">IF(L28&lt;0,L28*-1,0)</f>
        <v>12.2663725737333</v>
      </c>
      <c r="Z28" s="51" t="n">
        <f aca="false">X28+Y28</f>
        <v>69.6663725737333</v>
      </c>
      <c r="AA28" s="53" t="n">
        <v>0</v>
      </c>
      <c r="AB28" s="79" t="n">
        <v>46</v>
      </c>
      <c r="AC28" s="56" t="n">
        <v>18</v>
      </c>
      <c r="AD28" s="57" t="n">
        <f aca="false">AD27+1</f>
        <v>19</v>
      </c>
    </row>
    <row r="29" customFormat="false" ht="11.1" hidden="false" customHeight="true" outlineLevel="0" collapsed="false">
      <c r="A29" s="57" t="n">
        <f aca="false">A28+1</f>
        <v>20</v>
      </c>
      <c r="B29" s="71" t="n">
        <v>6909.94</v>
      </c>
      <c r="C29" s="52" t="n">
        <v>321748</v>
      </c>
      <c r="D29" s="56" t="n">
        <f aca="false">C29-C28</f>
        <v>-39</v>
      </c>
      <c r="E29" s="52" t="n">
        <f aca="false">C29-152000</f>
        <v>169748</v>
      </c>
      <c r="F29" s="51" t="n">
        <f aca="false">D29/$D$2</f>
        <v>-19.66221325939</v>
      </c>
      <c r="G29" s="51" t="n">
        <v>48</v>
      </c>
      <c r="H29" s="53" t="n">
        <v>0.49</v>
      </c>
      <c r="I29" s="51" t="n">
        <f aca="false">G29+H29</f>
        <v>48.49</v>
      </c>
      <c r="J29" s="78" t="n">
        <f aca="false">IF(L29&gt;0,L29,0)</f>
        <v>0</v>
      </c>
      <c r="K29" s="51" t="n">
        <f aca="false">I29+J29</f>
        <v>48.49</v>
      </c>
      <c r="L29" s="51" t="n">
        <f aca="false">F29-(I29-X29)</f>
        <v>-10.75221325939</v>
      </c>
      <c r="M29" s="51" t="n">
        <v>4.4</v>
      </c>
      <c r="N29" s="51"/>
      <c r="O29" s="51" t="n">
        <v>0</v>
      </c>
      <c r="P29" s="6" t="n">
        <f aca="false">M29-(N29+O29)</f>
        <v>4.4</v>
      </c>
      <c r="Q29" s="51" t="n">
        <v>0</v>
      </c>
      <c r="R29" s="51" t="n">
        <v>0</v>
      </c>
      <c r="S29" s="51" t="n">
        <f aca="false">SUM(P29:R29)</f>
        <v>4.4</v>
      </c>
      <c r="T29" s="52"/>
      <c r="U29" s="51" t="n">
        <v>0</v>
      </c>
      <c r="V29" s="51" t="n">
        <v>53</v>
      </c>
      <c r="W29" s="52" t="n">
        <f aca="false">W28-45-2</f>
        <v>4102</v>
      </c>
      <c r="X29" s="6" t="n">
        <f aca="false">N29+O29+S29+U29+V29</f>
        <v>57.4</v>
      </c>
      <c r="Y29" s="51" t="n">
        <f aca="false">IF(L29&lt;0,L29*-1,0)</f>
        <v>10.75221325939</v>
      </c>
      <c r="Z29" s="51" t="n">
        <f aca="false">X29+Y29</f>
        <v>68.15221325939</v>
      </c>
      <c r="AA29" s="53" t="n">
        <v>0.02</v>
      </c>
      <c r="AB29" s="79" t="n">
        <v>46</v>
      </c>
      <c r="AC29" s="56" t="n">
        <v>14</v>
      </c>
      <c r="AD29" s="57" t="n">
        <f aca="false">AD28+1</f>
        <v>20</v>
      </c>
    </row>
    <row r="30" customFormat="false" ht="11.1" hidden="false" customHeight="true" outlineLevel="0" collapsed="false">
      <c r="A30" s="57" t="n">
        <f aca="false">A29+1</f>
        <v>21</v>
      </c>
      <c r="B30" s="71" t="n">
        <v>6909.94</v>
      </c>
      <c r="C30" s="52" t="n">
        <v>321748</v>
      </c>
      <c r="D30" s="56" t="n">
        <f aca="false">C30-C29</f>
        <v>0</v>
      </c>
      <c r="E30" s="52" t="n">
        <f aca="false">C30-152000</f>
        <v>169748</v>
      </c>
      <c r="F30" s="51" t="n">
        <f aca="false">D30/$D$2</f>
        <v>0</v>
      </c>
      <c r="G30" s="51" t="n">
        <v>48</v>
      </c>
      <c r="H30" s="53" t="n">
        <v>0.46</v>
      </c>
      <c r="I30" s="51" t="n">
        <f aca="false">G30+H30</f>
        <v>48.46</v>
      </c>
      <c r="J30" s="78" t="n">
        <f aca="false">IF(L30&gt;0,L30,0)</f>
        <v>8.94</v>
      </c>
      <c r="K30" s="51" t="n">
        <f aca="false">I30+J30</f>
        <v>57.4</v>
      </c>
      <c r="L30" s="51" t="n">
        <f aca="false">F30-(I30-X30)</f>
        <v>8.94</v>
      </c>
      <c r="M30" s="51" t="n">
        <v>4.4</v>
      </c>
      <c r="N30" s="51"/>
      <c r="O30" s="51" t="n">
        <v>0</v>
      </c>
      <c r="P30" s="6" t="n">
        <f aca="false">M30-(N30+O30)</f>
        <v>4.4</v>
      </c>
      <c r="Q30" s="51" t="n">
        <v>0</v>
      </c>
      <c r="R30" s="51" t="n">
        <v>0</v>
      </c>
      <c r="S30" s="51" t="n">
        <f aca="false">SUM(P30:R30)</f>
        <v>4.4</v>
      </c>
      <c r="T30" s="52"/>
      <c r="U30" s="51" t="n">
        <v>0</v>
      </c>
      <c r="V30" s="51" t="n">
        <v>53</v>
      </c>
      <c r="W30" s="52" t="n">
        <f aca="false">W29-45-2</f>
        <v>4055</v>
      </c>
      <c r="X30" s="6" t="n">
        <f aca="false">N30+O30+S30+U30+V30</f>
        <v>57.4</v>
      </c>
      <c r="Y30" s="51" t="n">
        <f aca="false">IF(L30&lt;0,L30*-1,0)</f>
        <v>0</v>
      </c>
      <c r="Z30" s="51" t="n">
        <f aca="false">X30+Y30</f>
        <v>57.4</v>
      </c>
      <c r="AA30" s="53" t="n">
        <v>0.01</v>
      </c>
      <c r="AB30" s="56" t="n">
        <v>30</v>
      </c>
      <c r="AC30" s="56" t="n">
        <v>10</v>
      </c>
      <c r="AD30" s="57" t="n">
        <f aca="false">AD29+1</f>
        <v>21</v>
      </c>
    </row>
    <row r="31" customFormat="false" ht="11.1" hidden="false" customHeight="true" outlineLevel="0" collapsed="false">
      <c r="A31" s="57" t="n">
        <f aca="false">A30+1</f>
        <v>22</v>
      </c>
      <c r="B31" s="71" t="n">
        <v>6909.93</v>
      </c>
      <c r="C31" s="52" t="n">
        <v>321708</v>
      </c>
      <c r="D31" s="56" t="n">
        <f aca="false">C31-C30</f>
        <v>-40</v>
      </c>
      <c r="E31" s="52" t="n">
        <f aca="false">C31-152000</f>
        <v>169708</v>
      </c>
      <c r="F31" s="51" t="n">
        <f aca="false">D31/$D$2</f>
        <v>-20.1663725737333</v>
      </c>
      <c r="G31" s="51" t="n">
        <v>47</v>
      </c>
      <c r="H31" s="53" t="n">
        <v>0.46</v>
      </c>
      <c r="I31" s="51" t="n">
        <f aca="false">G31+H31</f>
        <v>47.46</v>
      </c>
      <c r="J31" s="78" t="n">
        <f aca="false">IF(L31&gt;0,L31,0)</f>
        <v>0</v>
      </c>
      <c r="K31" s="51" t="n">
        <f aca="false">I31+J31</f>
        <v>47.46</v>
      </c>
      <c r="L31" s="51" t="n">
        <f aca="false">F31-(I31-X31)</f>
        <v>-10.2263725737333</v>
      </c>
      <c r="M31" s="51" t="n">
        <v>4.4</v>
      </c>
      <c r="N31" s="51"/>
      <c r="O31" s="51" t="n">
        <v>0</v>
      </c>
      <c r="P31" s="6" t="n">
        <f aca="false">M31-(N31+O31)</f>
        <v>4.4</v>
      </c>
      <c r="Q31" s="51" t="n">
        <v>0</v>
      </c>
      <c r="R31" s="51" t="n">
        <v>0</v>
      </c>
      <c r="S31" s="51" t="n">
        <f aca="false">SUM(P31:R31)</f>
        <v>4.4</v>
      </c>
      <c r="T31" s="52"/>
      <c r="U31" s="51" t="n">
        <v>0</v>
      </c>
      <c r="V31" s="51" t="n">
        <v>53</v>
      </c>
      <c r="W31" s="52" t="n">
        <f aca="false">W30-45-2</f>
        <v>4008</v>
      </c>
      <c r="X31" s="6" t="n">
        <f aca="false">N31+O31+S31+U31+V31</f>
        <v>57.4</v>
      </c>
      <c r="Y31" s="51" t="n">
        <f aca="false">IF(L31&lt;0,L31*-1,0)</f>
        <v>10.2263725737333</v>
      </c>
      <c r="Z31" s="51" t="n">
        <f aca="false">X31+Y31</f>
        <v>67.6263725737333</v>
      </c>
      <c r="AA31" s="53" t="n">
        <v>0</v>
      </c>
      <c r="AB31" s="56" t="n">
        <v>34</v>
      </c>
      <c r="AC31" s="56" t="n">
        <v>10</v>
      </c>
      <c r="AD31" s="57" t="n">
        <f aca="false">AD30+1</f>
        <v>22</v>
      </c>
    </row>
    <row r="32" customFormat="false" ht="11.1" hidden="false" customHeight="true" outlineLevel="0" collapsed="false">
      <c r="A32" s="57" t="n">
        <f aca="false">A31+1</f>
        <v>23</v>
      </c>
      <c r="B32" s="71" t="n">
        <v>6909.93</v>
      </c>
      <c r="C32" s="52" t="n">
        <v>321708</v>
      </c>
      <c r="D32" s="56" t="n">
        <f aca="false">C32-C31</f>
        <v>0</v>
      </c>
      <c r="E32" s="52" t="n">
        <f aca="false">C32-152000</f>
        <v>169708</v>
      </c>
      <c r="F32" s="51" t="n">
        <f aca="false">D32/$D$2</f>
        <v>0</v>
      </c>
      <c r="G32" s="51" t="n">
        <v>48</v>
      </c>
      <c r="H32" s="53" t="n">
        <v>0.46</v>
      </c>
      <c r="I32" s="51" t="n">
        <f aca="false">G32+H32</f>
        <v>48.46</v>
      </c>
      <c r="J32" s="78" t="n">
        <f aca="false">IF(L32&gt;0,L32,0)</f>
        <v>8.94</v>
      </c>
      <c r="K32" s="51" t="n">
        <f aca="false">I32+J32</f>
        <v>57.4</v>
      </c>
      <c r="L32" s="51" t="n">
        <f aca="false">F32-(I32-X32)</f>
        <v>8.94</v>
      </c>
      <c r="M32" s="51" t="n">
        <v>4.4</v>
      </c>
      <c r="N32" s="51"/>
      <c r="O32" s="51" t="n">
        <v>0</v>
      </c>
      <c r="P32" s="6" t="n">
        <f aca="false">M32-(N32+O32)</f>
        <v>4.4</v>
      </c>
      <c r="Q32" s="51" t="n">
        <v>0</v>
      </c>
      <c r="R32" s="51" t="n">
        <v>0</v>
      </c>
      <c r="S32" s="51" t="n">
        <f aca="false">SUM(P32:R32)</f>
        <v>4.4</v>
      </c>
      <c r="T32" s="52"/>
      <c r="U32" s="51" t="n">
        <v>0</v>
      </c>
      <c r="V32" s="51" t="n">
        <v>53</v>
      </c>
      <c r="W32" s="52" t="n">
        <f aca="false">W31-45-2</f>
        <v>3961</v>
      </c>
      <c r="X32" s="6" t="n">
        <f aca="false">N32+O32+S32+U32+V32</f>
        <v>57.4</v>
      </c>
      <c r="Y32" s="51" t="n">
        <f aca="false">IF(L32&lt;0,L32*-1,0)</f>
        <v>0</v>
      </c>
      <c r="Z32" s="51" t="n">
        <f aca="false">X32+Y32</f>
        <v>57.4</v>
      </c>
      <c r="AA32" s="53" t="n">
        <v>0</v>
      </c>
      <c r="AB32" s="56" t="n">
        <v>52</v>
      </c>
      <c r="AC32" s="79" t="n">
        <v>8</v>
      </c>
      <c r="AD32" s="57" t="n">
        <f aca="false">AD31+1</f>
        <v>23</v>
      </c>
    </row>
    <row r="33" customFormat="false" ht="11.1" hidden="false" customHeight="true" outlineLevel="0" collapsed="false">
      <c r="A33" s="57" t="n">
        <f aca="false">A32+1</f>
        <v>24</v>
      </c>
      <c r="B33" s="71" t="n">
        <v>6909.93</v>
      </c>
      <c r="C33" s="52" t="n">
        <v>321708</v>
      </c>
      <c r="D33" s="56" t="n">
        <f aca="false">C33-C32</f>
        <v>0</v>
      </c>
      <c r="E33" s="52" t="n">
        <f aca="false">C33-152000</f>
        <v>169708</v>
      </c>
      <c r="F33" s="51" t="n">
        <f aca="false">D33/$D$2</f>
        <v>0</v>
      </c>
      <c r="G33" s="51" t="n">
        <v>49</v>
      </c>
      <c r="H33" s="53" t="n">
        <v>0.47</v>
      </c>
      <c r="I33" s="51" t="n">
        <f aca="false">G33+H33</f>
        <v>49.47</v>
      </c>
      <c r="J33" s="78" t="n">
        <f aca="false">IF(L33&gt;0,L33,0)</f>
        <v>7.93</v>
      </c>
      <c r="K33" s="51" t="n">
        <f aca="false">I33+J33</f>
        <v>57.4</v>
      </c>
      <c r="L33" s="51" t="n">
        <f aca="false">F33-(I33-X33)</f>
        <v>7.93</v>
      </c>
      <c r="M33" s="51" t="n">
        <v>4.4</v>
      </c>
      <c r="N33" s="51"/>
      <c r="O33" s="51" t="n">
        <v>0</v>
      </c>
      <c r="P33" s="6" t="n">
        <f aca="false">M33-(N33+O33)</f>
        <v>4.4</v>
      </c>
      <c r="Q33" s="51" t="n">
        <v>0</v>
      </c>
      <c r="R33" s="51" t="n">
        <v>0</v>
      </c>
      <c r="S33" s="51" t="n">
        <f aca="false">SUM(P33:R33)</f>
        <v>4.4</v>
      </c>
      <c r="T33" s="52"/>
      <c r="U33" s="51" t="n">
        <v>0</v>
      </c>
      <c r="V33" s="51" t="n">
        <v>53</v>
      </c>
      <c r="W33" s="52" t="n">
        <f aca="false">W32-45-2</f>
        <v>3914</v>
      </c>
      <c r="X33" s="6" t="n">
        <f aca="false">N33+O33+S33+U33+V33</f>
        <v>57.4</v>
      </c>
      <c r="Y33" s="51" t="n">
        <f aca="false">IF(L33&lt;0,L33*-1,0)</f>
        <v>0</v>
      </c>
      <c r="Z33" s="51" t="n">
        <f aca="false">X33+Y33</f>
        <v>57.4</v>
      </c>
      <c r="AA33" s="53" t="n">
        <v>0</v>
      </c>
      <c r="AB33" s="56" t="n">
        <v>47</v>
      </c>
      <c r="AC33" s="79" t="n">
        <v>12</v>
      </c>
      <c r="AD33" s="57" t="n">
        <f aca="false">AD32+1</f>
        <v>24</v>
      </c>
    </row>
    <row r="34" customFormat="false" ht="11.1" hidden="false" customHeight="true" outlineLevel="0" collapsed="false">
      <c r="A34" s="57" t="n">
        <f aca="false">A33+1</f>
        <v>25</v>
      </c>
      <c r="B34" s="71" t="n">
        <v>6909.93</v>
      </c>
      <c r="C34" s="52" t="n">
        <v>321708</v>
      </c>
      <c r="D34" s="56" t="n">
        <f aca="false">C34-C33</f>
        <v>0</v>
      </c>
      <c r="E34" s="52" t="n">
        <f aca="false">C34-152000</f>
        <v>169708</v>
      </c>
      <c r="F34" s="51" t="n">
        <f aca="false">D34/$D$2</f>
        <v>0</v>
      </c>
      <c r="G34" s="51" t="n">
        <v>50</v>
      </c>
      <c r="H34" s="53" t="n">
        <v>0.46</v>
      </c>
      <c r="I34" s="51" t="n">
        <f aca="false">G34+H34</f>
        <v>50.46</v>
      </c>
      <c r="J34" s="78" t="n">
        <f aca="false">IF(L34&gt;0,L34,0)</f>
        <v>6.94</v>
      </c>
      <c r="K34" s="51" t="n">
        <f aca="false">I34+J34</f>
        <v>57.4</v>
      </c>
      <c r="L34" s="51" t="n">
        <f aca="false">F34-(I34-X34)</f>
        <v>6.94</v>
      </c>
      <c r="M34" s="51" t="n">
        <v>4.4</v>
      </c>
      <c r="N34" s="51"/>
      <c r="O34" s="51" t="n">
        <v>0</v>
      </c>
      <c r="P34" s="6" t="n">
        <f aca="false">M34-(N34+O34)</f>
        <v>4.4</v>
      </c>
      <c r="Q34" s="51" t="n">
        <v>0</v>
      </c>
      <c r="R34" s="51" t="n">
        <v>0</v>
      </c>
      <c r="S34" s="51" t="n">
        <f aca="false">SUM(P34:R34)</f>
        <v>4.4</v>
      </c>
      <c r="T34" s="52"/>
      <c r="U34" s="51" t="n">
        <v>0</v>
      </c>
      <c r="V34" s="51" t="n">
        <v>53</v>
      </c>
      <c r="W34" s="52" t="n">
        <f aca="false">W33-45-2</f>
        <v>3867</v>
      </c>
      <c r="X34" s="6" t="n">
        <f aca="false">N34+O34+S34+U34+V34</f>
        <v>57.4</v>
      </c>
      <c r="Y34" s="51" t="n">
        <f aca="false">IF(L34&lt;0,L34*-1,0)</f>
        <v>0</v>
      </c>
      <c r="Z34" s="51" t="n">
        <f aca="false">X34+Y34</f>
        <v>57.4</v>
      </c>
      <c r="AA34" s="53" t="n">
        <v>0</v>
      </c>
      <c r="AB34" s="56" t="n">
        <v>50</v>
      </c>
      <c r="AC34" s="79" t="n">
        <v>14</v>
      </c>
      <c r="AD34" s="57" t="n">
        <f aca="false">AD33+1</f>
        <v>25</v>
      </c>
    </row>
    <row r="35" customFormat="false" ht="11.1" hidden="false" customHeight="true" outlineLevel="0" collapsed="false">
      <c r="A35" s="57" t="n">
        <f aca="false">A34+1</f>
        <v>26</v>
      </c>
      <c r="B35" s="71" t="n">
        <v>6909.93</v>
      </c>
      <c r="C35" s="52" t="n">
        <v>321708</v>
      </c>
      <c r="D35" s="56" t="n">
        <f aca="false">C35-C34</f>
        <v>0</v>
      </c>
      <c r="E35" s="52" t="n">
        <f aca="false">C35-152000</f>
        <v>169708</v>
      </c>
      <c r="F35" s="51" t="n">
        <f aca="false">D35/$D$2</f>
        <v>0</v>
      </c>
      <c r="G35" s="51" t="n">
        <v>50</v>
      </c>
      <c r="H35" s="53" t="n">
        <v>0.31</v>
      </c>
      <c r="I35" s="51" t="n">
        <f aca="false">G35+H35</f>
        <v>50.31</v>
      </c>
      <c r="J35" s="78" t="n">
        <f aca="false">IF(L35&gt;0,L35,0)</f>
        <v>7.09</v>
      </c>
      <c r="K35" s="51" t="n">
        <f aca="false">I35+J35</f>
        <v>57.4</v>
      </c>
      <c r="L35" s="51" t="n">
        <f aca="false">F35-(I35-X35)</f>
        <v>7.09</v>
      </c>
      <c r="M35" s="51" t="n">
        <v>4.4</v>
      </c>
      <c r="N35" s="51"/>
      <c r="O35" s="51" t="n">
        <v>0</v>
      </c>
      <c r="P35" s="6" t="n">
        <f aca="false">M35-(N35+O35)</f>
        <v>4.4</v>
      </c>
      <c r="Q35" s="51" t="n">
        <v>0</v>
      </c>
      <c r="R35" s="51" t="n">
        <v>0</v>
      </c>
      <c r="S35" s="51" t="n">
        <f aca="false">SUM(P35:R35)</f>
        <v>4.4</v>
      </c>
      <c r="T35" s="52"/>
      <c r="U35" s="51" t="n">
        <v>0</v>
      </c>
      <c r="V35" s="51" t="n">
        <v>53</v>
      </c>
      <c r="W35" s="52" t="n">
        <f aca="false">W34-45-2</f>
        <v>3820</v>
      </c>
      <c r="X35" s="6" t="n">
        <f aca="false">N35+O35+S35+U35+V35</f>
        <v>57.4</v>
      </c>
      <c r="Y35" s="51" t="n">
        <f aca="false">IF(L35&lt;0,L35*-1,0)</f>
        <v>0</v>
      </c>
      <c r="Z35" s="51" t="n">
        <f aca="false">X35+Y35</f>
        <v>57.4</v>
      </c>
      <c r="AA35" s="53" t="n">
        <v>0</v>
      </c>
      <c r="AB35" s="56" t="n">
        <v>50</v>
      </c>
      <c r="AC35" s="56" t="n">
        <v>20</v>
      </c>
      <c r="AD35" s="57" t="n">
        <f aca="false">AD34+1</f>
        <v>26</v>
      </c>
    </row>
    <row r="36" customFormat="false" ht="11.1" hidden="false" customHeight="true" outlineLevel="0" collapsed="false">
      <c r="A36" s="57" t="n">
        <f aca="false">A35+1</f>
        <v>27</v>
      </c>
      <c r="B36" s="71" t="n">
        <v>6909.93</v>
      </c>
      <c r="C36" s="52" t="n">
        <v>321708</v>
      </c>
      <c r="D36" s="56" t="n">
        <f aca="false">C36-C35</f>
        <v>0</v>
      </c>
      <c r="E36" s="52" t="n">
        <f aca="false">C36-152000</f>
        <v>169708</v>
      </c>
      <c r="F36" s="51" t="n">
        <f aca="false">D36/$D$2</f>
        <v>0</v>
      </c>
      <c r="G36" s="51" t="n">
        <v>50</v>
      </c>
      <c r="H36" s="53" t="n">
        <v>0.3</v>
      </c>
      <c r="I36" s="51" t="n">
        <f aca="false">G36+H36</f>
        <v>50.3</v>
      </c>
      <c r="J36" s="78" t="n">
        <f aca="false">IF(L36&gt;0,L36,0)</f>
        <v>7.1</v>
      </c>
      <c r="K36" s="51" t="n">
        <f aca="false">I36+J36</f>
        <v>57.4</v>
      </c>
      <c r="L36" s="51" t="n">
        <f aca="false">F36-(I36-X36)</f>
        <v>7.1</v>
      </c>
      <c r="M36" s="51" t="n">
        <v>4.4</v>
      </c>
      <c r="N36" s="51"/>
      <c r="O36" s="51" t="n">
        <v>0</v>
      </c>
      <c r="P36" s="6" t="n">
        <f aca="false">M36-(N36+O36)</f>
        <v>4.4</v>
      </c>
      <c r="Q36" s="51" t="n">
        <v>0</v>
      </c>
      <c r="R36" s="51" t="n">
        <v>0</v>
      </c>
      <c r="S36" s="51" t="n">
        <f aca="false">SUM(P36:R36)</f>
        <v>4.4</v>
      </c>
      <c r="T36" s="52"/>
      <c r="U36" s="51" t="n">
        <v>0</v>
      </c>
      <c r="V36" s="51" t="n">
        <v>53</v>
      </c>
      <c r="W36" s="52" t="n">
        <f aca="false">W35-45-2</f>
        <v>3773</v>
      </c>
      <c r="X36" s="6" t="n">
        <f aca="false">N36+O36+S36+U36+V36</f>
        <v>57.4</v>
      </c>
      <c r="Y36" s="51" t="n">
        <f aca="false">IF(L36&lt;0,L36*-1,0)</f>
        <v>0</v>
      </c>
      <c r="Z36" s="51" t="n">
        <f aca="false">X36+Y36</f>
        <v>57.4</v>
      </c>
      <c r="AA36" s="53" t="n">
        <v>0</v>
      </c>
      <c r="AB36" s="56" t="n">
        <v>52</v>
      </c>
      <c r="AC36" s="56" t="n">
        <v>16</v>
      </c>
      <c r="AD36" s="57" t="n">
        <f aca="false">AD35+1</f>
        <v>27</v>
      </c>
    </row>
    <row r="37" customFormat="false" ht="11.1" hidden="false" customHeight="true" outlineLevel="0" collapsed="false">
      <c r="A37" s="57" t="n">
        <f aca="false">A36+1</f>
        <v>28</v>
      </c>
      <c r="B37" s="71" t="n">
        <v>6909.93</v>
      </c>
      <c r="C37" s="52" t="n">
        <v>321708</v>
      </c>
      <c r="D37" s="56" t="n">
        <f aca="false">C37-C36</f>
        <v>0</v>
      </c>
      <c r="E37" s="52" t="n">
        <f aca="false">C37-152000</f>
        <v>169708</v>
      </c>
      <c r="F37" s="51" t="n">
        <f aca="false">D37/$D$2</f>
        <v>0</v>
      </c>
      <c r="G37" s="51" t="n">
        <v>51</v>
      </c>
      <c r="H37" s="53" t="n">
        <v>0.29</v>
      </c>
      <c r="I37" s="51" t="n">
        <f aca="false">G37+H37</f>
        <v>51.29</v>
      </c>
      <c r="J37" s="78" t="n">
        <f aca="false">IF(L37&gt;0,L37,0)</f>
        <v>6.11</v>
      </c>
      <c r="K37" s="51" t="n">
        <f aca="false">I37+J37</f>
        <v>57.4</v>
      </c>
      <c r="L37" s="51" t="n">
        <f aca="false">F37-(I37-X37)</f>
        <v>6.11</v>
      </c>
      <c r="M37" s="51" t="n">
        <v>4.4</v>
      </c>
      <c r="N37" s="51"/>
      <c r="O37" s="51" t="n">
        <v>0</v>
      </c>
      <c r="P37" s="6" t="n">
        <f aca="false">M37-(N37+O37)</f>
        <v>4.4</v>
      </c>
      <c r="Q37" s="51" t="n">
        <v>0</v>
      </c>
      <c r="R37" s="51" t="n">
        <v>0</v>
      </c>
      <c r="S37" s="51" t="n">
        <f aca="false">SUM(P37:R37)</f>
        <v>4.4</v>
      </c>
      <c r="T37" s="52"/>
      <c r="U37" s="51" t="n">
        <v>0</v>
      </c>
      <c r="V37" s="51" t="n">
        <v>53</v>
      </c>
      <c r="W37" s="52" t="n">
        <f aca="false">W36-45-2</f>
        <v>3726</v>
      </c>
      <c r="X37" s="6" t="n">
        <f aca="false">N37+O37+S37+U37+V37</f>
        <v>57.4</v>
      </c>
      <c r="Y37" s="51" t="n">
        <f aca="false">IF(L37&lt;0,L37*-1,0)</f>
        <v>0</v>
      </c>
      <c r="Z37" s="51" t="n">
        <f aca="false">X37+Y37</f>
        <v>57.4</v>
      </c>
      <c r="AA37" s="53" t="n">
        <v>0</v>
      </c>
      <c r="AB37" s="56" t="n">
        <v>56</v>
      </c>
      <c r="AC37" s="56" t="n">
        <v>16</v>
      </c>
      <c r="AD37" s="57" t="n">
        <f aca="false">AD36+1</f>
        <v>28</v>
      </c>
    </row>
    <row r="38" customFormat="false" ht="11.1" hidden="false" customHeight="true" outlineLevel="0" collapsed="false">
      <c r="A38" s="57" t="n">
        <f aca="false">A37+1</f>
        <v>29</v>
      </c>
      <c r="B38" s="71" t="n">
        <v>6909.93</v>
      </c>
      <c r="C38" s="52" t="n">
        <v>321708</v>
      </c>
      <c r="D38" s="56" t="n">
        <f aca="false">C38-C37</f>
        <v>0</v>
      </c>
      <c r="E38" s="52" t="n">
        <f aca="false">C38-152000</f>
        <v>169708</v>
      </c>
      <c r="F38" s="51" t="n">
        <f aca="false">D38/$D$2</f>
        <v>0</v>
      </c>
      <c r="G38" s="51" t="n">
        <v>50</v>
      </c>
      <c r="H38" s="53" t="n">
        <v>0.28</v>
      </c>
      <c r="I38" s="51" t="n">
        <f aca="false">G38+H38</f>
        <v>50.28</v>
      </c>
      <c r="J38" s="78" t="n">
        <f aca="false">IF(L38&gt;0,L38,0)</f>
        <v>7.12</v>
      </c>
      <c r="K38" s="51" t="n">
        <f aca="false">I38+J38</f>
        <v>57.4</v>
      </c>
      <c r="L38" s="51" t="n">
        <f aca="false">F38-(I38-X38)</f>
        <v>7.12</v>
      </c>
      <c r="M38" s="51" t="n">
        <v>4.4</v>
      </c>
      <c r="N38" s="51"/>
      <c r="O38" s="51" t="n">
        <v>0</v>
      </c>
      <c r="P38" s="6" t="n">
        <f aca="false">M38-(N38+O38)</f>
        <v>4.4</v>
      </c>
      <c r="Q38" s="51" t="n">
        <v>0</v>
      </c>
      <c r="R38" s="51" t="n">
        <v>0</v>
      </c>
      <c r="S38" s="51" t="n">
        <f aca="false">SUM(P38:R38)</f>
        <v>4.4</v>
      </c>
      <c r="T38" s="52"/>
      <c r="U38" s="51" t="n">
        <v>0</v>
      </c>
      <c r="V38" s="51" t="n">
        <v>53</v>
      </c>
      <c r="W38" s="52" t="n">
        <f aca="false">W37-45-2</f>
        <v>3679</v>
      </c>
      <c r="X38" s="6" t="n">
        <f aca="false">N38+O38+S38+U38+V38</f>
        <v>57.4</v>
      </c>
      <c r="Y38" s="51" t="n">
        <f aca="false">IF(L38&lt;0,L38*-1,0)</f>
        <v>0</v>
      </c>
      <c r="Z38" s="51" t="n">
        <f aca="false">X38+Y38</f>
        <v>57.4</v>
      </c>
      <c r="AA38" s="53" t="n">
        <v>0</v>
      </c>
      <c r="AB38" s="79" t="n">
        <v>49</v>
      </c>
      <c r="AC38" s="56" t="n">
        <v>20</v>
      </c>
      <c r="AD38" s="57" t="n">
        <f aca="false">AD37+1</f>
        <v>29</v>
      </c>
    </row>
    <row r="39" customFormat="false" ht="11.1" hidden="false" customHeight="true" outlineLevel="0" collapsed="false">
      <c r="A39" s="57" t="n">
        <v>30</v>
      </c>
      <c r="B39" s="71" t="n">
        <v>6909.93</v>
      </c>
      <c r="C39" s="52" t="n">
        <v>321708</v>
      </c>
      <c r="D39" s="56" t="n">
        <f aca="false">C39-C38</f>
        <v>0</v>
      </c>
      <c r="E39" s="52" t="n">
        <f aca="false">C39-152000</f>
        <v>169708</v>
      </c>
      <c r="F39" s="51" t="n">
        <f aca="false">D39/$D$2</f>
        <v>0</v>
      </c>
      <c r="G39" s="51" t="n">
        <v>49</v>
      </c>
      <c r="H39" s="53" t="n">
        <v>0.38</v>
      </c>
      <c r="I39" s="51" t="n">
        <f aca="false">G39+H39</f>
        <v>49.38</v>
      </c>
      <c r="J39" s="78" t="n">
        <f aca="false">IF(L39&gt;0,L39,0)</f>
        <v>8.02</v>
      </c>
      <c r="K39" s="51" t="n">
        <f aca="false">I39+J39</f>
        <v>57.4</v>
      </c>
      <c r="L39" s="51" t="n">
        <f aca="false">F39-(I39-X39)</f>
        <v>8.02</v>
      </c>
      <c r="M39" s="51" t="n">
        <v>4.4</v>
      </c>
      <c r="N39" s="51"/>
      <c r="O39" s="51" t="n">
        <v>0</v>
      </c>
      <c r="P39" s="6" t="n">
        <f aca="false">M39-(N39+O39)</f>
        <v>4.4</v>
      </c>
      <c r="Q39" s="51" t="n">
        <v>0</v>
      </c>
      <c r="R39" s="51" t="n">
        <v>0</v>
      </c>
      <c r="S39" s="51" t="n">
        <f aca="false">SUM(P39:R39)</f>
        <v>4.4</v>
      </c>
      <c r="T39" s="52"/>
      <c r="U39" s="51" t="n">
        <v>0</v>
      </c>
      <c r="V39" s="51" t="n">
        <v>53</v>
      </c>
      <c r="W39" s="52" t="n">
        <f aca="false">W38-45-2</f>
        <v>3632</v>
      </c>
      <c r="X39" s="6" t="n">
        <f aca="false">N39+O39+S39+U39+V39</f>
        <v>57.4</v>
      </c>
      <c r="Y39" s="51" t="n">
        <f aca="false">IF(L39&lt;0,L39*-1,0)</f>
        <v>0</v>
      </c>
      <c r="Z39" s="51" t="n">
        <f aca="false">X39+Y39</f>
        <v>57.4</v>
      </c>
      <c r="AA39" s="53" t="n">
        <v>0</v>
      </c>
      <c r="AB39" s="79" t="n">
        <v>48</v>
      </c>
      <c r="AC39" s="56" t="n">
        <v>18</v>
      </c>
      <c r="AD39" s="57" t="n">
        <v>30</v>
      </c>
    </row>
    <row r="40" customFormat="false" ht="11.1" hidden="false" customHeight="true" outlineLevel="0" collapsed="false">
      <c r="A40" s="57" t="n">
        <v>31</v>
      </c>
      <c r="B40" s="71" t="n">
        <v>6909.93</v>
      </c>
      <c r="C40" s="52" t="n">
        <v>321708</v>
      </c>
      <c r="D40" s="56" t="n">
        <f aca="false">C40-C39</f>
        <v>0</v>
      </c>
      <c r="E40" s="52" t="n">
        <f aca="false">C40-152000</f>
        <v>169708</v>
      </c>
      <c r="F40" s="51" t="n">
        <f aca="false">D40/$D$2</f>
        <v>0</v>
      </c>
      <c r="G40" s="51" t="n">
        <v>50</v>
      </c>
      <c r="H40" s="53" t="n">
        <v>0.58</v>
      </c>
      <c r="I40" s="51" t="n">
        <f aca="false">G40+H40</f>
        <v>50.58</v>
      </c>
      <c r="J40" s="78" t="n">
        <f aca="false">IF(L40&gt;0,L40,0)</f>
        <v>6.82</v>
      </c>
      <c r="K40" s="51" t="n">
        <f aca="false">I40+J40</f>
        <v>57.4</v>
      </c>
      <c r="L40" s="51" t="n">
        <f aca="false">F40-(I40-X40)</f>
        <v>6.82</v>
      </c>
      <c r="M40" s="51" t="n">
        <v>4.4</v>
      </c>
      <c r="N40" s="51"/>
      <c r="O40" s="51" t="n">
        <v>0</v>
      </c>
      <c r="P40" s="6" t="n">
        <f aca="false">M40-(N40+O40)</f>
        <v>4.4</v>
      </c>
      <c r="Q40" s="51" t="n">
        <v>0</v>
      </c>
      <c r="R40" s="51" t="n">
        <v>0</v>
      </c>
      <c r="S40" s="51" t="n">
        <f aca="false">SUM(P40:R40)</f>
        <v>4.4</v>
      </c>
      <c r="T40" s="52"/>
      <c r="U40" s="51" t="n">
        <v>0</v>
      </c>
      <c r="V40" s="51" t="n">
        <v>53</v>
      </c>
      <c r="W40" s="52" t="n">
        <f aca="false">W39-45-2</f>
        <v>3585</v>
      </c>
      <c r="X40" s="6" t="n">
        <f aca="false">N40+O40+S40+U40+V40</f>
        <v>57.4</v>
      </c>
      <c r="Y40" s="51" t="n">
        <f aca="false">IF(L40&lt;0,L40*-1,0)</f>
        <v>0</v>
      </c>
      <c r="Z40" s="51" t="n">
        <f aca="false">X40+Y40</f>
        <v>57.4</v>
      </c>
      <c r="AA40" s="53" t="n">
        <v>0.28</v>
      </c>
      <c r="AB40" s="79" t="n">
        <v>51</v>
      </c>
      <c r="AC40" s="56" t="n">
        <v>17</v>
      </c>
      <c r="AD40" s="57" t="n">
        <v>31</v>
      </c>
    </row>
    <row r="41" customFormat="false" ht="3" hidden="false" customHeight="true" outlineLevel="0" collapsed="false">
      <c r="A41" s="72"/>
      <c r="B41" s="72"/>
      <c r="C41" s="74"/>
      <c r="D41" s="72"/>
      <c r="E41" s="74"/>
      <c r="F41" s="72"/>
      <c r="G41" s="72"/>
      <c r="H41" s="75"/>
      <c r="I41" s="72"/>
      <c r="J41" s="72"/>
      <c r="K41" s="72"/>
      <c r="L41" s="80"/>
      <c r="M41" s="80"/>
      <c r="N41" s="80"/>
      <c r="O41" s="72"/>
      <c r="P41" s="72"/>
      <c r="Q41" s="72"/>
      <c r="R41" s="72"/>
      <c r="S41" s="72"/>
      <c r="T41" s="74"/>
      <c r="U41" s="72"/>
      <c r="V41" s="80"/>
      <c r="W41" s="72"/>
      <c r="X41" s="72"/>
      <c r="Y41" s="72"/>
      <c r="Z41" s="72"/>
      <c r="AA41" s="75"/>
      <c r="AB41" s="76"/>
      <c r="AC41" s="76"/>
      <c r="AD41" s="77"/>
    </row>
    <row r="42" customFormat="false" ht="11.1" hidden="false" customHeight="true" outlineLevel="0" collapsed="false">
      <c r="A42" s="51" t="s">
        <v>46</v>
      </c>
      <c r="B42" s="51"/>
      <c r="C42" s="52"/>
      <c r="D42" s="52"/>
      <c r="E42" s="52"/>
      <c r="F42" s="52" t="n">
        <f aca="false">SUM(F10:F40)</f>
        <v>-383.161078900933</v>
      </c>
      <c r="G42" s="52" t="n">
        <f aca="false">SUM(G10:G40)</f>
        <v>1557</v>
      </c>
      <c r="H42" s="53" t="n">
        <f aca="false">SUM(H10:H40)</f>
        <v>18.33</v>
      </c>
      <c r="I42" s="52" t="n">
        <f aca="false">SUM(I10:I40)</f>
        <v>1575.33</v>
      </c>
      <c r="J42" s="52" t="n">
        <f aca="false">SUM(J10:J40)</f>
        <v>82.06</v>
      </c>
      <c r="K42" s="52" t="n">
        <f aca="false">SUM(K10:K40)</f>
        <v>1657.39</v>
      </c>
      <c r="L42" s="52" t="n">
        <f aca="false">SUM(L10:L40)</f>
        <v>-162.721078900933</v>
      </c>
      <c r="M42" s="52" t="n">
        <f aca="false">SUM(M10:M40)</f>
        <v>133.8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133.8</v>
      </c>
      <c r="Q42" s="52" t="n">
        <f aca="false">SUM(Q10:Q40)</f>
        <v>0</v>
      </c>
      <c r="R42" s="52" t="n">
        <f aca="false">SUM(R10:R40)</f>
        <v>0</v>
      </c>
      <c r="S42" s="52" t="n">
        <f aca="false">SUM(S10:S40)</f>
        <v>133.8</v>
      </c>
      <c r="T42" s="52"/>
      <c r="U42" s="52" t="n">
        <f aca="false">SUM(U10:U40)</f>
        <v>0</v>
      </c>
      <c r="V42" s="52" t="n">
        <f aca="false">SUM(V10:V40)</f>
        <v>1661.97</v>
      </c>
      <c r="W42" s="52"/>
      <c r="X42" s="52" t="n">
        <f aca="false">SUM(X10:X40)</f>
        <v>1795.77</v>
      </c>
      <c r="Y42" s="52" t="n">
        <f aca="false">SUM(Y10:Y40)</f>
        <v>244.781078900933</v>
      </c>
      <c r="Z42" s="52" t="n">
        <f aca="false">SUM(Z10:Z40)</f>
        <v>2040.55107890093</v>
      </c>
      <c r="AA42" s="53" t="n">
        <f aca="false">SUM(AA10:AA40)</f>
        <v>0.33</v>
      </c>
      <c r="AB42" s="56" t="n">
        <f aca="false">AVERAGE(AB10:AB40)</f>
        <v>44.4838709677419</v>
      </c>
      <c r="AC42" s="56" t="n">
        <f aca="false">AVERAGE(AC10:AC40)</f>
        <v>15.0967741935484</v>
      </c>
      <c r="AD42" s="57" t="s">
        <v>47</v>
      </c>
    </row>
    <row r="43" customFormat="false" ht="11.1" hidden="false" customHeight="true" outlineLevel="0" collapsed="false">
      <c r="A43" s="51" t="s">
        <v>48</v>
      </c>
      <c r="B43" s="51"/>
      <c r="C43" s="52"/>
      <c r="D43" s="52" t="n">
        <f aca="false">SUM(D10:D40)</f>
        <v>-760</v>
      </c>
      <c r="E43" s="52"/>
      <c r="F43" s="52" t="n">
        <f aca="false">F42*$D$2</f>
        <v>-760</v>
      </c>
      <c r="G43" s="52" t="n">
        <f aca="false">G42*$D$2</f>
        <v>3088.3095</v>
      </c>
      <c r="H43" s="53" t="n">
        <f aca="false">H42*$D$2</f>
        <v>36.357555</v>
      </c>
      <c r="I43" s="52" t="n">
        <f aca="false">I42*$D$2</f>
        <v>3124.667055</v>
      </c>
      <c r="J43" s="52" t="n">
        <f aca="false">J42*$D$2</f>
        <v>162.76601</v>
      </c>
      <c r="K43" s="52" t="n">
        <f aca="false">K42*$D$2</f>
        <v>3287.433065</v>
      </c>
      <c r="L43" s="52" t="n">
        <f aca="false">L42*$D$2</f>
        <v>-322.75726</v>
      </c>
      <c r="M43" s="52" t="n">
        <f aca="false">M42*$D$2</f>
        <v>265.3923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265.3923</v>
      </c>
      <c r="Q43" s="52" t="n">
        <f aca="false">Q42*$D$2</f>
        <v>0</v>
      </c>
      <c r="R43" s="52" t="n">
        <f aca="false">R42*$D$2</f>
        <v>0</v>
      </c>
      <c r="S43" s="52" t="n">
        <f aca="false">S42*$D$2</f>
        <v>265.3923</v>
      </c>
      <c r="T43" s="52"/>
      <c r="U43" s="52" t="n">
        <f aca="false">U42*$D$2</f>
        <v>0</v>
      </c>
      <c r="V43" s="52" t="n">
        <f aca="false">V42*$D$2</f>
        <v>3296.517495</v>
      </c>
      <c r="W43" s="52"/>
      <c r="X43" s="52" t="n">
        <f aca="false">X42*$D$2</f>
        <v>3561.909795</v>
      </c>
      <c r="Y43" s="52" t="n">
        <f aca="false">Y42*$D$2</f>
        <v>485.52327</v>
      </c>
      <c r="Z43" s="52" t="n">
        <f aca="false">Z42*$D$2</f>
        <v>4047.433065</v>
      </c>
      <c r="AA43" s="53"/>
      <c r="AB43" s="56" t="n">
        <f aca="false">MAX(AB10:AB40)</f>
        <v>60</v>
      </c>
      <c r="AC43" s="56" t="n">
        <f aca="false">MAX(AC10:AC40)</f>
        <v>31</v>
      </c>
      <c r="AD43" s="57" t="s">
        <v>49</v>
      </c>
    </row>
    <row r="44" customFormat="false" ht="3" hidden="false" customHeight="true" outlineLevel="0" collapsed="false">
      <c r="A44" s="72"/>
      <c r="B44" s="72"/>
      <c r="C44" s="74"/>
      <c r="D44" s="74"/>
      <c r="E44" s="74"/>
      <c r="F44" s="74"/>
      <c r="G44" s="74"/>
      <c r="H44" s="75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2"/>
      <c r="X44" s="74"/>
      <c r="Y44" s="74"/>
      <c r="Z44" s="74"/>
      <c r="AA44" s="53"/>
      <c r="AB44" s="56"/>
      <c r="AC44" s="56"/>
      <c r="AD44" s="57"/>
    </row>
    <row r="45" customFormat="false" ht="11.1" hidden="false" customHeight="true" outlineLevel="0" collapsed="false">
      <c r="A45" s="51" t="s">
        <v>50</v>
      </c>
      <c r="B45" s="51"/>
      <c r="C45" s="52"/>
      <c r="D45" s="52"/>
      <c r="E45" s="52"/>
      <c r="F45" s="52"/>
      <c r="G45" s="52"/>
      <c r="H45" s="53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3"/>
      <c r="AB45" s="56" t="n">
        <f aca="false">MIN(AB10:AB40)</f>
        <v>25</v>
      </c>
      <c r="AC45" s="56" t="n">
        <f aca="false">MIN(AC10:AC40)</f>
        <v>3</v>
      </c>
      <c r="AD45" s="57" t="s">
        <v>51</v>
      </c>
    </row>
    <row r="46" customFormat="false" ht="11.1" hidden="false" customHeight="true" outlineLevel="0" collapsed="false">
      <c r="A46" s="51" t="s">
        <v>52</v>
      </c>
      <c r="B46" s="51"/>
      <c r="C46" s="52"/>
      <c r="D46" s="52"/>
      <c r="E46" s="52"/>
      <c r="F46" s="52"/>
      <c r="G46" s="52"/>
      <c r="H46" s="53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3"/>
      <c r="AB46" s="56"/>
      <c r="AC46" s="56"/>
      <c r="AD46" s="57"/>
    </row>
    <row r="47" customFormat="false" ht="3" hidden="false" customHeight="true" outlineLevel="0" collapsed="false">
      <c r="A47" s="72"/>
      <c r="B47" s="72"/>
      <c r="C47" s="74"/>
      <c r="D47" s="74"/>
      <c r="E47" s="74"/>
      <c r="F47" s="74"/>
      <c r="G47" s="74"/>
      <c r="H47" s="75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5"/>
      <c r="AB47" s="56"/>
      <c r="AC47" s="56"/>
      <c r="AD47" s="57"/>
    </row>
    <row r="48" customFormat="false" ht="11.1" hidden="false" customHeight="true" outlineLevel="0" collapsed="false">
      <c r="A48" s="51" t="s">
        <v>53</v>
      </c>
      <c r="B48" s="51"/>
      <c r="C48" s="52"/>
      <c r="D48" s="52"/>
      <c r="E48" s="52"/>
      <c r="F48" s="52" t="n">
        <f aca="false">F8+F42</f>
        <v>-4019.15805394505</v>
      </c>
      <c r="G48" s="52" t="n">
        <f aca="false">G8+G42</f>
        <v>3162</v>
      </c>
      <c r="H48" s="53" t="n">
        <f aca="false">H8+H42</f>
        <v>47.06</v>
      </c>
      <c r="I48" s="52" t="n">
        <f aca="false">I8+I42</f>
        <v>3209.06</v>
      </c>
      <c r="J48" s="52" t="n">
        <f aca="false">J8+J42</f>
        <v>316.758520292412</v>
      </c>
      <c r="K48" s="52" t="n">
        <f aca="false">K8+K42</f>
        <v>3525.81852029241</v>
      </c>
      <c r="L48" s="52" t="n">
        <f aca="false">L8+L42</f>
        <v>-150.348053945047</v>
      </c>
      <c r="M48" s="52" t="n">
        <f aca="false">M8+M42</f>
        <v>1661.9</v>
      </c>
      <c r="N48" s="52" t="n">
        <f aca="false">N8+N42</f>
        <v>0</v>
      </c>
      <c r="O48" s="52" t="n">
        <f aca="false">O8+O42</f>
        <v>441.3405</v>
      </c>
      <c r="P48" s="52" t="n">
        <f aca="false">P8+P42</f>
        <v>1220.5595</v>
      </c>
      <c r="Q48" s="52" t="n">
        <f aca="false">Q8+Q42</f>
        <v>1044</v>
      </c>
      <c r="R48" s="52" t="n">
        <f aca="false">R8+R42</f>
        <v>560</v>
      </c>
      <c r="S48" s="52" t="n">
        <f aca="false">S8+S42</f>
        <v>2824.5595</v>
      </c>
      <c r="T48" s="52"/>
      <c r="U48" s="52" t="n">
        <f aca="false">U8+U42</f>
        <v>0</v>
      </c>
      <c r="V48" s="52" t="n">
        <f aca="false">V8+V42</f>
        <v>3811.97</v>
      </c>
      <c r="W48" s="52" t="n">
        <f aca="false">W40</f>
        <v>3585</v>
      </c>
      <c r="X48" s="52" t="n">
        <f aca="false">X8+X42</f>
        <v>7077.87</v>
      </c>
      <c r="Y48" s="52" t="n">
        <f aca="false">Y8+Y42</f>
        <v>467.106574237459</v>
      </c>
      <c r="Z48" s="52" t="n">
        <f aca="false">Z8+Z42</f>
        <v>7544.97657423746</v>
      </c>
      <c r="AA48" s="53" t="n">
        <f aca="false">AA8+AA42</f>
        <v>0.38</v>
      </c>
      <c r="AB48" s="56"/>
      <c r="AC48" s="56"/>
      <c r="AD48" s="57"/>
    </row>
    <row r="49" customFormat="false" ht="11.1" hidden="false" customHeight="true" outlineLevel="0" collapsed="false">
      <c r="A49" s="51" t="s">
        <v>54</v>
      </c>
      <c r="B49" s="51"/>
      <c r="C49" s="52"/>
      <c r="D49" s="52" t="n">
        <f aca="false">D8+D43</f>
        <v>-7972</v>
      </c>
      <c r="E49" s="52" t="n">
        <f aca="false">E40</f>
        <v>169708</v>
      </c>
      <c r="F49" s="52" t="n">
        <f aca="false">F48*$D$2</f>
        <v>-7972</v>
      </c>
      <c r="G49" s="52" t="n">
        <f aca="false">G48*$D$2</f>
        <v>6271.827</v>
      </c>
      <c r="H49" s="53" t="n">
        <f aca="false">H48*$D$2</f>
        <v>93.34351</v>
      </c>
      <c r="I49" s="52" t="n">
        <f aca="false">I48*$D$2</f>
        <v>6365.17051</v>
      </c>
      <c r="J49" s="52" t="n">
        <f aca="false">J48*$D$2</f>
        <v>628.290525</v>
      </c>
      <c r="K49" s="52" t="n">
        <f aca="false">K48*$D$2</f>
        <v>6993.461035</v>
      </c>
      <c r="L49" s="52" t="n">
        <f aca="false">L48*$D$2</f>
        <v>-298.215365</v>
      </c>
      <c r="M49" s="52" t="n">
        <f aca="false">M48*$D$2</f>
        <v>3296.37865</v>
      </c>
      <c r="N49" s="52" t="n">
        <f aca="false">N48*$D$2</f>
        <v>0</v>
      </c>
      <c r="O49" s="52" t="n">
        <f aca="false">O48*$D$2</f>
        <v>875.39888175</v>
      </c>
      <c r="P49" s="52" t="n">
        <f aca="false">P48*$D$2</f>
        <v>2420.97976825</v>
      </c>
      <c r="Q49" s="52" t="n">
        <f aca="false">Q48*$D$2</f>
        <v>2070.774</v>
      </c>
      <c r="R49" s="52" t="n">
        <f aca="false">R48*$D$2</f>
        <v>1110.76</v>
      </c>
      <c r="S49" s="52" t="n">
        <f aca="false">S48*$D$2</f>
        <v>5602.51376825</v>
      </c>
      <c r="T49" s="52" t="n">
        <f aca="false">T48*$D$2</f>
        <v>0</v>
      </c>
      <c r="U49" s="52" t="n">
        <f aca="false">U48*$D$2</f>
        <v>0</v>
      </c>
      <c r="V49" s="52" t="n">
        <f aca="false">V48*$D$2</f>
        <v>7561.042495</v>
      </c>
      <c r="W49" s="52" t="n">
        <f aca="false">W40*$D$2</f>
        <v>7110.8475</v>
      </c>
      <c r="X49" s="52" t="n">
        <f aca="false">X48*$D$2</f>
        <v>14038.955145</v>
      </c>
      <c r="Y49" s="52" t="n">
        <f aca="false">Y48*$D$2</f>
        <v>926.50589</v>
      </c>
      <c r="Z49" s="52" t="n">
        <f aca="false">Z48*$D$2</f>
        <v>14965.461035</v>
      </c>
      <c r="AA49" s="53"/>
      <c r="AB49" s="56"/>
      <c r="AC49" s="56"/>
      <c r="AD49" s="57"/>
    </row>
    <row r="50" customFormat="false" ht="3" hidden="false" customHeight="true" outlineLevel="0" collapsed="false">
      <c r="A50" s="72"/>
      <c r="B50" s="72"/>
      <c r="C50" s="74"/>
      <c r="D50" s="72"/>
      <c r="E50" s="74"/>
      <c r="F50" s="72"/>
      <c r="G50" s="72"/>
      <c r="H50" s="75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4"/>
      <c r="U50" s="72"/>
      <c r="V50" s="72"/>
      <c r="W50" s="74"/>
      <c r="X50" s="72"/>
      <c r="Y50" s="72"/>
      <c r="Z50" s="72"/>
      <c r="AA50" s="53"/>
      <c r="AB50" s="56"/>
      <c r="AC50" s="56"/>
      <c r="AD50" s="57"/>
    </row>
    <row r="51" customFormat="false" ht="11.1" hidden="false" customHeight="true" outlineLevel="0" collapsed="false">
      <c r="A51" s="51"/>
      <c r="B51" s="81"/>
      <c r="C51" s="52"/>
      <c r="D51" s="51"/>
      <c r="E51" s="52"/>
      <c r="F51" s="51"/>
      <c r="G51" s="51"/>
      <c r="H51" s="53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2"/>
      <c r="U51" s="51"/>
      <c r="V51" s="51"/>
      <c r="W51" s="52"/>
      <c r="X51" s="51"/>
      <c r="Y51" s="51"/>
      <c r="Z51" s="51"/>
      <c r="AA51" s="53"/>
      <c r="AB51" s="56"/>
      <c r="AC51" s="56"/>
      <c r="AD51" s="57"/>
    </row>
    <row r="52" customFormat="false" ht="11.1" hidden="false" customHeight="true" outlineLevel="0" collapsed="false">
      <c r="A52" s="51"/>
      <c r="B52" s="71"/>
      <c r="C52" s="52"/>
      <c r="D52" s="79"/>
      <c r="E52" s="52"/>
      <c r="F52" s="51"/>
      <c r="G52" s="51"/>
      <c r="H52" s="53"/>
      <c r="I52" s="82"/>
      <c r="J52" s="51"/>
      <c r="K52" s="41"/>
      <c r="L52" s="51"/>
      <c r="M52" s="51"/>
      <c r="N52" s="51"/>
      <c r="O52" s="51"/>
      <c r="P52" s="51"/>
      <c r="Q52" s="51"/>
      <c r="R52" s="51"/>
      <c r="S52" s="51"/>
      <c r="T52" s="52"/>
      <c r="U52" s="51"/>
      <c r="V52" s="51"/>
      <c r="W52" s="52"/>
      <c r="X52" s="51"/>
      <c r="Y52" s="51"/>
      <c r="Z52" s="51"/>
      <c r="AA52" s="53"/>
      <c r="AB52" s="56"/>
      <c r="AC52" s="56"/>
      <c r="AD52" s="57"/>
    </row>
    <row r="53" customFormat="false" ht="11.1" hidden="false" customHeight="true" outlineLevel="0" collapsed="false">
      <c r="A53" s="79"/>
      <c r="B53" s="79"/>
      <c r="C53" s="52"/>
      <c r="D53" s="52"/>
      <c r="E53" s="52"/>
      <c r="F53" s="79"/>
      <c r="G53" s="79"/>
      <c r="H53" s="53"/>
      <c r="I53" s="79"/>
      <c r="J53" s="79"/>
      <c r="K53" s="79"/>
      <c r="L53" s="79"/>
      <c r="M53" s="78"/>
      <c r="N53" s="78"/>
      <c r="O53" s="78"/>
      <c r="P53" s="78"/>
      <c r="Q53" s="79"/>
      <c r="R53" s="79"/>
      <c r="S53" s="79"/>
      <c r="T53" s="52"/>
      <c r="U53" s="79"/>
      <c r="V53" s="79"/>
      <c r="W53" s="52"/>
      <c r="X53" s="79"/>
      <c r="Y53" s="79"/>
      <c r="Z53" s="79"/>
      <c r="AA53" s="53"/>
      <c r="AB53" s="56"/>
      <c r="AC53" s="56"/>
      <c r="AD53" s="57"/>
    </row>
    <row r="54" customFormat="false" ht="11.1" hidden="false" customHeight="true" outlineLevel="0" collapsed="false">
      <c r="A54" s="79"/>
      <c r="B54" s="55"/>
      <c r="C54" s="52"/>
      <c r="D54" s="52"/>
      <c r="E54" s="52"/>
      <c r="F54" s="79"/>
      <c r="G54" s="79"/>
      <c r="H54" s="53"/>
      <c r="I54" s="79"/>
      <c r="J54" s="79"/>
      <c r="K54" s="79"/>
      <c r="L54" s="79"/>
      <c r="M54" s="78"/>
      <c r="N54" s="78"/>
      <c r="O54" s="78"/>
      <c r="P54" s="79"/>
      <c r="Q54" s="79"/>
      <c r="R54" s="79"/>
      <c r="S54" s="52"/>
      <c r="T54" s="79"/>
      <c r="U54" s="79"/>
      <c r="V54" s="52"/>
      <c r="W54" s="79"/>
      <c r="X54" s="79"/>
      <c r="Y54" s="79"/>
      <c r="Z54" s="55"/>
      <c r="AA54" s="53"/>
      <c r="AB54" s="56"/>
      <c r="AC54" s="57"/>
    </row>
    <row r="55" customFormat="false" ht="11.1" hidden="false" customHeight="true" outlineLevel="0" collapsed="false">
      <c r="A55" s="79"/>
      <c r="B55" s="79"/>
      <c r="C55" s="52"/>
      <c r="D55" s="79"/>
      <c r="E55" s="52"/>
      <c r="F55" s="79"/>
      <c r="G55" s="83"/>
      <c r="H55" s="53"/>
      <c r="I55" s="79"/>
      <c r="J55" s="79"/>
      <c r="K55" s="79"/>
      <c r="L55" s="79"/>
      <c r="M55" s="78"/>
      <c r="N55" s="78"/>
      <c r="O55" s="78"/>
      <c r="P55" s="79"/>
      <c r="Q55" s="79"/>
      <c r="R55" s="79"/>
      <c r="S55" s="52"/>
      <c r="T55" s="79"/>
      <c r="U55" s="79"/>
      <c r="V55" s="52"/>
      <c r="W55" s="79"/>
      <c r="X55" s="79"/>
      <c r="Y55" s="79"/>
      <c r="Z55" s="55"/>
      <c r="AA55" s="53"/>
      <c r="AB55" s="56"/>
      <c r="AC55" s="57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N10" activePane="bottomRight" state="frozen"/>
      <selection pane="topLeft" activeCell="A1" activeCellId="0" sqref="A1"/>
      <selection pane="topRight" activeCell="N1" activeCellId="0" sqref="N1"/>
      <selection pane="bottomLeft" activeCell="A10" activeCellId="0" sqref="A10"/>
      <selection pane="bottomRight" activeCell="S10" activeCellId="0" sqref="S10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46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false" outlineLevel="0" max="14" min="14" style="47" width="7.32"/>
    <col collapsed="false" customWidth="true" hidden="false" outlineLevel="0" max="15" min="15" style="47" width="6.49"/>
    <col collapsed="false" customWidth="true" hidden="fals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3" min="23" style="44" width="6.82"/>
    <col collapsed="false" customWidth="true" hidden="false" outlineLevel="0" max="25" min="24" style="44" width="7.82"/>
    <col collapsed="false" customWidth="true" hidden="false" outlineLevel="0" max="26" min="26" style="48" width="8.16"/>
    <col collapsed="false" customWidth="true" hidden="false" outlineLevel="0" max="27" min="27" style="46" width="4.66"/>
    <col collapsed="false" customWidth="true" hidden="false" outlineLevel="0" max="28" min="28" style="49" width="4.66"/>
    <col collapsed="false" customWidth="true" hidden="false" outlineLevel="0" max="29" min="29" style="50" width="4.66"/>
    <col collapsed="false" customWidth="true" hidden="false" outlineLevel="0" max="30" min="30" style="44" width="5.66"/>
    <col collapsed="false" customWidth="false" hidden="false" outlineLevel="0" max="257" min="31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3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1"/>
      <c r="Z1" s="55"/>
      <c r="AA1" s="53"/>
      <c r="AB1" s="56"/>
      <c r="AC1" s="57"/>
      <c r="AD1" s="84"/>
      <c r="AE1" s="84"/>
    </row>
    <row r="2" customFormat="false" ht="14.1" hidden="false" customHeight="true" outlineLevel="0" collapsed="false">
      <c r="A2" s="51" t="s">
        <v>1</v>
      </c>
      <c r="B2" s="51"/>
      <c r="C2" s="52"/>
      <c r="D2" s="58" t="n">
        <v>1.9835</v>
      </c>
      <c r="E2" s="52"/>
      <c r="F2" s="51"/>
      <c r="G2" s="51"/>
      <c r="H2" s="53"/>
      <c r="I2" s="51"/>
      <c r="J2" s="51"/>
      <c r="K2" s="59" t="s">
        <v>57</v>
      </c>
      <c r="L2" s="59"/>
      <c r="M2" s="59"/>
      <c r="N2" s="59"/>
      <c r="O2" s="59"/>
      <c r="P2" s="59"/>
      <c r="Q2" s="59"/>
      <c r="R2" s="59"/>
      <c r="S2" s="59"/>
      <c r="T2" s="59"/>
      <c r="U2" s="51"/>
      <c r="V2" s="52"/>
      <c r="W2" s="51"/>
      <c r="X2" s="51"/>
      <c r="Y2" s="51"/>
      <c r="Z2" s="55"/>
      <c r="AA2" s="53"/>
      <c r="AB2" s="56"/>
      <c r="AC2" s="57"/>
      <c r="AD2" s="84"/>
      <c r="AE2" s="84"/>
    </row>
    <row r="3" customFormat="false" ht="11.1" hidden="false" customHeight="true" outlineLevel="0" collapsed="false">
      <c r="A3" s="51"/>
      <c r="B3" s="51"/>
      <c r="C3" s="52"/>
      <c r="D3" s="60"/>
      <c r="E3" s="52"/>
      <c r="F3" s="51"/>
      <c r="G3" s="51"/>
      <c r="H3" s="53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1"/>
      <c r="Z3" s="55"/>
      <c r="AA3" s="53"/>
      <c r="AB3" s="56"/>
      <c r="AC3" s="57"/>
      <c r="AD3" s="84"/>
      <c r="AE3" s="84"/>
    </row>
    <row r="4" customFormat="false" ht="11.1" hidden="false" customHeight="true" outlineLevel="0" collapsed="false">
      <c r="A4" s="61" t="s">
        <v>3</v>
      </c>
      <c r="B4" s="61" t="s">
        <v>4</v>
      </c>
      <c r="C4" s="62" t="s">
        <v>4</v>
      </c>
      <c r="D4" s="61" t="s">
        <v>5</v>
      </c>
      <c r="E4" s="62" t="s">
        <v>6</v>
      </c>
      <c r="F4" s="61" t="s">
        <v>7</v>
      </c>
      <c r="G4" s="61" t="s">
        <v>8</v>
      </c>
      <c r="H4" s="63" t="s">
        <v>9</v>
      </c>
      <c r="I4" s="61" t="s">
        <v>10</v>
      </c>
      <c r="J4" s="61" t="s">
        <v>11</v>
      </c>
      <c r="K4" s="61" t="s">
        <v>12</v>
      </c>
      <c r="L4" s="61" t="s">
        <v>11</v>
      </c>
      <c r="M4" s="61" t="s">
        <v>13</v>
      </c>
      <c r="N4" s="61"/>
      <c r="O4" s="61"/>
      <c r="P4" s="61"/>
      <c r="Q4" s="61" t="s">
        <v>14</v>
      </c>
      <c r="R4" s="61" t="s">
        <v>15</v>
      </c>
      <c r="S4" s="61" t="s">
        <v>12</v>
      </c>
      <c r="T4" s="62" t="s">
        <v>16</v>
      </c>
      <c r="U4" s="61" t="s">
        <v>17</v>
      </c>
      <c r="V4" s="61" t="s">
        <v>18</v>
      </c>
      <c r="W4" s="62" t="s">
        <v>19</v>
      </c>
      <c r="X4" s="61" t="s">
        <v>10</v>
      </c>
      <c r="Y4" s="61" t="s">
        <v>11</v>
      </c>
      <c r="Z4" s="61" t="s">
        <v>12</v>
      </c>
      <c r="AA4" s="63" t="s">
        <v>20</v>
      </c>
      <c r="AB4" s="64" t="s">
        <v>21</v>
      </c>
      <c r="AC4" s="64" t="s">
        <v>22</v>
      </c>
      <c r="AD4" s="64" t="s">
        <v>3</v>
      </c>
      <c r="AE4" s="84"/>
      <c r="AF4" s="84"/>
    </row>
    <row r="5" customFormat="false" ht="11.1" hidden="false" customHeight="true" outlineLevel="0" collapsed="false">
      <c r="A5" s="65" t="s">
        <v>58</v>
      </c>
      <c r="B5" s="61" t="s">
        <v>24</v>
      </c>
      <c r="C5" s="62" t="s">
        <v>5</v>
      </c>
      <c r="D5" s="61" t="s">
        <v>25</v>
      </c>
      <c r="E5" s="62" t="s">
        <v>26</v>
      </c>
      <c r="F5" s="61" t="s">
        <v>27</v>
      </c>
      <c r="G5" s="61" t="s">
        <v>28</v>
      </c>
      <c r="H5" s="63" t="s">
        <v>29</v>
      </c>
      <c r="I5" s="61" t="s">
        <v>30</v>
      </c>
      <c r="J5" s="61" t="s">
        <v>30</v>
      </c>
      <c r="K5" s="61" t="s">
        <v>30</v>
      </c>
      <c r="L5" s="61" t="s">
        <v>31</v>
      </c>
      <c r="M5" s="61" t="s">
        <v>32</v>
      </c>
      <c r="N5" s="61" t="s">
        <v>33</v>
      </c>
      <c r="O5" s="61" t="s">
        <v>34</v>
      </c>
      <c r="P5" s="61" t="s">
        <v>35</v>
      </c>
      <c r="Q5" s="61" t="s">
        <v>36</v>
      </c>
      <c r="R5" s="61" t="s">
        <v>37</v>
      </c>
      <c r="S5" s="61" t="s">
        <v>16</v>
      </c>
      <c r="T5" s="62" t="s">
        <v>38</v>
      </c>
      <c r="U5" s="61" t="s">
        <v>39</v>
      </c>
      <c r="V5" s="61" t="s">
        <v>40</v>
      </c>
      <c r="W5" s="62" t="s">
        <v>41</v>
      </c>
      <c r="X5" s="61" t="s">
        <v>42</v>
      </c>
      <c r="Y5" s="61" t="s">
        <v>42</v>
      </c>
      <c r="Z5" s="61" t="s">
        <v>42</v>
      </c>
      <c r="AA5" s="66"/>
      <c r="AB5" s="64" t="s">
        <v>43</v>
      </c>
      <c r="AC5" s="64" t="s">
        <v>43</v>
      </c>
      <c r="AD5" s="67" t="s">
        <v>58</v>
      </c>
      <c r="AE5" s="84"/>
      <c r="AF5" s="84"/>
    </row>
    <row r="6" customFormat="false" ht="11.1" hidden="false" customHeight="true" outlineLevel="0" collapsed="false">
      <c r="A6" s="68"/>
      <c r="B6" s="68"/>
      <c r="C6" s="69"/>
      <c r="D6" s="68"/>
      <c r="E6" s="69"/>
      <c r="F6" s="68"/>
      <c r="G6" s="68"/>
      <c r="H6" s="70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9"/>
      <c r="U6" s="68"/>
      <c r="V6" s="68"/>
      <c r="W6" s="69"/>
      <c r="X6" s="68"/>
      <c r="Y6" s="68"/>
      <c r="Z6" s="68"/>
      <c r="AA6" s="53"/>
      <c r="AB6" s="57"/>
      <c r="AC6" s="57"/>
      <c r="AD6" s="57"/>
      <c r="AE6" s="85"/>
      <c r="AF6" s="85"/>
      <c r="AG6" s="86"/>
    </row>
    <row r="7" customFormat="false" ht="11.1" hidden="false" customHeight="true" outlineLevel="0" collapsed="false">
      <c r="A7" s="51" t="s">
        <v>44</v>
      </c>
      <c r="B7" s="51"/>
      <c r="C7" s="52"/>
      <c r="D7" s="52"/>
      <c r="E7" s="52"/>
      <c r="F7" s="52"/>
      <c r="G7" s="52"/>
      <c r="H7" s="53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3"/>
      <c r="AB7" s="56"/>
      <c r="AC7" s="56"/>
      <c r="AD7" s="57"/>
      <c r="AE7" s="85"/>
      <c r="AF7" s="86"/>
      <c r="AG7" s="86"/>
    </row>
    <row r="8" s="45" customFormat="true" ht="11.1" hidden="false" customHeight="true" outlineLevel="0" collapsed="false">
      <c r="A8" s="52" t="s">
        <v>45</v>
      </c>
      <c r="B8" s="71" t="n">
        <f aca="false">DEC!B40</f>
        <v>6909.93</v>
      </c>
      <c r="C8" s="52" t="n">
        <f aca="false">DEC!C40</f>
        <v>321708</v>
      </c>
      <c r="D8" s="52" t="n">
        <f aca="false">DEC!$D$49</f>
        <v>-7972</v>
      </c>
      <c r="E8" s="52" t="n">
        <f aca="false">DEC!$E$40</f>
        <v>169708</v>
      </c>
      <c r="F8" s="52" t="n">
        <f aca="false">DEC!F48</f>
        <v>-4019.15805394505</v>
      </c>
      <c r="G8" s="52" t="n">
        <f aca="false">DEC!G48</f>
        <v>3162</v>
      </c>
      <c r="H8" s="53" t="n">
        <f aca="false">DEC!H48</f>
        <v>47.06</v>
      </c>
      <c r="I8" s="52" t="n">
        <f aca="false">DEC!I48</f>
        <v>3209.06</v>
      </c>
      <c r="J8" s="52" t="n">
        <f aca="false">DEC!J48</f>
        <v>316.758520292412</v>
      </c>
      <c r="K8" s="52" t="n">
        <f aca="false">DEC!K48</f>
        <v>3525.81852029241</v>
      </c>
      <c r="L8" s="52" t="n">
        <f aca="false">DEC!L48</f>
        <v>-150.348053945047</v>
      </c>
      <c r="M8" s="52" t="n">
        <f aca="false">DEC!M48</f>
        <v>1661.9</v>
      </c>
      <c r="N8" s="52" t="n">
        <f aca="false">DEC!N48</f>
        <v>0</v>
      </c>
      <c r="O8" s="52" t="n">
        <f aca="false">DEC!O48</f>
        <v>441.3405</v>
      </c>
      <c r="P8" s="52" t="n">
        <f aca="false">DEC!P48</f>
        <v>1220.5595</v>
      </c>
      <c r="Q8" s="52" t="n">
        <f aca="false">DEC!Q48</f>
        <v>1044</v>
      </c>
      <c r="R8" s="52" t="n">
        <f aca="false">DEC!R48</f>
        <v>560</v>
      </c>
      <c r="S8" s="52" t="n">
        <f aca="false">DEC!S48</f>
        <v>2824.5595</v>
      </c>
      <c r="T8" s="52" t="n">
        <f aca="false">DEC!T48</f>
        <v>0</v>
      </c>
      <c r="U8" s="52" t="n">
        <f aca="false">DEC!U48</f>
        <v>0</v>
      </c>
      <c r="V8" s="52" t="n">
        <f aca="false">DEC!V48</f>
        <v>3811.97</v>
      </c>
      <c r="W8" s="52" t="n">
        <f aca="false">DEC!W48</f>
        <v>3585</v>
      </c>
      <c r="X8" s="52" t="n">
        <f aca="false">DEC!X48</f>
        <v>7077.87</v>
      </c>
      <c r="Y8" s="52" t="n">
        <f aca="false">DEC!Y48</f>
        <v>467.106574237459</v>
      </c>
      <c r="Z8" s="52" t="n">
        <f aca="false">DEC!Z48</f>
        <v>7544.97657423746</v>
      </c>
      <c r="AA8" s="53" t="n">
        <f aca="false">DEC!AA48</f>
        <v>0.38</v>
      </c>
      <c r="AB8" s="56"/>
      <c r="AC8" s="56"/>
      <c r="AD8" s="57"/>
      <c r="AE8" s="87"/>
      <c r="AF8" s="85"/>
      <c r="AG8" s="87"/>
    </row>
    <row r="9" customFormat="false" ht="3" hidden="false" customHeight="true" outlineLevel="0" collapsed="false">
      <c r="A9" s="72"/>
      <c r="B9" s="73"/>
      <c r="C9" s="74"/>
      <c r="D9" s="72"/>
      <c r="E9" s="74"/>
      <c r="F9" s="72"/>
      <c r="G9" s="72"/>
      <c r="H9" s="75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4"/>
      <c r="U9" s="72"/>
      <c r="V9" s="72"/>
      <c r="W9" s="74"/>
      <c r="X9" s="72"/>
      <c r="Y9" s="72"/>
      <c r="Z9" s="72"/>
      <c r="AA9" s="75"/>
      <c r="AB9" s="76"/>
      <c r="AC9" s="76"/>
      <c r="AD9" s="77"/>
      <c r="AE9" s="85"/>
      <c r="AF9" s="85"/>
      <c r="AG9" s="86"/>
    </row>
    <row r="10" customFormat="false" ht="11.1" hidden="false" customHeight="true" outlineLevel="0" collapsed="false">
      <c r="A10" s="57" t="n">
        <v>1</v>
      </c>
      <c r="B10" s="71" t="n">
        <v>6909.93</v>
      </c>
      <c r="C10" s="52" t="n">
        <v>321708</v>
      </c>
      <c r="D10" s="56" t="n">
        <f aca="false">C10-C8</f>
        <v>0</v>
      </c>
      <c r="E10" s="52" t="n">
        <f aca="false">C10-152000</f>
        <v>169708</v>
      </c>
      <c r="F10" s="51" t="n">
        <f aca="false">D10/$D$2</f>
        <v>0</v>
      </c>
      <c r="G10" s="51" t="n">
        <v>50</v>
      </c>
      <c r="H10" s="53" t="n">
        <v>0.6</v>
      </c>
      <c r="I10" s="51" t="n">
        <f aca="false">G10+H10</f>
        <v>50.6</v>
      </c>
      <c r="J10" s="78" t="n">
        <f aca="false">IF(L10&gt;0,L10,0)</f>
        <v>6.8</v>
      </c>
      <c r="K10" s="51" t="n">
        <f aca="false">I10+J10</f>
        <v>57.4</v>
      </c>
      <c r="L10" s="51" t="n">
        <f aca="false">F10-(I10-X10)</f>
        <v>6.8</v>
      </c>
      <c r="M10" s="51" t="n">
        <v>4.4</v>
      </c>
      <c r="N10" s="51"/>
      <c r="O10" s="51" t="n">
        <v>0</v>
      </c>
      <c r="P10" s="6" t="n">
        <f aca="false">M10-(N10+O10)</f>
        <v>4.4</v>
      </c>
      <c r="Q10" s="51" t="n">
        <v>0</v>
      </c>
      <c r="R10" s="51" t="n">
        <v>0</v>
      </c>
      <c r="S10" s="51" t="n">
        <f aca="false">SUM(P10:R10)</f>
        <v>4.4</v>
      </c>
      <c r="T10" s="52"/>
      <c r="U10" s="51" t="n">
        <v>0</v>
      </c>
      <c r="V10" s="51" t="n">
        <v>53</v>
      </c>
      <c r="W10" s="52" t="n">
        <f aca="false">W8-45-2</f>
        <v>3538</v>
      </c>
      <c r="X10" s="6" t="n">
        <f aca="false">N10+O10+S10+U10+V10</f>
        <v>57.4</v>
      </c>
      <c r="Y10" s="51" t="n">
        <f aca="false">IF(L10&lt;0,L10*-1,0)</f>
        <v>0</v>
      </c>
      <c r="Z10" s="51" t="n">
        <f aca="false">X10+Y10</f>
        <v>57.4</v>
      </c>
      <c r="AA10" s="53" t="n">
        <v>0.3</v>
      </c>
      <c r="AB10" s="56" t="n">
        <v>28</v>
      </c>
      <c r="AC10" s="56" t="n">
        <v>24</v>
      </c>
      <c r="AD10" s="57" t="n">
        <v>1</v>
      </c>
      <c r="AE10" s="86"/>
      <c r="AF10" s="87"/>
      <c r="AG10" s="86"/>
    </row>
    <row r="11" customFormat="false" ht="11.1" hidden="false" customHeight="true" outlineLevel="0" collapsed="false">
      <c r="A11" s="57" t="n">
        <f aca="false">A10+1</f>
        <v>2</v>
      </c>
      <c r="B11" s="71" t="n">
        <v>6909.92</v>
      </c>
      <c r="C11" s="52" t="n">
        <v>321668</v>
      </c>
      <c r="D11" s="56" t="n">
        <f aca="false">C11-C10</f>
        <v>-40</v>
      </c>
      <c r="E11" s="52" t="n">
        <f aca="false">C11-152000</f>
        <v>169668</v>
      </c>
      <c r="F11" s="51" t="n">
        <f aca="false">D11/$D$2</f>
        <v>-20.1663725737333</v>
      </c>
      <c r="G11" s="51" t="n">
        <v>50</v>
      </c>
      <c r="H11" s="53" t="n">
        <v>0.7</v>
      </c>
      <c r="I11" s="51" t="n">
        <f aca="false">G11+H11</f>
        <v>50.7</v>
      </c>
      <c r="J11" s="78" t="n">
        <f aca="false">IF(L11&gt;0,L11,0)</f>
        <v>0</v>
      </c>
      <c r="K11" s="51" t="n">
        <f aca="false">I11+J11</f>
        <v>50.7</v>
      </c>
      <c r="L11" s="51" t="n">
        <f aca="false">F11-(I11-X11)</f>
        <v>-13.4663725737333</v>
      </c>
      <c r="M11" s="51" t="n">
        <v>4.4</v>
      </c>
      <c r="N11" s="51"/>
      <c r="O11" s="51" t="n">
        <v>0</v>
      </c>
      <c r="P11" s="6" t="n">
        <f aca="false">M11-(N11+O11)</f>
        <v>4.4</v>
      </c>
      <c r="Q11" s="51" t="n">
        <v>0</v>
      </c>
      <c r="R11" s="51" t="n">
        <v>0</v>
      </c>
      <c r="S11" s="51" t="n">
        <f aca="false">SUM(P11:R11)</f>
        <v>4.4</v>
      </c>
      <c r="T11" s="52"/>
      <c r="U11" s="51" t="n">
        <v>0</v>
      </c>
      <c r="V11" s="51" t="n">
        <v>53</v>
      </c>
      <c r="W11" s="52" t="n">
        <f aca="false">W10-45-2</f>
        <v>3491</v>
      </c>
      <c r="X11" s="6" t="n">
        <f aca="false">N11+O11+S11+U11+V11</f>
        <v>57.4</v>
      </c>
      <c r="Y11" s="51" t="n">
        <f aca="false">IF(L11&lt;0,L11*-1,0)</f>
        <v>13.4663725737333</v>
      </c>
      <c r="Z11" s="51" t="n">
        <f aca="false">X11+Y11</f>
        <v>70.8663725737333</v>
      </c>
      <c r="AA11" s="53" t="n">
        <v>0.13</v>
      </c>
      <c r="AB11" s="56" t="n">
        <v>28</v>
      </c>
      <c r="AC11" s="56" t="n">
        <v>22</v>
      </c>
      <c r="AD11" s="57" t="n">
        <f aca="false">AD10+1</f>
        <v>2</v>
      </c>
      <c r="AE11" s="86"/>
      <c r="AF11" s="87"/>
      <c r="AG11" s="86"/>
    </row>
    <row r="12" customFormat="false" ht="11.1" hidden="false" customHeight="true" outlineLevel="0" collapsed="false">
      <c r="A12" s="57" t="n">
        <f aca="false">A11+1</f>
        <v>3</v>
      </c>
      <c r="B12" s="71" t="n">
        <v>6909.92</v>
      </c>
      <c r="C12" s="52" t="n">
        <v>321668</v>
      </c>
      <c r="D12" s="56" t="n">
        <f aca="false">C12-C11</f>
        <v>0</v>
      </c>
      <c r="E12" s="52" t="n">
        <f aca="false">C12-152000</f>
        <v>169668</v>
      </c>
      <c r="F12" s="51" t="n">
        <f aca="false">D12/$D$2</f>
        <v>0</v>
      </c>
      <c r="G12" s="51" t="n">
        <v>50</v>
      </c>
      <c r="H12" s="53" t="n">
        <v>0.68</v>
      </c>
      <c r="I12" s="51" t="n">
        <f aca="false">G12+H12</f>
        <v>50.68</v>
      </c>
      <c r="J12" s="78" t="n">
        <f aca="false">IF(L12&gt;0,L12,0)</f>
        <v>6.72</v>
      </c>
      <c r="K12" s="51" t="n">
        <f aca="false">I12+J12</f>
        <v>57.4</v>
      </c>
      <c r="L12" s="51" t="n">
        <f aca="false">F12-(I12-X12)</f>
        <v>6.72</v>
      </c>
      <c r="M12" s="51" t="n">
        <v>4.4</v>
      </c>
      <c r="N12" s="51"/>
      <c r="O12" s="51" t="n">
        <v>0</v>
      </c>
      <c r="P12" s="6" t="n">
        <f aca="false">M12-(N12+O12)</f>
        <v>4.4</v>
      </c>
      <c r="Q12" s="51" t="n">
        <v>0</v>
      </c>
      <c r="R12" s="51" t="n">
        <v>0</v>
      </c>
      <c r="S12" s="51" t="n">
        <f aca="false">SUM(P12:R12)</f>
        <v>4.4</v>
      </c>
      <c r="T12" s="52"/>
      <c r="U12" s="51" t="n">
        <v>0</v>
      </c>
      <c r="V12" s="51" t="n">
        <v>53</v>
      </c>
      <c r="W12" s="52" t="n">
        <f aca="false">W11-45-2</f>
        <v>3444</v>
      </c>
      <c r="X12" s="6" t="n">
        <f aca="false">N12+O12+S12+U12+V12</f>
        <v>57.4</v>
      </c>
      <c r="Y12" s="51" t="n">
        <f aca="false">IF(L12&lt;0,L12*-1,0)</f>
        <v>0</v>
      </c>
      <c r="Z12" s="51" t="n">
        <f aca="false">X12+Y12</f>
        <v>57.4</v>
      </c>
      <c r="AA12" s="53" t="n">
        <v>0</v>
      </c>
      <c r="AB12" s="56" t="n">
        <v>20</v>
      </c>
      <c r="AC12" s="56" t="n">
        <v>5</v>
      </c>
      <c r="AD12" s="57" t="n">
        <f aca="false">AD11+1</f>
        <v>3</v>
      </c>
      <c r="AE12" s="86"/>
      <c r="AF12" s="87"/>
      <c r="AG12" s="86"/>
    </row>
    <row r="13" customFormat="false" ht="11.1" hidden="false" customHeight="true" outlineLevel="0" collapsed="false">
      <c r="A13" s="57" t="n">
        <f aca="false">A12+1</f>
        <v>4</v>
      </c>
      <c r="B13" s="71" t="n">
        <v>6909.91</v>
      </c>
      <c r="C13" s="52" t="n">
        <v>321628</v>
      </c>
      <c r="D13" s="56" t="n">
        <f aca="false">C13-C12</f>
        <v>-40</v>
      </c>
      <c r="E13" s="52" t="n">
        <f aca="false">C13-152000</f>
        <v>169628</v>
      </c>
      <c r="F13" s="51" t="n">
        <f aca="false">D13/$D$2</f>
        <v>-20.1663725737333</v>
      </c>
      <c r="G13" s="51" t="n">
        <v>48</v>
      </c>
      <c r="H13" s="53" t="n">
        <v>0.68</v>
      </c>
      <c r="I13" s="51" t="n">
        <f aca="false">G13+H13</f>
        <v>48.68</v>
      </c>
      <c r="J13" s="78" t="n">
        <f aca="false">IF(L13&gt;0,L13,0)</f>
        <v>0</v>
      </c>
      <c r="K13" s="51" t="n">
        <f aca="false">I13+J13</f>
        <v>48.68</v>
      </c>
      <c r="L13" s="51" t="n">
        <f aca="false">F13-(I13-X13)</f>
        <v>-11.4463725737333</v>
      </c>
      <c r="M13" s="51" t="n">
        <v>4.4</v>
      </c>
      <c r="N13" s="51"/>
      <c r="O13" s="51" t="n">
        <v>0</v>
      </c>
      <c r="P13" s="6" t="n">
        <f aca="false">M13-(N13+O13)</f>
        <v>4.4</v>
      </c>
      <c r="Q13" s="51" t="n">
        <v>0</v>
      </c>
      <c r="R13" s="51" t="n">
        <v>0</v>
      </c>
      <c r="S13" s="51" t="n">
        <f aca="false">SUM(P13:R13)</f>
        <v>4.4</v>
      </c>
      <c r="T13" s="52"/>
      <c r="U13" s="51" t="n">
        <v>0</v>
      </c>
      <c r="V13" s="51" t="n">
        <v>53</v>
      </c>
      <c r="W13" s="52" t="n">
        <f aca="false">W12-45-2</f>
        <v>3397</v>
      </c>
      <c r="X13" s="6" t="n">
        <f aca="false">N13+O13+S13+U13+V13</f>
        <v>57.4</v>
      </c>
      <c r="Y13" s="51" t="n">
        <f aca="false">IF(L13&lt;0,L13*-1,0)</f>
        <v>11.4463725737333</v>
      </c>
      <c r="Z13" s="51" t="n">
        <f aca="false">X13+Y13</f>
        <v>68.8463725737333</v>
      </c>
      <c r="AA13" s="53" t="n">
        <v>0</v>
      </c>
      <c r="AB13" s="56" t="n">
        <v>36</v>
      </c>
      <c r="AC13" s="56" t="n">
        <v>-4</v>
      </c>
      <c r="AD13" s="57" t="n">
        <f aca="false">AD12+1</f>
        <v>4</v>
      </c>
      <c r="AE13" s="86"/>
      <c r="AF13" s="87"/>
      <c r="AG13" s="86"/>
    </row>
    <row r="14" customFormat="false" ht="11.1" hidden="false" customHeight="true" outlineLevel="0" collapsed="false">
      <c r="A14" s="57" t="n">
        <f aca="false">A13+1</f>
        <v>5</v>
      </c>
      <c r="B14" s="71" t="n">
        <v>6909.91</v>
      </c>
      <c r="C14" s="52" t="n">
        <v>321628</v>
      </c>
      <c r="D14" s="56" t="n">
        <f aca="false">C14-C13</f>
        <v>0</v>
      </c>
      <c r="E14" s="52" t="n">
        <f aca="false">C14-152000</f>
        <v>169628</v>
      </c>
      <c r="F14" s="51" t="n">
        <f aca="false">D14/$D$2</f>
        <v>0</v>
      </c>
      <c r="G14" s="51" t="n">
        <v>49</v>
      </c>
      <c r="H14" s="53" t="n">
        <v>0.7</v>
      </c>
      <c r="I14" s="51" t="n">
        <f aca="false">G14+H14</f>
        <v>49.7</v>
      </c>
      <c r="J14" s="78" t="n">
        <f aca="false">IF(L14&gt;0,L14,0)</f>
        <v>7.7</v>
      </c>
      <c r="K14" s="51" t="n">
        <f aca="false">I14+J14</f>
        <v>57.4</v>
      </c>
      <c r="L14" s="51" t="n">
        <f aca="false">F14-(I14-X14)</f>
        <v>7.7</v>
      </c>
      <c r="M14" s="51" t="n">
        <v>4.4</v>
      </c>
      <c r="N14" s="51"/>
      <c r="O14" s="51" t="n">
        <v>0</v>
      </c>
      <c r="P14" s="6" t="n">
        <f aca="false">M14-(N14+O14)</f>
        <v>4.4</v>
      </c>
      <c r="Q14" s="51" t="n">
        <v>0</v>
      </c>
      <c r="R14" s="51" t="n">
        <v>0</v>
      </c>
      <c r="S14" s="51" t="n">
        <f aca="false">SUM(P14:R14)</f>
        <v>4.4</v>
      </c>
      <c r="T14" s="52"/>
      <c r="U14" s="51" t="n">
        <v>0</v>
      </c>
      <c r="V14" s="51" t="n">
        <v>53</v>
      </c>
      <c r="W14" s="52" t="n">
        <f aca="false">W13-45-2</f>
        <v>3350</v>
      </c>
      <c r="X14" s="6" t="n">
        <f aca="false">N14+O14+S14+U14+V14</f>
        <v>57.4</v>
      </c>
      <c r="Y14" s="51" t="n">
        <f aca="false">IF(L14&lt;0,L14*-1,0)</f>
        <v>0</v>
      </c>
      <c r="Z14" s="51" t="n">
        <f aca="false">X14+Y14</f>
        <v>57.4</v>
      </c>
      <c r="AA14" s="53" t="n">
        <v>0</v>
      </c>
      <c r="AB14" s="56" t="n">
        <v>32</v>
      </c>
      <c r="AC14" s="56" t="n">
        <v>8</v>
      </c>
      <c r="AD14" s="57" t="n">
        <f aca="false">AD13+1</f>
        <v>5</v>
      </c>
      <c r="AE14" s="86"/>
      <c r="AF14" s="87"/>
      <c r="AG14" s="86"/>
    </row>
    <row r="15" customFormat="false" ht="11.1" hidden="false" customHeight="true" outlineLevel="0" collapsed="false">
      <c r="A15" s="57" t="n">
        <f aca="false">A14+1</f>
        <v>6</v>
      </c>
      <c r="B15" s="71" t="n">
        <v>6909.9</v>
      </c>
      <c r="C15" s="52" t="n">
        <v>321588</v>
      </c>
      <c r="D15" s="56" t="n">
        <f aca="false">C15-C14</f>
        <v>-40</v>
      </c>
      <c r="E15" s="52" t="n">
        <f aca="false">C15-152000</f>
        <v>169588</v>
      </c>
      <c r="F15" s="51" t="n">
        <f aca="false">D15/$D$2</f>
        <v>-20.1663725737333</v>
      </c>
      <c r="G15" s="51" t="n">
        <v>50</v>
      </c>
      <c r="H15" s="53" t="n">
        <v>0.72</v>
      </c>
      <c r="I15" s="51" t="n">
        <f aca="false">G15+H15</f>
        <v>50.72</v>
      </c>
      <c r="J15" s="78" t="n">
        <f aca="false">IF(L15&gt;0,L15,0)</f>
        <v>0</v>
      </c>
      <c r="K15" s="51" t="n">
        <f aca="false">I15+J15</f>
        <v>50.72</v>
      </c>
      <c r="L15" s="51" t="n">
        <f aca="false">F15-(I15-X15)</f>
        <v>-13.4863725737333</v>
      </c>
      <c r="M15" s="51" t="n">
        <v>4.4</v>
      </c>
      <c r="N15" s="51"/>
      <c r="O15" s="51" t="n">
        <v>0</v>
      </c>
      <c r="P15" s="6" t="n">
        <f aca="false">M15-(N15+O15)</f>
        <v>4.4</v>
      </c>
      <c r="Q15" s="51" t="n">
        <v>0</v>
      </c>
      <c r="R15" s="51" t="n">
        <v>0</v>
      </c>
      <c r="S15" s="51" t="n">
        <f aca="false">SUM(P15:R15)</f>
        <v>4.4</v>
      </c>
      <c r="T15" s="52"/>
      <c r="U15" s="51" t="n">
        <v>0</v>
      </c>
      <c r="V15" s="51" t="n">
        <v>53</v>
      </c>
      <c r="W15" s="52" t="n">
        <f aca="false">W14-45-2</f>
        <v>3303</v>
      </c>
      <c r="X15" s="6" t="n">
        <f aca="false">N15+O15+S15+U15+V15</f>
        <v>57.4</v>
      </c>
      <c r="Y15" s="51" t="n">
        <f aca="false">IF(L15&lt;0,L15*-1,0)</f>
        <v>13.4863725737333</v>
      </c>
      <c r="Z15" s="51" t="n">
        <f aca="false">X15+Y15</f>
        <v>70.8863725737333</v>
      </c>
      <c r="AA15" s="53" t="n">
        <v>0</v>
      </c>
      <c r="AB15" s="56" t="n">
        <v>40</v>
      </c>
      <c r="AC15" s="56" t="n">
        <v>2</v>
      </c>
      <c r="AD15" s="57" t="n">
        <f aca="false">AD14+1</f>
        <v>6</v>
      </c>
      <c r="AE15" s="85"/>
      <c r="AF15" s="87"/>
      <c r="AG15" s="86"/>
    </row>
    <row r="16" customFormat="false" ht="11.1" hidden="false" customHeight="true" outlineLevel="0" collapsed="false">
      <c r="A16" s="57" t="n">
        <f aca="false">A15+1</f>
        <v>7</v>
      </c>
      <c r="B16" s="71" t="n">
        <v>6909.9</v>
      </c>
      <c r="C16" s="52" t="n">
        <v>321588</v>
      </c>
      <c r="D16" s="56" t="n">
        <f aca="false">C16-C15</f>
        <v>0</v>
      </c>
      <c r="E16" s="52" t="n">
        <f aca="false">C16-152000</f>
        <v>169588</v>
      </c>
      <c r="F16" s="51" t="n">
        <f aca="false">D16/$D$2</f>
        <v>0</v>
      </c>
      <c r="G16" s="51" t="n">
        <v>50</v>
      </c>
      <c r="H16" s="53" t="n">
        <v>0.74</v>
      </c>
      <c r="I16" s="51" t="n">
        <f aca="false">G16+H16</f>
        <v>50.74</v>
      </c>
      <c r="J16" s="78" t="n">
        <f aca="false">IF(L16&gt;0,L16,0)</f>
        <v>6.66</v>
      </c>
      <c r="K16" s="51" t="n">
        <f aca="false">I16+J16</f>
        <v>57.4</v>
      </c>
      <c r="L16" s="51" t="n">
        <f aca="false">F16-(I16-X16)</f>
        <v>6.66</v>
      </c>
      <c r="M16" s="51" t="n">
        <v>4.4</v>
      </c>
      <c r="N16" s="51"/>
      <c r="O16" s="51" t="n">
        <v>0</v>
      </c>
      <c r="P16" s="6" t="n">
        <f aca="false">M16-(N16+O16)</f>
        <v>4.4</v>
      </c>
      <c r="Q16" s="51" t="n">
        <v>0</v>
      </c>
      <c r="R16" s="51" t="n">
        <v>0</v>
      </c>
      <c r="S16" s="51" t="n">
        <f aca="false">SUM(P16:R16)</f>
        <v>4.4</v>
      </c>
      <c r="T16" s="52"/>
      <c r="U16" s="51" t="n">
        <v>0</v>
      </c>
      <c r="V16" s="51" t="n">
        <v>53</v>
      </c>
      <c r="W16" s="52" t="n">
        <f aca="false">W15-45-2</f>
        <v>3256</v>
      </c>
      <c r="X16" s="6" t="n">
        <f aca="false">N16+O16+S16+U16+V16</f>
        <v>57.4</v>
      </c>
      <c r="Y16" s="51" t="n">
        <f aca="false">IF(L16&lt;0,L16*-1,0)</f>
        <v>0</v>
      </c>
      <c r="Z16" s="51" t="n">
        <f aca="false">X16+Y16</f>
        <v>57.4</v>
      </c>
      <c r="AA16" s="53" t="n">
        <v>0</v>
      </c>
      <c r="AB16" s="56" t="n">
        <v>39</v>
      </c>
      <c r="AC16" s="56" t="n">
        <v>2</v>
      </c>
      <c r="AD16" s="57" t="n">
        <f aca="false">AD15+1</f>
        <v>7</v>
      </c>
      <c r="AE16" s="85"/>
      <c r="AF16" s="87"/>
      <c r="AG16" s="86"/>
    </row>
    <row r="17" customFormat="false" ht="11.1" hidden="false" customHeight="true" outlineLevel="0" collapsed="false">
      <c r="A17" s="57" t="n">
        <f aca="false">A16+1</f>
        <v>8</v>
      </c>
      <c r="B17" s="71" t="n">
        <v>6909.89</v>
      </c>
      <c r="C17" s="52" t="n">
        <v>321549</v>
      </c>
      <c r="D17" s="56" t="n">
        <f aca="false">C17-C16</f>
        <v>-39</v>
      </c>
      <c r="E17" s="52" t="n">
        <f aca="false">C17-152000</f>
        <v>169549</v>
      </c>
      <c r="F17" s="51" t="n">
        <f aca="false">D17/$D$2</f>
        <v>-19.66221325939</v>
      </c>
      <c r="G17" s="51" t="n">
        <v>50</v>
      </c>
      <c r="H17" s="53" t="n">
        <v>0.76</v>
      </c>
      <c r="I17" s="51" t="n">
        <f aca="false">G17+H17</f>
        <v>50.76</v>
      </c>
      <c r="J17" s="78" t="n">
        <f aca="false">IF(L17&gt;0,L17,0)</f>
        <v>0</v>
      </c>
      <c r="K17" s="51" t="n">
        <f aca="false">I17+J17</f>
        <v>50.76</v>
      </c>
      <c r="L17" s="51" t="n">
        <f aca="false">F17-(I17-X17)</f>
        <v>-13.02221325939</v>
      </c>
      <c r="M17" s="51" t="n">
        <v>4.4</v>
      </c>
      <c r="N17" s="51"/>
      <c r="O17" s="51" t="n">
        <v>0</v>
      </c>
      <c r="P17" s="6" t="n">
        <f aca="false">M17-(N17+O17)</f>
        <v>4.4</v>
      </c>
      <c r="Q17" s="51" t="n">
        <v>0</v>
      </c>
      <c r="R17" s="51" t="n">
        <v>0</v>
      </c>
      <c r="S17" s="51" t="n">
        <f aca="false">SUM(P17:R17)</f>
        <v>4.4</v>
      </c>
      <c r="T17" s="52"/>
      <c r="U17" s="51" t="n">
        <v>0</v>
      </c>
      <c r="V17" s="51" t="n">
        <v>53</v>
      </c>
      <c r="W17" s="52" t="n">
        <f aca="false">W16-45-2</f>
        <v>3209</v>
      </c>
      <c r="X17" s="6" t="n">
        <f aca="false">N17+O17+S17+U17+V17</f>
        <v>57.4</v>
      </c>
      <c r="Y17" s="51" t="n">
        <f aca="false">IF(L17&lt;0,L17*-1,0)</f>
        <v>13.02221325939</v>
      </c>
      <c r="Z17" s="51" t="n">
        <f aca="false">X17+Y17</f>
        <v>70.42221325939</v>
      </c>
      <c r="AA17" s="53" t="n">
        <v>0</v>
      </c>
      <c r="AB17" s="56" t="n">
        <v>39</v>
      </c>
      <c r="AC17" s="56" t="n">
        <v>3</v>
      </c>
      <c r="AD17" s="57" t="n">
        <f aca="false">AD16+1</f>
        <v>8</v>
      </c>
      <c r="AE17" s="85"/>
      <c r="AF17" s="87"/>
      <c r="AG17" s="86"/>
    </row>
    <row r="18" customFormat="false" ht="11.1" hidden="false" customHeight="true" outlineLevel="0" collapsed="false">
      <c r="A18" s="57" t="n">
        <f aca="false">A17+1</f>
        <v>9</v>
      </c>
      <c r="B18" s="71" t="n">
        <v>6909.89</v>
      </c>
      <c r="C18" s="52" t="n">
        <v>321549</v>
      </c>
      <c r="D18" s="56" t="n">
        <f aca="false">C18-C17</f>
        <v>0</v>
      </c>
      <c r="E18" s="52" t="n">
        <f aca="false">C18-152000</f>
        <v>169549</v>
      </c>
      <c r="F18" s="51" t="n">
        <f aca="false">D18/$D$2</f>
        <v>0</v>
      </c>
      <c r="G18" s="51" t="n">
        <v>50</v>
      </c>
      <c r="H18" s="53" t="n">
        <v>0.82</v>
      </c>
      <c r="I18" s="51" t="n">
        <f aca="false">G18+H18</f>
        <v>50.82</v>
      </c>
      <c r="J18" s="78" t="n">
        <f aca="false">IF(L18&gt;0,L18,0)</f>
        <v>6.58</v>
      </c>
      <c r="K18" s="51" t="n">
        <f aca="false">I18+J18</f>
        <v>57.4</v>
      </c>
      <c r="L18" s="51" t="n">
        <f aca="false">F18-(I18-X18)</f>
        <v>6.58</v>
      </c>
      <c r="M18" s="51" t="n">
        <v>4.4</v>
      </c>
      <c r="N18" s="51"/>
      <c r="O18" s="51" t="n">
        <v>0</v>
      </c>
      <c r="P18" s="6" t="n">
        <f aca="false">M18-(N18+O18)</f>
        <v>4.4</v>
      </c>
      <c r="Q18" s="51" t="n">
        <v>0</v>
      </c>
      <c r="R18" s="51" t="n">
        <v>0</v>
      </c>
      <c r="S18" s="51" t="n">
        <f aca="false">SUM(P18:R18)</f>
        <v>4.4</v>
      </c>
      <c r="T18" s="52"/>
      <c r="U18" s="51" t="n">
        <v>0</v>
      </c>
      <c r="V18" s="51" t="n">
        <v>53</v>
      </c>
      <c r="W18" s="52" t="n">
        <f aca="false">W17-45-2</f>
        <v>3162</v>
      </c>
      <c r="X18" s="6" t="n">
        <f aca="false">N18+O18+S18+U18+V18</f>
        <v>57.4</v>
      </c>
      <c r="Y18" s="51" t="n">
        <f aca="false">IF(L18&lt;0,L18*-1,0)</f>
        <v>0</v>
      </c>
      <c r="Z18" s="51" t="n">
        <f aca="false">X18+Y18</f>
        <v>57.4</v>
      </c>
      <c r="AA18" s="53" t="n">
        <v>0</v>
      </c>
      <c r="AB18" s="79" t="n">
        <v>36</v>
      </c>
      <c r="AC18" s="56" t="n">
        <v>5</v>
      </c>
      <c r="AD18" s="57" t="n">
        <f aca="false">AD17+1</f>
        <v>9</v>
      </c>
      <c r="AE18" s="85"/>
      <c r="AF18" s="87"/>
      <c r="AG18" s="86"/>
    </row>
    <row r="19" customFormat="false" ht="11.1" hidden="false" customHeight="true" outlineLevel="0" collapsed="false">
      <c r="A19" s="57" t="n">
        <f aca="false">A18+1</f>
        <v>10</v>
      </c>
      <c r="B19" s="71" t="n">
        <v>6909.89</v>
      </c>
      <c r="C19" s="52" t="n">
        <v>321549</v>
      </c>
      <c r="D19" s="56" t="n">
        <f aca="false">C19-C18</f>
        <v>0</v>
      </c>
      <c r="E19" s="52" t="n">
        <f aca="false">C19-152000</f>
        <v>169549</v>
      </c>
      <c r="F19" s="51" t="n">
        <f aca="false">D19/$D$2</f>
        <v>0</v>
      </c>
      <c r="G19" s="51" t="n">
        <v>50</v>
      </c>
      <c r="H19" s="53" t="n">
        <v>0.86</v>
      </c>
      <c r="I19" s="51" t="n">
        <f aca="false">G19+H19</f>
        <v>50.86</v>
      </c>
      <c r="J19" s="78" t="n">
        <f aca="false">IF(L19&gt;0,L19,0)</f>
        <v>6.54</v>
      </c>
      <c r="K19" s="51" t="n">
        <f aca="false">I19+J19</f>
        <v>57.4</v>
      </c>
      <c r="L19" s="51" t="n">
        <f aca="false">F19-(I19-X19)</f>
        <v>6.54</v>
      </c>
      <c r="M19" s="51" t="n">
        <v>4.4</v>
      </c>
      <c r="N19" s="51"/>
      <c r="O19" s="51" t="n">
        <v>0</v>
      </c>
      <c r="P19" s="6" t="n">
        <f aca="false">M19-(N19+O19)</f>
        <v>4.4</v>
      </c>
      <c r="Q19" s="51" t="n">
        <v>0</v>
      </c>
      <c r="R19" s="51" t="n">
        <v>0</v>
      </c>
      <c r="S19" s="51" t="n">
        <f aca="false">SUM(P19:R19)</f>
        <v>4.4</v>
      </c>
      <c r="T19" s="52"/>
      <c r="U19" s="51" t="n">
        <v>0</v>
      </c>
      <c r="V19" s="51" t="n">
        <v>53</v>
      </c>
      <c r="W19" s="52" t="n">
        <f aca="false">W18-45-2</f>
        <v>3115</v>
      </c>
      <c r="X19" s="6" t="n">
        <f aca="false">N19+O19+S19+U19+V19</f>
        <v>57.4</v>
      </c>
      <c r="Y19" s="51" t="n">
        <f aca="false">IF(L19&lt;0,L19*-1,0)</f>
        <v>0</v>
      </c>
      <c r="Z19" s="51" t="n">
        <f aca="false">X19+Y19</f>
        <v>57.4</v>
      </c>
      <c r="AA19" s="53" t="n">
        <v>0</v>
      </c>
      <c r="AB19" s="56" t="n">
        <v>48</v>
      </c>
      <c r="AC19" s="56" t="n">
        <v>11</v>
      </c>
      <c r="AD19" s="57" t="n">
        <f aca="false">AD18+1</f>
        <v>10</v>
      </c>
      <c r="AE19" s="85"/>
      <c r="AF19" s="87"/>
      <c r="AG19" s="86"/>
    </row>
    <row r="20" customFormat="false" ht="11.1" hidden="false" customHeight="true" outlineLevel="0" collapsed="false">
      <c r="A20" s="57" t="n">
        <f aca="false">A19+1</f>
        <v>11</v>
      </c>
      <c r="B20" s="71" t="n">
        <v>6909.89</v>
      </c>
      <c r="C20" s="52" t="n">
        <v>321549</v>
      </c>
      <c r="D20" s="56" t="n">
        <f aca="false">C20-C19</f>
        <v>0</v>
      </c>
      <c r="E20" s="52" t="n">
        <f aca="false">C20-152000</f>
        <v>169549</v>
      </c>
      <c r="F20" s="51" t="n">
        <f aca="false">D20/$D$2</f>
        <v>0</v>
      </c>
      <c r="G20" s="51" t="n">
        <v>50</v>
      </c>
      <c r="H20" s="53" t="n">
        <v>0.88</v>
      </c>
      <c r="I20" s="51" t="n">
        <f aca="false">G20+H20</f>
        <v>50.88</v>
      </c>
      <c r="J20" s="78" t="n">
        <f aca="false">IF(L20&gt;0,L20,0)</f>
        <v>6.52</v>
      </c>
      <c r="K20" s="51" t="n">
        <f aca="false">I20+J20</f>
        <v>57.4</v>
      </c>
      <c r="L20" s="51" t="n">
        <f aca="false">F20-(I20-X20)</f>
        <v>6.52</v>
      </c>
      <c r="M20" s="51" t="n">
        <v>4.4</v>
      </c>
      <c r="N20" s="51"/>
      <c r="O20" s="51" t="n">
        <v>0</v>
      </c>
      <c r="P20" s="6" t="n">
        <f aca="false">M20-(N20+O20)</f>
        <v>4.4</v>
      </c>
      <c r="Q20" s="51" t="n">
        <v>0</v>
      </c>
      <c r="R20" s="51" t="n">
        <v>0</v>
      </c>
      <c r="S20" s="51" t="n">
        <f aca="false">SUM(P20:R20)</f>
        <v>4.4</v>
      </c>
      <c r="T20" s="52"/>
      <c r="U20" s="51" t="n">
        <v>0</v>
      </c>
      <c r="V20" s="51" t="n">
        <v>53</v>
      </c>
      <c r="W20" s="52" t="n">
        <f aca="false">W19-45-2</f>
        <v>3068</v>
      </c>
      <c r="X20" s="6" t="n">
        <f aca="false">N20+O20+S20+U20+V20</f>
        <v>57.4</v>
      </c>
      <c r="Y20" s="51" t="n">
        <f aca="false">IF(L20&lt;0,L20*-1,0)</f>
        <v>0</v>
      </c>
      <c r="Z20" s="51" t="n">
        <f aca="false">X20+Y20</f>
        <v>57.4</v>
      </c>
      <c r="AA20" s="53" t="n">
        <v>0</v>
      </c>
      <c r="AB20" s="56" t="n">
        <v>55</v>
      </c>
      <c r="AC20" s="56" t="n">
        <v>21</v>
      </c>
      <c r="AD20" s="57" t="n">
        <f aca="false">AD19+1</f>
        <v>11</v>
      </c>
      <c r="AE20" s="85"/>
      <c r="AF20" s="87"/>
      <c r="AG20" s="86"/>
    </row>
    <row r="21" customFormat="false" ht="11.1" hidden="false" customHeight="true" outlineLevel="0" collapsed="false">
      <c r="A21" s="57" t="n">
        <f aca="false">A20+1</f>
        <v>12</v>
      </c>
      <c r="B21" s="71" t="n">
        <v>6909.88</v>
      </c>
      <c r="C21" s="52" t="n">
        <v>321509</v>
      </c>
      <c r="D21" s="56" t="n">
        <f aca="false">C21-C20</f>
        <v>-40</v>
      </c>
      <c r="E21" s="52" t="n">
        <f aca="false">C21-152000</f>
        <v>169509</v>
      </c>
      <c r="F21" s="51" t="n">
        <f aca="false">D21/$D$2</f>
        <v>-20.1663725737333</v>
      </c>
      <c r="G21" s="51" t="n">
        <v>50</v>
      </c>
      <c r="H21" s="53" t="n">
        <v>0.9</v>
      </c>
      <c r="I21" s="51" t="n">
        <f aca="false">G21+H21</f>
        <v>50.9</v>
      </c>
      <c r="J21" s="78" t="n">
        <f aca="false">IF(L21&gt;0,L21,0)</f>
        <v>0</v>
      </c>
      <c r="K21" s="51" t="n">
        <f aca="false">I21+J21</f>
        <v>50.9</v>
      </c>
      <c r="L21" s="51" t="n">
        <f aca="false">F21-(I21-X21)</f>
        <v>-13.6663725737333</v>
      </c>
      <c r="M21" s="51" t="n">
        <v>4.4</v>
      </c>
      <c r="N21" s="51"/>
      <c r="O21" s="51" t="n">
        <v>0</v>
      </c>
      <c r="P21" s="6" t="n">
        <f aca="false">M21-(N21+O21)</f>
        <v>4.4</v>
      </c>
      <c r="Q21" s="51" t="n">
        <v>0</v>
      </c>
      <c r="R21" s="51" t="n">
        <v>0</v>
      </c>
      <c r="S21" s="51" t="n">
        <f aca="false">SUM(P21:R21)</f>
        <v>4.4</v>
      </c>
      <c r="T21" s="52"/>
      <c r="U21" s="51" t="n">
        <v>0</v>
      </c>
      <c r="V21" s="51" t="n">
        <v>53</v>
      </c>
      <c r="W21" s="52" t="n">
        <f aca="false">W20-45-2</f>
        <v>3021</v>
      </c>
      <c r="X21" s="6" t="n">
        <f aca="false">N21+O21+S21+U21+V21</f>
        <v>57.4</v>
      </c>
      <c r="Y21" s="51" t="n">
        <f aca="false">IF(L21&lt;0,L21*-1,0)</f>
        <v>13.6663725737333</v>
      </c>
      <c r="Z21" s="51" t="n">
        <f aca="false">X21+Y21</f>
        <v>71.0663725737333</v>
      </c>
      <c r="AA21" s="53" t="n">
        <v>0</v>
      </c>
      <c r="AB21" s="56" t="n">
        <v>50</v>
      </c>
      <c r="AC21" s="56" t="n">
        <v>22</v>
      </c>
      <c r="AD21" s="57" t="n">
        <f aca="false">AD20+1</f>
        <v>12</v>
      </c>
      <c r="AE21" s="85"/>
      <c r="AF21" s="87"/>
      <c r="AG21" s="86"/>
    </row>
    <row r="22" customFormat="false" ht="11.1" hidden="false" customHeight="true" outlineLevel="0" collapsed="false">
      <c r="A22" s="57" t="n">
        <v>13</v>
      </c>
      <c r="B22" s="71" t="n">
        <v>6909.89</v>
      </c>
      <c r="C22" s="52" t="n">
        <v>321549</v>
      </c>
      <c r="D22" s="56" t="n">
        <f aca="false">C22-C21</f>
        <v>40</v>
      </c>
      <c r="E22" s="52" t="n">
        <f aca="false">C22-152000</f>
        <v>169549</v>
      </c>
      <c r="F22" s="51" t="n">
        <f aca="false">D22/$D$2</f>
        <v>20.1663725737333</v>
      </c>
      <c r="G22" s="51" t="n">
        <v>50</v>
      </c>
      <c r="H22" s="53" t="n">
        <v>0.92</v>
      </c>
      <c r="I22" s="51" t="n">
        <f aca="false">G22+H22</f>
        <v>50.92</v>
      </c>
      <c r="J22" s="78" t="n">
        <f aca="false">IF(L22&gt;0,L22,0)</f>
        <v>21.6463725737333</v>
      </c>
      <c r="K22" s="51" t="n">
        <f aca="false">I22+J22</f>
        <v>72.5663725737333</v>
      </c>
      <c r="L22" s="51" t="n">
        <f aca="false">F22-(I22-X22)</f>
        <v>21.6463725737333</v>
      </c>
      <c r="M22" s="51" t="n">
        <v>4.4</v>
      </c>
      <c r="N22" s="51"/>
      <c r="O22" s="51" t="n">
        <v>0</v>
      </c>
      <c r="P22" s="6" t="n">
        <f aca="false">M22-(N22+O22)</f>
        <v>4.4</v>
      </c>
      <c r="Q22" s="51" t="n">
        <v>0</v>
      </c>
      <c r="R22" s="51" t="n">
        <v>0</v>
      </c>
      <c r="S22" s="51" t="n">
        <f aca="false">SUM(P22:R22)</f>
        <v>4.4</v>
      </c>
      <c r="T22" s="52"/>
      <c r="U22" s="51" t="n">
        <v>0</v>
      </c>
      <c r="V22" s="51" t="n">
        <v>48</v>
      </c>
      <c r="W22" s="52" t="n">
        <f aca="false">W21-45-2</f>
        <v>2974</v>
      </c>
      <c r="X22" s="6" t="n">
        <f aca="false">N22+O22+S22+U22+V22</f>
        <v>52.4</v>
      </c>
      <c r="Y22" s="51" t="n">
        <f aca="false">IF(L22&lt;0,L22*-1,0)</f>
        <v>0</v>
      </c>
      <c r="Z22" s="51" t="n">
        <f aca="false">X22+Y22</f>
        <v>52.4</v>
      </c>
      <c r="AA22" s="53" t="n">
        <v>0</v>
      </c>
      <c r="AB22" s="56" t="n">
        <v>51</v>
      </c>
      <c r="AC22" s="56" t="n">
        <v>20</v>
      </c>
      <c r="AD22" s="57" t="n">
        <f aca="false">AD21+1</f>
        <v>13</v>
      </c>
      <c r="AE22" s="85"/>
      <c r="AF22" s="87"/>
      <c r="AG22" s="86"/>
    </row>
    <row r="23" customFormat="false" ht="11.1" hidden="false" customHeight="true" outlineLevel="0" collapsed="false">
      <c r="A23" s="57" t="n">
        <f aca="false">A22+1</f>
        <v>14</v>
      </c>
      <c r="B23" s="71" t="n">
        <v>6909.9</v>
      </c>
      <c r="C23" s="52" t="n">
        <v>321588</v>
      </c>
      <c r="D23" s="56" t="n">
        <f aca="false">C23-C22</f>
        <v>39</v>
      </c>
      <c r="E23" s="52" t="n">
        <f aca="false">C23-152000</f>
        <v>169588</v>
      </c>
      <c r="F23" s="51" t="n">
        <f aca="false">D23/$D$2</f>
        <v>19.66221325939</v>
      </c>
      <c r="G23" s="51" t="n">
        <v>49</v>
      </c>
      <c r="H23" s="53" t="n">
        <v>0.96</v>
      </c>
      <c r="I23" s="51" t="n">
        <f aca="false">G23+H23</f>
        <v>49.96</v>
      </c>
      <c r="J23" s="78" t="n">
        <f aca="false">IF(L23&gt;0,L23,0)</f>
        <v>19.10221325939</v>
      </c>
      <c r="K23" s="51" t="n">
        <f aca="false">I23+J23</f>
        <v>69.06221325939</v>
      </c>
      <c r="L23" s="51" t="n">
        <f aca="false">F23-(I23-X23)</f>
        <v>19.10221325939</v>
      </c>
      <c r="M23" s="51" t="n">
        <v>4.4</v>
      </c>
      <c r="N23" s="51"/>
      <c r="O23" s="51" t="n">
        <v>0</v>
      </c>
      <c r="P23" s="6" t="n">
        <f aca="false">M23-(N23+O23)</f>
        <v>4.4</v>
      </c>
      <c r="Q23" s="51" t="n">
        <v>0</v>
      </c>
      <c r="R23" s="51" t="n">
        <v>0</v>
      </c>
      <c r="S23" s="51" t="n">
        <f aca="false">SUM(P23:R23)</f>
        <v>4.4</v>
      </c>
      <c r="T23" s="52"/>
      <c r="U23" s="51" t="n">
        <v>0</v>
      </c>
      <c r="V23" s="51" t="n">
        <v>45</v>
      </c>
      <c r="W23" s="52" t="n">
        <f aca="false">W22-V23</f>
        <v>2929</v>
      </c>
      <c r="X23" s="6" t="n">
        <f aca="false">N23+O23+S23+U23+V23</f>
        <v>49.4</v>
      </c>
      <c r="Y23" s="51" t="n">
        <f aca="false">IF(L23&lt;0,L23*-1,0)</f>
        <v>0</v>
      </c>
      <c r="Z23" s="51" t="n">
        <f aca="false">X23+Y23</f>
        <v>49.4</v>
      </c>
      <c r="AA23" s="53" t="n">
        <v>0</v>
      </c>
      <c r="AB23" s="79" t="n">
        <v>50</v>
      </c>
      <c r="AC23" s="56" t="n">
        <v>23</v>
      </c>
      <c r="AD23" s="57" t="n">
        <f aca="false">AD22+1</f>
        <v>14</v>
      </c>
      <c r="AE23" s="85"/>
      <c r="AF23" s="87"/>
      <c r="AG23" s="86"/>
    </row>
    <row r="24" customFormat="false" ht="11.1" hidden="false" customHeight="true" outlineLevel="0" collapsed="false">
      <c r="A24" s="57" t="n">
        <f aca="false">A23+1</f>
        <v>15</v>
      </c>
      <c r="B24" s="71" t="n">
        <v>6909.91</v>
      </c>
      <c r="C24" s="52" t="n">
        <v>321628</v>
      </c>
      <c r="D24" s="56" t="n">
        <f aca="false">C24-C23</f>
        <v>40</v>
      </c>
      <c r="E24" s="52" t="n">
        <f aca="false">C24-152000</f>
        <v>169628</v>
      </c>
      <c r="F24" s="51" t="n">
        <f aca="false">D24/$D$2</f>
        <v>20.1663725737333</v>
      </c>
      <c r="G24" s="51" t="n">
        <v>48</v>
      </c>
      <c r="H24" s="53" t="n">
        <v>1.1</v>
      </c>
      <c r="I24" s="51" t="n">
        <f aca="false">G24+H24</f>
        <v>49.1</v>
      </c>
      <c r="J24" s="78" t="n">
        <f aca="false">IF(L24&gt;0,L24,0)</f>
        <v>20.4663725737333</v>
      </c>
      <c r="K24" s="51" t="n">
        <f aca="false">I24+J24</f>
        <v>69.5663725737333</v>
      </c>
      <c r="L24" s="51" t="n">
        <f aca="false">F24-(I24-X24)</f>
        <v>20.4663725737333</v>
      </c>
      <c r="M24" s="51" t="n">
        <v>4.4</v>
      </c>
      <c r="N24" s="51"/>
      <c r="O24" s="51" t="n">
        <v>0</v>
      </c>
      <c r="P24" s="6" t="n">
        <f aca="false">M24-(N24+O24)</f>
        <v>4.4</v>
      </c>
      <c r="Q24" s="51" t="n">
        <v>0</v>
      </c>
      <c r="R24" s="51" t="n">
        <v>0</v>
      </c>
      <c r="S24" s="51" t="n">
        <f aca="false">SUM(P24:R24)</f>
        <v>4.4</v>
      </c>
      <c r="T24" s="52"/>
      <c r="U24" s="51" t="n">
        <v>0</v>
      </c>
      <c r="V24" s="51" t="n">
        <v>45</v>
      </c>
      <c r="W24" s="52" t="n">
        <f aca="false">W23-V24</f>
        <v>2884</v>
      </c>
      <c r="X24" s="6" t="n">
        <f aca="false">N24+O24+S24+U24+V24</f>
        <v>49.4</v>
      </c>
      <c r="Y24" s="51" t="n">
        <f aca="false">IF(L24&lt;0,L24*-1,0)</f>
        <v>0</v>
      </c>
      <c r="Z24" s="51" t="n">
        <f aca="false">X24+Y24</f>
        <v>49.4</v>
      </c>
      <c r="AA24" s="53" t="n">
        <v>0</v>
      </c>
      <c r="AB24" s="79" t="n">
        <v>58</v>
      </c>
      <c r="AC24" s="56" t="n">
        <v>22</v>
      </c>
      <c r="AD24" s="57" t="n">
        <f aca="false">AD23+1</f>
        <v>15</v>
      </c>
      <c r="AE24" s="85"/>
      <c r="AF24" s="87"/>
      <c r="AG24" s="86"/>
    </row>
    <row r="25" customFormat="false" ht="11.1" hidden="false" customHeight="true" outlineLevel="0" collapsed="false">
      <c r="A25" s="57" t="n">
        <f aca="false">A24+1</f>
        <v>16</v>
      </c>
      <c r="B25" s="71" t="n">
        <v>6909.92</v>
      </c>
      <c r="C25" s="52" t="n">
        <v>321668</v>
      </c>
      <c r="D25" s="56" t="n">
        <f aca="false">C25-C24</f>
        <v>40</v>
      </c>
      <c r="E25" s="52" t="n">
        <f aca="false">C25-152000</f>
        <v>169668</v>
      </c>
      <c r="F25" s="51" t="n">
        <f aca="false">D25/$D$2</f>
        <v>20.1663725737333</v>
      </c>
      <c r="G25" s="51" t="n">
        <v>49</v>
      </c>
      <c r="H25" s="53" t="n">
        <v>1.4</v>
      </c>
      <c r="I25" s="51" t="n">
        <f aca="false">G25+H25</f>
        <v>50.4</v>
      </c>
      <c r="J25" s="78" t="n">
        <f aca="false">IF(L25&gt;0,L25,0)</f>
        <v>19.1663725737333</v>
      </c>
      <c r="K25" s="51" t="n">
        <f aca="false">I25+J25</f>
        <v>69.5663725737333</v>
      </c>
      <c r="L25" s="51" t="n">
        <f aca="false">F25-(I25-X25)</f>
        <v>19.1663725737333</v>
      </c>
      <c r="M25" s="51" t="n">
        <v>4.4</v>
      </c>
      <c r="N25" s="51"/>
      <c r="O25" s="51" t="n">
        <v>0</v>
      </c>
      <c r="P25" s="6" t="n">
        <f aca="false">M25-(N25+O25)</f>
        <v>4.4</v>
      </c>
      <c r="Q25" s="51" t="n">
        <v>0</v>
      </c>
      <c r="R25" s="51" t="n">
        <v>0</v>
      </c>
      <c r="S25" s="51" t="n">
        <f aca="false">SUM(P25:R25)</f>
        <v>4.4</v>
      </c>
      <c r="T25" s="52"/>
      <c r="U25" s="51" t="n">
        <v>0</v>
      </c>
      <c r="V25" s="51" t="n">
        <v>45</v>
      </c>
      <c r="W25" s="52" t="n">
        <f aca="false">W24-V25</f>
        <v>2839</v>
      </c>
      <c r="X25" s="6" t="n">
        <f aca="false">N25+O25+S25+U25+V25</f>
        <v>49.4</v>
      </c>
      <c r="Y25" s="51" t="n">
        <f aca="false">IF(L25&lt;0,L25*-1,0)</f>
        <v>0</v>
      </c>
      <c r="Z25" s="51" t="n">
        <f aca="false">X25+Y25</f>
        <v>49.4</v>
      </c>
      <c r="AA25" s="53" t="n">
        <v>0</v>
      </c>
      <c r="AB25" s="79" t="n">
        <v>60</v>
      </c>
      <c r="AC25" s="56" t="n">
        <v>28</v>
      </c>
      <c r="AD25" s="57" t="n">
        <f aca="false">AD24+1</f>
        <v>16</v>
      </c>
      <c r="AE25" s="85"/>
      <c r="AF25" s="88"/>
      <c r="AG25" s="86"/>
    </row>
    <row r="26" customFormat="false" ht="11.1" hidden="false" customHeight="true" outlineLevel="0" collapsed="false">
      <c r="A26" s="57" t="n">
        <f aca="false">A25+1</f>
        <v>17</v>
      </c>
      <c r="B26" s="71" t="n">
        <v>6909.93</v>
      </c>
      <c r="C26" s="52" t="n">
        <v>321708</v>
      </c>
      <c r="D26" s="56" t="n">
        <f aca="false">C26-C25</f>
        <v>40</v>
      </c>
      <c r="E26" s="52" t="n">
        <f aca="false">C26-152000</f>
        <v>169708</v>
      </c>
      <c r="F26" s="51" t="n">
        <f aca="false">D26/$D$2</f>
        <v>20.1663725737333</v>
      </c>
      <c r="G26" s="51" t="n">
        <v>50</v>
      </c>
      <c r="H26" s="53" t="n">
        <v>1.7</v>
      </c>
      <c r="I26" s="51" t="n">
        <f aca="false">G26+H26</f>
        <v>51.7</v>
      </c>
      <c r="J26" s="78" t="n">
        <f aca="false">IF(L26&gt;0,L26,0)</f>
        <v>17.6663725737333</v>
      </c>
      <c r="K26" s="51" t="n">
        <f aca="false">I26+J26</f>
        <v>69.3663725737333</v>
      </c>
      <c r="L26" s="51" t="n">
        <f aca="false">F26-(I26-X26)</f>
        <v>17.6663725737333</v>
      </c>
      <c r="M26" s="51" t="n">
        <v>4.2</v>
      </c>
      <c r="N26" s="51"/>
      <c r="O26" s="51" t="n">
        <v>0</v>
      </c>
      <c r="P26" s="6" t="n">
        <f aca="false">M26-(N26+O26)</f>
        <v>4.2</v>
      </c>
      <c r="Q26" s="51" t="n">
        <v>0</v>
      </c>
      <c r="R26" s="51" t="n">
        <v>0</v>
      </c>
      <c r="S26" s="51" t="n">
        <f aca="false">SUM(P26:R26)</f>
        <v>4.2</v>
      </c>
      <c r="T26" s="52"/>
      <c r="U26" s="51" t="n">
        <v>0</v>
      </c>
      <c r="V26" s="51" t="n">
        <v>45</v>
      </c>
      <c r="W26" s="52" t="n">
        <f aca="false">W25-V26</f>
        <v>2794</v>
      </c>
      <c r="X26" s="6" t="n">
        <f aca="false">N26+O26+S26+U26+V26</f>
        <v>49.2</v>
      </c>
      <c r="Y26" s="51" t="n">
        <f aca="false">IF(L26&lt;0,L26*-1,0)</f>
        <v>0</v>
      </c>
      <c r="Z26" s="51" t="n">
        <f aca="false">X26+Y26</f>
        <v>49.2</v>
      </c>
      <c r="AA26" s="53" t="n">
        <v>0</v>
      </c>
      <c r="AB26" s="79" t="n">
        <v>45</v>
      </c>
      <c r="AC26" s="56" t="n">
        <v>36</v>
      </c>
      <c r="AD26" s="57" t="n">
        <f aca="false">AD25+1</f>
        <v>17</v>
      </c>
      <c r="AE26" s="85"/>
      <c r="AF26" s="87"/>
      <c r="AG26" s="86"/>
    </row>
    <row r="27" customFormat="false" ht="11.1" hidden="false" customHeight="true" outlineLevel="0" collapsed="false">
      <c r="A27" s="57" t="n">
        <f aca="false">A26+1</f>
        <v>18</v>
      </c>
      <c r="B27" s="71" t="n">
        <v>6909.93</v>
      </c>
      <c r="C27" s="52" t="n">
        <v>321708</v>
      </c>
      <c r="D27" s="56" t="n">
        <f aca="false">C27-C26</f>
        <v>0</v>
      </c>
      <c r="E27" s="52" t="n">
        <f aca="false">C27-152000</f>
        <v>169708</v>
      </c>
      <c r="F27" s="51" t="n">
        <f aca="false">D27/$D$2</f>
        <v>0</v>
      </c>
      <c r="G27" s="51" t="n">
        <v>50</v>
      </c>
      <c r="H27" s="53" t="n">
        <v>1.8</v>
      </c>
      <c r="I27" s="51" t="n">
        <f aca="false">G27+H27</f>
        <v>51.8</v>
      </c>
      <c r="J27" s="78" t="n">
        <f aca="false">IF(L27&gt;0,L27,0)</f>
        <v>7.2</v>
      </c>
      <c r="K27" s="51" t="n">
        <f aca="false">I27+J27</f>
        <v>59</v>
      </c>
      <c r="L27" s="51" t="n">
        <f aca="false">F27-(I27-X27)</f>
        <v>7.2</v>
      </c>
      <c r="M27" s="51" t="n">
        <v>14</v>
      </c>
      <c r="N27" s="51" t="n">
        <v>10.08</v>
      </c>
      <c r="O27" s="51" t="n">
        <v>0</v>
      </c>
      <c r="P27" s="6" t="n">
        <f aca="false">M27-(N27+O27)</f>
        <v>3.92</v>
      </c>
      <c r="Q27" s="51" t="n">
        <v>0</v>
      </c>
      <c r="R27" s="51" t="n">
        <v>0</v>
      </c>
      <c r="S27" s="51" t="n">
        <f aca="false">SUM(P27:R27)</f>
        <v>3.92</v>
      </c>
      <c r="T27" s="52"/>
      <c r="U27" s="51" t="n">
        <v>0</v>
      </c>
      <c r="V27" s="51" t="n">
        <v>45</v>
      </c>
      <c r="W27" s="52" t="n">
        <f aca="false">W26-V27</f>
        <v>2749</v>
      </c>
      <c r="X27" s="6" t="n">
        <f aca="false">N27+O27+S27+U27+V27</f>
        <v>59</v>
      </c>
      <c r="Y27" s="51" t="n">
        <f aca="false">IF(L27&lt;0,L27*-1,0)</f>
        <v>0</v>
      </c>
      <c r="Z27" s="51" t="n">
        <f aca="false">X27+Y27</f>
        <v>59</v>
      </c>
      <c r="AA27" s="53" t="n">
        <v>0</v>
      </c>
      <c r="AB27" s="79" t="n">
        <v>50</v>
      </c>
      <c r="AC27" s="56" t="n">
        <v>37</v>
      </c>
      <c r="AD27" s="57" t="n">
        <f aca="false">AD26+1</f>
        <v>18</v>
      </c>
      <c r="AE27" s="85"/>
      <c r="AF27" s="87"/>
      <c r="AG27" s="86"/>
    </row>
    <row r="28" customFormat="false" ht="11.1" hidden="false" customHeight="true" outlineLevel="0" collapsed="false">
      <c r="A28" s="57" t="n">
        <f aca="false">A27+1</f>
        <v>19</v>
      </c>
      <c r="B28" s="71" t="n">
        <v>6909.94</v>
      </c>
      <c r="C28" s="52" t="n">
        <v>321748</v>
      </c>
      <c r="D28" s="56" t="n">
        <f aca="false">C28-C27</f>
        <v>40</v>
      </c>
      <c r="E28" s="52" t="n">
        <f aca="false">C28-152000</f>
        <v>169748</v>
      </c>
      <c r="F28" s="51" t="n">
        <f aca="false">D28/$D$2</f>
        <v>20.1663725737333</v>
      </c>
      <c r="G28" s="51" t="n">
        <v>50</v>
      </c>
      <c r="H28" s="53" t="n">
        <v>1.4</v>
      </c>
      <c r="I28" s="51" t="n">
        <f aca="false">G28+H28</f>
        <v>51.4</v>
      </c>
      <c r="J28" s="78" t="n">
        <f aca="false">IF(L28&gt;0,L28,0)</f>
        <v>19.7663725737333</v>
      </c>
      <c r="K28" s="51" t="n">
        <f aca="false">I28+J28</f>
        <v>71.1663725737333</v>
      </c>
      <c r="L28" s="51" t="n">
        <f aca="false">F28-(I28-X28)</f>
        <v>19.7663725737333</v>
      </c>
      <c r="M28" s="51" t="n">
        <v>6</v>
      </c>
      <c r="N28" s="51" t="n">
        <v>2.03</v>
      </c>
      <c r="O28" s="51" t="n">
        <v>0</v>
      </c>
      <c r="P28" s="6" t="n">
        <f aca="false">M28-(N28+O28)</f>
        <v>3.97</v>
      </c>
      <c r="Q28" s="51" t="n">
        <v>0</v>
      </c>
      <c r="R28" s="51" t="n">
        <v>0</v>
      </c>
      <c r="S28" s="51" t="n">
        <f aca="false">SUM(P28:R28)</f>
        <v>3.97</v>
      </c>
      <c r="T28" s="52"/>
      <c r="U28" s="51" t="n">
        <v>0</v>
      </c>
      <c r="V28" s="51" t="n">
        <v>45</v>
      </c>
      <c r="W28" s="52" t="n">
        <f aca="false">W27-V28</f>
        <v>2704</v>
      </c>
      <c r="X28" s="6" t="n">
        <f aca="false">N28+O28+S28+U28+V28</f>
        <v>51</v>
      </c>
      <c r="Y28" s="51" t="n">
        <f aca="false">IF(L28&lt;0,L28*-1,0)</f>
        <v>0</v>
      </c>
      <c r="Z28" s="51" t="n">
        <f aca="false">X28+Y28</f>
        <v>51</v>
      </c>
      <c r="AA28" s="53" t="n">
        <v>0</v>
      </c>
      <c r="AB28" s="79" t="n">
        <v>56</v>
      </c>
      <c r="AC28" s="56" t="n">
        <v>28</v>
      </c>
      <c r="AD28" s="57" t="n">
        <f aca="false">AD27+1</f>
        <v>19</v>
      </c>
      <c r="AE28" s="85"/>
      <c r="AF28" s="87"/>
      <c r="AG28" s="86"/>
    </row>
    <row r="29" customFormat="false" ht="11.1" hidden="false" customHeight="true" outlineLevel="0" collapsed="false">
      <c r="A29" s="57" t="n">
        <f aca="false">A28+1</f>
        <v>20</v>
      </c>
      <c r="B29" s="71" t="n">
        <v>6909.94</v>
      </c>
      <c r="C29" s="52" t="n">
        <v>321748</v>
      </c>
      <c r="D29" s="56" t="n">
        <f aca="false">C29-C28</f>
        <v>0</v>
      </c>
      <c r="E29" s="52" t="n">
        <f aca="false">C29-152000</f>
        <v>169748</v>
      </c>
      <c r="F29" s="51" t="n">
        <f aca="false">D29/$D$2</f>
        <v>0</v>
      </c>
      <c r="G29" s="51" t="n">
        <v>50</v>
      </c>
      <c r="H29" s="53" t="n">
        <v>1.3</v>
      </c>
      <c r="I29" s="51" t="n">
        <f aca="false">G29+H29</f>
        <v>51.3</v>
      </c>
      <c r="J29" s="78" t="n">
        <f aca="false">IF(L29&gt;0,L29,0)</f>
        <v>3.6</v>
      </c>
      <c r="K29" s="51" t="n">
        <f aca="false">I29+J29</f>
        <v>54.9</v>
      </c>
      <c r="L29" s="51" t="n">
        <f aca="false">F29-(I29-X29)</f>
        <v>3.6</v>
      </c>
      <c r="M29" s="51" t="n">
        <v>9.9</v>
      </c>
      <c r="N29" s="51" t="n">
        <v>4.64</v>
      </c>
      <c r="O29" s="51" t="n">
        <v>0</v>
      </c>
      <c r="P29" s="6" t="n">
        <f aca="false">M29-(N29+O29)</f>
        <v>5.26</v>
      </c>
      <c r="Q29" s="51" t="n">
        <v>0</v>
      </c>
      <c r="R29" s="51" t="n">
        <v>0</v>
      </c>
      <c r="S29" s="51" t="n">
        <f aca="false">SUM(P29:R29)</f>
        <v>5.26</v>
      </c>
      <c r="T29" s="52"/>
      <c r="U29" s="51" t="n">
        <v>0</v>
      </c>
      <c r="V29" s="51" t="n">
        <v>45</v>
      </c>
      <c r="W29" s="52" t="n">
        <f aca="false">W28-V29</f>
        <v>2659</v>
      </c>
      <c r="X29" s="6" t="n">
        <f aca="false">N29+O29+S29+U29+V29</f>
        <v>54.9</v>
      </c>
      <c r="Y29" s="51" t="n">
        <f aca="false">IF(L29&lt;0,L29*-1,0)</f>
        <v>0</v>
      </c>
      <c r="Z29" s="51" t="n">
        <f aca="false">X29+Y29</f>
        <v>54.9</v>
      </c>
      <c r="AA29" s="53" t="n">
        <v>0</v>
      </c>
      <c r="AB29" s="79" t="n">
        <v>48</v>
      </c>
      <c r="AC29" s="56" t="n">
        <v>30</v>
      </c>
      <c r="AD29" s="57" t="n">
        <f aca="false">AD28+1</f>
        <v>20</v>
      </c>
      <c r="AE29" s="85"/>
      <c r="AF29" s="87"/>
      <c r="AG29" s="86"/>
    </row>
    <row r="30" customFormat="false" ht="11.1" hidden="false" customHeight="true" outlineLevel="0" collapsed="false">
      <c r="A30" s="57" t="n">
        <f aca="false">A29+1</f>
        <v>21</v>
      </c>
      <c r="B30" s="71" t="n">
        <v>6909.94</v>
      </c>
      <c r="C30" s="52" t="n">
        <v>321748</v>
      </c>
      <c r="D30" s="56" t="n">
        <f aca="false">C30-C29</f>
        <v>0</v>
      </c>
      <c r="E30" s="52" t="n">
        <f aca="false">C30-152000</f>
        <v>169748</v>
      </c>
      <c r="F30" s="51" t="n">
        <f aca="false">D30/$D$2</f>
        <v>0</v>
      </c>
      <c r="G30" s="51" t="n">
        <v>50</v>
      </c>
      <c r="H30" s="53" t="n">
        <v>1.2</v>
      </c>
      <c r="I30" s="51" t="n">
        <f aca="false">G30+H30</f>
        <v>51.2</v>
      </c>
      <c r="J30" s="78" t="n">
        <f aca="false">IF(L30&gt;0,L30,0)</f>
        <v>4.8</v>
      </c>
      <c r="K30" s="51" t="n">
        <f aca="false">I30+J30</f>
        <v>56</v>
      </c>
      <c r="L30" s="51" t="n">
        <f aca="false">F30-(I30-X30)</f>
        <v>4.8</v>
      </c>
      <c r="M30" s="51" t="n">
        <v>11</v>
      </c>
      <c r="N30" s="51" t="n">
        <v>7.42</v>
      </c>
      <c r="O30" s="51" t="n">
        <v>0</v>
      </c>
      <c r="P30" s="6" t="n">
        <f aca="false">M30-(N30+O30)</f>
        <v>3.58</v>
      </c>
      <c r="Q30" s="51" t="n">
        <v>0</v>
      </c>
      <c r="R30" s="51" t="n">
        <v>0</v>
      </c>
      <c r="S30" s="51" t="n">
        <f aca="false">SUM(P30:R30)</f>
        <v>3.58</v>
      </c>
      <c r="T30" s="52"/>
      <c r="U30" s="51" t="n">
        <v>0</v>
      </c>
      <c r="V30" s="51" t="n">
        <v>45</v>
      </c>
      <c r="W30" s="52" t="n">
        <f aca="false">W29-V30</f>
        <v>2614</v>
      </c>
      <c r="X30" s="6" t="n">
        <f aca="false">N30+O30+S30+U30+V30</f>
        <v>56</v>
      </c>
      <c r="Y30" s="51" t="n">
        <f aca="false">IF(L30&lt;0,L30*-1,0)</f>
        <v>0</v>
      </c>
      <c r="Z30" s="51" t="n">
        <f aca="false">X30+Y30</f>
        <v>56</v>
      </c>
      <c r="AA30" s="53" t="n">
        <v>0</v>
      </c>
      <c r="AB30" s="56" t="n">
        <v>50</v>
      </c>
      <c r="AC30" s="56" t="n">
        <v>33</v>
      </c>
      <c r="AD30" s="57" t="n">
        <f aca="false">AD29+1</f>
        <v>21</v>
      </c>
      <c r="AE30" s="85"/>
      <c r="AF30" s="87"/>
      <c r="AG30" s="86"/>
    </row>
    <row r="31" customFormat="false" ht="11.1" hidden="false" customHeight="true" outlineLevel="0" collapsed="false">
      <c r="A31" s="57" t="n">
        <f aca="false">A30+1</f>
        <v>22</v>
      </c>
      <c r="B31" s="71" t="n">
        <v>6909.95</v>
      </c>
      <c r="C31" s="52" t="n">
        <v>321787</v>
      </c>
      <c r="D31" s="56" t="n">
        <f aca="false">C31-C30</f>
        <v>39</v>
      </c>
      <c r="E31" s="52" t="n">
        <f aca="false">C31-152000</f>
        <v>169787</v>
      </c>
      <c r="F31" s="51" t="n">
        <f aca="false">D31/$D$2</f>
        <v>19.66221325939</v>
      </c>
      <c r="G31" s="51" t="n">
        <v>50</v>
      </c>
      <c r="H31" s="53" t="n">
        <v>1.1</v>
      </c>
      <c r="I31" s="51" t="n">
        <f aca="false">G31+H31</f>
        <v>51.1</v>
      </c>
      <c r="J31" s="78" t="n">
        <f aca="false">IF(L31&gt;0,L31,0)</f>
        <v>24.56221325939</v>
      </c>
      <c r="K31" s="51" t="n">
        <f aca="false">I31+J31</f>
        <v>75.66221325939</v>
      </c>
      <c r="L31" s="51" t="n">
        <f aca="false">F31-(I31-X31)</f>
        <v>24.56221325939</v>
      </c>
      <c r="M31" s="51" t="n">
        <v>11</v>
      </c>
      <c r="N31" s="51" t="n">
        <v>7.42</v>
      </c>
      <c r="O31" s="51" t="n">
        <v>0</v>
      </c>
      <c r="P31" s="6" t="n">
        <f aca="false">M31-(N31+O31)</f>
        <v>3.58</v>
      </c>
      <c r="Q31" s="51" t="n">
        <v>0</v>
      </c>
      <c r="R31" s="51" t="n">
        <v>0</v>
      </c>
      <c r="S31" s="51" t="n">
        <f aca="false">SUM(P31:R31)</f>
        <v>3.58</v>
      </c>
      <c r="T31" s="52"/>
      <c r="U31" s="51" t="n">
        <v>0</v>
      </c>
      <c r="V31" s="51" t="n">
        <v>45</v>
      </c>
      <c r="W31" s="52" t="n">
        <f aca="false">W30-V31</f>
        <v>2569</v>
      </c>
      <c r="X31" s="6" t="n">
        <f aca="false">N31+O31+S31+U31+V31</f>
        <v>56</v>
      </c>
      <c r="Y31" s="51" t="n">
        <f aca="false">IF(L31&lt;0,L31*-1,0)</f>
        <v>0</v>
      </c>
      <c r="Z31" s="51" t="n">
        <f aca="false">X31+Y31</f>
        <v>56</v>
      </c>
      <c r="AA31" s="53" t="n">
        <v>0</v>
      </c>
      <c r="AB31" s="56" t="n">
        <v>50</v>
      </c>
      <c r="AC31" s="56" t="n">
        <v>24</v>
      </c>
      <c r="AD31" s="57" t="n">
        <f aca="false">AD30+1</f>
        <v>22</v>
      </c>
      <c r="AE31" s="85"/>
      <c r="AF31" s="87"/>
      <c r="AG31" s="86"/>
    </row>
    <row r="32" customFormat="false" ht="11.1" hidden="false" customHeight="true" outlineLevel="0" collapsed="false">
      <c r="A32" s="57" t="n">
        <f aca="false">A31+1</f>
        <v>23</v>
      </c>
      <c r="B32" s="71" t="n">
        <v>6909.95</v>
      </c>
      <c r="C32" s="52" t="n">
        <v>321787</v>
      </c>
      <c r="D32" s="56" t="n">
        <f aca="false">C32-C31</f>
        <v>0</v>
      </c>
      <c r="E32" s="52" t="n">
        <f aca="false">C32-152000</f>
        <v>169787</v>
      </c>
      <c r="F32" s="51" t="n">
        <f aca="false">D32/$D$2</f>
        <v>0</v>
      </c>
      <c r="G32" s="51" t="n">
        <v>48</v>
      </c>
      <c r="H32" s="53" t="n">
        <v>1</v>
      </c>
      <c r="I32" s="51" t="n">
        <f aca="false">G32+H32</f>
        <v>49</v>
      </c>
      <c r="J32" s="78" t="n">
        <f aca="false">IF(L32&gt;0,L32,0)</f>
        <v>7</v>
      </c>
      <c r="K32" s="51" t="n">
        <f aca="false">I32+J32</f>
        <v>56</v>
      </c>
      <c r="L32" s="51" t="n">
        <f aca="false">F32-(I32-X32)</f>
        <v>7</v>
      </c>
      <c r="M32" s="51" t="n">
        <v>11</v>
      </c>
      <c r="N32" s="51" t="n">
        <v>7.42</v>
      </c>
      <c r="O32" s="51" t="n">
        <v>0</v>
      </c>
      <c r="P32" s="6" t="n">
        <f aca="false">M32-(N32+O32)</f>
        <v>3.58</v>
      </c>
      <c r="Q32" s="51" t="n">
        <v>0</v>
      </c>
      <c r="R32" s="51" t="n">
        <v>0</v>
      </c>
      <c r="S32" s="51" t="n">
        <f aca="false">SUM(P32:R32)</f>
        <v>3.58</v>
      </c>
      <c r="T32" s="52"/>
      <c r="U32" s="51" t="n">
        <v>0</v>
      </c>
      <c r="V32" s="51" t="n">
        <v>45</v>
      </c>
      <c r="W32" s="52" t="n">
        <f aca="false">W31-V32</f>
        <v>2524</v>
      </c>
      <c r="X32" s="6" t="n">
        <f aca="false">N32+O32+S32+U32+V32</f>
        <v>56</v>
      </c>
      <c r="Y32" s="51" t="n">
        <f aca="false">IF(L32&lt;0,L32*-1,0)</f>
        <v>0</v>
      </c>
      <c r="Z32" s="51" t="n">
        <f aca="false">X32+Y32</f>
        <v>56</v>
      </c>
      <c r="AA32" s="53" t="n">
        <v>0</v>
      </c>
      <c r="AB32" s="56" t="n">
        <v>52</v>
      </c>
      <c r="AC32" s="79" t="n">
        <v>20</v>
      </c>
      <c r="AD32" s="57" t="n">
        <f aca="false">AD31+1</f>
        <v>23</v>
      </c>
      <c r="AE32" s="85"/>
      <c r="AF32" s="87"/>
      <c r="AG32" s="86"/>
    </row>
    <row r="33" customFormat="false" ht="11.1" hidden="false" customHeight="true" outlineLevel="0" collapsed="false">
      <c r="A33" s="57" t="n">
        <f aca="false">A32+1</f>
        <v>24</v>
      </c>
      <c r="B33" s="71" t="n">
        <v>6909.98</v>
      </c>
      <c r="C33" s="52" t="n">
        <v>321907</v>
      </c>
      <c r="D33" s="56" t="n">
        <f aca="false">C33-C32</f>
        <v>120</v>
      </c>
      <c r="E33" s="52" t="n">
        <f aca="false">C33-152000</f>
        <v>169907</v>
      </c>
      <c r="F33" s="51" t="n">
        <f aca="false">D33/$D$2</f>
        <v>60.4991177211999</v>
      </c>
      <c r="G33" s="51" t="n">
        <v>49</v>
      </c>
      <c r="H33" s="53" t="n">
        <v>1.4</v>
      </c>
      <c r="I33" s="51" t="n">
        <f aca="false">G33+H33</f>
        <v>50.4</v>
      </c>
      <c r="J33" s="78" t="n">
        <f aca="false">IF(L33&gt;0,L33,0)</f>
        <v>66.0991177211999</v>
      </c>
      <c r="K33" s="51" t="n">
        <f aca="false">I33+J33</f>
        <v>116.4991177212</v>
      </c>
      <c r="L33" s="51" t="n">
        <f aca="false">F33-(I33-X33)</f>
        <v>66.0991177211999</v>
      </c>
      <c r="M33" s="51" t="n">
        <v>11</v>
      </c>
      <c r="N33" s="51" t="n">
        <v>7.42</v>
      </c>
      <c r="O33" s="51" t="n">
        <v>0</v>
      </c>
      <c r="P33" s="6" t="n">
        <f aca="false">M33-(N33+O33)</f>
        <v>3.58</v>
      </c>
      <c r="Q33" s="51" t="n">
        <v>0</v>
      </c>
      <c r="R33" s="51" t="n">
        <v>0</v>
      </c>
      <c r="S33" s="51" t="n">
        <f aca="false">SUM(P33:R33)</f>
        <v>3.58</v>
      </c>
      <c r="T33" s="52"/>
      <c r="U33" s="51" t="n">
        <v>0</v>
      </c>
      <c r="V33" s="51" t="n">
        <v>45</v>
      </c>
      <c r="W33" s="52" t="n">
        <f aca="false">W32-V33</f>
        <v>2479</v>
      </c>
      <c r="X33" s="6" t="n">
        <f aca="false">N33+O33+S33+U33+V33</f>
        <v>56</v>
      </c>
      <c r="Y33" s="51" t="n">
        <f aca="false">IF(L33&lt;0,L33*-1,0)</f>
        <v>0</v>
      </c>
      <c r="Z33" s="51" t="n">
        <f aca="false">X33+Y33</f>
        <v>56</v>
      </c>
      <c r="AA33" s="53" t="n">
        <v>0.04</v>
      </c>
      <c r="AB33" s="56" t="n">
        <v>36</v>
      </c>
      <c r="AC33" s="79" t="n">
        <v>30</v>
      </c>
      <c r="AD33" s="57" t="n">
        <f aca="false">AD32+1</f>
        <v>24</v>
      </c>
      <c r="AE33" s="85"/>
      <c r="AF33" s="87"/>
      <c r="AG33" s="86"/>
    </row>
    <row r="34" customFormat="false" ht="11.1" hidden="false" customHeight="true" outlineLevel="0" collapsed="false">
      <c r="A34" s="57" t="n">
        <f aca="false">A33+1</f>
        <v>25</v>
      </c>
      <c r="B34" s="71" t="n">
        <v>6910.02</v>
      </c>
      <c r="C34" s="52" t="n">
        <v>322067</v>
      </c>
      <c r="D34" s="56" t="n">
        <f aca="false">C34-C33</f>
        <v>160</v>
      </c>
      <c r="E34" s="52" t="n">
        <f aca="false">C34-152000</f>
        <v>170067</v>
      </c>
      <c r="F34" s="51" t="n">
        <f aca="false">D34/$D$2</f>
        <v>80.6654902949332</v>
      </c>
      <c r="G34" s="51" t="n">
        <v>50</v>
      </c>
      <c r="H34" s="53" t="n">
        <v>1.5</v>
      </c>
      <c r="I34" s="51" t="n">
        <f aca="false">G34+H34</f>
        <v>51.5</v>
      </c>
      <c r="J34" s="78" t="n">
        <f aca="false">IF(L34&gt;0,L34,0)</f>
        <v>85.1654902949332</v>
      </c>
      <c r="K34" s="51" t="n">
        <f aca="false">I34+J34</f>
        <v>136.665490294933</v>
      </c>
      <c r="L34" s="51" t="n">
        <f aca="false">F34-(I34-X34)</f>
        <v>85.1654902949332</v>
      </c>
      <c r="M34" s="51" t="n">
        <v>11</v>
      </c>
      <c r="N34" s="51" t="n">
        <v>6.9</v>
      </c>
      <c r="O34" s="51" t="n">
        <v>0</v>
      </c>
      <c r="P34" s="6" t="n">
        <f aca="false">M34-(N34+O34)</f>
        <v>4.1</v>
      </c>
      <c r="Q34" s="51" t="n">
        <v>0</v>
      </c>
      <c r="R34" s="51" t="n">
        <v>0</v>
      </c>
      <c r="S34" s="51" t="n">
        <f aca="false">SUM(P34:R34)</f>
        <v>4.1</v>
      </c>
      <c r="T34" s="52"/>
      <c r="U34" s="51" t="n">
        <v>0</v>
      </c>
      <c r="V34" s="51" t="n">
        <v>45</v>
      </c>
      <c r="W34" s="52" t="n">
        <f aca="false">W33-V34</f>
        <v>2434</v>
      </c>
      <c r="X34" s="6" t="n">
        <f aca="false">N34+O34+S34+U34+V34</f>
        <v>56</v>
      </c>
      <c r="Y34" s="51" t="n">
        <f aca="false">IF(L34&lt;0,L34*-1,0)</f>
        <v>0</v>
      </c>
      <c r="Z34" s="51" t="n">
        <f aca="false">X34+Y34</f>
        <v>56</v>
      </c>
      <c r="AA34" s="53" t="n">
        <v>0.37</v>
      </c>
      <c r="AB34" s="56" t="n">
        <v>37</v>
      </c>
      <c r="AC34" s="79" t="n">
        <v>29</v>
      </c>
      <c r="AD34" s="57" t="n">
        <f aca="false">AD33+1</f>
        <v>25</v>
      </c>
      <c r="AE34" s="85"/>
      <c r="AF34" s="87"/>
      <c r="AG34" s="86"/>
    </row>
    <row r="35" customFormat="false" ht="11.1" hidden="false" customHeight="true" outlineLevel="0" collapsed="false">
      <c r="A35" s="57" t="n">
        <f aca="false">A34+1</f>
        <v>26</v>
      </c>
      <c r="B35" s="71" t="n">
        <v>6910.07</v>
      </c>
      <c r="C35" s="52" t="n">
        <v>322267</v>
      </c>
      <c r="D35" s="56" t="n">
        <f aca="false">C35-C34</f>
        <v>200</v>
      </c>
      <c r="E35" s="52" t="n">
        <f aca="false">C35-152000</f>
        <v>170267</v>
      </c>
      <c r="F35" s="51" t="n">
        <f aca="false">D35/$D$2</f>
        <v>100.831862868667</v>
      </c>
      <c r="G35" s="51" t="n">
        <v>50</v>
      </c>
      <c r="H35" s="53" t="n">
        <v>1.8</v>
      </c>
      <c r="I35" s="51" t="n">
        <f aca="false">G35+H35</f>
        <v>51.8</v>
      </c>
      <c r="J35" s="78" t="n">
        <f aca="false">IF(L35&gt;0,L35,0)</f>
        <v>105.031862868667</v>
      </c>
      <c r="K35" s="51" t="n">
        <f aca="false">I35+J35</f>
        <v>156.831862868666</v>
      </c>
      <c r="L35" s="51" t="n">
        <f aca="false">F35-(I35-X35)</f>
        <v>105.031862868667</v>
      </c>
      <c r="M35" s="51" t="n">
        <v>12</v>
      </c>
      <c r="N35" s="51" t="n">
        <v>7.93</v>
      </c>
      <c r="O35" s="51" t="n">
        <v>0</v>
      </c>
      <c r="P35" s="6" t="n">
        <f aca="false">M35-(N35+O35)</f>
        <v>4.07</v>
      </c>
      <c r="Q35" s="51" t="n">
        <v>0</v>
      </c>
      <c r="R35" s="51" t="n">
        <v>0</v>
      </c>
      <c r="S35" s="51" t="n">
        <f aca="false">SUM(P35:R35)</f>
        <v>4.07</v>
      </c>
      <c r="T35" s="52"/>
      <c r="U35" s="51" t="n">
        <v>0</v>
      </c>
      <c r="V35" s="51" t="n">
        <v>44</v>
      </c>
      <c r="W35" s="52" t="n">
        <f aca="false">W34-V35</f>
        <v>2390</v>
      </c>
      <c r="X35" s="6" t="n">
        <f aca="false">N35+O35+S35+U35+V35</f>
        <v>56</v>
      </c>
      <c r="Y35" s="51" t="n">
        <f aca="false">IF(L35&lt;0,L35*-1,0)</f>
        <v>0</v>
      </c>
      <c r="Z35" s="51" t="n">
        <f aca="false">X35+Y35</f>
        <v>56</v>
      </c>
      <c r="AA35" s="53" t="n">
        <v>0.37</v>
      </c>
      <c r="AB35" s="56" t="n">
        <v>42</v>
      </c>
      <c r="AC35" s="56" t="n">
        <v>24</v>
      </c>
      <c r="AD35" s="57" t="n">
        <f aca="false">AD34+1</f>
        <v>26</v>
      </c>
      <c r="AE35" s="85"/>
      <c r="AF35" s="87"/>
      <c r="AG35" s="86"/>
    </row>
    <row r="36" customFormat="false" ht="11.1" hidden="false" customHeight="true" outlineLevel="0" collapsed="false">
      <c r="A36" s="57" t="n">
        <f aca="false">A35+1</f>
        <v>27</v>
      </c>
      <c r="B36" s="71" t="n">
        <v>6910.06</v>
      </c>
      <c r="C36" s="52" t="n">
        <v>322227</v>
      </c>
      <c r="D36" s="56" t="n">
        <f aca="false">C36-C35</f>
        <v>-40</v>
      </c>
      <c r="E36" s="52" t="n">
        <f aca="false">C36-152000</f>
        <v>170227</v>
      </c>
      <c r="F36" s="51" t="n">
        <f aca="false">D36/$D$2</f>
        <v>-20.1663725737333</v>
      </c>
      <c r="G36" s="51" t="n">
        <v>50</v>
      </c>
      <c r="H36" s="53" t="n">
        <v>2.2</v>
      </c>
      <c r="I36" s="51" t="n">
        <f aca="false">G36+H36</f>
        <v>52.2</v>
      </c>
      <c r="J36" s="78" t="n">
        <f aca="false">IF(L36&gt;0,L36,0)</f>
        <v>0</v>
      </c>
      <c r="K36" s="51" t="n">
        <f aca="false">I36+J36</f>
        <v>52.2</v>
      </c>
      <c r="L36" s="51" t="n">
        <f aca="false">F36-(I36-X36)</f>
        <v>-18.5463725737333</v>
      </c>
      <c r="M36" s="51" t="n">
        <v>9.82</v>
      </c>
      <c r="N36" s="51" t="n">
        <v>5.12</v>
      </c>
      <c r="O36" s="51" t="n">
        <v>0</v>
      </c>
      <c r="P36" s="6" t="n">
        <f aca="false">M36-(N36+O36)</f>
        <v>4.7</v>
      </c>
      <c r="Q36" s="51" t="n">
        <v>0</v>
      </c>
      <c r="R36" s="51" t="n">
        <v>0</v>
      </c>
      <c r="S36" s="51" t="n">
        <f aca="false">SUM(P36:R36)</f>
        <v>4.7</v>
      </c>
      <c r="T36" s="52"/>
      <c r="U36" s="51" t="n">
        <v>0</v>
      </c>
      <c r="V36" s="51" t="n">
        <v>44</v>
      </c>
      <c r="W36" s="52" t="n">
        <f aca="false">W35-V36</f>
        <v>2346</v>
      </c>
      <c r="X36" s="6" t="n">
        <f aca="false">N36+O36+S36+U36+V36</f>
        <v>53.82</v>
      </c>
      <c r="Y36" s="51" t="n">
        <f aca="false">IF(L36&lt;0,L36*-1,0)</f>
        <v>18.5463725737333</v>
      </c>
      <c r="Z36" s="51" t="n">
        <f aca="false">X36+Y36</f>
        <v>72.3663725737333</v>
      </c>
      <c r="AA36" s="53" t="n">
        <v>0</v>
      </c>
      <c r="AB36" s="56" t="n">
        <v>34</v>
      </c>
      <c r="AC36" s="56" t="n">
        <v>18</v>
      </c>
      <c r="AD36" s="57" t="n">
        <f aca="false">AD35+1</f>
        <v>27</v>
      </c>
      <c r="AE36" s="85"/>
      <c r="AF36" s="87"/>
      <c r="AG36" s="86"/>
    </row>
    <row r="37" customFormat="false" ht="11.1" hidden="false" customHeight="true" outlineLevel="0" collapsed="false">
      <c r="A37" s="57" t="n">
        <f aca="false">A36+1</f>
        <v>28</v>
      </c>
      <c r="B37" s="71" t="n">
        <v>6910.05</v>
      </c>
      <c r="C37" s="52" t="n">
        <v>322187</v>
      </c>
      <c r="D37" s="56" t="n">
        <f aca="false">C37-C36</f>
        <v>-40</v>
      </c>
      <c r="E37" s="52" t="n">
        <f aca="false">C37-152000</f>
        <v>170187</v>
      </c>
      <c r="F37" s="51" t="n">
        <f aca="false">D37/$D$2</f>
        <v>-20.1663725737333</v>
      </c>
      <c r="G37" s="51" t="n">
        <v>50</v>
      </c>
      <c r="H37" s="53" t="n">
        <v>1.6</v>
      </c>
      <c r="I37" s="51" t="n">
        <f aca="false">G37+H37</f>
        <v>51.6</v>
      </c>
      <c r="J37" s="78" t="n">
        <f aca="false">IF(L37&gt;0,L37,0)</f>
        <v>0</v>
      </c>
      <c r="K37" s="51" t="n">
        <f aca="false">I37+J37</f>
        <v>51.6</v>
      </c>
      <c r="L37" s="51" t="n">
        <f aca="false">F37-(I37-X37)</f>
        <v>-21.1163725737333</v>
      </c>
      <c r="M37" s="51" t="n">
        <v>6.65</v>
      </c>
      <c r="N37" s="51"/>
      <c r="O37" s="51" t="n">
        <v>0</v>
      </c>
      <c r="P37" s="6" t="n">
        <f aca="false">M37-(N37+O37)</f>
        <v>6.65</v>
      </c>
      <c r="Q37" s="51" t="n">
        <v>0</v>
      </c>
      <c r="R37" s="51" t="n">
        <v>0</v>
      </c>
      <c r="S37" s="51" t="n">
        <f aca="false">SUM(P37:R37)</f>
        <v>6.65</v>
      </c>
      <c r="T37" s="52"/>
      <c r="U37" s="51" t="n">
        <v>0</v>
      </c>
      <c r="V37" s="51" t="n">
        <v>44</v>
      </c>
      <c r="W37" s="52" t="n">
        <f aca="false">W36-V37</f>
        <v>2302</v>
      </c>
      <c r="X37" s="6" t="n">
        <f aca="false">N37+O37+S37+U37+V37</f>
        <v>50.65</v>
      </c>
      <c r="Y37" s="51" t="n">
        <f aca="false">IF(L37&lt;0,L37*-1,0)</f>
        <v>21.1163725737333</v>
      </c>
      <c r="Z37" s="51" t="n">
        <f aca="false">X37+Y37</f>
        <v>71.7663725737333</v>
      </c>
      <c r="AA37" s="53" t="n">
        <v>0</v>
      </c>
      <c r="AB37" s="56" t="n">
        <v>35</v>
      </c>
      <c r="AC37" s="56" t="n">
        <v>10</v>
      </c>
      <c r="AD37" s="57" t="n">
        <f aca="false">AD36+1</f>
        <v>28</v>
      </c>
      <c r="AE37" s="85"/>
      <c r="AF37" s="87"/>
      <c r="AG37" s="86"/>
    </row>
    <row r="38" customFormat="false" ht="11.1" hidden="false" customHeight="true" outlineLevel="0" collapsed="false">
      <c r="A38" s="57" t="n">
        <f aca="false">A37+1</f>
        <v>29</v>
      </c>
      <c r="B38" s="71" t="n">
        <v>6910.06</v>
      </c>
      <c r="C38" s="52" t="n">
        <v>322227</v>
      </c>
      <c r="D38" s="56" t="n">
        <f aca="false">C38-C37</f>
        <v>40</v>
      </c>
      <c r="E38" s="52" t="n">
        <f aca="false">C38-152000</f>
        <v>170227</v>
      </c>
      <c r="F38" s="51" t="n">
        <f aca="false">D38/$D$2</f>
        <v>20.1663725737333</v>
      </c>
      <c r="G38" s="51" t="n">
        <v>48</v>
      </c>
      <c r="H38" s="53" t="n">
        <v>1.4</v>
      </c>
      <c r="I38" s="51" t="n">
        <f aca="false">G38+H38</f>
        <v>49.4</v>
      </c>
      <c r="J38" s="78" t="n">
        <f aca="false">IF(L38&gt;0,L38,0)</f>
        <v>21.0563725737333</v>
      </c>
      <c r="K38" s="51" t="n">
        <f aca="false">I38+J38</f>
        <v>70.4563725737333</v>
      </c>
      <c r="L38" s="51" t="n">
        <f aca="false">F38-(I38-X38)</f>
        <v>21.0563725737333</v>
      </c>
      <c r="M38" s="51" t="n">
        <v>6.29</v>
      </c>
      <c r="N38" s="51"/>
      <c r="O38" s="51" t="n">
        <v>0</v>
      </c>
      <c r="P38" s="6" t="n">
        <f aca="false">M38-(N38+O38)</f>
        <v>6.29</v>
      </c>
      <c r="Q38" s="51" t="n">
        <v>0</v>
      </c>
      <c r="R38" s="51" t="n">
        <v>0</v>
      </c>
      <c r="S38" s="51" t="n">
        <f aca="false">SUM(P38:R38)</f>
        <v>6.29</v>
      </c>
      <c r="T38" s="52"/>
      <c r="U38" s="51" t="n">
        <v>0</v>
      </c>
      <c r="V38" s="51" t="n">
        <v>44</v>
      </c>
      <c r="W38" s="52" t="n">
        <f aca="false">W37-V38</f>
        <v>2258</v>
      </c>
      <c r="X38" s="6" t="n">
        <f aca="false">N38+O38+S38+U38+V38</f>
        <v>50.29</v>
      </c>
      <c r="Y38" s="51" t="n">
        <f aca="false">IF(L38&lt;0,L38*-1,0)</f>
        <v>0</v>
      </c>
      <c r="Z38" s="51" t="n">
        <f aca="false">X38+Y38</f>
        <v>50.29</v>
      </c>
      <c r="AA38" s="53" t="n">
        <v>0</v>
      </c>
      <c r="AB38" s="79" t="n">
        <v>40</v>
      </c>
      <c r="AC38" s="56" t="n">
        <v>11</v>
      </c>
      <c r="AD38" s="57" t="n">
        <f aca="false">AD37+1</f>
        <v>29</v>
      </c>
      <c r="AE38" s="85"/>
      <c r="AF38" s="87"/>
      <c r="AG38" s="86"/>
    </row>
    <row r="39" customFormat="false" ht="11.1" hidden="false" customHeight="true" outlineLevel="0" collapsed="false">
      <c r="A39" s="57" t="n">
        <v>30</v>
      </c>
      <c r="B39" s="71" t="n">
        <v>6910.07</v>
      </c>
      <c r="C39" s="52" t="n">
        <v>322267</v>
      </c>
      <c r="D39" s="56" t="n">
        <f aca="false">C39-C38</f>
        <v>40</v>
      </c>
      <c r="E39" s="52" t="n">
        <f aca="false">C39-152000</f>
        <v>170267</v>
      </c>
      <c r="F39" s="51" t="n">
        <f aca="false">D39/$D$2</f>
        <v>20.1663725737333</v>
      </c>
      <c r="G39" s="51" t="n">
        <v>49</v>
      </c>
      <c r="H39" s="53" t="n">
        <v>1.3</v>
      </c>
      <c r="I39" s="51" t="n">
        <f aca="false">G39+H39</f>
        <v>50.3</v>
      </c>
      <c r="J39" s="78" t="n">
        <f aca="false">IF(L39&gt;0,L39,0)</f>
        <v>20.1563725737333</v>
      </c>
      <c r="K39" s="51" t="n">
        <f aca="false">I39+J39</f>
        <v>70.4563725737333</v>
      </c>
      <c r="L39" s="51" t="n">
        <f aca="false">F39-(I39-X39)</f>
        <v>20.1563725737333</v>
      </c>
      <c r="M39" s="51" t="n">
        <v>6.29</v>
      </c>
      <c r="N39" s="51"/>
      <c r="O39" s="51" t="n">
        <v>0</v>
      </c>
      <c r="P39" s="6" t="n">
        <f aca="false">M39-(N39+O39)</f>
        <v>6.29</v>
      </c>
      <c r="Q39" s="51" t="n">
        <v>0</v>
      </c>
      <c r="R39" s="51" t="n">
        <v>0</v>
      </c>
      <c r="S39" s="51" t="n">
        <f aca="false">SUM(P39:R39)</f>
        <v>6.29</v>
      </c>
      <c r="T39" s="52"/>
      <c r="U39" s="51" t="n">
        <v>0</v>
      </c>
      <c r="V39" s="51" t="n">
        <v>44</v>
      </c>
      <c r="W39" s="52" t="n">
        <f aca="false">W38-V39</f>
        <v>2214</v>
      </c>
      <c r="X39" s="6" t="n">
        <f aca="false">N39+O39+S39+U39+V39</f>
        <v>50.29</v>
      </c>
      <c r="Y39" s="51" t="n">
        <f aca="false">IF(L39&lt;0,L39*-1,0)</f>
        <v>0</v>
      </c>
      <c r="Z39" s="51" t="n">
        <f aca="false">X39+Y39</f>
        <v>50.29</v>
      </c>
      <c r="AA39" s="53" t="n">
        <v>0</v>
      </c>
      <c r="AB39" s="79" t="n">
        <v>42</v>
      </c>
      <c r="AC39" s="56" t="n">
        <v>11</v>
      </c>
      <c r="AD39" s="57" t="n">
        <v>30</v>
      </c>
      <c r="AE39" s="85"/>
      <c r="AF39" s="87"/>
      <c r="AG39" s="86"/>
    </row>
    <row r="40" customFormat="false" ht="11.1" hidden="false" customHeight="true" outlineLevel="0" collapsed="false">
      <c r="A40" s="57" t="n">
        <v>31</v>
      </c>
      <c r="B40" s="71" t="n">
        <v>6910.07</v>
      </c>
      <c r="C40" s="52" t="n">
        <v>322267</v>
      </c>
      <c r="D40" s="56" t="n">
        <f aca="false">C40-C39</f>
        <v>0</v>
      </c>
      <c r="E40" s="52" t="n">
        <f aca="false">C40-152000</f>
        <v>170267</v>
      </c>
      <c r="F40" s="51" t="n">
        <f aca="false">D40/$D$2</f>
        <v>0</v>
      </c>
      <c r="G40" s="51" t="n">
        <v>50</v>
      </c>
      <c r="H40" s="53" t="n">
        <v>1.2</v>
      </c>
      <c r="I40" s="51" t="n">
        <f aca="false">G40+H40</f>
        <v>51.2</v>
      </c>
      <c r="J40" s="78" t="n">
        <f aca="false">IF(L40&gt;0,L40,0)</f>
        <v>0</v>
      </c>
      <c r="K40" s="51" t="n">
        <f aca="false">I40+J40</f>
        <v>51.2</v>
      </c>
      <c r="L40" s="51" t="n">
        <f aca="false">F40-(I40-X40)</f>
        <v>-1.69</v>
      </c>
      <c r="M40" s="51" t="n">
        <v>5.51</v>
      </c>
      <c r="N40" s="51"/>
      <c r="O40" s="51" t="n">
        <v>0</v>
      </c>
      <c r="P40" s="6" t="n">
        <f aca="false">M40-(N40+O40)</f>
        <v>5.51</v>
      </c>
      <c r="Q40" s="51" t="n">
        <v>0</v>
      </c>
      <c r="R40" s="51" t="n">
        <v>0</v>
      </c>
      <c r="S40" s="51" t="n">
        <f aca="false">SUM(P40:R40)</f>
        <v>5.51</v>
      </c>
      <c r="T40" s="52"/>
      <c r="U40" s="51" t="n">
        <v>0</v>
      </c>
      <c r="V40" s="51" t="n">
        <v>44</v>
      </c>
      <c r="W40" s="52" t="n">
        <f aca="false">W39-V40</f>
        <v>2170</v>
      </c>
      <c r="X40" s="6" t="n">
        <f aca="false">N40+O40+S40+U40+V40</f>
        <v>49.51</v>
      </c>
      <c r="Y40" s="51" t="n">
        <f aca="false">IF(L40&lt;0,L40*-1,0)</f>
        <v>1.69</v>
      </c>
      <c r="Z40" s="51" t="n">
        <f aca="false">X40+Y40</f>
        <v>51.2</v>
      </c>
      <c r="AA40" s="53" t="n">
        <v>0.15</v>
      </c>
      <c r="AB40" s="79" t="n">
        <v>31</v>
      </c>
      <c r="AC40" s="56" t="n">
        <v>26</v>
      </c>
      <c r="AD40" s="57" t="n">
        <v>31</v>
      </c>
      <c r="AE40" s="85"/>
      <c r="AF40" s="85"/>
      <c r="AG40" s="86"/>
    </row>
    <row r="41" customFormat="false" ht="3" hidden="false" customHeight="true" outlineLevel="0" collapsed="false">
      <c r="A41" s="72"/>
      <c r="B41" s="80"/>
      <c r="C41" s="74"/>
      <c r="D41" s="72"/>
      <c r="E41" s="74"/>
      <c r="F41" s="72"/>
      <c r="G41" s="80"/>
      <c r="H41" s="75"/>
      <c r="I41" s="72"/>
      <c r="J41" s="72"/>
      <c r="K41" s="72"/>
      <c r="L41" s="72"/>
      <c r="M41" s="80"/>
      <c r="N41" s="80"/>
      <c r="O41" s="72"/>
      <c r="P41" s="72"/>
      <c r="Q41" s="72"/>
      <c r="R41" s="72"/>
      <c r="S41" s="72"/>
      <c r="T41" s="74"/>
      <c r="U41" s="72"/>
      <c r="V41" s="80"/>
      <c r="W41" s="72"/>
      <c r="X41" s="72"/>
      <c r="Y41" s="72"/>
      <c r="Z41" s="72"/>
      <c r="AA41" s="75"/>
      <c r="AB41" s="76" t="n">
        <v>39</v>
      </c>
      <c r="AC41" s="76"/>
      <c r="AD41" s="77"/>
      <c r="AE41" s="85"/>
      <c r="AF41" s="85"/>
      <c r="AG41" s="86"/>
    </row>
    <row r="42" customFormat="false" ht="11.1" hidden="false" customHeight="true" outlineLevel="0" collapsed="false">
      <c r="A42" s="51" t="s">
        <v>46</v>
      </c>
      <c r="B42" s="51"/>
      <c r="C42" s="52"/>
      <c r="D42" s="52"/>
      <c r="E42" s="52"/>
      <c r="F42" s="52" t="n">
        <f aca="false">SUM(F10:F40)</f>
        <v>281.825056717923</v>
      </c>
      <c r="G42" s="52" t="n">
        <f aca="false">SUM(G10:G40)</f>
        <v>1537</v>
      </c>
      <c r="H42" s="53" t="n">
        <f aca="false">SUM(H10:H40)</f>
        <v>35.32</v>
      </c>
      <c r="I42" s="52" t="n">
        <f aca="false">SUM(I10:I40)</f>
        <v>1572.32</v>
      </c>
      <c r="J42" s="52" t="n">
        <f aca="false">SUM(J10:J40)</f>
        <v>510.005505419713</v>
      </c>
      <c r="K42" s="52" t="n">
        <f aca="false">SUM(K10:K40)</f>
        <v>2082.32550541971</v>
      </c>
      <c r="L42" s="52" t="n">
        <f aca="false">SUM(L10:L40)</f>
        <v>403.565056717923</v>
      </c>
      <c r="M42" s="52" t="n">
        <f aca="false">SUM(M10:M40)</f>
        <v>206.06</v>
      </c>
      <c r="N42" s="52" t="n">
        <f aca="false">SUM(N10:N40)</f>
        <v>66.38</v>
      </c>
      <c r="O42" s="52" t="n">
        <f aca="false">SUM(O10:O40)</f>
        <v>0</v>
      </c>
      <c r="P42" s="52" t="n">
        <f aca="false">SUM(P10:P40)</f>
        <v>139.68</v>
      </c>
      <c r="Q42" s="52" t="n">
        <f aca="false">SUM(Q10:Q40)</f>
        <v>0</v>
      </c>
      <c r="R42" s="52" t="n">
        <f aca="false">SUM(R10:R40)</f>
        <v>0</v>
      </c>
      <c r="S42" s="52" t="n">
        <f aca="false">SUM(S10:S40)</f>
        <v>139.68</v>
      </c>
      <c r="T42" s="52"/>
      <c r="U42" s="52" t="n">
        <f aca="false">SUM(U10:U40)</f>
        <v>0</v>
      </c>
      <c r="V42" s="52" t="n">
        <f aca="false">SUM(V10:V40)</f>
        <v>1488</v>
      </c>
      <c r="W42" s="52"/>
      <c r="X42" s="52" t="n">
        <f aca="false">SUM(X10:X40)</f>
        <v>1694.06</v>
      </c>
      <c r="Y42" s="52" t="n">
        <f aca="false">SUM(Y10:Y40)</f>
        <v>106.44044870179</v>
      </c>
      <c r="Z42" s="52" t="n">
        <f aca="false">SUM(Z10:Z40)</f>
        <v>1800.50044870179</v>
      </c>
      <c r="AA42" s="53" t="n">
        <f aca="false">SUM(AA10:AA40)</f>
        <v>1.36</v>
      </c>
      <c r="AB42" s="56" t="n">
        <f aca="false">AVERAGE(AB10:AB40)</f>
        <v>42.5161290322581</v>
      </c>
      <c r="AC42" s="56" t="n">
        <f aca="false">AVERAGE(AC10:AC40)</f>
        <v>18.741935483871</v>
      </c>
      <c r="AD42" s="57" t="s">
        <v>47</v>
      </c>
      <c r="AE42" s="85"/>
      <c r="AF42" s="85"/>
      <c r="AG42" s="86"/>
    </row>
    <row r="43" customFormat="false" ht="11.1" hidden="false" customHeight="true" outlineLevel="0" collapsed="false">
      <c r="A43" s="51" t="s">
        <v>48</v>
      </c>
      <c r="B43" s="51"/>
      <c r="C43" s="52"/>
      <c r="D43" s="52" t="n">
        <f aca="false">SUM(D10:D40)</f>
        <v>559</v>
      </c>
      <c r="E43" s="52"/>
      <c r="F43" s="52" t="n">
        <f aca="false">F42*$D$2</f>
        <v>559</v>
      </c>
      <c r="G43" s="52" t="n">
        <f aca="false">G42*$D$2</f>
        <v>3048.6395</v>
      </c>
      <c r="H43" s="53" t="n">
        <f aca="false">H42*$D$2</f>
        <v>70.05722</v>
      </c>
      <c r="I43" s="52" t="n">
        <f aca="false">I42*$D$2</f>
        <v>3118.69672</v>
      </c>
      <c r="J43" s="52" t="n">
        <f aca="false">J42*$D$2</f>
        <v>1011.59592</v>
      </c>
      <c r="K43" s="52" t="n">
        <f aca="false">K42*$D$2</f>
        <v>4130.29264</v>
      </c>
      <c r="L43" s="52" t="n">
        <f aca="false">L42*$D$2</f>
        <v>800.47129</v>
      </c>
      <c r="M43" s="52" t="n">
        <f aca="false">M42*$D$2</f>
        <v>408.72001</v>
      </c>
      <c r="N43" s="52" t="n">
        <f aca="false">N42*$D$2</f>
        <v>131.66473</v>
      </c>
      <c r="O43" s="52" t="n">
        <f aca="false">O42*$D$2</f>
        <v>0</v>
      </c>
      <c r="P43" s="52" t="n">
        <f aca="false">P42*$D$2</f>
        <v>277.05528</v>
      </c>
      <c r="Q43" s="52" t="n">
        <f aca="false">Q42*$D$2</f>
        <v>0</v>
      </c>
      <c r="R43" s="52" t="n">
        <f aca="false">R42*$D$2</f>
        <v>0</v>
      </c>
      <c r="S43" s="52" t="n">
        <f aca="false">S42*$D$2</f>
        <v>277.05528</v>
      </c>
      <c r="T43" s="52"/>
      <c r="U43" s="52" t="n">
        <f aca="false">U42*$D$2</f>
        <v>0</v>
      </c>
      <c r="V43" s="52" t="n">
        <f aca="false">V42*$D$2</f>
        <v>2951.448</v>
      </c>
      <c r="W43" s="52"/>
      <c r="X43" s="52" t="n">
        <f aca="false">X42*$D$2</f>
        <v>3360.16801</v>
      </c>
      <c r="Y43" s="52" t="n">
        <f aca="false">Y42*$D$2</f>
        <v>211.12463</v>
      </c>
      <c r="Z43" s="52" t="n">
        <f aca="false">Z42*$D$2</f>
        <v>3571.29264</v>
      </c>
      <c r="AA43" s="53"/>
      <c r="AB43" s="56" t="n">
        <f aca="false">MAX(AB10:AB40)</f>
        <v>60</v>
      </c>
      <c r="AC43" s="56" t="n">
        <f aca="false">MAX(AC10:AC40)</f>
        <v>37</v>
      </c>
      <c r="AD43" s="57" t="s">
        <v>49</v>
      </c>
      <c r="AE43" s="85"/>
      <c r="AF43" s="85"/>
      <c r="AG43" s="86"/>
    </row>
    <row r="44" customFormat="false" ht="3" hidden="false" customHeight="true" outlineLevel="0" collapsed="false">
      <c r="A44" s="72"/>
      <c r="B44" s="72"/>
      <c r="C44" s="74"/>
      <c r="D44" s="74"/>
      <c r="E44" s="74"/>
      <c r="F44" s="74"/>
      <c r="G44" s="74"/>
      <c r="H44" s="75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2"/>
      <c r="X44" s="74"/>
      <c r="Y44" s="74"/>
      <c r="Z44" s="74"/>
      <c r="AA44" s="53"/>
      <c r="AB44" s="56"/>
      <c r="AC44" s="56"/>
      <c r="AD44" s="57"/>
      <c r="AE44" s="85"/>
      <c r="AF44" s="85"/>
      <c r="AG44" s="86"/>
    </row>
    <row r="45" customFormat="false" ht="11.1" hidden="false" customHeight="true" outlineLevel="0" collapsed="false">
      <c r="A45" s="51" t="s">
        <v>50</v>
      </c>
      <c r="B45" s="51"/>
      <c r="C45" s="52"/>
      <c r="D45" s="52"/>
      <c r="E45" s="52"/>
      <c r="F45" s="52"/>
      <c r="G45" s="52"/>
      <c r="H45" s="53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3"/>
      <c r="AB45" s="56" t="n">
        <f aca="false">MIN(AB10:AB40)</f>
        <v>20</v>
      </c>
      <c r="AC45" s="56" t="n">
        <f aca="false">MIN(AC10:AC40)</f>
        <v>-4</v>
      </c>
      <c r="AD45" s="57" t="s">
        <v>51</v>
      </c>
      <c r="AE45" s="85"/>
      <c r="AF45" s="85"/>
      <c r="AG45" s="86"/>
    </row>
    <row r="46" customFormat="false" ht="11.1" hidden="false" customHeight="true" outlineLevel="0" collapsed="false">
      <c r="A46" s="51" t="s">
        <v>52</v>
      </c>
      <c r="B46" s="51"/>
      <c r="C46" s="52"/>
      <c r="D46" s="52"/>
      <c r="E46" s="52"/>
      <c r="F46" s="52"/>
      <c r="G46" s="52"/>
      <c r="H46" s="53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3"/>
      <c r="AB46" s="56"/>
      <c r="AC46" s="56"/>
      <c r="AD46" s="57"/>
      <c r="AE46" s="85"/>
      <c r="AF46" s="85"/>
      <c r="AG46" s="86"/>
    </row>
    <row r="47" customFormat="false" ht="3" hidden="false" customHeight="true" outlineLevel="0" collapsed="false">
      <c r="A47" s="72"/>
      <c r="B47" s="72"/>
      <c r="C47" s="74"/>
      <c r="D47" s="74"/>
      <c r="E47" s="74"/>
      <c r="F47" s="74"/>
      <c r="G47" s="74"/>
      <c r="H47" s="75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5"/>
      <c r="AB47" s="56"/>
      <c r="AC47" s="56"/>
      <c r="AD47" s="57"/>
      <c r="AE47" s="85"/>
      <c r="AF47" s="85"/>
      <c r="AG47" s="86"/>
    </row>
    <row r="48" customFormat="false" ht="11.1" hidden="false" customHeight="true" outlineLevel="0" collapsed="false">
      <c r="A48" s="51" t="s">
        <v>53</v>
      </c>
      <c r="B48" s="51"/>
      <c r="C48" s="52"/>
      <c r="D48" s="52"/>
      <c r="E48" s="52"/>
      <c r="F48" s="52" t="n">
        <f aca="false">F8+F42</f>
        <v>-3737.33299722712</v>
      </c>
      <c r="G48" s="52" t="n">
        <f aca="false">G8+G42</f>
        <v>4699</v>
      </c>
      <c r="H48" s="53" t="n">
        <f aca="false">H8+H42</f>
        <v>82.38</v>
      </c>
      <c r="I48" s="52" t="n">
        <f aca="false">I8+I42</f>
        <v>4781.38</v>
      </c>
      <c r="J48" s="52" t="n">
        <f aca="false">J8+J42</f>
        <v>826.764025712125</v>
      </c>
      <c r="K48" s="52" t="n">
        <f aca="false">K8+K42</f>
        <v>5608.14402571213</v>
      </c>
      <c r="L48" s="52" t="n">
        <f aca="false">L8+L42</f>
        <v>253.217002772876</v>
      </c>
      <c r="M48" s="52" t="n">
        <f aca="false">M8+M42</f>
        <v>1867.96</v>
      </c>
      <c r="N48" s="52" t="n">
        <f aca="false">N8+N42</f>
        <v>66.38</v>
      </c>
      <c r="O48" s="52" t="n">
        <f aca="false">O8+O42</f>
        <v>441.3405</v>
      </c>
      <c r="P48" s="52" t="n">
        <f aca="false">P8+P42</f>
        <v>1360.2395</v>
      </c>
      <c r="Q48" s="52" t="n">
        <f aca="false">Q8+Q42</f>
        <v>1044</v>
      </c>
      <c r="R48" s="52" t="n">
        <f aca="false">R8+R42</f>
        <v>560</v>
      </c>
      <c r="S48" s="52" t="n">
        <f aca="false">S8+S42</f>
        <v>2964.2395</v>
      </c>
      <c r="T48" s="52"/>
      <c r="U48" s="52" t="n">
        <f aca="false">U8+U42</f>
        <v>0</v>
      </c>
      <c r="V48" s="52" t="n">
        <f aca="false">V8+V42</f>
        <v>5299.97</v>
      </c>
      <c r="W48" s="52" t="n">
        <f aca="false">W40</f>
        <v>2170</v>
      </c>
      <c r="X48" s="52" t="n">
        <f aca="false">X8+X42</f>
        <v>8771.93</v>
      </c>
      <c r="Y48" s="52" t="n">
        <f aca="false">Y8+Y42</f>
        <v>573.547022939249</v>
      </c>
      <c r="Z48" s="52" t="n">
        <f aca="false">Z8+Z42</f>
        <v>9345.47702293925</v>
      </c>
      <c r="AA48" s="53" t="n">
        <f aca="false">AA8+AA42</f>
        <v>1.74</v>
      </c>
      <c r="AB48" s="56"/>
      <c r="AC48" s="56"/>
      <c r="AD48" s="57"/>
      <c r="AE48" s="85"/>
      <c r="AF48" s="85"/>
      <c r="AG48" s="86"/>
    </row>
    <row r="49" customFormat="false" ht="11.1" hidden="false" customHeight="true" outlineLevel="0" collapsed="false">
      <c r="A49" s="51" t="s">
        <v>54</v>
      </c>
      <c r="B49" s="51"/>
      <c r="C49" s="52"/>
      <c r="D49" s="52" t="n">
        <f aca="false">D8+D43</f>
        <v>-7413</v>
      </c>
      <c r="E49" s="52" t="n">
        <f aca="false">E40</f>
        <v>170267</v>
      </c>
      <c r="F49" s="52" t="n">
        <f aca="false">F48*$D$2</f>
        <v>-7413</v>
      </c>
      <c r="G49" s="52" t="n">
        <f aca="false">G48*$D$2</f>
        <v>9320.4665</v>
      </c>
      <c r="H49" s="53" t="n">
        <f aca="false">H48*$D$2</f>
        <v>163.40073</v>
      </c>
      <c r="I49" s="52" t="n">
        <f aca="false">I48*$D$2</f>
        <v>9483.86723</v>
      </c>
      <c r="J49" s="52" t="n">
        <f aca="false">J48*$D$2</f>
        <v>1639.886445</v>
      </c>
      <c r="K49" s="52" t="n">
        <f aca="false">K48*$D$2</f>
        <v>11123.753675</v>
      </c>
      <c r="L49" s="52" t="n">
        <f aca="false">L48*$D$2</f>
        <v>502.255925</v>
      </c>
      <c r="M49" s="52" t="n">
        <f aca="false">M48*$D$2</f>
        <v>3705.09866</v>
      </c>
      <c r="N49" s="52" t="n">
        <f aca="false">N48*$D$2</f>
        <v>131.66473</v>
      </c>
      <c r="O49" s="52" t="n">
        <f aca="false">O48*$D$2</f>
        <v>875.39888175</v>
      </c>
      <c r="P49" s="52" t="n">
        <f aca="false">P48*$D$2</f>
        <v>2698.03504825</v>
      </c>
      <c r="Q49" s="52" t="n">
        <f aca="false">Q48*$D$2</f>
        <v>2070.774</v>
      </c>
      <c r="R49" s="52" t="n">
        <f aca="false">R48*$D$2</f>
        <v>1110.76</v>
      </c>
      <c r="S49" s="52" t="n">
        <f aca="false">S48*$D$2</f>
        <v>5879.56904825</v>
      </c>
      <c r="T49" s="52" t="n">
        <f aca="false">T48*$D$2</f>
        <v>0</v>
      </c>
      <c r="U49" s="52" t="n">
        <f aca="false">U48*$D$2</f>
        <v>0</v>
      </c>
      <c r="V49" s="52" t="n">
        <f aca="false">V48*$D$2</f>
        <v>10512.490495</v>
      </c>
      <c r="W49" s="52" t="n">
        <f aca="false">W40*$D$2</f>
        <v>4304.195</v>
      </c>
      <c r="X49" s="52" t="n">
        <f aca="false">X48*$D$2</f>
        <v>17399.123155</v>
      </c>
      <c r="Y49" s="52" t="n">
        <f aca="false">Y48*$D$2</f>
        <v>1137.63052</v>
      </c>
      <c r="Z49" s="52" t="n">
        <f aca="false">Z48*$D$2</f>
        <v>18536.753675</v>
      </c>
      <c r="AA49" s="53"/>
      <c r="AB49" s="56"/>
      <c r="AC49" s="56"/>
      <c r="AD49" s="57"/>
      <c r="AE49" s="85"/>
      <c r="AF49" s="85"/>
      <c r="AG49" s="86"/>
    </row>
    <row r="50" customFormat="false" ht="3" hidden="false" customHeight="true" outlineLevel="0" collapsed="false">
      <c r="A50" s="72"/>
      <c r="B50" s="72"/>
      <c r="C50" s="74"/>
      <c r="D50" s="72"/>
      <c r="E50" s="74"/>
      <c r="F50" s="72"/>
      <c r="G50" s="72"/>
      <c r="H50" s="75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4"/>
      <c r="U50" s="72"/>
      <c r="V50" s="72"/>
      <c r="W50" s="74"/>
      <c r="X50" s="72"/>
      <c r="Y50" s="72"/>
      <c r="Z50" s="72"/>
      <c r="AA50" s="53"/>
      <c r="AB50" s="56"/>
      <c r="AC50" s="56"/>
      <c r="AD50" s="57"/>
      <c r="AE50" s="85"/>
      <c r="AF50" s="85"/>
      <c r="AG50" s="86"/>
    </row>
    <row r="51" customFormat="false" ht="11.1" hidden="false" customHeight="true" outlineLevel="0" collapsed="false">
      <c r="A51" s="51"/>
      <c r="B51" s="81"/>
      <c r="C51" s="52"/>
      <c r="D51" s="51"/>
      <c r="E51" s="52"/>
      <c r="F51" s="51"/>
      <c r="G51" s="51"/>
      <c r="H51" s="53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2"/>
      <c r="U51" s="51"/>
      <c r="V51" s="51"/>
      <c r="W51" s="52" t="n">
        <v>2615</v>
      </c>
      <c r="X51" s="51"/>
      <c r="Y51" s="51"/>
      <c r="Z51" s="51"/>
      <c r="AA51" s="53"/>
      <c r="AB51" s="56"/>
      <c r="AC51" s="56"/>
      <c r="AD51" s="57"/>
      <c r="AE51" s="84"/>
      <c r="AF51" s="84"/>
    </row>
    <row r="52" customFormat="false" ht="11.1" hidden="false" customHeight="true" outlineLevel="0" collapsed="false">
      <c r="A52" s="51"/>
      <c r="B52" s="71"/>
      <c r="C52" s="52"/>
      <c r="D52" s="79"/>
      <c r="E52" s="52"/>
      <c r="F52" s="51"/>
      <c r="G52" s="51"/>
      <c r="H52" s="53"/>
      <c r="I52" s="82"/>
      <c r="J52" s="51"/>
      <c r="K52" s="41"/>
      <c r="L52" s="51"/>
      <c r="M52" s="51"/>
      <c r="N52" s="51"/>
      <c r="O52" s="51"/>
      <c r="P52" s="51"/>
      <c r="Q52" s="51"/>
      <c r="R52" s="51"/>
      <c r="S52" s="51"/>
      <c r="T52" s="52"/>
      <c r="U52" s="51"/>
      <c r="V52" s="51"/>
      <c r="W52" s="52" t="n">
        <f aca="false">W49-W51</f>
        <v>1689.195</v>
      </c>
      <c r="X52" s="51"/>
      <c r="Y52" s="51"/>
      <c r="Z52" s="51"/>
      <c r="AA52" s="53"/>
      <c r="AB52" s="56"/>
      <c r="AC52" s="56"/>
      <c r="AD52" s="57"/>
      <c r="AE52" s="84"/>
      <c r="AF52" s="84"/>
    </row>
    <row r="53" customFormat="false" ht="11.1" hidden="false" customHeight="true" outlineLevel="0" collapsed="false">
      <c r="A53" s="79"/>
      <c r="B53" s="79"/>
      <c r="C53" s="52"/>
      <c r="D53" s="52"/>
      <c r="E53" s="52"/>
      <c r="F53" s="79"/>
      <c r="G53" s="79"/>
      <c r="H53" s="53"/>
      <c r="I53" s="79"/>
      <c r="J53" s="79"/>
      <c r="K53" s="79"/>
      <c r="L53" s="79"/>
      <c r="M53" s="78"/>
      <c r="N53" s="78"/>
      <c r="O53" s="78"/>
      <c r="P53" s="78"/>
      <c r="Q53" s="79"/>
      <c r="R53" s="79"/>
      <c r="S53" s="79"/>
      <c r="T53" s="52"/>
      <c r="U53" s="79"/>
      <c r="V53" s="79"/>
      <c r="W53" s="52"/>
      <c r="X53" s="79"/>
      <c r="Y53" s="79"/>
      <c r="Z53" s="79"/>
      <c r="AA53" s="53"/>
      <c r="AB53" s="56"/>
      <c r="AC53" s="56"/>
      <c r="AD53" s="57"/>
      <c r="AE53" s="89"/>
      <c r="AF53" s="89"/>
    </row>
    <row r="54" customFormat="false" ht="11.1" hidden="false" customHeight="true" outlineLevel="0" collapsed="false">
      <c r="A54" s="79"/>
      <c r="B54" s="55"/>
      <c r="C54" s="52"/>
      <c r="D54" s="52"/>
      <c r="E54" s="52"/>
      <c r="F54" s="79"/>
      <c r="G54" s="79"/>
      <c r="H54" s="53"/>
      <c r="I54" s="79"/>
      <c r="J54" s="79"/>
      <c r="K54" s="79"/>
      <c r="L54" s="79"/>
      <c r="M54" s="78"/>
      <c r="N54" s="78"/>
      <c r="O54" s="78"/>
      <c r="P54" s="79"/>
      <c r="Q54" s="79"/>
      <c r="R54" s="79"/>
      <c r="S54" s="52"/>
      <c r="T54" s="79"/>
      <c r="U54" s="79"/>
      <c r="V54" s="52"/>
      <c r="W54" s="79"/>
      <c r="X54" s="79"/>
      <c r="Y54" s="79"/>
      <c r="Z54" s="55"/>
      <c r="AA54" s="53"/>
      <c r="AB54" s="56"/>
      <c r="AC54" s="57"/>
      <c r="AD54" s="89"/>
      <c r="AE54" s="89"/>
    </row>
    <row r="55" customFormat="false" ht="11.1" hidden="false" customHeight="true" outlineLevel="0" collapsed="false">
      <c r="A55" s="79"/>
      <c r="B55" s="79"/>
      <c r="C55" s="52"/>
      <c r="D55" s="79"/>
      <c r="E55" s="52"/>
      <c r="F55" s="79"/>
      <c r="G55" s="83"/>
      <c r="H55" s="53"/>
      <c r="I55" s="79"/>
      <c r="J55" s="79"/>
      <c r="K55" s="79"/>
      <c r="L55" s="79"/>
      <c r="M55" s="78"/>
      <c r="N55" s="78"/>
      <c r="O55" s="78"/>
      <c r="P55" s="79"/>
      <c r="Q55" s="79"/>
      <c r="R55" s="79"/>
      <c r="S55" s="52"/>
      <c r="T55" s="79"/>
      <c r="U55" s="79"/>
      <c r="V55" s="52"/>
      <c r="W55" s="79"/>
      <c r="X55" s="79"/>
      <c r="Y55" s="79"/>
      <c r="Z55" s="55"/>
      <c r="AA55" s="53"/>
      <c r="AB55" s="56"/>
      <c r="AC55" s="57"/>
      <c r="AD55" s="89"/>
      <c r="AE55" s="89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N10" activePane="bottomRight" state="frozen"/>
      <selection pane="topLeft" activeCell="A1" activeCellId="0" sqref="A1"/>
      <selection pane="topRight" activeCell="N1" activeCellId="0" sqref="N1"/>
      <selection pane="bottomLeft" activeCell="A10" activeCellId="0" sqref="A10"/>
      <selection pane="bottomRight" activeCell="S10" activeCellId="0" sqref="S10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46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false" outlineLevel="0" max="14" min="14" style="47" width="7.32"/>
    <col collapsed="false" customWidth="true" hidden="false" outlineLevel="0" max="15" min="15" style="47" width="6.49"/>
    <col collapsed="false" customWidth="true" hidden="fals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3" min="23" style="44" width="6.82"/>
    <col collapsed="false" customWidth="true" hidden="false" outlineLevel="0" max="25" min="24" style="44" width="7.82"/>
    <col collapsed="false" customWidth="true" hidden="false" outlineLevel="0" max="26" min="26" style="48" width="8.16"/>
    <col collapsed="false" customWidth="true" hidden="false" outlineLevel="0" max="27" min="27" style="46" width="4.66"/>
    <col collapsed="false" customWidth="true" hidden="false" outlineLevel="0" max="28" min="28" style="49" width="4.66"/>
    <col collapsed="false" customWidth="true" hidden="false" outlineLevel="0" max="29" min="29" style="50" width="4.66"/>
    <col collapsed="false" customWidth="true" hidden="false" outlineLevel="0" max="30" min="30" style="44" width="5.66"/>
    <col collapsed="false" customWidth="false" hidden="false" outlineLevel="0" max="257" min="31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3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1"/>
      <c r="Z1" s="55"/>
      <c r="AA1" s="53"/>
      <c r="AB1" s="56"/>
      <c r="AC1" s="57"/>
      <c r="AD1" s="84"/>
      <c r="AE1" s="84"/>
    </row>
    <row r="2" customFormat="false" ht="14.1" hidden="false" customHeight="true" outlineLevel="0" collapsed="false">
      <c r="A2" s="51" t="s">
        <v>1</v>
      </c>
      <c r="B2" s="51"/>
      <c r="C2" s="52"/>
      <c r="D2" s="58" t="n">
        <v>1.9835</v>
      </c>
      <c r="E2" s="52"/>
      <c r="F2" s="51"/>
      <c r="G2" s="51"/>
      <c r="H2" s="53"/>
      <c r="I2" s="51"/>
      <c r="J2" s="51"/>
      <c r="K2" s="59" t="s">
        <v>59</v>
      </c>
      <c r="L2" s="59"/>
      <c r="M2" s="59"/>
      <c r="N2" s="59"/>
      <c r="O2" s="59"/>
      <c r="P2" s="59"/>
      <c r="Q2" s="59"/>
      <c r="R2" s="59"/>
      <c r="S2" s="59"/>
      <c r="T2" s="59"/>
      <c r="U2" s="51"/>
      <c r="V2" s="52"/>
      <c r="W2" s="51"/>
      <c r="X2" s="51"/>
      <c r="Y2" s="51"/>
      <c r="Z2" s="55"/>
      <c r="AA2" s="53"/>
      <c r="AB2" s="56"/>
      <c r="AC2" s="57"/>
      <c r="AD2" s="84"/>
      <c r="AE2" s="84"/>
    </row>
    <row r="3" customFormat="false" ht="11.1" hidden="false" customHeight="true" outlineLevel="0" collapsed="false">
      <c r="A3" s="51"/>
      <c r="B3" s="51"/>
      <c r="C3" s="52"/>
      <c r="D3" s="60"/>
      <c r="E3" s="52"/>
      <c r="F3" s="51"/>
      <c r="G3" s="51"/>
      <c r="H3" s="53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1"/>
      <c r="Z3" s="55"/>
      <c r="AA3" s="53"/>
      <c r="AB3" s="56"/>
      <c r="AC3" s="57"/>
      <c r="AD3" s="84"/>
      <c r="AE3" s="84"/>
    </row>
    <row r="4" customFormat="false" ht="11.1" hidden="false" customHeight="true" outlineLevel="0" collapsed="false">
      <c r="A4" s="61" t="s">
        <v>3</v>
      </c>
      <c r="B4" s="61" t="s">
        <v>4</v>
      </c>
      <c r="C4" s="62" t="s">
        <v>4</v>
      </c>
      <c r="D4" s="61" t="s">
        <v>5</v>
      </c>
      <c r="E4" s="62" t="s">
        <v>6</v>
      </c>
      <c r="F4" s="61" t="s">
        <v>7</v>
      </c>
      <c r="G4" s="61" t="s">
        <v>8</v>
      </c>
      <c r="H4" s="63" t="s">
        <v>9</v>
      </c>
      <c r="I4" s="61" t="s">
        <v>10</v>
      </c>
      <c r="J4" s="61" t="s">
        <v>11</v>
      </c>
      <c r="K4" s="61" t="s">
        <v>12</v>
      </c>
      <c r="L4" s="61" t="s">
        <v>11</v>
      </c>
      <c r="M4" s="61" t="s">
        <v>13</v>
      </c>
      <c r="N4" s="61"/>
      <c r="O4" s="61"/>
      <c r="P4" s="61"/>
      <c r="Q4" s="61" t="s">
        <v>14</v>
      </c>
      <c r="R4" s="61" t="s">
        <v>15</v>
      </c>
      <c r="S4" s="61" t="s">
        <v>12</v>
      </c>
      <c r="T4" s="62" t="s">
        <v>16</v>
      </c>
      <c r="U4" s="61" t="s">
        <v>17</v>
      </c>
      <c r="V4" s="61" t="s">
        <v>18</v>
      </c>
      <c r="W4" s="62" t="s">
        <v>19</v>
      </c>
      <c r="X4" s="61" t="s">
        <v>10</v>
      </c>
      <c r="Y4" s="61" t="s">
        <v>11</v>
      </c>
      <c r="Z4" s="61" t="s">
        <v>12</v>
      </c>
      <c r="AA4" s="63" t="s">
        <v>20</v>
      </c>
      <c r="AB4" s="64" t="s">
        <v>21</v>
      </c>
      <c r="AC4" s="64" t="s">
        <v>22</v>
      </c>
      <c r="AD4" s="64" t="s">
        <v>3</v>
      </c>
      <c r="AE4" s="84"/>
      <c r="AF4" s="84"/>
    </row>
    <row r="5" customFormat="false" ht="11.1" hidden="false" customHeight="true" outlineLevel="0" collapsed="false">
      <c r="A5" s="65" t="s">
        <v>60</v>
      </c>
      <c r="B5" s="61" t="s">
        <v>24</v>
      </c>
      <c r="C5" s="62" t="s">
        <v>5</v>
      </c>
      <c r="D5" s="61" t="s">
        <v>25</v>
      </c>
      <c r="E5" s="62" t="s">
        <v>26</v>
      </c>
      <c r="F5" s="61" t="s">
        <v>27</v>
      </c>
      <c r="G5" s="61" t="s">
        <v>28</v>
      </c>
      <c r="H5" s="63" t="s">
        <v>29</v>
      </c>
      <c r="I5" s="61" t="s">
        <v>30</v>
      </c>
      <c r="J5" s="61" t="s">
        <v>30</v>
      </c>
      <c r="K5" s="61" t="s">
        <v>30</v>
      </c>
      <c r="L5" s="61" t="s">
        <v>31</v>
      </c>
      <c r="M5" s="61" t="s">
        <v>32</v>
      </c>
      <c r="N5" s="61" t="s">
        <v>33</v>
      </c>
      <c r="O5" s="61" t="s">
        <v>34</v>
      </c>
      <c r="P5" s="61" t="s">
        <v>35</v>
      </c>
      <c r="Q5" s="61" t="s">
        <v>36</v>
      </c>
      <c r="R5" s="61" t="s">
        <v>37</v>
      </c>
      <c r="S5" s="61" t="s">
        <v>16</v>
      </c>
      <c r="T5" s="62" t="s">
        <v>38</v>
      </c>
      <c r="U5" s="61" t="s">
        <v>39</v>
      </c>
      <c r="V5" s="61" t="s">
        <v>40</v>
      </c>
      <c r="W5" s="62" t="s">
        <v>41</v>
      </c>
      <c r="X5" s="61" t="s">
        <v>42</v>
      </c>
      <c r="Y5" s="61" t="s">
        <v>42</v>
      </c>
      <c r="Z5" s="61" t="s">
        <v>42</v>
      </c>
      <c r="AA5" s="66"/>
      <c r="AB5" s="64" t="s">
        <v>43</v>
      </c>
      <c r="AC5" s="64" t="s">
        <v>43</v>
      </c>
      <c r="AD5" s="67" t="s">
        <v>60</v>
      </c>
      <c r="AE5" s="84"/>
      <c r="AF5" s="84"/>
    </row>
    <row r="6" customFormat="false" ht="11.1" hidden="false" customHeight="true" outlineLevel="0" collapsed="false">
      <c r="A6" s="68"/>
      <c r="B6" s="68"/>
      <c r="C6" s="69"/>
      <c r="D6" s="68"/>
      <c r="E6" s="69"/>
      <c r="F6" s="68"/>
      <c r="G6" s="68"/>
      <c r="H6" s="70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9"/>
      <c r="U6" s="68"/>
      <c r="V6" s="68"/>
      <c r="W6" s="69"/>
      <c r="X6" s="68"/>
      <c r="Y6" s="68"/>
      <c r="Z6" s="68"/>
      <c r="AA6" s="53"/>
      <c r="AB6" s="57"/>
      <c r="AC6" s="57"/>
      <c r="AD6" s="57"/>
      <c r="AE6" s="85"/>
      <c r="AF6" s="85"/>
      <c r="AG6" s="86"/>
    </row>
    <row r="7" customFormat="false" ht="11.1" hidden="false" customHeight="true" outlineLevel="0" collapsed="false">
      <c r="A7" s="51" t="s">
        <v>44</v>
      </c>
      <c r="B7" s="51"/>
      <c r="C7" s="52"/>
      <c r="D7" s="52"/>
      <c r="E7" s="52"/>
      <c r="F7" s="52"/>
      <c r="G7" s="52"/>
      <c r="H7" s="53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3"/>
      <c r="AB7" s="56"/>
      <c r="AC7" s="56"/>
      <c r="AD7" s="57"/>
      <c r="AE7" s="85"/>
      <c r="AF7" s="86"/>
      <c r="AG7" s="86"/>
    </row>
    <row r="8" s="45" customFormat="true" ht="11.1" hidden="false" customHeight="true" outlineLevel="0" collapsed="false">
      <c r="A8" s="52" t="s">
        <v>45</v>
      </c>
      <c r="B8" s="71" t="n">
        <f aca="false">JAN!B40</f>
        <v>6910.07</v>
      </c>
      <c r="C8" s="52" t="n">
        <f aca="false">JAN!C40</f>
        <v>322267</v>
      </c>
      <c r="D8" s="52" t="n">
        <f aca="false">JAN!$D$49</f>
        <v>-7413</v>
      </c>
      <c r="E8" s="52" t="n">
        <f aca="false">JAN!$E$40</f>
        <v>170267</v>
      </c>
      <c r="F8" s="52" t="n">
        <f aca="false">JAN!F48</f>
        <v>-3737.33299722712</v>
      </c>
      <c r="G8" s="52" t="n">
        <f aca="false">JAN!G48</f>
        <v>4699</v>
      </c>
      <c r="H8" s="53" t="n">
        <f aca="false">JAN!H48</f>
        <v>82.38</v>
      </c>
      <c r="I8" s="52" t="n">
        <f aca="false">JAN!I48</f>
        <v>4781.38</v>
      </c>
      <c r="J8" s="52" t="n">
        <f aca="false">JAN!J48</f>
        <v>826.764025712125</v>
      </c>
      <c r="K8" s="52" t="n">
        <f aca="false">JAN!K48</f>
        <v>5608.14402571213</v>
      </c>
      <c r="L8" s="52" t="n">
        <f aca="false">JAN!L48</f>
        <v>253.217002772876</v>
      </c>
      <c r="M8" s="52" t="n">
        <f aca="false">JAN!M48</f>
        <v>1867.96</v>
      </c>
      <c r="N8" s="52" t="n">
        <f aca="false">JAN!N48</f>
        <v>66.38</v>
      </c>
      <c r="O8" s="52" t="n">
        <f aca="false">JAN!O48</f>
        <v>441.3405</v>
      </c>
      <c r="P8" s="52" t="n">
        <f aca="false">JAN!P48</f>
        <v>1360.2395</v>
      </c>
      <c r="Q8" s="52" t="n">
        <f aca="false">JAN!Q48</f>
        <v>1044</v>
      </c>
      <c r="R8" s="52" t="n">
        <f aca="false">JAN!R48</f>
        <v>560</v>
      </c>
      <c r="S8" s="52" t="n">
        <f aca="false">JAN!S48</f>
        <v>2964.2395</v>
      </c>
      <c r="T8" s="52" t="n">
        <f aca="false">JAN!T48</f>
        <v>0</v>
      </c>
      <c r="U8" s="52" t="n">
        <f aca="false">JAN!U48</f>
        <v>0</v>
      </c>
      <c r="V8" s="52" t="n">
        <f aca="false">JAN!V48</f>
        <v>5299.97</v>
      </c>
      <c r="W8" s="52" t="n">
        <f aca="false">JAN!W48</f>
        <v>2170</v>
      </c>
      <c r="X8" s="52" t="n">
        <f aca="false">JAN!X48</f>
        <v>8771.93</v>
      </c>
      <c r="Y8" s="52" t="n">
        <f aca="false">JAN!Y48</f>
        <v>573.547022939249</v>
      </c>
      <c r="Z8" s="52" t="n">
        <f aca="false">JAN!Z48</f>
        <v>9345.47702293925</v>
      </c>
      <c r="AA8" s="53" t="n">
        <f aca="false">JAN!AA48</f>
        <v>1.74</v>
      </c>
      <c r="AB8" s="56"/>
      <c r="AC8" s="56"/>
      <c r="AD8" s="57"/>
      <c r="AE8" s="87"/>
      <c r="AF8" s="85"/>
      <c r="AG8" s="87"/>
    </row>
    <row r="9" customFormat="false" ht="3" hidden="false" customHeight="true" outlineLevel="0" collapsed="false">
      <c r="A9" s="72"/>
      <c r="B9" s="73"/>
      <c r="C9" s="74"/>
      <c r="D9" s="72"/>
      <c r="E9" s="74"/>
      <c r="F9" s="72"/>
      <c r="G9" s="72"/>
      <c r="H9" s="75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4"/>
      <c r="U9" s="72"/>
      <c r="V9" s="72"/>
      <c r="W9" s="74"/>
      <c r="X9" s="72"/>
      <c r="Y9" s="72"/>
      <c r="Z9" s="72"/>
      <c r="AA9" s="75"/>
      <c r="AB9" s="76"/>
      <c r="AC9" s="76"/>
      <c r="AD9" s="77"/>
      <c r="AE9" s="85"/>
      <c r="AF9" s="85"/>
      <c r="AG9" s="86"/>
    </row>
    <row r="10" customFormat="false" ht="11.1" hidden="false" customHeight="true" outlineLevel="0" collapsed="false">
      <c r="A10" s="57" t="n">
        <v>1</v>
      </c>
      <c r="B10" s="71" t="n">
        <v>6910.08</v>
      </c>
      <c r="C10" s="52" t="n">
        <v>322307</v>
      </c>
      <c r="D10" s="56" t="n">
        <f aca="false">C10-C8</f>
        <v>40</v>
      </c>
      <c r="E10" s="52" t="n">
        <f aca="false">C10-152000</f>
        <v>170307</v>
      </c>
      <c r="F10" s="51" t="n">
        <f aca="false">D10/$D$2</f>
        <v>20.1663725737333</v>
      </c>
      <c r="G10" s="51" t="n">
        <v>51</v>
      </c>
      <c r="H10" s="53" t="n">
        <v>1.2</v>
      </c>
      <c r="I10" s="51" t="n">
        <f aca="false">G10+H10</f>
        <v>52.2</v>
      </c>
      <c r="J10" s="78" t="n">
        <f aca="false">IF(L10&gt;0,L10,0)</f>
        <v>16.4663725737333</v>
      </c>
      <c r="K10" s="51" t="n">
        <f aca="false">I10+J10</f>
        <v>68.6663725737333</v>
      </c>
      <c r="L10" s="51" t="n">
        <f aca="false">F10-(I10-X10)</f>
        <v>16.4663725737333</v>
      </c>
      <c r="M10" s="51" t="n">
        <v>4.5</v>
      </c>
      <c r="N10" s="51" t="n">
        <v>0</v>
      </c>
      <c r="O10" s="51" t="n">
        <v>0</v>
      </c>
      <c r="P10" s="6" t="n">
        <f aca="false">M10-(N10+O10)</f>
        <v>4.5</v>
      </c>
      <c r="Q10" s="51" t="n">
        <v>0</v>
      </c>
      <c r="R10" s="51" t="n">
        <v>0</v>
      </c>
      <c r="S10" s="51" t="n">
        <f aca="false">SUM(P10:R10)</f>
        <v>4.5</v>
      </c>
      <c r="T10" s="52"/>
      <c r="U10" s="51" t="n">
        <v>0</v>
      </c>
      <c r="V10" s="51" t="n">
        <v>44</v>
      </c>
      <c r="W10" s="52" t="n">
        <f aca="false">W8-40-2</f>
        <v>2128</v>
      </c>
      <c r="X10" s="6" t="n">
        <f aca="false">N10+O10+S10+U10+V10</f>
        <v>48.5</v>
      </c>
      <c r="Y10" s="51" t="n">
        <f aca="false">IF(L10&lt;0,L10*-1,0)</f>
        <v>0</v>
      </c>
      <c r="Z10" s="51" t="n">
        <f aca="false">X10+Y10</f>
        <v>48.5</v>
      </c>
      <c r="AA10" s="53" t="n">
        <v>0</v>
      </c>
      <c r="AB10" s="56" t="n">
        <v>46</v>
      </c>
      <c r="AC10" s="56" t="n">
        <v>10</v>
      </c>
      <c r="AD10" s="57" t="n">
        <v>1</v>
      </c>
      <c r="AE10" s="86"/>
      <c r="AF10" s="87"/>
      <c r="AG10" s="86"/>
    </row>
    <row r="11" customFormat="false" ht="11.1" hidden="false" customHeight="true" outlineLevel="0" collapsed="false">
      <c r="A11" s="57" t="n">
        <f aca="false">A10+1</f>
        <v>2</v>
      </c>
      <c r="B11" s="71" t="n">
        <v>6910.08</v>
      </c>
      <c r="C11" s="52" t="n">
        <v>322307</v>
      </c>
      <c r="D11" s="56" t="n">
        <f aca="false">C11-C10</f>
        <v>0</v>
      </c>
      <c r="E11" s="52" t="n">
        <f aca="false">C11-152000</f>
        <v>170307</v>
      </c>
      <c r="F11" s="51" t="n">
        <f aca="false">D11/$D$2</f>
        <v>0</v>
      </c>
      <c r="G11" s="51" t="n">
        <v>50</v>
      </c>
      <c r="H11" s="53" t="n">
        <v>1.2</v>
      </c>
      <c r="I11" s="51" t="n">
        <f aca="false">G11+H11</f>
        <v>51.2</v>
      </c>
      <c r="J11" s="78" t="n">
        <f aca="false">IF(L11&gt;0,L11,0)</f>
        <v>0</v>
      </c>
      <c r="K11" s="51" t="n">
        <f aca="false">I11+J11</f>
        <v>51.2</v>
      </c>
      <c r="L11" s="51" t="n">
        <f aca="false">F11-(I11-X11)</f>
        <v>-4.3</v>
      </c>
      <c r="M11" s="51" t="n">
        <v>3.9</v>
      </c>
      <c r="N11" s="51" t="n">
        <v>0</v>
      </c>
      <c r="O11" s="51" t="n">
        <v>0</v>
      </c>
      <c r="P11" s="6" t="n">
        <f aca="false">M11-(N11+O11)</f>
        <v>3.9</v>
      </c>
      <c r="Q11" s="51" t="n">
        <v>0</v>
      </c>
      <c r="R11" s="51" t="n">
        <v>0</v>
      </c>
      <c r="S11" s="51" t="n">
        <f aca="false">SUM(P11:R11)</f>
        <v>3.9</v>
      </c>
      <c r="T11" s="52"/>
      <c r="U11" s="51" t="n">
        <v>0</v>
      </c>
      <c r="V11" s="51" t="n">
        <v>43</v>
      </c>
      <c r="W11" s="52" t="n">
        <f aca="false">W10-40-2</f>
        <v>2086</v>
      </c>
      <c r="X11" s="6" t="n">
        <f aca="false">N11+O11+S11+U11+V11</f>
        <v>46.9</v>
      </c>
      <c r="Y11" s="51" t="n">
        <f aca="false">IF(L11&lt;0,L11*-1,0)</f>
        <v>4.3</v>
      </c>
      <c r="Z11" s="51" t="n">
        <f aca="false">X11+Y11</f>
        <v>51.2</v>
      </c>
      <c r="AA11" s="53" t="n">
        <v>0</v>
      </c>
      <c r="AB11" s="56" t="n">
        <v>48</v>
      </c>
      <c r="AC11" s="56" t="n">
        <v>8</v>
      </c>
      <c r="AD11" s="57" t="n">
        <f aca="false">AD10+1</f>
        <v>2</v>
      </c>
      <c r="AE11" s="86"/>
      <c r="AF11" s="87"/>
      <c r="AG11" s="86"/>
    </row>
    <row r="12" customFormat="false" ht="11.1" hidden="false" customHeight="true" outlineLevel="0" collapsed="false">
      <c r="A12" s="57" t="n">
        <f aca="false">A11+1</f>
        <v>3</v>
      </c>
      <c r="B12" s="71" t="n">
        <v>6910.09</v>
      </c>
      <c r="C12" s="52" t="n">
        <v>322348</v>
      </c>
      <c r="D12" s="56" t="n">
        <f aca="false">C12-C11</f>
        <v>41</v>
      </c>
      <c r="E12" s="52" t="n">
        <f aca="false">C12-152000</f>
        <v>170348</v>
      </c>
      <c r="F12" s="51" t="n">
        <f aca="false">D12/$D$2</f>
        <v>20.6705318880766</v>
      </c>
      <c r="G12" s="51" t="n">
        <v>51</v>
      </c>
      <c r="H12" s="53" t="n">
        <v>1.2</v>
      </c>
      <c r="I12" s="51" t="n">
        <f aca="false">G12+H12</f>
        <v>52.2</v>
      </c>
      <c r="J12" s="78" t="n">
        <f aca="false">IF(L12&gt;0,L12,0)</f>
        <v>15.1705318880766</v>
      </c>
      <c r="K12" s="51" t="n">
        <f aca="false">I12+J12</f>
        <v>67.3705318880766</v>
      </c>
      <c r="L12" s="51" t="n">
        <f aca="false">F12-(I12-X12)</f>
        <v>15.1705318880766</v>
      </c>
      <c r="M12" s="51" t="n">
        <v>3.7</v>
      </c>
      <c r="N12" s="51" t="n">
        <v>0</v>
      </c>
      <c r="O12" s="51" t="n">
        <v>0</v>
      </c>
      <c r="P12" s="6" t="n">
        <f aca="false">M12-(N12+O12)</f>
        <v>3.7</v>
      </c>
      <c r="Q12" s="51" t="n">
        <v>0</v>
      </c>
      <c r="R12" s="51" t="n">
        <v>0</v>
      </c>
      <c r="S12" s="51" t="n">
        <f aca="false">SUM(P12:R12)</f>
        <v>3.7</v>
      </c>
      <c r="T12" s="52"/>
      <c r="U12" s="51" t="n">
        <v>0</v>
      </c>
      <c r="V12" s="51" t="n">
        <v>43</v>
      </c>
      <c r="W12" s="52" t="n">
        <f aca="false">W11-40-2</f>
        <v>2044</v>
      </c>
      <c r="X12" s="6" t="n">
        <f aca="false">N12+O12+S12+U12+V12</f>
        <v>46.7</v>
      </c>
      <c r="Y12" s="51" t="n">
        <f aca="false">IF(L12&lt;0,L12*-1,0)</f>
        <v>0</v>
      </c>
      <c r="Z12" s="51" t="n">
        <f aca="false">X12+Y12</f>
        <v>46.7</v>
      </c>
      <c r="AA12" s="53" t="n">
        <v>0</v>
      </c>
      <c r="AB12" s="56" t="n">
        <v>50</v>
      </c>
      <c r="AC12" s="56" t="n">
        <v>22</v>
      </c>
      <c r="AD12" s="57" t="n">
        <f aca="false">AD11+1</f>
        <v>3</v>
      </c>
      <c r="AE12" s="86"/>
      <c r="AF12" s="87"/>
      <c r="AG12" s="86"/>
    </row>
    <row r="13" customFormat="false" ht="11.1" hidden="false" customHeight="true" outlineLevel="0" collapsed="false">
      <c r="A13" s="57" t="n">
        <f aca="false">A12+1</f>
        <v>4</v>
      </c>
      <c r="B13" s="71" t="n">
        <v>6910.1</v>
      </c>
      <c r="C13" s="52" t="n">
        <v>322388</v>
      </c>
      <c r="D13" s="56" t="n">
        <f aca="false">C13-C12</f>
        <v>40</v>
      </c>
      <c r="E13" s="52" t="n">
        <f aca="false">C13-152000</f>
        <v>170388</v>
      </c>
      <c r="F13" s="51" t="n">
        <f aca="false">D13/$D$2</f>
        <v>20.1663725737333</v>
      </c>
      <c r="G13" s="51" t="n">
        <v>52</v>
      </c>
      <c r="H13" s="53" t="n">
        <v>1.2</v>
      </c>
      <c r="I13" s="51" t="n">
        <f aca="false">G13+H13</f>
        <v>53.2</v>
      </c>
      <c r="J13" s="78" t="n">
        <f aca="false">IF(L13&gt;0,L13,0)</f>
        <v>13.6663725737333</v>
      </c>
      <c r="K13" s="51" t="n">
        <f aca="false">I13+J13</f>
        <v>66.8663725737333</v>
      </c>
      <c r="L13" s="51" t="n">
        <f aca="false">F13-(I13-X13)</f>
        <v>13.6663725737333</v>
      </c>
      <c r="M13" s="51" t="n">
        <v>3.7</v>
      </c>
      <c r="N13" s="51" t="n">
        <v>0</v>
      </c>
      <c r="O13" s="51" t="n">
        <v>0</v>
      </c>
      <c r="P13" s="6" t="n">
        <f aca="false">M13-(N13+O13)</f>
        <v>3.7</v>
      </c>
      <c r="Q13" s="51" t="n">
        <v>0</v>
      </c>
      <c r="R13" s="51" t="n">
        <v>0</v>
      </c>
      <c r="S13" s="51" t="n">
        <f aca="false">SUM(P13:R13)</f>
        <v>3.7</v>
      </c>
      <c r="T13" s="52"/>
      <c r="U13" s="51" t="n">
        <v>0</v>
      </c>
      <c r="V13" s="51" t="n">
        <v>43</v>
      </c>
      <c r="W13" s="52" t="n">
        <f aca="false">W12-40-2</f>
        <v>2002</v>
      </c>
      <c r="X13" s="6" t="n">
        <f aca="false">N13+O13+S13+U13+V13</f>
        <v>46.7</v>
      </c>
      <c r="Y13" s="51" t="n">
        <f aca="false">IF(L13&lt;0,L13*-1,0)</f>
        <v>0</v>
      </c>
      <c r="Z13" s="51" t="n">
        <f aca="false">X13+Y13</f>
        <v>46.7</v>
      </c>
      <c r="AA13" s="53" t="n">
        <v>0</v>
      </c>
      <c r="AB13" s="56" t="n">
        <v>47</v>
      </c>
      <c r="AC13" s="56" t="n">
        <v>24</v>
      </c>
      <c r="AD13" s="57" t="n">
        <f aca="false">AD12+1</f>
        <v>4</v>
      </c>
      <c r="AE13" s="86"/>
      <c r="AF13" s="87"/>
      <c r="AG13" s="86"/>
    </row>
    <row r="14" customFormat="false" ht="11.1" hidden="false" customHeight="true" outlineLevel="0" collapsed="false">
      <c r="A14" s="57" t="n">
        <f aca="false">A13+1</f>
        <v>5</v>
      </c>
      <c r="B14" s="71" t="n">
        <v>6910.1</v>
      </c>
      <c r="C14" s="52" t="n">
        <v>322388</v>
      </c>
      <c r="D14" s="56" t="n">
        <f aca="false">C14-C13</f>
        <v>0</v>
      </c>
      <c r="E14" s="52" t="n">
        <f aca="false">C14-152000</f>
        <v>170388</v>
      </c>
      <c r="F14" s="51" t="n">
        <f aca="false">D14/$D$2</f>
        <v>0</v>
      </c>
      <c r="G14" s="51" t="n">
        <v>52</v>
      </c>
      <c r="H14" s="53" t="n">
        <v>1.2</v>
      </c>
      <c r="I14" s="51" t="n">
        <f aca="false">G14+H14</f>
        <v>53.2</v>
      </c>
      <c r="J14" s="78" t="n">
        <f aca="false">IF(L14&gt;0,L14,0)</f>
        <v>0</v>
      </c>
      <c r="K14" s="51" t="n">
        <f aca="false">I14+J14</f>
        <v>53.2</v>
      </c>
      <c r="L14" s="51" t="n">
        <f aca="false">F14-(I14-X14)</f>
        <v>-6.5</v>
      </c>
      <c r="M14" s="51" t="n">
        <v>3.7</v>
      </c>
      <c r="N14" s="51" t="n">
        <v>0</v>
      </c>
      <c r="O14" s="51" t="n">
        <v>0</v>
      </c>
      <c r="P14" s="6" t="n">
        <f aca="false">M14-(N14+O14)</f>
        <v>3.7</v>
      </c>
      <c r="Q14" s="51" t="n">
        <v>0</v>
      </c>
      <c r="R14" s="51" t="n">
        <v>0</v>
      </c>
      <c r="S14" s="51" t="n">
        <f aca="false">SUM(P14:R14)</f>
        <v>3.7</v>
      </c>
      <c r="T14" s="52"/>
      <c r="U14" s="51" t="n">
        <v>0</v>
      </c>
      <c r="V14" s="51" t="n">
        <v>43</v>
      </c>
      <c r="W14" s="52" t="n">
        <f aca="false">W13-40-2</f>
        <v>1960</v>
      </c>
      <c r="X14" s="6" t="n">
        <f aca="false">N14+O14+S14+U14+V14</f>
        <v>46.7</v>
      </c>
      <c r="Y14" s="51" t="n">
        <f aca="false">IF(L14&lt;0,L14*-1,0)</f>
        <v>6.5</v>
      </c>
      <c r="Z14" s="51" t="n">
        <f aca="false">X14+Y14</f>
        <v>53.2</v>
      </c>
      <c r="AA14" s="53" t="n">
        <v>0</v>
      </c>
      <c r="AB14" s="56" t="n">
        <v>52</v>
      </c>
      <c r="AC14" s="56" t="n">
        <v>23</v>
      </c>
      <c r="AD14" s="57" t="n">
        <f aca="false">AD13+1</f>
        <v>5</v>
      </c>
      <c r="AE14" s="86"/>
      <c r="AF14" s="87"/>
      <c r="AG14" s="86"/>
    </row>
    <row r="15" customFormat="false" ht="11.1" hidden="false" customHeight="true" outlineLevel="0" collapsed="false">
      <c r="A15" s="57" t="n">
        <f aca="false">A14+1</f>
        <v>6</v>
      </c>
      <c r="B15" s="71" t="n">
        <v>6910.11</v>
      </c>
      <c r="C15" s="52" t="n">
        <v>322428</v>
      </c>
      <c r="D15" s="56" t="n">
        <f aca="false">C15-C14</f>
        <v>40</v>
      </c>
      <c r="E15" s="52" t="n">
        <f aca="false">C15-152000</f>
        <v>170428</v>
      </c>
      <c r="F15" s="51" t="n">
        <f aca="false">D15/$D$2</f>
        <v>20.1663725737333</v>
      </c>
      <c r="G15" s="51" t="n">
        <v>52</v>
      </c>
      <c r="H15" s="53" t="n">
        <v>1.1</v>
      </c>
      <c r="I15" s="51" t="n">
        <f aca="false">G15+H15</f>
        <v>53.1</v>
      </c>
      <c r="J15" s="78" t="n">
        <f aca="false">IF(L15&gt;0,L15,0)</f>
        <v>13.8663725737333</v>
      </c>
      <c r="K15" s="51" t="n">
        <f aca="false">I15+J15</f>
        <v>66.9663725737333</v>
      </c>
      <c r="L15" s="51" t="n">
        <f aca="false">F15-(I15-X15)</f>
        <v>13.8663725737333</v>
      </c>
      <c r="M15" s="51" t="n">
        <v>3.8</v>
      </c>
      <c r="N15" s="51" t="n">
        <v>0</v>
      </c>
      <c r="O15" s="51" t="n">
        <v>0</v>
      </c>
      <c r="P15" s="6" t="n">
        <f aca="false">M15-(N15+O15)</f>
        <v>3.8</v>
      </c>
      <c r="Q15" s="51" t="n">
        <v>0</v>
      </c>
      <c r="R15" s="51" t="n">
        <v>0</v>
      </c>
      <c r="S15" s="51" t="n">
        <f aca="false">SUM(P15:R15)</f>
        <v>3.8</v>
      </c>
      <c r="T15" s="52"/>
      <c r="U15" s="51" t="n">
        <v>0</v>
      </c>
      <c r="V15" s="51" t="n">
        <v>43</v>
      </c>
      <c r="W15" s="52" t="n">
        <f aca="false">W14-40-2</f>
        <v>1918</v>
      </c>
      <c r="X15" s="6" t="n">
        <f aca="false">N15+O15+S15+U15+V15</f>
        <v>46.8</v>
      </c>
      <c r="Y15" s="51" t="n">
        <f aca="false">IF(L15&lt;0,L15*-1,0)</f>
        <v>0</v>
      </c>
      <c r="Z15" s="51" t="n">
        <f aca="false">X15+Y15</f>
        <v>46.8</v>
      </c>
      <c r="AA15" s="53" t="n">
        <v>0</v>
      </c>
      <c r="AB15" s="56" t="n">
        <v>58</v>
      </c>
      <c r="AC15" s="56" t="n">
        <v>26</v>
      </c>
      <c r="AD15" s="57" t="n">
        <f aca="false">AD14+1</f>
        <v>6</v>
      </c>
      <c r="AE15" s="85"/>
      <c r="AF15" s="87"/>
      <c r="AG15" s="86"/>
    </row>
    <row r="16" customFormat="false" ht="11.1" hidden="false" customHeight="true" outlineLevel="0" collapsed="false">
      <c r="A16" s="57" t="n">
        <f aca="false">A15+1</f>
        <v>7</v>
      </c>
      <c r="B16" s="71" t="n">
        <v>6910.11</v>
      </c>
      <c r="C16" s="52" t="n">
        <v>322428</v>
      </c>
      <c r="D16" s="56" t="n">
        <f aca="false">C16-C15</f>
        <v>0</v>
      </c>
      <c r="E16" s="52" t="n">
        <f aca="false">C16-152000</f>
        <v>170428</v>
      </c>
      <c r="F16" s="51" t="n">
        <f aca="false">D16/$D$2</f>
        <v>0</v>
      </c>
      <c r="G16" s="51" t="n">
        <v>52</v>
      </c>
      <c r="H16" s="53" t="n">
        <v>1.1</v>
      </c>
      <c r="I16" s="51" t="n">
        <f aca="false">G16+H16</f>
        <v>53.1</v>
      </c>
      <c r="J16" s="78" t="n">
        <f aca="false">IF(L16&gt;0,L16,0)</f>
        <v>0</v>
      </c>
      <c r="K16" s="51" t="n">
        <f aca="false">I16+J16</f>
        <v>53.1</v>
      </c>
      <c r="L16" s="51" t="n">
        <f aca="false">F16-(I16-X16)</f>
        <v>-6</v>
      </c>
      <c r="M16" s="51" t="n">
        <v>4.1</v>
      </c>
      <c r="N16" s="51" t="n">
        <v>0</v>
      </c>
      <c r="O16" s="51" t="n">
        <v>0</v>
      </c>
      <c r="P16" s="6" t="n">
        <f aca="false">M16-(N16+O16)</f>
        <v>4.1</v>
      </c>
      <c r="Q16" s="51" t="n">
        <v>0</v>
      </c>
      <c r="R16" s="51" t="n">
        <v>0</v>
      </c>
      <c r="S16" s="51" t="n">
        <f aca="false">SUM(P16:R16)</f>
        <v>4.1</v>
      </c>
      <c r="T16" s="52"/>
      <c r="U16" s="51" t="n">
        <v>0</v>
      </c>
      <c r="V16" s="51" t="n">
        <v>43</v>
      </c>
      <c r="W16" s="52" t="n">
        <f aca="false">W15-40-2</f>
        <v>1876</v>
      </c>
      <c r="X16" s="6" t="n">
        <f aca="false">N16+O16+S16+U16+V16</f>
        <v>47.1</v>
      </c>
      <c r="Y16" s="51" t="n">
        <f aca="false">IF(L16&lt;0,L16*-1,0)</f>
        <v>6</v>
      </c>
      <c r="Z16" s="51" t="n">
        <f aca="false">X16+Y16</f>
        <v>53.1</v>
      </c>
      <c r="AA16" s="53" t="n">
        <v>0</v>
      </c>
      <c r="AB16" s="56" t="n">
        <v>50</v>
      </c>
      <c r="AC16" s="56" t="n">
        <v>26</v>
      </c>
      <c r="AD16" s="57" t="n">
        <f aca="false">AD15+1</f>
        <v>7</v>
      </c>
      <c r="AE16" s="85"/>
      <c r="AF16" s="87"/>
      <c r="AG16" s="86"/>
    </row>
    <row r="17" customFormat="false" ht="11.1" hidden="false" customHeight="true" outlineLevel="0" collapsed="false">
      <c r="A17" s="57" t="n">
        <f aca="false">A16+1</f>
        <v>8</v>
      </c>
      <c r="B17" s="71" t="n">
        <v>6910.12</v>
      </c>
      <c r="C17" s="52" t="n">
        <v>322468</v>
      </c>
      <c r="D17" s="56" t="n">
        <f aca="false">C17-C16</f>
        <v>40</v>
      </c>
      <c r="E17" s="52" t="n">
        <f aca="false">C17-152000</f>
        <v>170468</v>
      </c>
      <c r="F17" s="51" t="n">
        <f aca="false">D17/$D$2</f>
        <v>20.1663725737333</v>
      </c>
      <c r="G17" s="51" t="n">
        <v>53</v>
      </c>
      <c r="H17" s="53" t="n">
        <v>1.2</v>
      </c>
      <c r="I17" s="51" t="n">
        <f aca="false">G17+H17</f>
        <v>54.2</v>
      </c>
      <c r="J17" s="78" t="n">
        <f aca="false">IF(L17&gt;0,L17,0)</f>
        <v>12.0663725737333</v>
      </c>
      <c r="K17" s="51" t="n">
        <f aca="false">I17+J17</f>
        <v>66.2663725737333</v>
      </c>
      <c r="L17" s="51" t="n">
        <f aca="false">F17-(I17-X17)</f>
        <v>12.0663725737333</v>
      </c>
      <c r="M17" s="51" t="n">
        <v>4.1</v>
      </c>
      <c r="N17" s="51" t="n">
        <v>0</v>
      </c>
      <c r="O17" s="51" t="n">
        <v>0</v>
      </c>
      <c r="P17" s="6" t="n">
        <f aca="false">M17-(N17+O17)</f>
        <v>4.1</v>
      </c>
      <c r="Q17" s="51" t="n">
        <v>0</v>
      </c>
      <c r="R17" s="51" t="n">
        <v>0</v>
      </c>
      <c r="S17" s="51" t="n">
        <f aca="false">SUM(P17:R17)</f>
        <v>4.1</v>
      </c>
      <c r="T17" s="52"/>
      <c r="U17" s="51" t="n">
        <v>0</v>
      </c>
      <c r="V17" s="51" t="n">
        <v>42</v>
      </c>
      <c r="W17" s="52" t="n">
        <f aca="false">W16-V17</f>
        <v>1834</v>
      </c>
      <c r="X17" s="6" t="n">
        <f aca="false">N17+O17+S17+U17+V17</f>
        <v>46.1</v>
      </c>
      <c r="Y17" s="51" t="n">
        <f aca="false">IF(L17&lt;0,L17*-1,0)</f>
        <v>0</v>
      </c>
      <c r="Z17" s="51" t="n">
        <f aca="false">X17+Y17</f>
        <v>46.1</v>
      </c>
      <c r="AA17" s="53" t="n">
        <v>0</v>
      </c>
      <c r="AB17" s="56" t="n">
        <v>59</v>
      </c>
      <c r="AC17" s="56" t="n">
        <v>24</v>
      </c>
      <c r="AD17" s="57" t="n">
        <f aca="false">AD16+1</f>
        <v>8</v>
      </c>
      <c r="AE17" s="85"/>
      <c r="AF17" s="87"/>
      <c r="AG17" s="86"/>
    </row>
    <row r="18" customFormat="false" ht="11.1" hidden="false" customHeight="true" outlineLevel="0" collapsed="false">
      <c r="A18" s="57" t="n">
        <f aca="false">A17+1</f>
        <v>9</v>
      </c>
      <c r="B18" s="71" t="n">
        <v>6910.12</v>
      </c>
      <c r="C18" s="52" t="n">
        <v>322468</v>
      </c>
      <c r="D18" s="56" t="n">
        <f aca="false">C18-C17</f>
        <v>0</v>
      </c>
      <c r="E18" s="52" t="n">
        <f aca="false">C18-152000</f>
        <v>170468</v>
      </c>
      <c r="F18" s="51" t="n">
        <f aca="false">D18/$D$2</f>
        <v>0</v>
      </c>
      <c r="G18" s="51" t="n">
        <v>55</v>
      </c>
      <c r="H18" s="53" t="n">
        <v>1.4</v>
      </c>
      <c r="I18" s="51" t="n">
        <f aca="false">G18+H18</f>
        <v>56.4</v>
      </c>
      <c r="J18" s="78" t="n">
        <f aca="false">IF(L18&gt;0,L18,0)</f>
        <v>0</v>
      </c>
      <c r="K18" s="51" t="n">
        <f aca="false">I18+J18</f>
        <v>56.4</v>
      </c>
      <c r="L18" s="51" t="n">
        <f aca="false">F18-(I18-X18)</f>
        <v>-11.3</v>
      </c>
      <c r="M18" s="51" t="n">
        <v>4.1</v>
      </c>
      <c r="N18" s="51" t="n">
        <v>0</v>
      </c>
      <c r="O18" s="51" t="n">
        <v>0</v>
      </c>
      <c r="P18" s="6" t="n">
        <f aca="false">M18-(N18+O18)</f>
        <v>4.1</v>
      </c>
      <c r="Q18" s="51" t="n">
        <v>0</v>
      </c>
      <c r="R18" s="51" t="n">
        <v>0</v>
      </c>
      <c r="S18" s="51" t="n">
        <f aca="false">SUM(P18:R18)</f>
        <v>4.1</v>
      </c>
      <c r="T18" s="52"/>
      <c r="U18" s="51" t="n">
        <v>0</v>
      </c>
      <c r="V18" s="51" t="n">
        <v>41</v>
      </c>
      <c r="W18" s="52" t="n">
        <f aca="false">W17-V18</f>
        <v>1793</v>
      </c>
      <c r="X18" s="6" t="n">
        <f aca="false">N18+O18+S18+U18+V18</f>
        <v>45.1</v>
      </c>
      <c r="Y18" s="51" t="n">
        <f aca="false">IF(L18&lt;0,L18*-1,0)</f>
        <v>11.3</v>
      </c>
      <c r="Z18" s="51" t="n">
        <f aca="false">X18+Y18</f>
        <v>56.4</v>
      </c>
      <c r="AA18" s="53" t="n">
        <v>0</v>
      </c>
      <c r="AB18" s="79" t="n">
        <v>45</v>
      </c>
      <c r="AC18" s="56" t="n">
        <v>25</v>
      </c>
      <c r="AD18" s="57" t="n">
        <f aca="false">AD17+1</f>
        <v>9</v>
      </c>
      <c r="AE18" s="85"/>
      <c r="AF18" s="87"/>
      <c r="AG18" s="86"/>
    </row>
    <row r="19" customFormat="false" ht="11.1" hidden="false" customHeight="true" outlineLevel="0" collapsed="false">
      <c r="A19" s="57" t="n">
        <f aca="false">A18+1</f>
        <v>10</v>
      </c>
      <c r="B19" s="71" t="n">
        <v>6910.15</v>
      </c>
      <c r="C19" s="52" t="n">
        <v>322588</v>
      </c>
      <c r="D19" s="56" t="n">
        <f aca="false">C19-C18</f>
        <v>120</v>
      </c>
      <c r="E19" s="52" t="n">
        <f aca="false">C19-152000</f>
        <v>170588</v>
      </c>
      <c r="F19" s="51" t="n">
        <f aca="false">D19/$D$2</f>
        <v>60.4991177211999</v>
      </c>
      <c r="G19" s="51" t="n">
        <v>55</v>
      </c>
      <c r="H19" s="53" t="n">
        <v>1.6</v>
      </c>
      <c r="I19" s="51" t="n">
        <f aca="false">G19+H19</f>
        <v>56.6</v>
      </c>
      <c r="J19" s="78" t="n">
        <f aca="false">IF(L19&gt;0,L19,0)</f>
        <v>48.9991177211999</v>
      </c>
      <c r="K19" s="51" t="n">
        <f aca="false">I19+J19</f>
        <v>105.5991177212</v>
      </c>
      <c r="L19" s="51" t="n">
        <f aca="false">F19-(I19-X19)</f>
        <v>48.9991177211999</v>
      </c>
      <c r="M19" s="51" t="n">
        <v>4.1</v>
      </c>
      <c r="N19" s="51" t="n">
        <v>0</v>
      </c>
      <c r="O19" s="51" t="n">
        <v>0</v>
      </c>
      <c r="P19" s="6" t="n">
        <f aca="false">M19-(N19+O19)</f>
        <v>4.1</v>
      </c>
      <c r="Q19" s="51" t="n">
        <v>0</v>
      </c>
      <c r="R19" s="51" t="n">
        <v>0</v>
      </c>
      <c r="S19" s="51" t="n">
        <f aca="false">SUM(P19:R19)</f>
        <v>4.1</v>
      </c>
      <c r="T19" s="52"/>
      <c r="U19" s="51" t="n">
        <v>0</v>
      </c>
      <c r="V19" s="51" t="n">
        <v>41</v>
      </c>
      <c r="W19" s="52" t="n">
        <f aca="false">W18-V19</f>
        <v>1752</v>
      </c>
      <c r="X19" s="6" t="n">
        <f aca="false">N19+O19+S19+U19+V19</f>
        <v>45.1</v>
      </c>
      <c r="Y19" s="51" t="n">
        <f aca="false">IF(L19&lt;0,L19*-1,0)</f>
        <v>0</v>
      </c>
      <c r="Z19" s="51" t="n">
        <f aca="false">X19+Y19</f>
        <v>45.1</v>
      </c>
      <c r="AA19" s="53" t="n">
        <v>0.21</v>
      </c>
      <c r="AB19" s="56" t="n">
        <v>47</v>
      </c>
      <c r="AC19" s="56" t="n">
        <v>34</v>
      </c>
      <c r="AD19" s="57" t="n">
        <f aca="false">AD18+1</f>
        <v>10</v>
      </c>
      <c r="AE19" s="85"/>
      <c r="AF19" s="87"/>
      <c r="AG19" s="86"/>
    </row>
    <row r="20" customFormat="false" ht="11.1" hidden="false" customHeight="true" outlineLevel="0" collapsed="false">
      <c r="A20" s="57" t="n">
        <f aca="false">A19+1</f>
        <v>11</v>
      </c>
      <c r="B20" s="71" t="n">
        <v>6910.17</v>
      </c>
      <c r="C20" s="52" t="n">
        <v>322669</v>
      </c>
      <c r="D20" s="56" t="n">
        <f aca="false">C20-C19</f>
        <v>81</v>
      </c>
      <c r="E20" s="52" t="n">
        <f aca="false">C20-152000</f>
        <v>170669</v>
      </c>
      <c r="F20" s="51" t="n">
        <f aca="false">D20/$D$2</f>
        <v>40.8369044618099</v>
      </c>
      <c r="G20" s="51" t="n">
        <v>54</v>
      </c>
      <c r="H20" s="53" t="n">
        <v>1.5</v>
      </c>
      <c r="I20" s="51" t="n">
        <f aca="false">G20+H20</f>
        <v>55.5</v>
      </c>
      <c r="J20" s="78" t="n">
        <f aca="false">IF(L20&gt;0,L20,0)</f>
        <v>30.4369044618099</v>
      </c>
      <c r="K20" s="51" t="n">
        <f aca="false">I20+J20</f>
        <v>85.9369044618099</v>
      </c>
      <c r="L20" s="51" t="n">
        <f aca="false">F20-(I20-X20)</f>
        <v>30.4369044618099</v>
      </c>
      <c r="M20" s="51" t="n">
        <v>4.1</v>
      </c>
      <c r="N20" s="51" t="n">
        <v>0</v>
      </c>
      <c r="O20" s="51" t="n">
        <v>0</v>
      </c>
      <c r="P20" s="6" t="n">
        <f aca="false">M20-(N20+O20)</f>
        <v>4.1</v>
      </c>
      <c r="Q20" s="51" t="n">
        <v>0</v>
      </c>
      <c r="R20" s="51" t="n">
        <v>0</v>
      </c>
      <c r="S20" s="51" t="n">
        <f aca="false">SUM(P20:R20)</f>
        <v>4.1</v>
      </c>
      <c r="T20" s="52"/>
      <c r="U20" s="51" t="n">
        <v>0</v>
      </c>
      <c r="V20" s="51" t="n">
        <v>41</v>
      </c>
      <c r="W20" s="52" t="n">
        <f aca="false">W19-V20</f>
        <v>1711</v>
      </c>
      <c r="X20" s="6" t="n">
        <f aca="false">N20+O20+S20+U20+V20</f>
        <v>45.1</v>
      </c>
      <c r="Y20" s="51" t="n">
        <f aca="false">IF(L20&lt;0,L20*-1,0)</f>
        <v>0</v>
      </c>
      <c r="Z20" s="51" t="n">
        <f aca="false">X20+Y20</f>
        <v>45.1</v>
      </c>
      <c r="AA20" s="53" t="n">
        <v>0</v>
      </c>
      <c r="AB20" s="56" t="n">
        <v>44</v>
      </c>
      <c r="AC20" s="56" t="n">
        <v>33</v>
      </c>
      <c r="AD20" s="57" t="n">
        <f aca="false">AD19+1</f>
        <v>11</v>
      </c>
      <c r="AE20" s="85"/>
      <c r="AF20" s="87"/>
      <c r="AG20" s="86"/>
    </row>
    <row r="21" customFormat="false" ht="11.1" hidden="false" customHeight="true" outlineLevel="0" collapsed="false">
      <c r="A21" s="57" t="n">
        <f aca="false">A20+1</f>
        <v>12</v>
      </c>
      <c r="B21" s="71" t="n">
        <v>6910.21</v>
      </c>
      <c r="C21" s="52" t="n">
        <v>322829</v>
      </c>
      <c r="D21" s="56" t="n">
        <f aca="false">C21-C20</f>
        <v>160</v>
      </c>
      <c r="E21" s="52" t="n">
        <f aca="false">C21-152000</f>
        <v>170829</v>
      </c>
      <c r="F21" s="51" t="n">
        <f aca="false">D21/$D$2</f>
        <v>80.6654902949332</v>
      </c>
      <c r="G21" s="51" t="n">
        <v>53</v>
      </c>
      <c r="H21" s="53" t="n">
        <v>1.4</v>
      </c>
      <c r="I21" s="51" t="n">
        <f aca="false">G21+H21</f>
        <v>54.4</v>
      </c>
      <c r="J21" s="78" t="n">
        <f aca="false">IF(L21&gt;0,L21,0)</f>
        <v>71.3654902949332</v>
      </c>
      <c r="K21" s="51" t="n">
        <f aca="false">I21+J21</f>
        <v>125.765490294933</v>
      </c>
      <c r="L21" s="51" t="n">
        <f aca="false">F21-(I21-X21)</f>
        <v>71.3654902949332</v>
      </c>
      <c r="M21" s="51" t="n">
        <v>4.1</v>
      </c>
      <c r="N21" s="51" t="n">
        <v>0</v>
      </c>
      <c r="O21" s="51" t="n">
        <v>0</v>
      </c>
      <c r="P21" s="6" t="n">
        <f aca="false">M21-(N21+O21)</f>
        <v>4.1</v>
      </c>
      <c r="Q21" s="51" t="n">
        <v>0</v>
      </c>
      <c r="R21" s="51" t="n">
        <v>0</v>
      </c>
      <c r="S21" s="51" t="n">
        <f aca="false">SUM(P21:R21)</f>
        <v>4.1</v>
      </c>
      <c r="T21" s="52"/>
      <c r="U21" s="51" t="n">
        <v>0</v>
      </c>
      <c r="V21" s="51" t="n">
        <v>41</v>
      </c>
      <c r="W21" s="52" t="n">
        <f aca="false">W20-V21</f>
        <v>1670</v>
      </c>
      <c r="X21" s="6" t="n">
        <f aca="false">N21+O21+S21+U21+V21</f>
        <v>45.1</v>
      </c>
      <c r="Y21" s="51" t="n">
        <f aca="false">IF(L21&lt;0,L21*-1,0)</f>
        <v>0</v>
      </c>
      <c r="Z21" s="51" t="n">
        <f aca="false">X21+Y21</f>
        <v>45.1</v>
      </c>
      <c r="AA21" s="53" t="n">
        <v>0.45</v>
      </c>
      <c r="AB21" s="56" t="n">
        <v>40</v>
      </c>
      <c r="AC21" s="56" t="n">
        <v>32</v>
      </c>
      <c r="AD21" s="57" t="n">
        <f aca="false">AD20+1</f>
        <v>12</v>
      </c>
      <c r="AE21" s="85"/>
      <c r="AF21" s="87"/>
      <c r="AG21" s="86"/>
    </row>
    <row r="22" customFormat="false" ht="11.1" hidden="false" customHeight="true" outlineLevel="0" collapsed="false">
      <c r="A22" s="57" t="n">
        <f aca="false">A21+1</f>
        <v>13</v>
      </c>
      <c r="B22" s="71" t="n">
        <v>6910.23</v>
      </c>
      <c r="C22" s="52" t="n">
        <v>322909</v>
      </c>
      <c r="D22" s="56" t="n">
        <f aca="false">C22-C21</f>
        <v>80</v>
      </c>
      <c r="E22" s="52" t="n">
        <f aca="false">C22-152000</f>
        <v>170909</v>
      </c>
      <c r="F22" s="51" t="n">
        <f aca="false">D22/$D$2</f>
        <v>40.3327451474666</v>
      </c>
      <c r="G22" s="51" t="n">
        <v>55</v>
      </c>
      <c r="H22" s="53" t="n">
        <v>1.4</v>
      </c>
      <c r="I22" s="51" t="n">
        <f aca="false">G22+H22</f>
        <v>56.4</v>
      </c>
      <c r="J22" s="78" t="n">
        <f aca="false">IF(L22&gt;0,L22,0)</f>
        <v>29.0327451474666</v>
      </c>
      <c r="K22" s="51" t="n">
        <f aca="false">I22+J22</f>
        <v>85.4327451474666</v>
      </c>
      <c r="L22" s="51" t="n">
        <f aca="false">F22-(I22-X22)</f>
        <v>29.0327451474666</v>
      </c>
      <c r="M22" s="51" t="n">
        <v>4.1</v>
      </c>
      <c r="N22" s="51" t="n">
        <v>0</v>
      </c>
      <c r="O22" s="51" t="n">
        <v>0</v>
      </c>
      <c r="P22" s="6" t="n">
        <f aca="false">M22-(N22+O22)</f>
        <v>4.1</v>
      </c>
      <c r="Q22" s="51" t="n">
        <v>0</v>
      </c>
      <c r="R22" s="51" t="n">
        <v>0</v>
      </c>
      <c r="S22" s="51" t="n">
        <f aca="false">SUM(P22:R22)</f>
        <v>4.1</v>
      </c>
      <c r="T22" s="52"/>
      <c r="U22" s="51" t="n">
        <v>0</v>
      </c>
      <c r="V22" s="51" t="n">
        <v>41</v>
      </c>
      <c r="W22" s="52" t="n">
        <f aca="false">W21-V22</f>
        <v>1629</v>
      </c>
      <c r="X22" s="6" t="n">
        <f aca="false">N22+O22+S22+U22+V22</f>
        <v>45.1</v>
      </c>
      <c r="Y22" s="51" t="n">
        <f aca="false">IF(L22&lt;0,L22*-1,0)</f>
        <v>0</v>
      </c>
      <c r="Z22" s="51" t="n">
        <f aca="false">X22+Y22</f>
        <v>45.1</v>
      </c>
      <c r="AA22" s="53" t="n">
        <v>0</v>
      </c>
      <c r="AB22" s="56" t="n">
        <v>39</v>
      </c>
      <c r="AC22" s="56" t="n">
        <v>27</v>
      </c>
      <c r="AD22" s="57" t="n">
        <f aca="false">AD21+1</f>
        <v>13</v>
      </c>
      <c r="AE22" s="85"/>
      <c r="AF22" s="87"/>
      <c r="AG22" s="86"/>
    </row>
    <row r="23" customFormat="false" ht="11.1" hidden="false" customHeight="true" outlineLevel="0" collapsed="false">
      <c r="A23" s="57" t="n">
        <f aca="false">A22+1</f>
        <v>14</v>
      </c>
      <c r="B23" s="71" t="n">
        <v>6910.25</v>
      </c>
      <c r="C23" s="52" t="n">
        <v>322990</v>
      </c>
      <c r="D23" s="56" t="n">
        <f aca="false">C23-C22</f>
        <v>81</v>
      </c>
      <c r="E23" s="52" t="n">
        <f aca="false">C23-152000</f>
        <v>170990</v>
      </c>
      <c r="F23" s="51" t="n">
        <f aca="false">D23/$D$2</f>
        <v>40.8369044618099</v>
      </c>
      <c r="G23" s="51" t="n">
        <v>56</v>
      </c>
      <c r="H23" s="53" t="n">
        <v>1.4</v>
      </c>
      <c r="I23" s="51" t="n">
        <f aca="false">G23+H23</f>
        <v>57.4</v>
      </c>
      <c r="J23" s="78" t="n">
        <f aca="false">IF(L23&gt;0,L23,0)</f>
        <v>28.5369044618099</v>
      </c>
      <c r="K23" s="51" t="n">
        <f aca="false">I23+J23</f>
        <v>85.9369044618099</v>
      </c>
      <c r="L23" s="51" t="n">
        <f aca="false">F23-(I23-X23)</f>
        <v>28.5369044618099</v>
      </c>
      <c r="M23" s="51" t="n">
        <v>4.1</v>
      </c>
      <c r="N23" s="51" t="n">
        <v>0</v>
      </c>
      <c r="O23" s="51" t="n">
        <v>0</v>
      </c>
      <c r="P23" s="6" t="n">
        <f aca="false">M23-(N23+O23)</f>
        <v>4.1</v>
      </c>
      <c r="Q23" s="51" t="n">
        <v>0</v>
      </c>
      <c r="R23" s="51" t="n">
        <v>0</v>
      </c>
      <c r="S23" s="51" t="n">
        <f aca="false">SUM(P23:R23)</f>
        <v>4.1</v>
      </c>
      <c r="T23" s="52"/>
      <c r="U23" s="51" t="n">
        <v>0</v>
      </c>
      <c r="V23" s="51" t="n">
        <v>41</v>
      </c>
      <c r="W23" s="52" t="n">
        <f aca="false">W22-V23</f>
        <v>1588</v>
      </c>
      <c r="X23" s="6" t="n">
        <f aca="false">N23+O23+S23+U23+V23</f>
        <v>45.1</v>
      </c>
      <c r="Y23" s="51" t="n">
        <f aca="false">IF(L23&lt;0,L23*-1,0)</f>
        <v>0</v>
      </c>
      <c r="Z23" s="51" t="n">
        <f aca="false">X23+Y23</f>
        <v>45.1</v>
      </c>
      <c r="AA23" s="53" t="n">
        <v>0</v>
      </c>
      <c r="AB23" s="79" t="n">
        <v>41</v>
      </c>
      <c r="AC23" s="56" t="n">
        <v>32</v>
      </c>
      <c r="AD23" s="57" t="n">
        <f aca="false">AD22+1</f>
        <v>14</v>
      </c>
      <c r="AE23" s="85"/>
      <c r="AF23" s="87"/>
      <c r="AG23" s="86"/>
    </row>
    <row r="24" customFormat="false" ht="11.1" hidden="false" customHeight="true" outlineLevel="0" collapsed="false">
      <c r="A24" s="57" t="n">
        <f aca="false">A23+1</f>
        <v>15</v>
      </c>
      <c r="B24" s="71" t="n">
        <v>6910.27</v>
      </c>
      <c r="C24" s="52" t="n">
        <v>323070</v>
      </c>
      <c r="D24" s="56" t="n">
        <f aca="false">C24-C23</f>
        <v>80</v>
      </c>
      <c r="E24" s="52" t="n">
        <f aca="false">C24-152000</f>
        <v>171070</v>
      </c>
      <c r="F24" s="51" t="n">
        <f aca="false">D24/$D$2</f>
        <v>40.3327451474666</v>
      </c>
      <c r="G24" s="51" t="n">
        <v>56</v>
      </c>
      <c r="H24" s="53" t="n">
        <v>1.5</v>
      </c>
      <c r="I24" s="51" t="n">
        <f aca="false">G24+H24</f>
        <v>57.5</v>
      </c>
      <c r="J24" s="78" t="n">
        <f aca="false">IF(L24&gt;0,L24,0)</f>
        <v>27.9327451474666</v>
      </c>
      <c r="K24" s="51" t="n">
        <f aca="false">I24+J24</f>
        <v>85.4327451474666</v>
      </c>
      <c r="L24" s="51" t="n">
        <f aca="false">F24-(I24-X24)</f>
        <v>27.9327451474666</v>
      </c>
      <c r="M24" s="51" t="n">
        <v>4.1</v>
      </c>
      <c r="N24" s="51" t="n">
        <v>0</v>
      </c>
      <c r="O24" s="51" t="n">
        <v>0</v>
      </c>
      <c r="P24" s="6" t="n">
        <f aca="false">M24-(N24+O24)</f>
        <v>4.1</v>
      </c>
      <c r="Q24" s="51" t="n">
        <v>0</v>
      </c>
      <c r="R24" s="51" t="n">
        <v>0</v>
      </c>
      <c r="S24" s="51" t="n">
        <f aca="false">SUM(P24:R24)</f>
        <v>4.1</v>
      </c>
      <c r="T24" s="52"/>
      <c r="U24" s="51" t="n">
        <v>0</v>
      </c>
      <c r="V24" s="51" t="n">
        <v>41</v>
      </c>
      <c r="W24" s="52" t="n">
        <f aca="false">W23-V24</f>
        <v>1547</v>
      </c>
      <c r="X24" s="6" t="n">
        <f aca="false">N24+O24+S24+U24+V24</f>
        <v>45.1</v>
      </c>
      <c r="Y24" s="51" t="n">
        <f aca="false">IF(L24&lt;0,L24*-1,0)</f>
        <v>0</v>
      </c>
      <c r="Z24" s="51" t="n">
        <f aca="false">X24+Y24</f>
        <v>45.1</v>
      </c>
      <c r="AA24" s="53" t="n">
        <v>0</v>
      </c>
      <c r="AB24" s="79" t="n">
        <v>54</v>
      </c>
      <c r="AC24" s="56" t="n">
        <v>22</v>
      </c>
      <c r="AD24" s="57" t="n">
        <f aca="false">AD23+1</f>
        <v>15</v>
      </c>
      <c r="AE24" s="85"/>
      <c r="AF24" s="87"/>
      <c r="AG24" s="86"/>
    </row>
    <row r="25" customFormat="false" ht="11.1" hidden="false" customHeight="true" outlineLevel="0" collapsed="false">
      <c r="A25" s="57" t="n">
        <f aca="false">A24+1</f>
        <v>16</v>
      </c>
      <c r="B25" s="71" t="n">
        <v>6910.3</v>
      </c>
      <c r="C25" s="52" t="n">
        <v>323190</v>
      </c>
      <c r="D25" s="56" t="n">
        <f aca="false">C25-C24</f>
        <v>120</v>
      </c>
      <c r="E25" s="52" t="n">
        <f aca="false">C25-152000</f>
        <v>171190</v>
      </c>
      <c r="F25" s="51" t="n">
        <f aca="false">D25/$D$2</f>
        <v>60.4991177211999</v>
      </c>
      <c r="G25" s="51" t="n">
        <v>57</v>
      </c>
      <c r="H25" s="53" t="n">
        <v>1.8</v>
      </c>
      <c r="I25" s="51" t="n">
        <f aca="false">G25+H25</f>
        <v>58.8</v>
      </c>
      <c r="J25" s="78" t="n">
        <f aca="false">IF(L25&gt;0,L25,0)</f>
        <v>45.9991177211999</v>
      </c>
      <c r="K25" s="51" t="n">
        <f aca="false">I25+J25</f>
        <v>104.7991177212</v>
      </c>
      <c r="L25" s="51" t="n">
        <f aca="false">F25-(I25-X25)</f>
        <v>45.9991177211999</v>
      </c>
      <c r="M25" s="51" t="n">
        <v>4.3</v>
      </c>
      <c r="N25" s="51" t="n">
        <v>0</v>
      </c>
      <c r="O25" s="51" t="n">
        <v>0</v>
      </c>
      <c r="P25" s="6" t="n">
        <f aca="false">M25-(N25+O25)</f>
        <v>4.3</v>
      </c>
      <c r="Q25" s="51" t="n">
        <v>0</v>
      </c>
      <c r="R25" s="51" t="n">
        <v>0</v>
      </c>
      <c r="S25" s="51" t="n">
        <f aca="false">SUM(P25:R25)</f>
        <v>4.3</v>
      </c>
      <c r="T25" s="52"/>
      <c r="U25" s="51" t="n">
        <v>0</v>
      </c>
      <c r="V25" s="51" t="n">
        <v>40</v>
      </c>
      <c r="W25" s="52" t="n">
        <f aca="false">W24-V25</f>
        <v>1507</v>
      </c>
      <c r="X25" s="6" t="n">
        <f aca="false">N25+O25+S25+U25+V25</f>
        <v>44.3</v>
      </c>
      <c r="Y25" s="51" t="n">
        <f aca="false">IF(L25&lt;0,L25*-1,0)</f>
        <v>0</v>
      </c>
      <c r="Z25" s="51" t="n">
        <f aca="false">X25+Y25</f>
        <v>44.3</v>
      </c>
      <c r="AA25" s="53" t="n">
        <v>0.2</v>
      </c>
      <c r="AB25" s="79" t="n">
        <v>49</v>
      </c>
      <c r="AC25" s="56" t="n">
        <v>30</v>
      </c>
      <c r="AD25" s="57" t="n">
        <f aca="false">AD24+1</f>
        <v>16</v>
      </c>
      <c r="AE25" s="85"/>
      <c r="AF25" s="87"/>
      <c r="AG25" s="86"/>
    </row>
    <row r="26" customFormat="false" ht="11.1" hidden="false" customHeight="true" outlineLevel="0" collapsed="false">
      <c r="A26" s="57" t="n">
        <f aca="false">A25+1</f>
        <v>17</v>
      </c>
      <c r="B26" s="71" t="n">
        <v>6910.31</v>
      </c>
      <c r="C26" s="52" t="n">
        <v>323230</v>
      </c>
      <c r="D26" s="56" t="n">
        <f aca="false">C26-C25</f>
        <v>40</v>
      </c>
      <c r="E26" s="52" t="n">
        <f aca="false">C26-152000</f>
        <v>171230</v>
      </c>
      <c r="F26" s="51" t="n">
        <f aca="false">D26/$D$2</f>
        <v>20.1663725737333</v>
      </c>
      <c r="G26" s="51" t="n">
        <v>58</v>
      </c>
      <c r="H26" s="53" t="n">
        <v>1.8</v>
      </c>
      <c r="I26" s="51" t="n">
        <f aca="false">G26+H26</f>
        <v>59.8</v>
      </c>
      <c r="J26" s="78" t="n">
        <f aca="false">IF(L26&gt;0,L26,0)</f>
        <v>4.7663725737333</v>
      </c>
      <c r="K26" s="51" t="n">
        <f aca="false">I26+J26</f>
        <v>64.5663725737333</v>
      </c>
      <c r="L26" s="51" t="n">
        <f aca="false">F26-(I26-X26)</f>
        <v>4.7663725737333</v>
      </c>
      <c r="M26" s="51" t="n">
        <v>4.4</v>
      </c>
      <c r="N26" s="51" t="n">
        <v>0</v>
      </c>
      <c r="O26" s="51" t="n">
        <v>0</v>
      </c>
      <c r="P26" s="6" t="n">
        <f aca="false">M26-(N26+O26)</f>
        <v>4.4</v>
      </c>
      <c r="Q26" s="51" t="n">
        <v>0</v>
      </c>
      <c r="R26" s="51" t="n">
        <v>0</v>
      </c>
      <c r="S26" s="51" t="n">
        <f aca="false">SUM(P26:R26)</f>
        <v>4.4</v>
      </c>
      <c r="T26" s="52"/>
      <c r="U26" s="51" t="n">
        <v>0</v>
      </c>
      <c r="V26" s="51" t="n">
        <v>40</v>
      </c>
      <c r="W26" s="52" t="n">
        <f aca="false">W25-V26</f>
        <v>1467</v>
      </c>
      <c r="X26" s="6" t="n">
        <f aca="false">N26+O26+S26+U26+V26</f>
        <v>44.4</v>
      </c>
      <c r="Y26" s="51" t="n">
        <f aca="false">IF(L26&lt;0,L26*-1,0)</f>
        <v>0</v>
      </c>
      <c r="Z26" s="51" t="n">
        <f aca="false">X26+Y26</f>
        <v>44.4</v>
      </c>
      <c r="AA26" s="53" t="n">
        <v>0.25</v>
      </c>
      <c r="AB26" s="79" t="n">
        <v>50</v>
      </c>
      <c r="AC26" s="56" t="n">
        <v>26</v>
      </c>
      <c r="AD26" s="57" t="n">
        <f aca="false">AD25+1</f>
        <v>17</v>
      </c>
      <c r="AE26" s="85"/>
      <c r="AF26" s="87"/>
      <c r="AG26" s="86"/>
    </row>
    <row r="27" customFormat="false" ht="11.1" hidden="false" customHeight="true" outlineLevel="0" collapsed="false">
      <c r="A27" s="57" t="n">
        <f aca="false">A26+1</f>
        <v>18</v>
      </c>
      <c r="B27" s="71" t="n">
        <v>6910.32</v>
      </c>
      <c r="C27" s="52" t="n">
        <v>323271</v>
      </c>
      <c r="D27" s="56" t="n">
        <f aca="false">C27-C26</f>
        <v>41</v>
      </c>
      <c r="E27" s="52" t="n">
        <f aca="false">C27-152000</f>
        <v>171271</v>
      </c>
      <c r="F27" s="51" t="n">
        <f aca="false">D27/$D$2</f>
        <v>20.6705318880766</v>
      </c>
      <c r="G27" s="51" t="n">
        <v>59</v>
      </c>
      <c r="H27" s="53" t="n">
        <v>1.8</v>
      </c>
      <c r="I27" s="51" t="n">
        <f aca="false">G27+H27</f>
        <v>60.8</v>
      </c>
      <c r="J27" s="78" t="n">
        <f aca="false">IF(L27&gt;0,L27,0)</f>
        <v>4.27053188807663</v>
      </c>
      <c r="K27" s="51" t="n">
        <f aca="false">I27+J27</f>
        <v>65.0705318880766</v>
      </c>
      <c r="L27" s="51" t="n">
        <f aca="false">F27-(I27-X27)</f>
        <v>4.27053188807663</v>
      </c>
      <c r="M27" s="51" t="n">
        <v>4.4</v>
      </c>
      <c r="N27" s="51" t="n">
        <v>0</v>
      </c>
      <c r="O27" s="51" t="n">
        <v>0</v>
      </c>
      <c r="P27" s="6" t="n">
        <f aca="false">M27-(N27+O27)</f>
        <v>4.4</v>
      </c>
      <c r="Q27" s="51" t="n">
        <v>0</v>
      </c>
      <c r="R27" s="51" t="n">
        <v>0</v>
      </c>
      <c r="S27" s="51" t="n">
        <f aca="false">SUM(P27:R27)</f>
        <v>4.4</v>
      </c>
      <c r="T27" s="52"/>
      <c r="U27" s="51" t="n">
        <v>0</v>
      </c>
      <c r="V27" s="51" t="n">
        <v>40</v>
      </c>
      <c r="W27" s="52" t="n">
        <f aca="false">W26-V27</f>
        <v>1427</v>
      </c>
      <c r="X27" s="6" t="n">
        <f aca="false">N27+O27+S27+U27+V27</f>
        <v>44.4</v>
      </c>
      <c r="Y27" s="51" t="n">
        <f aca="false">IF(L27&lt;0,L27*-1,0)</f>
        <v>0</v>
      </c>
      <c r="Z27" s="51" t="n">
        <f aca="false">X27+Y27</f>
        <v>44.4</v>
      </c>
      <c r="AA27" s="90" t="n">
        <v>0</v>
      </c>
      <c r="AB27" s="79" t="n">
        <v>51</v>
      </c>
      <c r="AC27" s="56" t="n">
        <v>26</v>
      </c>
      <c r="AD27" s="57" t="n">
        <f aca="false">AD26+1</f>
        <v>18</v>
      </c>
      <c r="AE27" s="85"/>
      <c r="AF27" s="87"/>
      <c r="AG27" s="86"/>
    </row>
    <row r="28" customFormat="false" ht="11.1" hidden="false" customHeight="true" outlineLevel="0" collapsed="false">
      <c r="A28" s="57" t="n">
        <f aca="false">A27+1</f>
        <v>19</v>
      </c>
      <c r="B28" s="71" t="n">
        <v>6910.34</v>
      </c>
      <c r="C28" s="91" t="n">
        <v>323351</v>
      </c>
      <c r="D28" s="56" t="n">
        <f aca="false">C28-C27</f>
        <v>80</v>
      </c>
      <c r="E28" s="52" t="n">
        <f aca="false">C28-152000</f>
        <v>171351</v>
      </c>
      <c r="F28" s="51" t="n">
        <f aca="false">D28/$D$2</f>
        <v>40.3327451474666</v>
      </c>
      <c r="G28" s="51" t="n">
        <v>60</v>
      </c>
      <c r="H28" s="53" t="n">
        <v>3.6</v>
      </c>
      <c r="I28" s="51" t="n">
        <f aca="false">G28+H28</f>
        <v>63.6</v>
      </c>
      <c r="J28" s="78" t="n">
        <f aca="false">IF(L28&gt;0,L28,0)</f>
        <v>21.1327451474666</v>
      </c>
      <c r="K28" s="51" t="n">
        <f aca="false">I28+J28</f>
        <v>84.7327451474666</v>
      </c>
      <c r="L28" s="51" t="n">
        <f aca="false">F28-(I28-X28)</f>
        <v>21.1327451474666</v>
      </c>
      <c r="M28" s="51" t="n">
        <v>4.4</v>
      </c>
      <c r="N28" s="51" t="n">
        <v>0</v>
      </c>
      <c r="O28" s="51" t="n">
        <v>0</v>
      </c>
      <c r="P28" s="6" t="n">
        <f aca="false">M28-(N28+O28)</f>
        <v>4.4</v>
      </c>
      <c r="Q28" s="51" t="n">
        <v>0</v>
      </c>
      <c r="R28" s="51" t="n">
        <v>0</v>
      </c>
      <c r="S28" s="51" t="n">
        <f aca="false">SUM(P28:R28)</f>
        <v>4.4</v>
      </c>
      <c r="T28" s="52"/>
      <c r="U28" s="51" t="n">
        <v>0</v>
      </c>
      <c r="V28" s="51" t="n">
        <v>40</v>
      </c>
      <c r="W28" s="52" t="n">
        <f aca="false">W27-V28</f>
        <v>1387</v>
      </c>
      <c r="X28" s="6" t="n">
        <f aca="false">N28+O28+S28+U28+V28</f>
        <v>44.4</v>
      </c>
      <c r="Y28" s="51" t="n">
        <f aca="false">IF(L28&lt;0,L28*-1,0)</f>
        <v>0</v>
      </c>
      <c r="Z28" s="51" t="n">
        <f aca="false">X28+Y28</f>
        <v>44.4</v>
      </c>
      <c r="AA28" s="53" t="n">
        <v>0</v>
      </c>
      <c r="AB28" s="79" t="n">
        <v>52</v>
      </c>
      <c r="AC28" s="56" t="n">
        <v>28</v>
      </c>
      <c r="AD28" s="57" t="n">
        <f aca="false">AD27+1</f>
        <v>19</v>
      </c>
      <c r="AE28" s="85"/>
      <c r="AF28" s="87"/>
      <c r="AG28" s="86"/>
    </row>
    <row r="29" customFormat="false" ht="11.1" hidden="false" customHeight="true" outlineLevel="0" collapsed="false">
      <c r="A29" s="57" t="n">
        <f aca="false">A28+1</f>
        <v>20</v>
      </c>
      <c r="B29" s="71" t="n">
        <v>6910.36</v>
      </c>
      <c r="C29" s="52" t="n">
        <v>323431</v>
      </c>
      <c r="D29" s="56" t="n">
        <f aca="false">C29-C28</f>
        <v>80</v>
      </c>
      <c r="E29" s="52" t="n">
        <f aca="false">C29-152000</f>
        <v>171431</v>
      </c>
      <c r="F29" s="51" t="n">
        <f aca="false">D29/$D$2</f>
        <v>40.3327451474666</v>
      </c>
      <c r="G29" s="51" t="n">
        <v>62</v>
      </c>
      <c r="H29" s="53" t="n">
        <v>3.3</v>
      </c>
      <c r="I29" s="51" t="n">
        <f aca="false">G29+H29</f>
        <v>65.3</v>
      </c>
      <c r="J29" s="78" t="n">
        <f aca="false">IF(L29&gt;0,L29,0)</f>
        <v>19.4327451474666</v>
      </c>
      <c r="K29" s="51" t="n">
        <f aca="false">I29+J29</f>
        <v>84.7327451474666</v>
      </c>
      <c r="L29" s="51" t="n">
        <f aca="false">F29-(I29-X29)</f>
        <v>19.4327451474666</v>
      </c>
      <c r="M29" s="51" t="n">
        <v>4.4</v>
      </c>
      <c r="N29" s="51" t="n">
        <v>0</v>
      </c>
      <c r="O29" s="51" t="n">
        <v>0</v>
      </c>
      <c r="P29" s="6" t="n">
        <f aca="false">M29-(N29+O29)</f>
        <v>4.4</v>
      </c>
      <c r="Q29" s="51" t="n">
        <v>0</v>
      </c>
      <c r="R29" s="51" t="n">
        <v>0</v>
      </c>
      <c r="S29" s="51" t="n">
        <f aca="false">SUM(P29:R29)</f>
        <v>4.4</v>
      </c>
      <c r="T29" s="52"/>
      <c r="U29" s="51" t="n">
        <v>0</v>
      </c>
      <c r="V29" s="51" t="n">
        <v>40</v>
      </c>
      <c r="W29" s="52" t="n">
        <f aca="false">W28-V29</f>
        <v>1347</v>
      </c>
      <c r="X29" s="6" t="n">
        <f aca="false">N29+O29+S29+U29+V29</f>
        <v>44.4</v>
      </c>
      <c r="Y29" s="51" t="n">
        <f aca="false">IF(L29&lt;0,L29*-1,0)</f>
        <v>0</v>
      </c>
      <c r="Z29" s="51" t="n">
        <f aca="false">X29+Y29</f>
        <v>44.4</v>
      </c>
      <c r="AA29" s="53" t="n">
        <v>0</v>
      </c>
      <c r="AB29" s="79" t="n">
        <v>53</v>
      </c>
      <c r="AC29" s="56" t="n">
        <v>27</v>
      </c>
      <c r="AD29" s="57" t="n">
        <f aca="false">AD28+1</f>
        <v>20</v>
      </c>
      <c r="AE29" s="85"/>
      <c r="AF29" s="87"/>
      <c r="AG29" s="86"/>
    </row>
    <row r="30" customFormat="false" ht="11.1" hidden="false" customHeight="true" outlineLevel="0" collapsed="false">
      <c r="A30" s="57" t="n">
        <f aca="false">A29+1</f>
        <v>21</v>
      </c>
      <c r="B30" s="71" t="n">
        <v>6910.37</v>
      </c>
      <c r="C30" s="52" t="n">
        <v>323471</v>
      </c>
      <c r="D30" s="56" t="n">
        <f aca="false">C30-C29</f>
        <v>40</v>
      </c>
      <c r="E30" s="52" t="n">
        <f aca="false">C30-152000</f>
        <v>171471</v>
      </c>
      <c r="F30" s="51" t="n">
        <f aca="false">D30/$D$2</f>
        <v>20.1663725737333</v>
      </c>
      <c r="G30" s="51" t="n">
        <v>65</v>
      </c>
      <c r="H30" s="53" t="n">
        <v>1.8</v>
      </c>
      <c r="I30" s="51" t="n">
        <f aca="false">G30+H30</f>
        <v>66.8</v>
      </c>
      <c r="J30" s="78" t="n">
        <f aca="false">IF(L30&gt;0,L30,0)</f>
        <v>0</v>
      </c>
      <c r="K30" s="51" t="n">
        <f aca="false">I30+J30</f>
        <v>66.8</v>
      </c>
      <c r="L30" s="51" t="n">
        <f aca="false">F30-(I30-X30)</f>
        <v>-2.2336274262667</v>
      </c>
      <c r="M30" s="51" t="n">
        <v>4.4</v>
      </c>
      <c r="N30" s="51" t="n">
        <v>0</v>
      </c>
      <c r="O30" s="51" t="n">
        <v>0</v>
      </c>
      <c r="P30" s="6" t="n">
        <f aca="false">M30-(N30+O30)</f>
        <v>4.4</v>
      </c>
      <c r="Q30" s="51" t="n">
        <v>0</v>
      </c>
      <c r="R30" s="51" t="n">
        <v>0</v>
      </c>
      <c r="S30" s="51" t="n">
        <f aca="false">SUM(P30:R30)</f>
        <v>4.4</v>
      </c>
      <c r="T30" s="52"/>
      <c r="U30" s="51" t="n">
        <v>0</v>
      </c>
      <c r="V30" s="51" t="n">
        <v>40</v>
      </c>
      <c r="W30" s="52" t="n">
        <f aca="false">W29-V30</f>
        <v>1307</v>
      </c>
      <c r="X30" s="6" t="n">
        <f aca="false">N30+O30+S30+U30+V30</f>
        <v>44.4</v>
      </c>
      <c r="Y30" s="51" t="n">
        <f aca="false">IF(L30&lt;0,L30*-1,0)</f>
        <v>2.2336274262667</v>
      </c>
      <c r="Z30" s="51" t="n">
        <f aca="false">X30+Y30</f>
        <v>46.6336274262667</v>
      </c>
      <c r="AA30" s="53" t="n">
        <v>0.01</v>
      </c>
      <c r="AB30" s="56" t="n">
        <v>51</v>
      </c>
      <c r="AC30" s="56" t="n">
        <v>30</v>
      </c>
      <c r="AD30" s="57" t="n">
        <f aca="false">AD29+1</f>
        <v>21</v>
      </c>
      <c r="AE30" s="85"/>
      <c r="AF30" s="87"/>
      <c r="AG30" s="86"/>
    </row>
    <row r="31" customFormat="false" ht="11.1" hidden="false" customHeight="true" outlineLevel="0" collapsed="false">
      <c r="A31" s="57" t="n">
        <f aca="false">A30+1</f>
        <v>22</v>
      </c>
      <c r="B31" s="71" t="n">
        <v>6910.38</v>
      </c>
      <c r="C31" s="52" t="n">
        <v>323511</v>
      </c>
      <c r="D31" s="56" t="n">
        <f aca="false">C31-C30</f>
        <v>40</v>
      </c>
      <c r="E31" s="52" t="n">
        <f aca="false">C31-152000</f>
        <v>171511</v>
      </c>
      <c r="F31" s="51" t="n">
        <f aca="false">D31/$D$2</f>
        <v>20.1663725737333</v>
      </c>
      <c r="G31" s="51" t="n">
        <v>65</v>
      </c>
      <c r="H31" s="53" t="n">
        <v>1.6</v>
      </c>
      <c r="I31" s="51" t="n">
        <f aca="false">G31+H31</f>
        <v>66.6</v>
      </c>
      <c r="J31" s="78" t="n">
        <f aca="false">IF(L31&gt;0,L31,0)</f>
        <v>0</v>
      </c>
      <c r="K31" s="51" t="n">
        <f aca="false">I31+J31</f>
        <v>66.6</v>
      </c>
      <c r="L31" s="51" t="n">
        <f aca="false">F31-(I31-X31)</f>
        <v>-2.0336274262667</v>
      </c>
      <c r="M31" s="51" t="n">
        <v>4.4</v>
      </c>
      <c r="N31" s="51" t="n">
        <v>0</v>
      </c>
      <c r="O31" s="51" t="n">
        <v>0</v>
      </c>
      <c r="P31" s="6" t="n">
        <f aca="false">M31-(N31+O31)</f>
        <v>4.4</v>
      </c>
      <c r="Q31" s="51" t="n">
        <v>0</v>
      </c>
      <c r="R31" s="51" t="n">
        <v>0</v>
      </c>
      <c r="S31" s="51" t="n">
        <f aca="false">SUM(P31:R31)</f>
        <v>4.4</v>
      </c>
      <c r="T31" s="52"/>
      <c r="U31" s="51" t="n">
        <v>0</v>
      </c>
      <c r="V31" s="51" t="n">
        <v>40</v>
      </c>
      <c r="W31" s="52" t="n">
        <f aca="false">W30-V31</f>
        <v>1267</v>
      </c>
      <c r="X31" s="6" t="n">
        <f aca="false">N31+O31+S31+U31+V31</f>
        <v>44.4</v>
      </c>
      <c r="Y31" s="51" t="n">
        <f aca="false">IF(L31&lt;0,L31*-1,0)</f>
        <v>2.0336274262667</v>
      </c>
      <c r="Z31" s="51" t="n">
        <f aca="false">X31+Y31</f>
        <v>46.4336274262667</v>
      </c>
      <c r="AA31" s="53" t="n">
        <v>0</v>
      </c>
      <c r="AB31" s="56" t="n">
        <v>42</v>
      </c>
      <c r="AC31" s="56" t="n">
        <v>28</v>
      </c>
      <c r="AD31" s="57" t="n">
        <f aca="false">AD30+1</f>
        <v>22</v>
      </c>
      <c r="AE31" s="85"/>
      <c r="AF31" s="87"/>
      <c r="AG31" s="86"/>
    </row>
    <row r="32" customFormat="false" ht="11.1" hidden="false" customHeight="true" outlineLevel="0" collapsed="false">
      <c r="A32" s="57" t="n">
        <f aca="false">A31+1</f>
        <v>23</v>
      </c>
      <c r="B32" s="71" t="n">
        <v>6910.38</v>
      </c>
      <c r="C32" s="52" t="n">
        <v>323511</v>
      </c>
      <c r="D32" s="56" t="n">
        <f aca="false">C32-C31</f>
        <v>0</v>
      </c>
      <c r="E32" s="52" t="n">
        <f aca="false">C32-152000</f>
        <v>171511</v>
      </c>
      <c r="F32" s="51" t="n">
        <f aca="false">D32/$D$2</f>
        <v>0</v>
      </c>
      <c r="G32" s="51" t="n">
        <v>64</v>
      </c>
      <c r="H32" s="53" t="n">
        <v>1.8</v>
      </c>
      <c r="I32" s="51" t="n">
        <f aca="false">G32+H32</f>
        <v>65.8</v>
      </c>
      <c r="J32" s="78" t="n">
        <f aca="false">IF(L32&gt;0,L32,0)</f>
        <v>0</v>
      </c>
      <c r="K32" s="51" t="n">
        <f aca="false">I32+J32</f>
        <v>65.8</v>
      </c>
      <c r="L32" s="51" t="n">
        <f aca="false">F32-(I32-X32)</f>
        <v>-21.4</v>
      </c>
      <c r="M32" s="51" t="n">
        <v>4.4</v>
      </c>
      <c r="N32" s="51" t="n">
        <v>0</v>
      </c>
      <c r="O32" s="51" t="n">
        <v>0</v>
      </c>
      <c r="P32" s="6" t="n">
        <f aca="false">M32-(N32+O32)</f>
        <v>4.4</v>
      </c>
      <c r="Q32" s="51" t="n">
        <v>0</v>
      </c>
      <c r="R32" s="51" t="n">
        <v>0</v>
      </c>
      <c r="S32" s="51" t="n">
        <f aca="false">SUM(P32:R32)</f>
        <v>4.4</v>
      </c>
      <c r="T32" s="52"/>
      <c r="U32" s="51" t="n">
        <v>0</v>
      </c>
      <c r="V32" s="51" t="n">
        <v>40</v>
      </c>
      <c r="W32" s="52" t="n">
        <f aca="false">W31-V32</f>
        <v>1227</v>
      </c>
      <c r="X32" s="6" t="n">
        <f aca="false">N32+O32+S32+U32+V32</f>
        <v>44.4</v>
      </c>
      <c r="Y32" s="51" t="n">
        <f aca="false">IF(L32&lt;0,L32*-1,0)</f>
        <v>21.4</v>
      </c>
      <c r="Z32" s="51" t="n">
        <f aca="false">X32+Y32</f>
        <v>65.8</v>
      </c>
      <c r="AA32" s="53" t="n">
        <v>0</v>
      </c>
      <c r="AB32" s="56" t="n">
        <v>48</v>
      </c>
      <c r="AC32" s="79" t="n">
        <v>18</v>
      </c>
      <c r="AD32" s="57" t="n">
        <f aca="false">AD31+1</f>
        <v>23</v>
      </c>
      <c r="AE32" s="85"/>
      <c r="AF32" s="87"/>
      <c r="AG32" s="86"/>
    </row>
    <row r="33" customFormat="false" ht="11.1" hidden="false" customHeight="true" outlineLevel="0" collapsed="false">
      <c r="A33" s="57" t="n">
        <f aca="false">A32+1</f>
        <v>24</v>
      </c>
      <c r="B33" s="71" t="n">
        <v>6910.39</v>
      </c>
      <c r="C33" s="52" t="n">
        <v>323551</v>
      </c>
      <c r="D33" s="56" t="n">
        <f aca="false">C33-C32</f>
        <v>40</v>
      </c>
      <c r="E33" s="52" t="n">
        <f aca="false">C33-152000</f>
        <v>171551</v>
      </c>
      <c r="F33" s="51" t="n">
        <f aca="false">D33/$D$2</f>
        <v>20.1663725737333</v>
      </c>
      <c r="G33" s="51" t="n">
        <v>62</v>
      </c>
      <c r="H33" s="53" t="n">
        <v>1.9</v>
      </c>
      <c r="I33" s="51" t="n">
        <f aca="false">G33+H33</f>
        <v>63.9</v>
      </c>
      <c r="J33" s="78" t="n">
        <f aca="false">IF(L33&gt;0,L33,0)</f>
        <v>1.6663725737333</v>
      </c>
      <c r="K33" s="51" t="n">
        <f aca="false">I33+J33</f>
        <v>65.5663725737333</v>
      </c>
      <c r="L33" s="51" t="n">
        <f aca="false">F33-(I33-X33)</f>
        <v>1.6663725737333</v>
      </c>
      <c r="M33" s="51" t="n">
        <v>4.4</v>
      </c>
      <c r="N33" s="51" t="n">
        <v>0</v>
      </c>
      <c r="O33" s="51" t="n">
        <v>0</v>
      </c>
      <c r="P33" s="6" t="n">
        <f aca="false">M33-(N33+O33)</f>
        <v>4.4</v>
      </c>
      <c r="Q33" s="51" t="n">
        <v>0</v>
      </c>
      <c r="R33" s="51" t="n">
        <v>0</v>
      </c>
      <c r="S33" s="51" t="n">
        <f aca="false">SUM(P33:R33)</f>
        <v>4.4</v>
      </c>
      <c r="T33" s="52"/>
      <c r="U33" s="51" t="n">
        <v>0</v>
      </c>
      <c r="V33" s="51" t="n">
        <v>41</v>
      </c>
      <c r="W33" s="52" t="n">
        <f aca="false">W32-V33</f>
        <v>1186</v>
      </c>
      <c r="X33" s="6" t="n">
        <f aca="false">N33+O33+S33+U33+V33</f>
        <v>45.4</v>
      </c>
      <c r="Y33" s="51" t="n">
        <f aca="false">IF(L33&lt;0,L33*-1,0)</f>
        <v>0</v>
      </c>
      <c r="Z33" s="51" t="n">
        <f aca="false">X33+Y33</f>
        <v>45.4</v>
      </c>
      <c r="AA33" s="53" t="n">
        <v>0</v>
      </c>
      <c r="AB33" s="56" t="n">
        <v>44</v>
      </c>
      <c r="AC33" s="79" t="n">
        <v>24</v>
      </c>
      <c r="AD33" s="57" t="n">
        <f aca="false">AD32+1</f>
        <v>24</v>
      </c>
      <c r="AE33" s="85"/>
      <c r="AF33" s="87"/>
      <c r="AG33" s="86"/>
    </row>
    <row r="34" customFormat="false" ht="11.1" hidden="false" customHeight="true" outlineLevel="0" collapsed="false">
      <c r="A34" s="57" t="n">
        <f aca="false">A33+1</f>
        <v>25</v>
      </c>
      <c r="B34" s="71" t="n">
        <v>6910.4</v>
      </c>
      <c r="C34" s="52" t="n">
        <v>323592</v>
      </c>
      <c r="D34" s="56" t="n">
        <f aca="false">C34-C33</f>
        <v>41</v>
      </c>
      <c r="E34" s="52" t="n">
        <f aca="false">C34-152000</f>
        <v>171592</v>
      </c>
      <c r="F34" s="51" t="n">
        <f aca="false">D34/$D$2</f>
        <v>20.6705318880766</v>
      </c>
      <c r="G34" s="51" t="n">
        <v>62</v>
      </c>
      <c r="H34" s="53" t="n">
        <v>2.2</v>
      </c>
      <c r="I34" s="51" t="n">
        <f aca="false">G34+H34</f>
        <v>64.2</v>
      </c>
      <c r="J34" s="78" t="n">
        <f aca="false">IF(L34&gt;0,L34,0)</f>
        <v>0.870531888076627</v>
      </c>
      <c r="K34" s="51" t="n">
        <f aca="false">I34+J34</f>
        <v>65.0705318880766</v>
      </c>
      <c r="L34" s="51" t="n">
        <f aca="false">F34-(I34-X34)</f>
        <v>0.870531888076627</v>
      </c>
      <c r="M34" s="51" t="n">
        <v>4.4</v>
      </c>
      <c r="N34" s="51" t="n">
        <v>0</v>
      </c>
      <c r="O34" s="51" t="n">
        <v>0</v>
      </c>
      <c r="P34" s="6" t="n">
        <f aca="false">M34-(N34+O34)</f>
        <v>4.4</v>
      </c>
      <c r="Q34" s="51" t="n">
        <v>0</v>
      </c>
      <c r="R34" s="51" t="n">
        <v>0</v>
      </c>
      <c r="S34" s="51" t="n">
        <f aca="false">SUM(P34:R34)</f>
        <v>4.4</v>
      </c>
      <c r="T34" s="52"/>
      <c r="U34" s="51" t="n">
        <v>0</v>
      </c>
      <c r="V34" s="51" t="n">
        <v>40</v>
      </c>
      <c r="W34" s="52" t="n">
        <f aca="false">W33-V34</f>
        <v>1146</v>
      </c>
      <c r="X34" s="6" t="n">
        <f aca="false">N34+O34+S34+U34+V34</f>
        <v>44.4</v>
      </c>
      <c r="Y34" s="51" t="n">
        <f aca="false">IF(L34&lt;0,L34*-1,0)</f>
        <v>0</v>
      </c>
      <c r="Z34" s="51" t="n">
        <f aca="false">X34+Y34</f>
        <v>44.4</v>
      </c>
      <c r="AA34" s="53" t="n">
        <v>0</v>
      </c>
      <c r="AB34" s="56" t="n">
        <v>40</v>
      </c>
      <c r="AC34" s="79" t="n">
        <v>22</v>
      </c>
      <c r="AD34" s="57" t="n">
        <f aca="false">AD33+1</f>
        <v>25</v>
      </c>
      <c r="AE34" s="85"/>
      <c r="AF34" s="87"/>
      <c r="AG34" s="86"/>
    </row>
    <row r="35" customFormat="false" ht="11.1" hidden="false" customHeight="true" outlineLevel="0" collapsed="false">
      <c r="A35" s="57" t="n">
        <f aca="false">A34+1</f>
        <v>26</v>
      </c>
      <c r="B35" s="71" t="n">
        <v>6910.41</v>
      </c>
      <c r="C35" s="52" t="n">
        <v>323632</v>
      </c>
      <c r="D35" s="56" t="n">
        <f aca="false">C35-C34</f>
        <v>40</v>
      </c>
      <c r="E35" s="52" t="n">
        <f aca="false">C35-152000</f>
        <v>171632</v>
      </c>
      <c r="F35" s="51" t="n">
        <f aca="false">D35/$D$2</f>
        <v>20.1663725737333</v>
      </c>
      <c r="G35" s="51" t="n">
        <v>63</v>
      </c>
      <c r="H35" s="53" t="n">
        <v>1.8</v>
      </c>
      <c r="I35" s="51" t="n">
        <f aca="false">G35+H35</f>
        <v>64.8</v>
      </c>
      <c r="J35" s="78" t="n">
        <f aca="false">IF(L35&gt;0,L35,0)</f>
        <v>0</v>
      </c>
      <c r="K35" s="51" t="n">
        <f aca="false">I35+J35</f>
        <v>64.8</v>
      </c>
      <c r="L35" s="51" t="n">
        <f aca="false">F35-(I35-X35)</f>
        <v>-0.2336274262667</v>
      </c>
      <c r="M35" s="51" t="n">
        <v>4.4</v>
      </c>
      <c r="N35" s="51" t="n">
        <v>0</v>
      </c>
      <c r="O35" s="51" t="n">
        <v>0</v>
      </c>
      <c r="P35" s="6" t="n">
        <f aca="false">M35-(N35+O35)</f>
        <v>4.4</v>
      </c>
      <c r="Q35" s="51" t="n">
        <v>0</v>
      </c>
      <c r="R35" s="51" t="n">
        <v>0</v>
      </c>
      <c r="S35" s="51" t="n">
        <f aca="false">SUM(P35:R35)</f>
        <v>4.4</v>
      </c>
      <c r="T35" s="52"/>
      <c r="U35" s="51" t="n">
        <v>0</v>
      </c>
      <c r="V35" s="51" t="n">
        <v>40</v>
      </c>
      <c r="W35" s="52" t="n">
        <f aca="false">W34-V35</f>
        <v>1106</v>
      </c>
      <c r="X35" s="6" t="n">
        <f aca="false">N35+O35+S35+U35+V35</f>
        <v>44.4</v>
      </c>
      <c r="Y35" s="51" t="n">
        <f aca="false">IF(L35&lt;0,L35*-1,0)</f>
        <v>0.2336274262667</v>
      </c>
      <c r="Z35" s="51" t="n">
        <f aca="false">X35+Y35</f>
        <v>44.6336274262667</v>
      </c>
      <c r="AA35" s="53" t="n">
        <v>0</v>
      </c>
      <c r="AB35" s="56" t="n">
        <v>48</v>
      </c>
      <c r="AC35" s="56" t="n">
        <v>10</v>
      </c>
      <c r="AD35" s="57" t="n">
        <f aca="false">AD34+1</f>
        <v>26</v>
      </c>
      <c r="AE35" s="85"/>
      <c r="AF35" s="87"/>
      <c r="AG35" s="86"/>
    </row>
    <row r="36" customFormat="false" ht="11.1" hidden="false" customHeight="true" outlineLevel="0" collapsed="false">
      <c r="A36" s="57" t="n">
        <f aca="false">A35+1</f>
        <v>27</v>
      </c>
      <c r="B36" s="71" t="n">
        <v>6910.42</v>
      </c>
      <c r="C36" s="52" t="n">
        <v>323672</v>
      </c>
      <c r="D36" s="56" t="n">
        <f aca="false">C36-C35</f>
        <v>40</v>
      </c>
      <c r="E36" s="52" t="n">
        <f aca="false">C36-152000</f>
        <v>171672</v>
      </c>
      <c r="F36" s="51" t="n">
        <f aca="false">D36/$D$2</f>
        <v>20.1663725737333</v>
      </c>
      <c r="G36" s="51" t="n">
        <v>65</v>
      </c>
      <c r="H36" s="53" t="n">
        <v>1.8</v>
      </c>
      <c r="I36" s="51" t="n">
        <f aca="false">G36+H36</f>
        <v>66.8</v>
      </c>
      <c r="J36" s="78" t="n">
        <f aca="false">IF(L36&gt;0,L36,0)</f>
        <v>0</v>
      </c>
      <c r="K36" s="51" t="n">
        <f aca="false">I36+J36</f>
        <v>66.8</v>
      </c>
      <c r="L36" s="51" t="n">
        <f aca="false">F36-(I36-X36)</f>
        <v>-2.2336274262667</v>
      </c>
      <c r="M36" s="51" t="n">
        <v>4.4</v>
      </c>
      <c r="N36" s="51" t="n">
        <v>0</v>
      </c>
      <c r="O36" s="51" t="n">
        <v>0</v>
      </c>
      <c r="P36" s="6" t="n">
        <f aca="false">M36-(N36+O36)</f>
        <v>4.4</v>
      </c>
      <c r="Q36" s="51" t="n">
        <v>0</v>
      </c>
      <c r="R36" s="51" t="n">
        <v>0</v>
      </c>
      <c r="S36" s="51" t="n">
        <f aca="false">SUM(P36:R36)</f>
        <v>4.4</v>
      </c>
      <c r="T36" s="52"/>
      <c r="U36" s="51" t="n">
        <v>0</v>
      </c>
      <c r="V36" s="51" t="n">
        <v>40</v>
      </c>
      <c r="W36" s="52" t="n">
        <f aca="false">W35-V36</f>
        <v>1066</v>
      </c>
      <c r="X36" s="6" t="n">
        <f aca="false">N36+O36+S36+U36+V36</f>
        <v>44.4</v>
      </c>
      <c r="Y36" s="51" t="n">
        <f aca="false">IF(L36&lt;0,L36*-1,0)</f>
        <v>2.2336274262667</v>
      </c>
      <c r="Z36" s="51" t="n">
        <f aca="false">X36+Y36</f>
        <v>46.6336274262667</v>
      </c>
      <c r="AA36" s="53" t="n">
        <v>0</v>
      </c>
      <c r="AB36" s="56" t="n">
        <v>58</v>
      </c>
      <c r="AC36" s="56" t="n">
        <v>21</v>
      </c>
      <c r="AD36" s="57" t="n">
        <f aca="false">AD35+1</f>
        <v>27</v>
      </c>
      <c r="AE36" s="85"/>
      <c r="AF36" s="87"/>
      <c r="AG36" s="86"/>
    </row>
    <row r="37" customFormat="false" ht="11.1" hidden="false" customHeight="true" outlineLevel="0" collapsed="false">
      <c r="A37" s="57" t="n">
        <v>28</v>
      </c>
      <c r="B37" s="71" t="n">
        <v>6910.43</v>
      </c>
      <c r="C37" s="52" t="n">
        <v>323712</v>
      </c>
      <c r="D37" s="56" t="n">
        <f aca="false">C37-C36</f>
        <v>40</v>
      </c>
      <c r="E37" s="52" t="n">
        <f aca="false">C37-152000</f>
        <v>171712</v>
      </c>
      <c r="F37" s="51" t="n">
        <f aca="false">D37/$D$2</f>
        <v>20.1663725737333</v>
      </c>
      <c r="G37" s="51" t="n">
        <v>65</v>
      </c>
      <c r="H37" s="53" t="n">
        <v>1.9</v>
      </c>
      <c r="I37" s="51" t="n">
        <f aca="false">G37+H37</f>
        <v>66.9</v>
      </c>
      <c r="J37" s="78" t="n">
        <f aca="false">IF(L37&gt;0,L37,0)</f>
        <v>1.86637257373329</v>
      </c>
      <c r="K37" s="51" t="n">
        <f aca="false">I37-J37</f>
        <v>65.0336274262667</v>
      </c>
      <c r="L37" s="51" t="n">
        <f aca="false">F37-(I37-X37)</f>
        <v>1.86637257373329</v>
      </c>
      <c r="M37" s="51" t="n">
        <v>4.6</v>
      </c>
      <c r="N37" s="51" t="n">
        <v>0</v>
      </c>
      <c r="O37" s="51" t="n">
        <v>0</v>
      </c>
      <c r="P37" s="6" t="n">
        <f aca="false">M37-(N37+O37)</f>
        <v>4.6</v>
      </c>
      <c r="Q37" s="51" t="n">
        <v>0</v>
      </c>
      <c r="R37" s="51" t="n">
        <v>0</v>
      </c>
      <c r="S37" s="51" t="n">
        <f aca="false">SUM(P37:R37)</f>
        <v>4.6</v>
      </c>
      <c r="T37" s="52"/>
      <c r="U37" s="51" t="n">
        <v>0</v>
      </c>
      <c r="V37" s="51" t="n">
        <v>44</v>
      </c>
      <c r="W37" s="52" t="n">
        <f aca="false">W36-40-2</f>
        <v>1024</v>
      </c>
      <c r="X37" s="6" t="n">
        <f aca="false">N37+O37+S37+U37+V37</f>
        <v>48.6</v>
      </c>
      <c r="Y37" s="51" t="n">
        <f aca="false">IF(L37&lt;0,L37*-1,0)</f>
        <v>0</v>
      </c>
      <c r="Z37" s="51" t="n">
        <f aca="false">X37+Y37</f>
        <v>48.6</v>
      </c>
      <c r="AA37" s="53" t="n">
        <v>0.04</v>
      </c>
      <c r="AB37" s="56" t="n">
        <v>47</v>
      </c>
      <c r="AC37" s="56" t="n">
        <v>32</v>
      </c>
      <c r="AD37" s="57" t="n">
        <v>28</v>
      </c>
      <c r="AE37" s="85"/>
      <c r="AF37" s="87"/>
      <c r="AG37" s="86"/>
    </row>
    <row r="38" customFormat="false" ht="11.1" hidden="false" customHeight="true" outlineLevel="0" collapsed="false">
      <c r="A38" s="57" t="n">
        <v>29</v>
      </c>
      <c r="B38" s="71" t="n">
        <v>6910.43</v>
      </c>
      <c r="C38" s="52" t="n">
        <v>323712</v>
      </c>
      <c r="D38" s="56" t="n">
        <f aca="false">C38-C37</f>
        <v>0</v>
      </c>
      <c r="E38" s="52" t="n">
        <f aca="false">C38-152000</f>
        <v>171712</v>
      </c>
      <c r="F38" s="51" t="n">
        <f aca="false">D38/$D$2</f>
        <v>0</v>
      </c>
      <c r="G38" s="51" t="n">
        <v>65</v>
      </c>
      <c r="H38" s="53" t="n">
        <v>2</v>
      </c>
      <c r="I38" s="51" t="n">
        <f aca="false">G38+H38</f>
        <v>67</v>
      </c>
      <c r="J38" s="78" t="n">
        <f aca="false">IF(L38&gt;0,L38,0)</f>
        <v>0</v>
      </c>
      <c r="K38" s="51" t="n">
        <f aca="false">I38+J38</f>
        <v>67</v>
      </c>
      <c r="L38" s="51" t="n">
        <f aca="false">F38-(I38-X38)</f>
        <v>-13.2</v>
      </c>
      <c r="M38" s="51" t="n">
        <v>4.8</v>
      </c>
      <c r="N38" s="51" t="n">
        <v>0</v>
      </c>
      <c r="O38" s="51" t="n">
        <v>0</v>
      </c>
      <c r="P38" s="6" t="n">
        <f aca="false">M38-(N38+O38)</f>
        <v>4.8</v>
      </c>
      <c r="Q38" s="51" t="n">
        <v>0</v>
      </c>
      <c r="R38" s="51" t="n">
        <v>0</v>
      </c>
      <c r="S38" s="51" t="n">
        <f aca="false">SUM(P38:R38)</f>
        <v>4.8</v>
      </c>
      <c r="T38" s="52"/>
      <c r="U38" s="51" t="n">
        <v>0</v>
      </c>
      <c r="V38" s="51" t="n">
        <v>49</v>
      </c>
      <c r="W38" s="52" t="n">
        <f aca="false">W37-40-2</f>
        <v>982</v>
      </c>
      <c r="X38" s="6" t="n">
        <f aca="false">N38+O38+S38+U38+V38</f>
        <v>53.8</v>
      </c>
      <c r="Y38" s="51" t="n">
        <f aca="false">IF(L38&lt;0,L38*-1,0)</f>
        <v>13.2</v>
      </c>
      <c r="Z38" s="51" t="n">
        <f aca="false">X38+Y38</f>
        <v>67</v>
      </c>
      <c r="AA38" s="53" t="n">
        <v>0</v>
      </c>
      <c r="AB38" s="56" t="n">
        <v>50</v>
      </c>
      <c r="AC38" s="56" t="n">
        <v>22</v>
      </c>
      <c r="AD38" s="57" t="n">
        <v>29</v>
      </c>
      <c r="AE38" s="85"/>
      <c r="AF38" s="87"/>
      <c r="AG38" s="86"/>
    </row>
    <row r="39" customFormat="false" ht="3" hidden="false" customHeight="true" outlineLevel="0" collapsed="false">
      <c r="A39" s="72"/>
      <c r="B39" s="72"/>
      <c r="C39" s="74"/>
      <c r="D39" s="72"/>
      <c r="E39" s="74"/>
      <c r="F39" s="72"/>
      <c r="G39" s="72"/>
      <c r="H39" s="75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4"/>
      <c r="U39" s="72"/>
      <c r="V39" s="72"/>
      <c r="W39" s="72"/>
      <c r="X39" s="72"/>
      <c r="Y39" s="72"/>
      <c r="Z39" s="72"/>
      <c r="AA39" s="75"/>
      <c r="AB39" s="76"/>
      <c r="AC39" s="76"/>
      <c r="AD39" s="77"/>
      <c r="AE39" s="85"/>
      <c r="AF39" s="85"/>
      <c r="AG39" s="86"/>
    </row>
    <row r="40" customFormat="false" ht="11.1" hidden="false" customHeight="true" outlineLevel="0" collapsed="false">
      <c r="A40" s="51" t="s">
        <v>46</v>
      </c>
      <c r="B40" s="51"/>
      <c r="C40" s="52"/>
      <c r="D40" s="52"/>
      <c r="E40" s="52"/>
      <c r="F40" s="52" t="n">
        <f aca="false">SUM(F10:F38)</f>
        <v>728.510209226115</v>
      </c>
      <c r="G40" s="52" t="n">
        <f aca="false">SUM(G10:G38)</f>
        <v>1669</v>
      </c>
      <c r="H40" s="53" t="n">
        <f aca="false">SUM(H10:H38)</f>
        <v>48.7</v>
      </c>
      <c r="I40" s="52" t="n">
        <f aca="false">SUM(I10:I38)</f>
        <v>1717.7</v>
      </c>
      <c r="J40" s="52" t="n">
        <f aca="false">SUM(J10:J38)</f>
        <v>407.544718931182</v>
      </c>
      <c r="K40" s="52" t="n">
        <f aca="false">SUM(K10:K38)</f>
        <v>2121.51197378372</v>
      </c>
      <c r="L40" s="52" t="n">
        <f aca="false">SUM(L10:L38)</f>
        <v>338.110209226115</v>
      </c>
      <c r="M40" s="52" t="n">
        <f aca="false">SUM(M10:M38)</f>
        <v>122.3</v>
      </c>
      <c r="N40" s="52" t="n">
        <f aca="false">SUM(N10:N38)</f>
        <v>0</v>
      </c>
      <c r="O40" s="52" t="n">
        <f aca="false">SUM(O10:O38)</f>
        <v>0</v>
      </c>
      <c r="P40" s="52" t="n">
        <f aca="false">SUM(P10:P38)</f>
        <v>122.3</v>
      </c>
      <c r="Q40" s="52" t="n">
        <f aca="false">SUM(Q10:Q38)</f>
        <v>0</v>
      </c>
      <c r="R40" s="52" t="n">
        <f aca="false">SUM(R10:R38)</f>
        <v>0</v>
      </c>
      <c r="S40" s="52" t="n">
        <f aca="false">SUM(S10:S38)</f>
        <v>122.3</v>
      </c>
      <c r="T40" s="52"/>
      <c r="U40" s="52" t="n">
        <f aca="false">SUM(U10:U38)</f>
        <v>0</v>
      </c>
      <c r="V40" s="52" t="n">
        <f aca="false">SUM(V10:V38)</f>
        <v>1205</v>
      </c>
      <c r="W40" s="52"/>
      <c r="X40" s="52" t="n">
        <f aca="false">SUM(X10:X38)</f>
        <v>1327.3</v>
      </c>
      <c r="Y40" s="52" t="n">
        <f aca="false">SUM(Y10:Y38)</f>
        <v>69.4345097050668</v>
      </c>
      <c r="Z40" s="52" t="n">
        <f aca="false">SUM(Z10:Z38)</f>
        <v>1396.73450970507</v>
      </c>
      <c r="AA40" s="53" t="n">
        <f aca="false">SUM(AA10:AA38)</f>
        <v>1.16</v>
      </c>
      <c r="AB40" s="56" t="n">
        <f aca="false">AVERAGE(AB10:AB38)</f>
        <v>48.3793103448276</v>
      </c>
      <c r="AC40" s="56" t="n">
        <f aca="false">AVERAGE(AC10:AC38)</f>
        <v>24.551724137931</v>
      </c>
      <c r="AD40" s="57" t="s">
        <v>47</v>
      </c>
      <c r="AE40" s="85"/>
      <c r="AF40" s="85"/>
      <c r="AG40" s="86"/>
    </row>
    <row r="41" customFormat="false" ht="11.1" hidden="false" customHeight="true" outlineLevel="0" collapsed="false">
      <c r="A41" s="51" t="s">
        <v>48</v>
      </c>
      <c r="B41" s="51"/>
      <c r="C41" s="52"/>
      <c r="D41" s="52" t="n">
        <f aca="false">SUM(D10:D38)</f>
        <v>1445</v>
      </c>
      <c r="E41" s="52"/>
      <c r="F41" s="52" t="n">
        <f aca="false">F40*$D$2</f>
        <v>1445</v>
      </c>
      <c r="G41" s="52" t="n">
        <f aca="false">G40*$D$2</f>
        <v>3310.4615</v>
      </c>
      <c r="H41" s="53" t="n">
        <f aca="false">H40*$D$2</f>
        <v>96.59645</v>
      </c>
      <c r="I41" s="52" t="n">
        <f aca="false">I40*$D$2</f>
        <v>3407.05795</v>
      </c>
      <c r="J41" s="52" t="n">
        <f aca="false">J40*$D$2</f>
        <v>808.36495</v>
      </c>
      <c r="K41" s="52" t="n">
        <f aca="false">K40*$D$2</f>
        <v>4208.019</v>
      </c>
      <c r="L41" s="52" t="n">
        <f aca="false">L40*$D$2</f>
        <v>670.6416</v>
      </c>
      <c r="M41" s="52" t="n">
        <f aca="false">M40*$D$2</f>
        <v>242.58205</v>
      </c>
      <c r="N41" s="52" t="n">
        <f aca="false">N40*$D$2</f>
        <v>0</v>
      </c>
      <c r="O41" s="52" t="n">
        <f aca="false">O40*$D$2</f>
        <v>0</v>
      </c>
      <c r="P41" s="52" t="n">
        <f aca="false">P40*$D$2</f>
        <v>242.58205</v>
      </c>
      <c r="Q41" s="52" t="n">
        <f aca="false">Q40*$D$2</f>
        <v>0</v>
      </c>
      <c r="R41" s="52" t="n">
        <f aca="false">R40*$D$2</f>
        <v>0</v>
      </c>
      <c r="S41" s="52" t="n">
        <f aca="false">S40*$D$2</f>
        <v>242.58205</v>
      </c>
      <c r="T41" s="52"/>
      <c r="U41" s="52" t="n">
        <f aca="false">U40*$D$2</f>
        <v>0</v>
      </c>
      <c r="V41" s="52" t="n">
        <f aca="false">V40*$D$2</f>
        <v>2390.1175</v>
      </c>
      <c r="W41" s="52"/>
      <c r="X41" s="52" t="n">
        <f aca="false">X40*$D$2</f>
        <v>2632.69955</v>
      </c>
      <c r="Y41" s="52" t="n">
        <f aca="false">Y40*$D$2</f>
        <v>137.72335</v>
      </c>
      <c r="Z41" s="52" t="n">
        <f aca="false">Z40*$D$2</f>
        <v>2770.4229</v>
      </c>
      <c r="AA41" s="53"/>
      <c r="AB41" s="56" t="n">
        <f aca="false">MAX(AB10:AB38)</f>
        <v>59</v>
      </c>
      <c r="AC41" s="56" t="n">
        <f aca="false">MAX(AC10:AC38)</f>
        <v>34</v>
      </c>
      <c r="AD41" s="57" t="s">
        <v>49</v>
      </c>
      <c r="AE41" s="85"/>
      <c r="AF41" s="85"/>
      <c r="AG41" s="86"/>
    </row>
    <row r="42" customFormat="false" ht="3" hidden="false" customHeight="true" outlineLevel="0" collapsed="false">
      <c r="A42" s="72"/>
      <c r="B42" s="72"/>
      <c r="C42" s="74"/>
      <c r="D42" s="74"/>
      <c r="E42" s="74"/>
      <c r="F42" s="74"/>
      <c r="G42" s="74"/>
      <c r="H42" s="75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2"/>
      <c r="X42" s="74"/>
      <c r="Y42" s="74"/>
      <c r="Z42" s="74"/>
      <c r="AA42" s="53"/>
      <c r="AB42" s="56"/>
      <c r="AC42" s="56"/>
      <c r="AD42" s="57"/>
      <c r="AE42" s="85"/>
      <c r="AF42" s="85"/>
      <c r="AG42" s="86"/>
    </row>
    <row r="43" customFormat="false" ht="11.1" hidden="false" customHeight="true" outlineLevel="0" collapsed="false">
      <c r="A43" s="51" t="s">
        <v>50</v>
      </c>
      <c r="B43" s="51"/>
      <c r="C43" s="52"/>
      <c r="D43" s="52"/>
      <c r="E43" s="52"/>
      <c r="F43" s="52"/>
      <c r="G43" s="52"/>
      <c r="H43" s="53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3"/>
      <c r="AB43" s="56" t="n">
        <f aca="false">MIN(AB10:AB38)</f>
        <v>39</v>
      </c>
      <c r="AC43" s="56" t="n">
        <f aca="false">MIN(AC10:AC38)</f>
        <v>8</v>
      </c>
      <c r="AD43" s="57" t="s">
        <v>51</v>
      </c>
      <c r="AE43" s="85"/>
      <c r="AF43" s="85"/>
      <c r="AG43" s="86"/>
    </row>
    <row r="44" customFormat="false" ht="11.1" hidden="false" customHeight="true" outlineLevel="0" collapsed="false">
      <c r="A44" s="51" t="s">
        <v>52</v>
      </c>
      <c r="B44" s="51"/>
      <c r="C44" s="52"/>
      <c r="D44" s="52"/>
      <c r="E44" s="52"/>
      <c r="F44" s="52"/>
      <c r="G44" s="52"/>
      <c r="H44" s="53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3"/>
      <c r="AB44" s="56"/>
      <c r="AC44" s="56"/>
      <c r="AD44" s="57"/>
      <c r="AE44" s="85"/>
      <c r="AF44" s="85"/>
      <c r="AG44" s="86"/>
    </row>
    <row r="45" customFormat="false" ht="3" hidden="false" customHeight="true" outlineLevel="0" collapsed="false">
      <c r="A45" s="72"/>
      <c r="B45" s="72"/>
      <c r="C45" s="74"/>
      <c r="D45" s="74"/>
      <c r="E45" s="74"/>
      <c r="F45" s="74"/>
      <c r="G45" s="74"/>
      <c r="H45" s="75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5"/>
      <c r="AB45" s="56"/>
      <c r="AC45" s="56"/>
      <c r="AD45" s="57"/>
      <c r="AE45" s="85"/>
      <c r="AF45" s="85"/>
      <c r="AG45" s="86"/>
    </row>
    <row r="46" customFormat="false" ht="11.1" hidden="false" customHeight="true" outlineLevel="0" collapsed="false">
      <c r="A46" s="51" t="s">
        <v>53</v>
      </c>
      <c r="B46" s="51"/>
      <c r="C46" s="52"/>
      <c r="D46" s="52"/>
      <c r="E46" s="52"/>
      <c r="F46" s="52" t="n">
        <f aca="false">F8+F40</f>
        <v>-3008.82278800101</v>
      </c>
      <c r="G46" s="52" t="n">
        <f aca="false">G8+G40</f>
        <v>6368</v>
      </c>
      <c r="H46" s="53" t="n">
        <f aca="false">H8+H40</f>
        <v>131.08</v>
      </c>
      <c r="I46" s="52" t="n">
        <f aca="false">I8+I40</f>
        <v>6499.08</v>
      </c>
      <c r="J46" s="52" t="n">
        <f aca="false">J8+J40</f>
        <v>1234.30874464331</v>
      </c>
      <c r="K46" s="52" t="n">
        <f aca="false">K8+K40</f>
        <v>7729.65599949584</v>
      </c>
      <c r="L46" s="52" t="n">
        <f aca="false">L8+L40</f>
        <v>591.327211998992</v>
      </c>
      <c r="M46" s="52" t="n">
        <f aca="false">M8+M40</f>
        <v>1990.26</v>
      </c>
      <c r="N46" s="52" t="n">
        <f aca="false">N8+N40</f>
        <v>66.38</v>
      </c>
      <c r="O46" s="52" t="n">
        <f aca="false">O8+O40</f>
        <v>441.3405</v>
      </c>
      <c r="P46" s="52" t="n">
        <f aca="false">P8+P40</f>
        <v>1482.5395</v>
      </c>
      <c r="Q46" s="52" t="n">
        <f aca="false">Q8+Q40</f>
        <v>1044</v>
      </c>
      <c r="R46" s="52" t="n">
        <f aca="false">R8+R40</f>
        <v>560</v>
      </c>
      <c r="S46" s="52" t="n">
        <f aca="false">S8+S40</f>
        <v>3086.5395</v>
      </c>
      <c r="T46" s="52"/>
      <c r="U46" s="52" t="n">
        <f aca="false">U8+U40</f>
        <v>0</v>
      </c>
      <c r="V46" s="52" t="n">
        <f aca="false">V8+V40</f>
        <v>6504.97</v>
      </c>
      <c r="W46" s="52" t="n">
        <f aca="false">W38</f>
        <v>982</v>
      </c>
      <c r="X46" s="52" t="n">
        <f aca="false">X8+X40</f>
        <v>10099.23</v>
      </c>
      <c r="Y46" s="52" t="n">
        <f aca="false">Y8+Y40</f>
        <v>642.981532644316</v>
      </c>
      <c r="Z46" s="52" t="n">
        <f aca="false">Z8+Z40</f>
        <v>10742.2115326443</v>
      </c>
      <c r="AA46" s="53" t="n">
        <f aca="false">AA8+AA40</f>
        <v>2.9</v>
      </c>
      <c r="AB46" s="56"/>
      <c r="AC46" s="56"/>
      <c r="AD46" s="57"/>
      <c r="AE46" s="85"/>
      <c r="AF46" s="85"/>
      <c r="AG46" s="86"/>
    </row>
    <row r="47" customFormat="false" ht="11.1" hidden="false" customHeight="true" outlineLevel="0" collapsed="false">
      <c r="A47" s="51" t="s">
        <v>54</v>
      </c>
      <c r="B47" s="51"/>
      <c r="C47" s="52"/>
      <c r="D47" s="52" t="n">
        <f aca="false">D8+D41</f>
        <v>-5968</v>
      </c>
      <c r="E47" s="52" t="n">
        <f aca="false">E38</f>
        <v>171712</v>
      </c>
      <c r="F47" s="52" t="n">
        <f aca="false">F46*$D$2</f>
        <v>-5968</v>
      </c>
      <c r="G47" s="52" t="n">
        <f aca="false">G46*$D$2</f>
        <v>12630.928</v>
      </c>
      <c r="H47" s="53" t="n">
        <f aca="false">H46*$D$2</f>
        <v>259.99718</v>
      </c>
      <c r="I47" s="52" t="n">
        <f aca="false">I46*$D$2</f>
        <v>12890.92518</v>
      </c>
      <c r="J47" s="52" t="n">
        <f aca="false">J46*$D$2</f>
        <v>2448.251395</v>
      </c>
      <c r="K47" s="52" t="n">
        <f aca="false">K46*$D$2</f>
        <v>15331.772675</v>
      </c>
      <c r="L47" s="52" t="n">
        <f aca="false">L46*$D$2</f>
        <v>1172.897525</v>
      </c>
      <c r="M47" s="52" t="n">
        <f aca="false">M46*$D$2</f>
        <v>3947.68071</v>
      </c>
      <c r="N47" s="52" t="n">
        <f aca="false">N46*$D$2</f>
        <v>131.66473</v>
      </c>
      <c r="O47" s="52" t="n">
        <f aca="false">O46*$D$2</f>
        <v>875.39888175</v>
      </c>
      <c r="P47" s="52" t="n">
        <f aca="false">P46*$D$2</f>
        <v>2940.61709825</v>
      </c>
      <c r="Q47" s="52" t="n">
        <f aca="false">Q46*$D$2</f>
        <v>2070.774</v>
      </c>
      <c r="R47" s="52" t="n">
        <f aca="false">R46*$D$2</f>
        <v>1110.76</v>
      </c>
      <c r="S47" s="52" t="n">
        <f aca="false">S46*$D$2</f>
        <v>6122.15109825</v>
      </c>
      <c r="T47" s="52" t="n">
        <f aca="false">T46*$D$2</f>
        <v>0</v>
      </c>
      <c r="U47" s="52" t="n">
        <f aca="false">U46*$D$2</f>
        <v>0</v>
      </c>
      <c r="V47" s="52" t="n">
        <f aca="false">V46*$D$2</f>
        <v>12902.607995</v>
      </c>
      <c r="W47" s="52" t="n">
        <f aca="false">W46*$D$2</f>
        <v>1947.797</v>
      </c>
      <c r="X47" s="52" t="n">
        <f aca="false">X46*$D$2</f>
        <v>20031.822705</v>
      </c>
      <c r="Y47" s="52" t="n">
        <f aca="false">Y46*$D$2</f>
        <v>1275.35387</v>
      </c>
      <c r="Z47" s="52" t="n">
        <f aca="false">Z46*$D$2</f>
        <v>21307.176575</v>
      </c>
      <c r="AA47" s="53"/>
      <c r="AB47" s="56"/>
      <c r="AC47" s="56"/>
      <c r="AD47" s="57"/>
      <c r="AE47" s="85"/>
      <c r="AF47" s="85"/>
      <c r="AG47" s="86"/>
    </row>
    <row r="48" customFormat="false" ht="3" hidden="false" customHeight="true" outlineLevel="0" collapsed="false">
      <c r="A48" s="72"/>
      <c r="B48" s="72"/>
      <c r="C48" s="74"/>
      <c r="D48" s="72"/>
      <c r="E48" s="74"/>
      <c r="F48" s="72"/>
      <c r="G48" s="72"/>
      <c r="H48" s="75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4"/>
      <c r="U48" s="72"/>
      <c r="V48" s="72"/>
      <c r="W48" s="74"/>
      <c r="X48" s="72"/>
      <c r="Y48" s="72"/>
      <c r="Z48" s="72"/>
      <c r="AA48" s="53"/>
      <c r="AB48" s="56"/>
      <c r="AC48" s="56"/>
      <c r="AD48" s="57"/>
      <c r="AE48" s="85"/>
      <c r="AF48" s="85"/>
      <c r="AG48" s="86"/>
    </row>
    <row r="49" customFormat="false" ht="11.1" hidden="false" customHeight="true" outlineLevel="0" collapsed="false">
      <c r="A49" s="51"/>
      <c r="B49" s="81"/>
      <c r="C49" s="52"/>
      <c r="D49" s="51"/>
      <c r="E49" s="52"/>
      <c r="F49" s="51"/>
      <c r="G49" s="51"/>
      <c r="H49" s="53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2"/>
      <c r="U49" s="51"/>
      <c r="V49" s="51"/>
      <c r="W49" s="52"/>
      <c r="X49" s="51"/>
      <c r="Y49" s="51"/>
      <c r="Z49" s="51"/>
      <c r="AA49" s="53"/>
      <c r="AB49" s="56"/>
      <c r="AC49" s="56"/>
      <c r="AD49" s="57"/>
      <c r="AE49" s="84"/>
      <c r="AF49" s="84"/>
    </row>
    <row r="50" customFormat="false" ht="11.1" hidden="false" customHeight="true" outlineLevel="0" collapsed="false">
      <c r="A50" s="51"/>
      <c r="B50" s="71"/>
      <c r="C50" s="52"/>
      <c r="D50" s="79"/>
      <c r="E50" s="52"/>
      <c r="F50" s="51"/>
      <c r="G50" s="51"/>
      <c r="H50" s="2"/>
      <c r="I50" s="52"/>
      <c r="J50" s="51"/>
      <c r="K50" s="41"/>
      <c r="L50" s="51"/>
      <c r="M50" s="51"/>
      <c r="N50" s="51"/>
      <c r="O50" s="51"/>
      <c r="P50" s="51"/>
      <c r="Q50" s="51"/>
      <c r="R50" s="51"/>
      <c r="S50" s="51"/>
      <c r="T50" s="52"/>
      <c r="U50" s="51"/>
      <c r="V50" s="51"/>
      <c r="W50" s="52"/>
      <c r="X50" s="51"/>
      <c r="Y50" s="51"/>
      <c r="Z50" s="51"/>
      <c r="AA50" s="53"/>
      <c r="AB50" s="56"/>
      <c r="AC50" s="56"/>
      <c r="AD50" s="57"/>
      <c r="AE50" s="84"/>
      <c r="AF50" s="84"/>
    </row>
    <row r="51" customFormat="false" ht="11.1" hidden="false" customHeight="true" outlineLevel="0" collapsed="false">
      <c r="A51" s="79"/>
      <c r="B51" s="79"/>
      <c r="C51" s="52"/>
      <c r="D51" s="52"/>
      <c r="E51" s="52"/>
      <c r="F51" s="79"/>
      <c r="G51" s="79"/>
      <c r="H51" s="53"/>
      <c r="I51" s="52"/>
      <c r="J51" s="79"/>
      <c r="K51" s="79"/>
      <c r="L51" s="79"/>
      <c r="M51" s="78"/>
      <c r="N51" s="78"/>
      <c r="O51" s="78"/>
      <c r="P51" s="78"/>
      <c r="Q51" s="79"/>
      <c r="R51" s="79"/>
      <c r="S51" s="79"/>
      <c r="T51" s="52"/>
      <c r="U51" s="79"/>
      <c r="V51" s="79"/>
      <c r="W51" s="52"/>
      <c r="X51" s="79"/>
      <c r="Y51" s="79"/>
      <c r="Z51" s="79"/>
      <c r="AA51" s="53"/>
      <c r="AB51" s="56"/>
      <c r="AC51" s="56"/>
      <c r="AD51" s="57"/>
      <c r="AE51" s="89"/>
      <c r="AF51" s="89"/>
    </row>
    <row r="52" customFormat="false" ht="11.1" hidden="false" customHeight="true" outlineLevel="0" collapsed="false">
      <c r="A52" s="79"/>
      <c r="B52" s="55"/>
      <c r="C52" s="52"/>
      <c r="D52" s="52"/>
      <c r="E52" s="52"/>
      <c r="F52" s="79"/>
      <c r="G52" s="79"/>
      <c r="H52" s="53"/>
      <c r="I52" s="52"/>
      <c r="J52" s="79"/>
      <c r="K52" s="79"/>
      <c r="L52" s="79"/>
      <c r="M52" s="78"/>
      <c r="N52" s="78"/>
      <c r="O52" s="78"/>
      <c r="P52" s="78"/>
      <c r="Q52" s="79"/>
      <c r="R52" s="79"/>
      <c r="S52" s="79"/>
      <c r="T52" s="52"/>
      <c r="U52" s="79"/>
      <c r="V52" s="79"/>
      <c r="W52" s="52"/>
      <c r="X52" s="79"/>
      <c r="Y52" s="79"/>
      <c r="Z52" s="79"/>
      <c r="AA52" s="53"/>
      <c r="AB52" s="56"/>
      <c r="AC52" s="56"/>
      <c r="AD52" s="57"/>
      <c r="AE52" s="89"/>
      <c r="AF52" s="89"/>
    </row>
    <row r="53" customFormat="false" ht="11.1" hidden="false" customHeight="true" outlineLevel="0" collapsed="false">
      <c r="A53" s="79"/>
      <c r="B53" s="79"/>
      <c r="C53" s="52"/>
      <c r="D53" s="79"/>
      <c r="E53" s="52"/>
      <c r="F53" s="79"/>
      <c r="G53" s="83"/>
      <c r="H53" s="53"/>
      <c r="I53" s="79"/>
      <c r="J53" s="79"/>
      <c r="K53" s="79"/>
      <c r="L53" s="79"/>
      <c r="M53" s="78"/>
      <c r="N53" s="78"/>
      <c r="O53" s="78"/>
      <c r="P53" s="78"/>
      <c r="Q53" s="79"/>
      <c r="R53" s="79"/>
      <c r="S53" s="79"/>
      <c r="T53" s="52"/>
      <c r="U53" s="79"/>
      <c r="V53" s="79"/>
      <c r="W53" s="52"/>
      <c r="X53" s="79"/>
      <c r="Y53" s="79"/>
      <c r="Z53" s="79"/>
      <c r="AA53" s="53"/>
      <c r="AB53" s="56"/>
      <c r="AC53" s="56"/>
      <c r="AD53" s="57"/>
      <c r="AE53" s="89"/>
      <c r="AF53" s="89"/>
    </row>
    <row r="54" customFormat="false" ht="11.1" hidden="false" customHeight="true" outlineLevel="0" collapsed="false">
      <c r="P54" s="47"/>
      <c r="S54" s="44"/>
      <c r="T54" s="45"/>
      <c r="V54" s="44"/>
      <c r="W54" s="45"/>
      <c r="Z54" s="44"/>
      <c r="AC54" s="49"/>
      <c r="AD54" s="50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S10" activeCellId="0" sqref="S10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46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false" outlineLevel="0" max="14" min="14" style="47" width="7.32"/>
    <col collapsed="false" customWidth="true" hidden="false" outlineLevel="0" max="15" min="15" style="47" width="6.49"/>
    <col collapsed="false" customWidth="true" hidden="fals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3" min="23" style="44" width="6.82"/>
    <col collapsed="false" customWidth="true" hidden="false" outlineLevel="0" max="25" min="24" style="44" width="7.82"/>
    <col collapsed="false" customWidth="true" hidden="false" outlineLevel="0" max="26" min="26" style="48" width="8.16"/>
    <col collapsed="false" customWidth="true" hidden="false" outlineLevel="0" max="27" min="27" style="46" width="4.66"/>
    <col collapsed="false" customWidth="true" hidden="false" outlineLevel="0" max="28" min="28" style="49" width="4.66"/>
    <col collapsed="false" customWidth="true" hidden="false" outlineLevel="0" max="29" min="29" style="50" width="4.66"/>
    <col collapsed="false" customWidth="true" hidden="false" outlineLevel="0" max="30" min="30" style="44" width="5.66"/>
    <col collapsed="false" customWidth="false" hidden="false" outlineLevel="0" max="257" min="31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3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1"/>
      <c r="Z1" s="55"/>
      <c r="AA1" s="53"/>
      <c r="AB1" s="56"/>
      <c r="AC1" s="57"/>
      <c r="AD1" s="84"/>
      <c r="AE1" s="84"/>
    </row>
    <row r="2" customFormat="false" ht="14.1" hidden="false" customHeight="true" outlineLevel="0" collapsed="false">
      <c r="A2" s="51" t="s">
        <v>1</v>
      </c>
      <c r="B2" s="51"/>
      <c r="C2" s="52"/>
      <c r="D2" s="58" t="n">
        <v>1.9835</v>
      </c>
      <c r="E2" s="52"/>
      <c r="F2" s="51"/>
      <c r="G2" s="51"/>
      <c r="H2" s="53"/>
      <c r="I2" s="51"/>
      <c r="J2" s="51"/>
      <c r="K2" s="59" t="s">
        <v>61</v>
      </c>
      <c r="L2" s="59"/>
      <c r="M2" s="59"/>
      <c r="N2" s="59"/>
      <c r="O2" s="59"/>
      <c r="P2" s="59"/>
      <c r="Q2" s="59"/>
      <c r="R2" s="59"/>
      <c r="S2" s="59"/>
      <c r="T2" s="59"/>
      <c r="U2" s="51"/>
      <c r="V2" s="52"/>
      <c r="W2" s="51"/>
      <c r="X2" s="51"/>
      <c r="Y2" s="51"/>
      <c r="Z2" s="55"/>
      <c r="AA2" s="53"/>
      <c r="AB2" s="56"/>
      <c r="AC2" s="57"/>
      <c r="AD2" s="84"/>
      <c r="AE2" s="84"/>
    </row>
    <row r="3" customFormat="false" ht="11.1" hidden="false" customHeight="true" outlineLevel="0" collapsed="false">
      <c r="A3" s="51"/>
      <c r="B3" s="51"/>
      <c r="C3" s="52"/>
      <c r="D3" s="60"/>
      <c r="E3" s="52"/>
      <c r="F3" s="51"/>
      <c r="G3" s="51"/>
      <c r="H3" s="53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1"/>
      <c r="Z3" s="55"/>
      <c r="AA3" s="53"/>
      <c r="AB3" s="56"/>
      <c r="AC3" s="57"/>
      <c r="AD3" s="84"/>
      <c r="AE3" s="84"/>
    </row>
    <row r="4" customFormat="false" ht="11.1" hidden="false" customHeight="true" outlineLevel="0" collapsed="false">
      <c r="A4" s="61" t="s">
        <v>3</v>
      </c>
      <c r="B4" s="61" t="s">
        <v>4</v>
      </c>
      <c r="C4" s="62" t="s">
        <v>4</v>
      </c>
      <c r="D4" s="61" t="s">
        <v>5</v>
      </c>
      <c r="E4" s="62" t="s">
        <v>6</v>
      </c>
      <c r="F4" s="61" t="s">
        <v>7</v>
      </c>
      <c r="G4" s="61" t="s">
        <v>8</v>
      </c>
      <c r="H4" s="63" t="s">
        <v>9</v>
      </c>
      <c r="I4" s="61" t="s">
        <v>10</v>
      </c>
      <c r="J4" s="61" t="s">
        <v>11</v>
      </c>
      <c r="K4" s="61" t="s">
        <v>12</v>
      </c>
      <c r="L4" s="61" t="s">
        <v>11</v>
      </c>
      <c r="M4" s="61" t="s">
        <v>13</v>
      </c>
      <c r="N4" s="61"/>
      <c r="O4" s="61"/>
      <c r="P4" s="61"/>
      <c r="Q4" s="61" t="s">
        <v>14</v>
      </c>
      <c r="R4" s="61" t="s">
        <v>15</v>
      </c>
      <c r="S4" s="61" t="s">
        <v>12</v>
      </c>
      <c r="T4" s="62" t="s">
        <v>16</v>
      </c>
      <c r="U4" s="61" t="s">
        <v>17</v>
      </c>
      <c r="V4" s="61" t="s">
        <v>18</v>
      </c>
      <c r="W4" s="62" t="s">
        <v>19</v>
      </c>
      <c r="X4" s="61" t="s">
        <v>10</v>
      </c>
      <c r="Y4" s="61" t="s">
        <v>11</v>
      </c>
      <c r="Z4" s="61" t="s">
        <v>12</v>
      </c>
      <c r="AA4" s="63" t="s">
        <v>20</v>
      </c>
      <c r="AB4" s="64" t="s">
        <v>21</v>
      </c>
      <c r="AC4" s="64" t="s">
        <v>22</v>
      </c>
      <c r="AD4" s="64" t="s">
        <v>3</v>
      </c>
      <c r="AE4" s="84"/>
      <c r="AF4" s="84"/>
    </row>
    <row r="5" customFormat="false" ht="11.1" hidden="false" customHeight="true" outlineLevel="0" collapsed="false">
      <c r="A5" s="65" t="s">
        <v>62</v>
      </c>
      <c r="B5" s="61" t="s">
        <v>24</v>
      </c>
      <c r="C5" s="62" t="s">
        <v>5</v>
      </c>
      <c r="D5" s="61" t="s">
        <v>25</v>
      </c>
      <c r="E5" s="62" t="s">
        <v>26</v>
      </c>
      <c r="F5" s="61" t="s">
        <v>27</v>
      </c>
      <c r="G5" s="61" t="s">
        <v>28</v>
      </c>
      <c r="H5" s="63" t="s">
        <v>29</v>
      </c>
      <c r="I5" s="61" t="s">
        <v>30</v>
      </c>
      <c r="J5" s="61" t="s">
        <v>30</v>
      </c>
      <c r="K5" s="61" t="s">
        <v>30</v>
      </c>
      <c r="L5" s="61" t="s">
        <v>31</v>
      </c>
      <c r="M5" s="61" t="s">
        <v>32</v>
      </c>
      <c r="N5" s="61" t="s">
        <v>33</v>
      </c>
      <c r="O5" s="61" t="s">
        <v>34</v>
      </c>
      <c r="P5" s="61" t="s">
        <v>35</v>
      </c>
      <c r="Q5" s="61" t="s">
        <v>36</v>
      </c>
      <c r="R5" s="61" t="s">
        <v>37</v>
      </c>
      <c r="S5" s="61" t="s">
        <v>16</v>
      </c>
      <c r="T5" s="62" t="s">
        <v>38</v>
      </c>
      <c r="U5" s="61" t="s">
        <v>39</v>
      </c>
      <c r="V5" s="61" t="s">
        <v>40</v>
      </c>
      <c r="W5" s="62" t="s">
        <v>41</v>
      </c>
      <c r="X5" s="61" t="s">
        <v>42</v>
      </c>
      <c r="Y5" s="61" t="s">
        <v>42</v>
      </c>
      <c r="Z5" s="61" t="s">
        <v>42</v>
      </c>
      <c r="AA5" s="66"/>
      <c r="AB5" s="64" t="s">
        <v>43</v>
      </c>
      <c r="AC5" s="64" t="s">
        <v>43</v>
      </c>
      <c r="AD5" s="67" t="s">
        <v>62</v>
      </c>
      <c r="AE5" s="84"/>
      <c r="AF5" s="84"/>
    </row>
    <row r="6" customFormat="false" ht="11.1" hidden="false" customHeight="true" outlineLevel="0" collapsed="false">
      <c r="A6" s="68"/>
      <c r="B6" s="68"/>
      <c r="C6" s="69"/>
      <c r="D6" s="68"/>
      <c r="E6" s="69"/>
      <c r="F6" s="68"/>
      <c r="G6" s="68"/>
      <c r="H6" s="70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9"/>
      <c r="U6" s="68"/>
      <c r="V6" s="68"/>
      <c r="W6" s="69"/>
      <c r="X6" s="68"/>
      <c r="Y6" s="68"/>
      <c r="Z6" s="68"/>
      <c r="AA6" s="53"/>
      <c r="AB6" s="57"/>
      <c r="AC6" s="57"/>
      <c r="AD6" s="57"/>
      <c r="AE6" s="85"/>
      <c r="AF6" s="85"/>
      <c r="AG6" s="86"/>
    </row>
    <row r="7" customFormat="false" ht="11.1" hidden="false" customHeight="true" outlineLevel="0" collapsed="false">
      <c r="A7" s="51" t="s">
        <v>44</v>
      </c>
      <c r="B7" s="51"/>
      <c r="C7" s="52"/>
      <c r="D7" s="52"/>
      <c r="E7" s="52"/>
      <c r="F7" s="52"/>
      <c r="G7" s="52"/>
      <c r="H7" s="53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3"/>
      <c r="AB7" s="56"/>
      <c r="AC7" s="56"/>
      <c r="AD7" s="57"/>
      <c r="AE7" s="85"/>
      <c r="AF7" s="86"/>
      <c r="AG7" s="86"/>
    </row>
    <row r="8" s="45" customFormat="true" ht="11.1" hidden="false" customHeight="true" outlineLevel="0" collapsed="false">
      <c r="A8" s="52" t="s">
        <v>45</v>
      </c>
      <c r="B8" s="71" t="n">
        <f aca="false">FEB!B38</f>
        <v>6910.43</v>
      </c>
      <c r="C8" s="52" t="n">
        <f aca="false">FEB!C38</f>
        <v>323712</v>
      </c>
      <c r="D8" s="52" t="n">
        <f aca="false">FEB!$D$47</f>
        <v>-5968</v>
      </c>
      <c r="E8" s="52" t="n">
        <f aca="false">FEB!$E$47</f>
        <v>171712</v>
      </c>
      <c r="F8" s="52" t="n">
        <f aca="false">FEB!F46</f>
        <v>-3008.82278800101</v>
      </c>
      <c r="G8" s="52" t="n">
        <f aca="false">FEB!G46</f>
        <v>6368</v>
      </c>
      <c r="H8" s="53" t="n">
        <f aca="false">FEB!H46</f>
        <v>131.08</v>
      </c>
      <c r="I8" s="52" t="n">
        <f aca="false">FEB!I46</f>
        <v>6499.08</v>
      </c>
      <c r="J8" s="52" t="n">
        <f aca="false">FEB!J46</f>
        <v>1234.30874464331</v>
      </c>
      <c r="K8" s="52" t="n">
        <f aca="false">FEB!K46</f>
        <v>7729.65599949584</v>
      </c>
      <c r="L8" s="52" t="n">
        <f aca="false">FEB!L46</f>
        <v>591.327211998992</v>
      </c>
      <c r="M8" s="52" t="n">
        <f aca="false">FEB!M46</f>
        <v>1990.26</v>
      </c>
      <c r="N8" s="52" t="n">
        <f aca="false">FEB!N46</f>
        <v>66.38</v>
      </c>
      <c r="O8" s="52" t="n">
        <f aca="false">FEB!O46</f>
        <v>441.3405</v>
      </c>
      <c r="P8" s="52" t="n">
        <f aca="false">FEB!P46</f>
        <v>1482.5395</v>
      </c>
      <c r="Q8" s="52" t="n">
        <f aca="false">FEB!Q46</f>
        <v>1044</v>
      </c>
      <c r="R8" s="52" t="n">
        <f aca="false">FEB!R46</f>
        <v>560</v>
      </c>
      <c r="S8" s="52" t="n">
        <f aca="false">FEB!S46</f>
        <v>3086.5395</v>
      </c>
      <c r="T8" s="52" t="n">
        <f aca="false">FEB!T46</f>
        <v>0</v>
      </c>
      <c r="U8" s="52" t="n">
        <f aca="false">FEB!U46</f>
        <v>0</v>
      </c>
      <c r="V8" s="52" t="n">
        <f aca="false">FEB!V46</f>
        <v>6504.97</v>
      </c>
      <c r="W8" s="52" t="n">
        <f aca="false">FEB!W46</f>
        <v>982</v>
      </c>
      <c r="X8" s="52" t="n">
        <f aca="false">FEB!X46</f>
        <v>10099.23</v>
      </c>
      <c r="Y8" s="52" t="n">
        <f aca="false">FEB!Y46</f>
        <v>642.981532644316</v>
      </c>
      <c r="Z8" s="52" t="n">
        <f aca="false">FEB!Z46</f>
        <v>10742.2115326443</v>
      </c>
      <c r="AA8" s="53" t="n">
        <f aca="false">FEB!AA46</f>
        <v>2.9</v>
      </c>
      <c r="AB8" s="56"/>
      <c r="AC8" s="56"/>
      <c r="AD8" s="57"/>
      <c r="AE8" s="87"/>
      <c r="AF8" s="85"/>
      <c r="AG8" s="87"/>
    </row>
    <row r="9" customFormat="false" ht="3" hidden="false" customHeight="true" outlineLevel="0" collapsed="false">
      <c r="A9" s="72"/>
      <c r="B9" s="73"/>
      <c r="C9" s="74"/>
      <c r="D9" s="72"/>
      <c r="E9" s="74"/>
      <c r="F9" s="72"/>
      <c r="G9" s="72"/>
      <c r="H9" s="75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4"/>
      <c r="U9" s="72"/>
      <c r="V9" s="72"/>
      <c r="W9" s="74"/>
      <c r="X9" s="72"/>
      <c r="Y9" s="72"/>
      <c r="Z9" s="72"/>
      <c r="AA9" s="75"/>
      <c r="AB9" s="76"/>
      <c r="AC9" s="76"/>
      <c r="AD9" s="77"/>
      <c r="AE9" s="85"/>
      <c r="AF9" s="85"/>
      <c r="AG9" s="86"/>
    </row>
    <row r="10" customFormat="false" ht="11.1" hidden="false" customHeight="true" outlineLevel="0" collapsed="false">
      <c r="A10" s="57" t="n">
        <v>1</v>
      </c>
      <c r="B10" s="71" t="n">
        <v>6910.46</v>
      </c>
      <c r="C10" s="52" t="n">
        <v>323832</v>
      </c>
      <c r="D10" s="56" t="n">
        <f aca="false">C10-C8</f>
        <v>120</v>
      </c>
      <c r="E10" s="52" t="n">
        <f aca="false">C10-152000</f>
        <v>171832</v>
      </c>
      <c r="F10" s="51" t="n">
        <f aca="false">D10/$D$2</f>
        <v>60.4991177211999</v>
      </c>
      <c r="G10" s="51" t="n">
        <v>65</v>
      </c>
      <c r="H10" s="90" t="n">
        <v>2</v>
      </c>
      <c r="I10" s="51" t="n">
        <f aca="false">G10+H10</f>
        <v>67</v>
      </c>
      <c r="J10" s="78" t="n">
        <f aca="false">IF(L10&gt;0,L10,0)</f>
        <v>46.0991177211999</v>
      </c>
      <c r="K10" s="51" t="n">
        <f aca="false">I10+J10</f>
        <v>113.0991177212</v>
      </c>
      <c r="L10" s="51" t="n">
        <f aca="false">F10-(I10-X10)</f>
        <v>46.0991177211999</v>
      </c>
      <c r="M10" s="51" t="n">
        <v>4.6</v>
      </c>
      <c r="N10" s="51" t="n">
        <v>0</v>
      </c>
      <c r="O10" s="51" t="n">
        <v>0</v>
      </c>
      <c r="P10" s="6" t="n">
        <f aca="false">M10-(N10+O10)</f>
        <v>4.6</v>
      </c>
      <c r="Q10" s="51" t="n">
        <v>0</v>
      </c>
      <c r="R10" s="51" t="n">
        <v>0</v>
      </c>
      <c r="S10" s="51" t="n">
        <f aca="false">SUM(P10:R10)</f>
        <v>4.6</v>
      </c>
      <c r="T10" s="52"/>
      <c r="U10" s="51" t="n">
        <v>0</v>
      </c>
      <c r="V10" s="51" t="n">
        <v>48</v>
      </c>
      <c r="W10" s="52" t="n">
        <f aca="false">W8-45-2</f>
        <v>935</v>
      </c>
      <c r="X10" s="6" t="n">
        <f aca="false">N10+O10+S10+U10+V10</f>
        <v>52.6</v>
      </c>
      <c r="Y10" s="51" t="n">
        <f aca="false">IF(L10&lt;0,L10*-1,0)</f>
        <v>0</v>
      </c>
      <c r="Z10" s="51" t="n">
        <f aca="false">X10+Y10</f>
        <v>52.6</v>
      </c>
      <c r="AA10" s="53" t="n">
        <v>0.03</v>
      </c>
      <c r="AB10" s="56" t="n">
        <v>47</v>
      </c>
      <c r="AC10" s="56" t="n">
        <v>29</v>
      </c>
      <c r="AD10" s="57" t="n">
        <v>1</v>
      </c>
      <c r="AE10" s="86"/>
      <c r="AF10" s="87"/>
      <c r="AG10" s="86"/>
    </row>
    <row r="11" customFormat="false" ht="11.1" hidden="false" customHeight="true" outlineLevel="0" collapsed="false">
      <c r="A11" s="57" t="n">
        <f aca="false">A10+1</f>
        <v>2</v>
      </c>
      <c r="B11" s="71" t="n">
        <v>6910.48</v>
      </c>
      <c r="C11" s="52" t="n">
        <v>323913</v>
      </c>
      <c r="D11" s="56" t="n">
        <f aca="false">C11-C10</f>
        <v>81</v>
      </c>
      <c r="E11" s="52" t="n">
        <f aca="false">C11-152000</f>
        <v>171913</v>
      </c>
      <c r="F11" s="51" t="n">
        <f aca="false">D11/$D$2</f>
        <v>40.8369044618099</v>
      </c>
      <c r="G11" s="51" t="n">
        <v>65</v>
      </c>
      <c r="H11" s="90" t="n">
        <v>2.1</v>
      </c>
      <c r="I11" s="51" t="n">
        <f aca="false">G11+H11</f>
        <v>67.1</v>
      </c>
      <c r="J11" s="78" t="n">
        <f aca="false">IF(L11&gt;0,L11,0)</f>
        <v>26.1369044618099</v>
      </c>
      <c r="K11" s="51" t="n">
        <f aca="false">I11+J11</f>
        <v>93.2369044618099</v>
      </c>
      <c r="L11" s="51" t="n">
        <f aca="false">F11-(I11-X11)</f>
        <v>26.1369044618099</v>
      </c>
      <c r="M11" s="51" t="n">
        <v>4.4</v>
      </c>
      <c r="N11" s="51" t="n">
        <v>0</v>
      </c>
      <c r="O11" s="51" t="n">
        <v>0</v>
      </c>
      <c r="P11" s="6" t="n">
        <f aca="false">M11-(N11+O11)</f>
        <v>4.4</v>
      </c>
      <c r="Q11" s="51" t="n">
        <v>0</v>
      </c>
      <c r="R11" s="51" t="n">
        <v>0</v>
      </c>
      <c r="S11" s="51" t="n">
        <f aca="false">SUM(P11:R11)</f>
        <v>4.4</v>
      </c>
      <c r="T11" s="52"/>
      <c r="U11" s="51" t="n">
        <v>0</v>
      </c>
      <c r="V11" s="51" t="n">
        <v>48</v>
      </c>
      <c r="W11" s="52" t="n">
        <f aca="false">W10-45-2</f>
        <v>888</v>
      </c>
      <c r="X11" s="6" t="n">
        <f aca="false">N11+O11+S11+U11+V11</f>
        <v>52.4</v>
      </c>
      <c r="Y11" s="51" t="n">
        <f aca="false">IF(L11&lt;0,L11*-1,0)</f>
        <v>0</v>
      </c>
      <c r="Z11" s="51" t="n">
        <f aca="false">X11+Y11</f>
        <v>52.4</v>
      </c>
      <c r="AA11" s="53" t="n">
        <v>0</v>
      </c>
      <c r="AB11" s="56" t="n">
        <v>56</v>
      </c>
      <c r="AC11" s="56" t="n">
        <v>26</v>
      </c>
      <c r="AD11" s="57" t="n">
        <f aca="false">AD10+1</f>
        <v>2</v>
      </c>
      <c r="AE11" s="86"/>
      <c r="AF11" s="87"/>
      <c r="AG11" s="86"/>
    </row>
    <row r="12" customFormat="false" ht="11.1" hidden="false" customHeight="true" outlineLevel="0" collapsed="false">
      <c r="A12" s="57" t="n">
        <f aca="false">A11+1</f>
        <v>3</v>
      </c>
      <c r="B12" s="71" t="n">
        <v>6910.5</v>
      </c>
      <c r="C12" s="52" t="n">
        <v>323993</v>
      </c>
      <c r="D12" s="56" t="n">
        <f aca="false">C12-C11</f>
        <v>80</v>
      </c>
      <c r="E12" s="52" t="n">
        <f aca="false">C12-152000</f>
        <v>171993</v>
      </c>
      <c r="F12" s="51" t="n">
        <f aca="false">D12/$D$2</f>
        <v>40.3327451474666</v>
      </c>
      <c r="G12" s="51" t="n">
        <v>70</v>
      </c>
      <c r="H12" s="90" t="n">
        <v>3.3</v>
      </c>
      <c r="I12" s="51" t="n">
        <f aca="false">G12+H12</f>
        <v>73.3</v>
      </c>
      <c r="J12" s="78" t="n">
        <f aca="false">IF(L12&gt;0,L12,0)</f>
        <v>19.4327451474666</v>
      </c>
      <c r="K12" s="51" t="n">
        <f aca="false">I12+J12</f>
        <v>92.7327451474666</v>
      </c>
      <c r="L12" s="51" t="n">
        <f aca="false">F12-(I12-X12)</f>
        <v>19.4327451474666</v>
      </c>
      <c r="M12" s="51" t="n">
        <v>4.4</v>
      </c>
      <c r="N12" s="51" t="n">
        <v>0</v>
      </c>
      <c r="O12" s="51" t="n">
        <v>0</v>
      </c>
      <c r="P12" s="6" t="n">
        <f aca="false">M12-(N12+O12)</f>
        <v>4.4</v>
      </c>
      <c r="Q12" s="51" t="n">
        <v>0</v>
      </c>
      <c r="R12" s="51" t="n">
        <v>0</v>
      </c>
      <c r="S12" s="51" t="n">
        <f aca="false">SUM(P12:R12)</f>
        <v>4.4</v>
      </c>
      <c r="T12" s="52"/>
      <c r="U12" s="51" t="n">
        <v>0</v>
      </c>
      <c r="V12" s="51" t="n">
        <v>48</v>
      </c>
      <c r="W12" s="52" t="n">
        <f aca="false">W11-45-2</f>
        <v>841</v>
      </c>
      <c r="X12" s="6" t="n">
        <f aca="false">N12+O12+S12+U12+V12</f>
        <v>52.4</v>
      </c>
      <c r="Y12" s="51" t="n">
        <f aca="false">IF(L12&lt;0,L12*-1,0)</f>
        <v>0</v>
      </c>
      <c r="Z12" s="51" t="n">
        <f aca="false">X12+Y12</f>
        <v>52.4</v>
      </c>
      <c r="AA12" s="53" t="n">
        <v>0</v>
      </c>
      <c r="AB12" s="56" t="n">
        <v>59</v>
      </c>
      <c r="AC12" s="56" t="n">
        <v>25</v>
      </c>
      <c r="AD12" s="57" t="n">
        <f aca="false">AD11+1</f>
        <v>3</v>
      </c>
      <c r="AE12" s="86"/>
      <c r="AF12" s="87"/>
      <c r="AG12" s="86"/>
    </row>
    <row r="13" customFormat="false" ht="11.1" hidden="false" customHeight="true" outlineLevel="0" collapsed="false">
      <c r="A13" s="57" t="n">
        <f aca="false">A12+1</f>
        <v>4</v>
      </c>
      <c r="B13" s="71" t="n">
        <v>6910.52</v>
      </c>
      <c r="C13" s="52" t="n">
        <v>324073</v>
      </c>
      <c r="D13" s="56" t="n">
        <f aca="false">C13-C12</f>
        <v>80</v>
      </c>
      <c r="E13" s="52" t="n">
        <f aca="false">C13-152000</f>
        <v>172073</v>
      </c>
      <c r="F13" s="51" t="n">
        <f aca="false">D13/$D$2</f>
        <v>40.3327451474666</v>
      </c>
      <c r="G13" s="51" t="n">
        <v>80</v>
      </c>
      <c r="H13" s="90" t="n">
        <v>3.4</v>
      </c>
      <c r="I13" s="51" t="n">
        <f aca="false">G13+H13</f>
        <v>83.4</v>
      </c>
      <c r="J13" s="78" t="n">
        <f aca="false">IF(L13&gt;0,L13,0)</f>
        <v>9.33274514746659</v>
      </c>
      <c r="K13" s="51" t="n">
        <f aca="false">I13+J13</f>
        <v>92.7327451474666</v>
      </c>
      <c r="L13" s="51" t="n">
        <f aca="false">F13-(I13-X13)</f>
        <v>9.33274514746659</v>
      </c>
      <c r="M13" s="51" t="n">
        <v>4.4</v>
      </c>
      <c r="N13" s="51" t="n">
        <v>0</v>
      </c>
      <c r="O13" s="51" t="n">
        <v>0</v>
      </c>
      <c r="P13" s="6" t="n">
        <f aca="false">M13-(N13+O13)</f>
        <v>4.4</v>
      </c>
      <c r="Q13" s="51" t="n">
        <v>0</v>
      </c>
      <c r="R13" s="51" t="n">
        <v>0</v>
      </c>
      <c r="S13" s="51" t="n">
        <f aca="false">SUM(P13:R13)</f>
        <v>4.4</v>
      </c>
      <c r="T13" s="52"/>
      <c r="U13" s="51" t="n">
        <v>0</v>
      </c>
      <c r="V13" s="51" t="n">
        <v>48</v>
      </c>
      <c r="W13" s="52" t="n">
        <f aca="false">W12-45-2</f>
        <v>794</v>
      </c>
      <c r="X13" s="6" t="n">
        <f aca="false">N13+O13+S13+U13+V13</f>
        <v>52.4</v>
      </c>
      <c r="Y13" s="51" t="n">
        <f aca="false">IF(L13&lt;0,L13*-1,0)</f>
        <v>0</v>
      </c>
      <c r="Z13" s="51" t="n">
        <f aca="false">X13+Y13</f>
        <v>52.4</v>
      </c>
      <c r="AA13" s="53" t="n">
        <v>0.1</v>
      </c>
      <c r="AB13" s="56" t="n">
        <v>68</v>
      </c>
      <c r="AC13" s="56" t="n">
        <v>26</v>
      </c>
      <c r="AD13" s="57" t="n">
        <f aca="false">AD12+1</f>
        <v>4</v>
      </c>
      <c r="AE13" s="86"/>
      <c r="AF13" s="87"/>
      <c r="AG13" s="86"/>
    </row>
    <row r="14" customFormat="false" ht="11.1" hidden="false" customHeight="true" outlineLevel="0" collapsed="false">
      <c r="A14" s="57" t="n">
        <f aca="false">A13+1</f>
        <v>5</v>
      </c>
      <c r="B14" s="71" t="n">
        <v>6910.55</v>
      </c>
      <c r="C14" s="52" t="n">
        <v>324194</v>
      </c>
      <c r="D14" s="56" t="n">
        <f aca="false">C14-C13</f>
        <v>121</v>
      </c>
      <c r="E14" s="52" t="n">
        <f aca="false">C14-152000</f>
        <v>172194</v>
      </c>
      <c r="F14" s="51" t="n">
        <f aca="false">D14/$D$2</f>
        <v>61.0032770355432</v>
      </c>
      <c r="G14" s="51" t="n">
        <v>88</v>
      </c>
      <c r="H14" s="90" t="n">
        <v>3</v>
      </c>
      <c r="I14" s="51" t="n">
        <f aca="false">G14+H14</f>
        <v>91</v>
      </c>
      <c r="J14" s="78" t="n">
        <f aca="false">IF(L14&gt;0,L14,0)</f>
        <v>22.4032770355432</v>
      </c>
      <c r="K14" s="51" t="n">
        <f aca="false">I14+J14</f>
        <v>113.403277035543</v>
      </c>
      <c r="L14" s="51" t="n">
        <f aca="false">F14-(I14-X14)</f>
        <v>22.4032770355432</v>
      </c>
      <c r="M14" s="51" t="n">
        <v>4.4</v>
      </c>
      <c r="N14" s="51" t="n">
        <v>0</v>
      </c>
      <c r="O14" s="51" t="n">
        <v>0</v>
      </c>
      <c r="P14" s="6" t="n">
        <f aca="false">M14-(N14+O14)</f>
        <v>4.4</v>
      </c>
      <c r="Q14" s="51" t="n">
        <v>0</v>
      </c>
      <c r="R14" s="51" t="n">
        <v>0</v>
      </c>
      <c r="S14" s="51" t="n">
        <f aca="false">SUM(P14:R14)</f>
        <v>4.4</v>
      </c>
      <c r="T14" s="52"/>
      <c r="U14" s="51" t="n">
        <v>0</v>
      </c>
      <c r="V14" s="51" t="n">
        <v>48</v>
      </c>
      <c r="W14" s="52" t="n">
        <f aca="false">W13-45-2</f>
        <v>747</v>
      </c>
      <c r="X14" s="6" t="n">
        <f aca="false">N14+O14+S14+U14+V14</f>
        <v>52.4</v>
      </c>
      <c r="Y14" s="51" t="n">
        <f aca="false">IF(L14&lt;0,L14*-1,0)</f>
        <v>0</v>
      </c>
      <c r="Z14" s="51" t="n">
        <f aca="false">X14+Y14</f>
        <v>52.4</v>
      </c>
      <c r="AA14" s="53" t="n">
        <v>0.36</v>
      </c>
      <c r="AB14" s="56" t="n">
        <v>52</v>
      </c>
      <c r="AC14" s="56" t="n">
        <v>33</v>
      </c>
      <c r="AD14" s="57" t="n">
        <f aca="false">AD13+1</f>
        <v>5</v>
      </c>
      <c r="AE14" s="86"/>
      <c r="AF14" s="87"/>
      <c r="AG14" s="86"/>
    </row>
    <row r="15" customFormat="false" ht="11.1" hidden="false" customHeight="true" outlineLevel="0" collapsed="false">
      <c r="A15" s="57" t="n">
        <f aca="false">A14+1</f>
        <v>6</v>
      </c>
      <c r="B15" s="71" t="n">
        <v>6910.58</v>
      </c>
      <c r="C15" s="52" t="n">
        <v>324314</v>
      </c>
      <c r="D15" s="56" t="n">
        <f aca="false">C15-C14</f>
        <v>120</v>
      </c>
      <c r="E15" s="52" t="n">
        <f aca="false">C15-152000</f>
        <v>172314</v>
      </c>
      <c r="F15" s="51" t="n">
        <f aca="false">D15/$D$2</f>
        <v>60.4991177211999</v>
      </c>
      <c r="G15" s="51" t="n">
        <v>96</v>
      </c>
      <c r="H15" s="90" t="n">
        <v>3.2</v>
      </c>
      <c r="I15" s="51" t="n">
        <f aca="false">G15+H15</f>
        <v>99.2</v>
      </c>
      <c r="J15" s="78" t="n">
        <f aca="false">IF(L15&gt;0,L15,0)</f>
        <v>18.5991177211999</v>
      </c>
      <c r="K15" s="51" t="n">
        <f aca="false">I15+J15</f>
        <v>117.7991177212</v>
      </c>
      <c r="L15" s="51" t="n">
        <f aca="false">F15-(I15-X15)</f>
        <v>18.5991177211999</v>
      </c>
      <c r="M15" s="51" t="n">
        <v>9.3</v>
      </c>
      <c r="N15" s="51" t="n">
        <v>0</v>
      </c>
      <c r="O15" s="51" t="n">
        <v>0</v>
      </c>
      <c r="P15" s="6" t="n">
        <f aca="false">M15-(N15+O15)</f>
        <v>9.3</v>
      </c>
      <c r="Q15" s="51" t="n">
        <v>0</v>
      </c>
      <c r="R15" s="51" t="n">
        <v>0</v>
      </c>
      <c r="S15" s="51" t="n">
        <f aca="false">SUM(P15:R15)</f>
        <v>9.3</v>
      </c>
      <c r="T15" s="52"/>
      <c r="U15" s="51" t="n">
        <v>0</v>
      </c>
      <c r="V15" s="51" t="n">
        <v>48</v>
      </c>
      <c r="W15" s="52" t="n">
        <f aca="false">W14-45-2</f>
        <v>700</v>
      </c>
      <c r="X15" s="6" t="n">
        <f aca="false">N15+O15+S15+U15+V15</f>
        <v>57.3</v>
      </c>
      <c r="Y15" s="51" t="n">
        <f aca="false">IF(L15&lt;0,L15*-1,0)</f>
        <v>0</v>
      </c>
      <c r="Z15" s="51" t="n">
        <f aca="false">X15+Y15</f>
        <v>57.3</v>
      </c>
      <c r="AA15" s="53" t="n">
        <v>0.12</v>
      </c>
      <c r="AB15" s="56" t="n">
        <v>36</v>
      </c>
      <c r="AC15" s="56" t="n">
        <v>30</v>
      </c>
      <c r="AD15" s="57" t="n">
        <f aca="false">AD14+1</f>
        <v>6</v>
      </c>
      <c r="AE15" s="85"/>
      <c r="AF15" s="87"/>
      <c r="AG15" s="86"/>
    </row>
    <row r="16" customFormat="false" ht="11.1" hidden="false" customHeight="true" outlineLevel="0" collapsed="false">
      <c r="A16" s="57" t="n">
        <f aca="false">A15+1</f>
        <v>7</v>
      </c>
      <c r="B16" s="71" t="n">
        <v>6910.63</v>
      </c>
      <c r="C16" s="52" t="n">
        <v>324515</v>
      </c>
      <c r="D16" s="56" t="n">
        <f aca="false">C16-C15</f>
        <v>201</v>
      </c>
      <c r="E16" s="52" t="n">
        <f aca="false">C16-152000</f>
        <v>172515</v>
      </c>
      <c r="F16" s="51" t="n">
        <f aca="false">D16/$D$2</f>
        <v>101.33602218301</v>
      </c>
      <c r="G16" s="51" t="n">
        <v>92</v>
      </c>
      <c r="H16" s="90" t="n">
        <v>2.9</v>
      </c>
      <c r="I16" s="51" t="n">
        <f aca="false">G16+H16</f>
        <v>94.9</v>
      </c>
      <c r="J16" s="78" t="n">
        <f aca="false">IF(L16&gt;0,L16,0)</f>
        <v>65.4360221830098</v>
      </c>
      <c r="K16" s="51" t="n">
        <f aca="false">I16+J16</f>
        <v>160.33602218301</v>
      </c>
      <c r="L16" s="51" t="n">
        <f aca="false">F16-(I16-X16)</f>
        <v>65.4360221830098</v>
      </c>
      <c r="M16" s="51" t="n">
        <v>10</v>
      </c>
      <c r="N16" s="51" t="n">
        <v>0</v>
      </c>
      <c r="O16" s="51" t="n">
        <v>0</v>
      </c>
      <c r="P16" s="6" t="n">
        <f aca="false">M16-(N16+O16)</f>
        <v>10</v>
      </c>
      <c r="Q16" s="51" t="n">
        <v>0</v>
      </c>
      <c r="R16" s="51" t="n">
        <v>0</v>
      </c>
      <c r="S16" s="51" t="n">
        <f aca="false">SUM(P16:R16)</f>
        <v>10</v>
      </c>
      <c r="T16" s="52"/>
      <c r="U16" s="51" t="n">
        <v>0</v>
      </c>
      <c r="V16" s="51" t="n">
        <v>49</v>
      </c>
      <c r="W16" s="52" t="n">
        <f aca="false">W15-45-2</f>
        <v>653</v>
      </c>
      <c r="X16" s="6" t="n">
        <f aca="false">N16+O16+S16+U16+V16</f>
        <v>59</v>
      </c>
      <c r="Y16" s="51" t="n">
        <f aca="false">IF(L16&lt;0,L16*-1,0)</f>
        <v>0</v>
      </c>
      <c r="Z16" s="51" t="n">
        <f aca="false">X16+Y16</f>
        <v>59</v>
      </c>
      <c r="AA16" s="53" t="n">
        <v>0.22</v>
      </c>
      <c r="AB16" s="56" t="n">
        <v>36</v>
      </c>
      <c r="AC16" s="56" t="n">
        <v>29</v>
      </c>
      <c r="AD16" s="57" t="n">
        <f aca="false">AD15+1</f>
        <v>7</v>
      </c>
      <c r="AE16" s="85"/>
      <c r="AF16" s="87"/>
      <c r="AG16" s="86"/>
    </row>
    <row r="17" customFormat="false" ht="11.1" hidden="false" customHeight="true" outlineLevel="0" collapsed="false">
      <c r="A17" s="57" t="n">
        <f aca="false">A16+1</f>
        <v>8</v>
      </c>
      <c r="B17" s="71" t="n">
        <v>6910.67</v>
      </c>
      <c r="C17" s="52" t="n">
        <v>324675</v>
      </c>
      <c r="D17" s="56" t="n">
        <f aca="false">C17-C16</f>
        <v>160</v>
      </c>
      <c r="E17" s="52" t="n">
        <f aca="false">C17-152000</f>
        <v>172675</v>
      </c>
      <c r="F17" s="51" t="n">
        <f aca="false">D17/$D$2</f>
        <v>80.6654902949332</v>
      </c>
      <c r="G17" s="51" t="n">
        <v>80</v>
      </c>
      <c r="H17" s="90" t="n">
        <v>3.3</v>
      </c>
      <c r="I17" s="51" t="n">
        <f aca="false">G17+H17</f>
        <v>83.3</v>
      </c>
      <c r="J17" s="78" t="n">
        <f aca="false">IF(L17&gt;0,L17,0)</f>
        <v>54.1654902949332</v>
      </c>
      <c r="K17" s="51" t="n">
        <f aca="false">I17+J17</f>
        <v>137.465490294933</v>
      </c>
      <c r="L17" s="51" t="n">
        <f aca="false">F17-(I17-X17)</f>
        <v>54.1654902949332</v>
      </c>
      <c r="M17" s="51" t="n">
        <v>7.8</v>
      </c>
      <c r="N17" s="51" t="n">
        <v>0</v>
      </c>
      <c r="O17" s="51" t="n">
        <v>0</v>
      </c>
      <c r="P17" s="6" t="n">
        <f aca="false">M17-(N17+O17)</f>
        <v>7.8</v>
      </c>
      <c r="Q17" s="51" t="n">
        <v>0</v>
      </c>
      <c r="R17" s="51" t="n">
        <v>0</v>
      </c>
      <c r="S17" s="51" t="n">
        <f aca="false">SUM(P17:R17)</f>
        <v>7.8</v>
      </c>
      <c r="T17" s="52"/>
      <c r="U17" s="51" t="n">
        <v>0</v>
      </c>
      <c r="V17" s="51" t="n">
        <v>49</v>
      </c>
      <c r="W17" s="52" t="n">
        <f aca="false">W16-45-2</f>
        <v>606</v>
      </c>
      <c r="X17" s="6" t="n">
        <f aca="false">N17+O17+S17+U17+V17</f>
        <v>56.8</v>
      </c>
      <c r="Y17" s="51" t="n">
        <f aca="false">IF(L17&lt;0,L17*-1,0)</f>
        <v>0</v>
      </c>
      <c r="Z17" s="51" t="n">
        <f aca="false">X17+Y17</f>
        <v>56.8</v>
      </c>
      <c r="AA17" s="53" t="n">
        <v>0.25</v>
      </c>
      <c r="AB17" s="56" t="n">
        <v>38</v>
      </c>
      <c r="AC17" s="56" t="n">
        <v>18</v>
      </c>
      <c r="AD17" s="57" t="n">
        <f aca="false">AD16+1</f>
        <v>8</v>
      </c>
      <c r="AE17" s="85"/>
      <c r="AF17" s="87"/>
      <c r="AG17" s="86"/>
    </row>
    <row r="18" customFormat="false" ht="11.1" hidden="false" customHeight="true" outlineLevel="0" collapsed="false">
      <c r="A18" s="57" t="n">
        <f aca="false">A17+1</f>
        <v>9</v>
      </c>
      <c r="B18" s="71" t="n">
        <v>6910.68</v>
      </c>
      <c r="C18" s="52" t="n">
        <v>324715</v>
      </c>
      <c r="D18" s="56" t="n">
        <f aca="false">C18-C17</f>
        <v>40</v>
      </c>
      <c r="E18" s="52" t="n">
        <f aca="false">C18-152000</f>
        <v>172715</v>
      </c>
      <c r="F18" s="51" t="n">
        <f aca="false">D18/$D$2</f>
        <v>20.1663725737333</v>
      </c>
      <c r="G18" s="51" t="n">
        <v>79</v>
      </c>
      <c r="H18" s="90" t="n">
        <v>2.4</v>
      </c>
      <c r="I18" s="51" t="n">
        <f aca="false">G18+H18</f>
        <v>81.4</v>
      </c>
      <c r="J18" s="78" t="n">
        <f aca="false">IF(L18&gt;0,L18,0)</f>
        <v>0</v>
      </c>
      <c r="K18" s="51" t="n">
        <f aca="false">I18+J18</f>
        <v>81.4</v>
      </c>
      <c r="L18" s="51" t="n">
        <f aca="false">F18-(I18-X18)</f>
        <v>-5.73362742626671</v>
      </c>
      <c r="M18" s="51" t="n">
        <v>6.5</v>
      </c>
      <c r="N18" s="51" t="n">
        <v>0</v>
      </c>
      <c r="O18" s="51" t="n">
        <v>0</v>
      </c>
      <c r="P18" s="6" t="n">
        <f aca="false">M18-(N18+O18)</f>
        <v>6.5</v>
      </c>
      <c r="Q18" s="51" t="n">
        <v>0</v>
      </c>
      <c r="R18" s="51" t="n">
        <v>0</v>
      </c>
      <c r="S18" s="51" t="n">
        <f aca="false">SUM(P18:R18)</f>
        <v>6.5</v>
      </c>
      <c r="T18" s="52"/>
      <c r="U18" s="51" t="n">
        <v>0</v>
      </c>
      <c r="V18" s="51" t="n">
        <v>49</v>
      </c>
      <c r="W18" s="52" t="n">
        <f aca="false">W17-45-2</f>
        <v>559</v>
      </c>
      <c r="X18" s="6" t="n">
        <f aca="false">N18+O18+S18+U18+V18</f>
        <v>55.5</v>
      </c>
      <c r="Y18" s="51" t="n">
        <f aca="false">IF(L18&lt;0,L18*-1,0)</f>
        <v>5.73362742626671</v>
      </c>
      <c r="Z18" s="51" t="n">
        <f aca="false">X18+Y18</f>
        <v>61.2336274262667</v>
      </c>
      <c r="AA18" s="53" t="n">
        <v>0</v>
      </c>
      <c r="AB18" s="79" t="n">
        <v>39</v>
      </c>
      <c r="AC18" s="56" t="n">
        <v>24</v>
      </c>
      <c r="AD18" s="57" t="n">
        <f aca="false">AD17+1</f>
        <v>9</v>
      </c>
      <c r="AE18" s="85"/>
      <c r="AF18" s="87"/>
      <c r="AG18" s="86"/>
    </row>
    <row r="19" customFormat="false" ht="11.1" hidden="false" customHeight="true" outlineLevel="0" collapsed="false">
      <c r="A19" s="57" t="n">
        <f aca="false">A18+1</f>
        <v>10</v>
      </c>
      <c r="B19" s="71" t="n">
        <v>6910.69</v>
      </c>
      <c r="C19" s="52" t="n">
        <v>324755</v>
      </c>
      <c r="D19" s="56" t="n">
        <f aca="false">C19-C18</f>
        <v>40</v>
      </c>
      <c r="E19" s="52" t="n">
        <f aca="false">C19-152000</f>
        <v>172755</v>
      </c>
      <c r="F19" s="51" t="n">
        <f aca="false">D19/$D$2</f>
        <v>20.1663725737333</v>
      </c>
      <c r="G19" s="51" t="n">
        <v>66</v>
      </c>
      <c r="H19" s="90" t="n">
        <v>3.1</v>
      </c>
      <c r="I19" s="51" t="n">
        <f aca="false">G19+H19</f>
        <v>69.1</v>
      </c>
      <c r="J19" s="78" t="n">
        <f aca="false">IF(L19&gt;0,L19,0)</f>
        <v>6.76637257373331</v>
      </c>
      <c r="K19" s="51" t="n">
        <f aca="false">I19+J19</f>
        <v>75.8663725737333</v>
      </c>
      <c r="L19" s="51" t="n">
        <f aca="false">F19-(I19-X19)</f>
        <v>6.76637257373331</v>
      </c>
      <c r="M19" s="92" t="n">
        <v>6.7</v>
      </c>
      <c r="N19" s="92" t="n">
        <v>0</v>
      </c>
      <c r="O19" s="51" t="n">
        <v>0</v>
      </c>
      <c r="P19" s="6" t="n">
        <f aca="false">M19-(N19+O19)</f>
        <v>6.7</v>
      </c>
      <c r="Q19" s="51" t="n">
        <v>0</v>
      </c>
      <c r="R19" s="51" t="n">
        <v>0</v>
      </c>
      <c r="S19" s="51" t="n">
        <f aca="false">SUM(P19:R19)</f>
        <v>6.7</v>
      </c>
      <c r="T19" s="52"/>
      <c r="U19" s="51" t="n">
        <v>0</v>
      </c>
      <c r="V19" s="51" t="n">
        <v>49</v>
      </c>
      <c r="W19" s="52" t="n">
        <f aca="false">W18-45-2</f>
        <v>512</v>
      </c>
      <c r="X19" s="6" t="n">
        <f aca="false">N19+O19+S19+U19+V19</f>
        <v>55.7</v>
      </c>
      <c r="Y19" s="51" t="n">
        <f aca="false">IF(L19&lt;0,L19*-1,0)</f>
        <v>0</v>
      </c>
      <c r="Z19" s="51" t="n">
        <f aca="false">X19+Y19</f>
        <v>55.7</v>
      </c>
      <c r="AA19" s="53" t="n">
        <v>0</v>
      </c>
      <c r="AB19" s="56" t="n">
        <v>42</v>
      </c>
      <c r="AC19" s="56" t="n">
        <v>15</v>
      </c>
      <c r="AD19" s="57" t="n">
        <f aca="false">AD18+1</f>
        <v>10</v>
      </c>
      <c r="AE19" s="85"/>
      <c r="AF19" s="87"/>
      <c r="AG19" s="86"/>
    </row>
    <row r="20" customFormat="false" ht="11.1" hidden="false" customHeight="true" outlineLevel="0" collapsed="false">
      <c r="A20" s="57" t="n">
        <f aca="false">A19+1</f>
        <v>11</v>
      </c>
      <c r="B20" s="71" t="n">
        <v>6910.7</v>
      </c>
      <c r="C20" s="52" t="n">
        <v>324796</v>
      </c>
      <c r="D20" s="56" t="n">
        <f aca="false">C20-C19</f>
        <v>41</v>
      </c>
      <c r="E20" s="52" t="n">
        <f aca="false">C20-152000</f>
        <v>172796</v>
      </c>
      <c r="F20" s="51" t="n">
        <f aca="false">D20/$D$2</f>
        <v>20.6705318880766</v>
      </c>
      <c r="G20" s="51" t="n">
        <v>59</v>
      </c>
      <c r="H20" s="90" t="n">
        <v>3.8</v>
      </c>
      <c r="I20" s="51" t="n">
        <f aca="false">G20+H20</f>
        <v>62.8</v>
      </c>
      <c r="J20" s="78" t="n">
        <f aca="false">IF(L20&gt;0,L20,0)</f>
        <v>12.2705318880766</v>
      </c>
      <c r="K20" s="51" t="n">
        <f aca="false">I20+J20</f>
        <v>75.0705318880766</v>
      </c>
      <c r="L20" s="51" t="n">
        <f aca="false">F20-(I20-X20)</f>
        <v>12.2705318880766</v>
      </c>
      <c r="M20" s="92" t="n">
        <v>6.4</v>
      </c>
      <c r="N20" s="92" t="n">
        <v>0</v>
      </c>
      <c r="O20" s="51" t="n">
        <v>0</v>
      </c>
      <c r="P20" s="6" t="n">
        <f aca="false">M20-(N20+O20)</f>
        <v>6.4</v>
      </c>
      <c r="Q20" s="51" t="n">
        <v>0</v>
      </c>
      <c r="R20" s="51" t="n">
        <v>0</v>
      </c>
      <c r="S20" s="51" t="n">
        <f aca="false">SUM(P20:R20)</f>
        <v>6.4</v>
      </c>
      <c r="T20" s="52"/>
      <c r="U20" s="51" t="n">
        <v>0</v>
      </c>
      <c r="V20" s="51" t="n">
        <v>48</v>
      </c>
      <c r="W20" s="52" t="n">
        <f aca="false">W19-45-2</f>
        <v>465</v>
      </c>
      <c r="X20" s="6" t="n">
        <f aca="false">N20+O20+S20+U20+V20</f>
        <v>54.4</v>
      </c>
      <c r="Y20" s="51" t="n">
        <f aca="false">IF(L20&lt;0,L20*-1,0)</f>
        <v>0</v>
      </c>
      <c r="Z20" s="51" t="n">
        <f aca="false">X20+Y20</f>
        <v>54.4</v>
      </c>
      <c r="AA20" s="53" t="n">
        <v>0</v>
      </c>
      <c r="AB20" s="56" t="n">
        <v>46</v>
      </c>
      <c r="AC20" s="56" t="n">
        <v>17</v>
      </c>
      <c r="AD20" s="57" t="n">
        <f aca="false">AD19+1</f>
        <v>11</v>
      </c>
      <c r="AE20" s="85"/>
      <c r="AF20" s="87"/>
      <c r="AG20" s="86"/>
    </row>
    <row r="21" customFormat="false" ht="11.1" hidden="false" customHeight="true" outlineLevel="0" collapsed="false">
      <c r="A21" s="57" t="n">
        <f aca="false">A20+1</f>
        <v>12</v>
      </c>
      <c r="B21" s="71" t="n">
        <v>6910.71</v>
      </c>
      <c r="C21" s="52" t="n">
        <v>324836</v>
      </c>
      <c r="D21" s="56" t="n">
        <f aca="false">C21-C20</f>
        <v>40</v>
      </c>
      <c r="E21" s="52" t="n">
        <f aca="false">C21-152000</f>
        <v>172836</v>
      </c>
      <c r="F21" s="51" t="n">
        <f aca="false">D21/$D$2</f>
        <v>20.1663725737333</v>
      </c>
      <c r="G21" s="51" t="n">
        <v>80</v>
      </c>
      <c r="H21" s="90" t="n">
        <v>2.5</v>
      </c>
      <c r="I21" s="51" t="n">
        <f aca="false">G21+H21</f>
        <v>82.5</v>
      </c>
      <c r="J21" s="78" t="n">
        <f aca="false">IF(L21&gt;0,L21,0)</f>
        <v>0</v>
      </c>
      <c r="K21" s="51" t="n">
        <f aca="false">I21+J21</f>
        <v>82.5</v>
      </c>
      <c r="L21" s="51" t="n">
        <f aca="false">F21-(I21-X21)</f>
        <v>-7.6336274262667</v>
      </c>
      <c r="M21" s="92" t="n">
        <v>5.7</v>
      </c>
      <c r="N21" s="92" t="n">
        <v>0</v>
      </c>
      <c r="O21" s="51" t="n">
        <v>0</v>
      </c>
      <c r="P21" s="6" t="n">
        <f aca="false">M21-(N21+O21)</f>
        <v>5.7</v>
      </c>
      <c r="Q21" s="51" t="n">
        <v>0</v>
      </c>
      <c r="R21" s="51" t="n">
        <v>0</v>
      </c>
      <c r="S21" s="51" t="n">
        <f aca="false">SUM(P21:R21)</f>
        <v>5.7</v>
      </c>
      <c r="T21" s="52"/>
      <c r="U21" s="51" t="n">
        <v>0</v>
      </c>
      <c r="V21" s="51" t="n">
        <v>49</v>
      </c>
      <c r="W21" s="52" t="n">
        <f aca="false">W20-45-2</f>
        <v>418</v>
      </c>
      <c r="X21" s="6" t="n">
        <f aca="false">N21+O21+S21+U21+V21</f>
        <v>54.7</v>
      </c>
      <c r="Y21" s="51" t="n">
        <f aca="false">IF(L21&lt;0,L21*-1,0)</f>
        <v>7.6336274262667</v>
      </c>
      <c r="Z21" s="51" t="n">
        <f aca="false">X21+Y21</f>
        <v>62.3336274262667</v>
      </c>
      <c r="AA21" s="53" t="n">
        <v>0</v>
      </c>
      <c r="AB21" s="56" t="n">
        <v>58</v>
      </c>
      <c r="AC21" s="56" t="n">
        <v>25</v>
      </c>
      <c r="AD21" s="57" t="n">
        <f aca="false">AD20+1</f>
        <v>12</v>
      </c>
      <c r="AE21" s="85"/>
      <c r="AF21" s="87"/>
      <c r="AG21" s="86"/>
    </row>
    <row r="22" customFormat="false" ht="11.1" hidden="false" customHeight="true" outlineLevel="0" collapsed="false">
      <c r="A22" s="57" t="n">
        <f aca="false">A21+1</f>
        <v>13</v>
      </c>
      <c r="B22" s="71" t="n">
        <v>6910.73</v>
      </c>
      <c r="C22" s="52" t="n">
        <v>324916</v>
      </c>
      <c r="D22" s="56" t="n">
        <f aca="false">C22-C21</f>
        <v>80</v>
      </c>
      <c r="E22" s="52" t="n">
        <f aca="false">C22-152000</f>
        <v>172916</v>
      </c>
      <c r="F22" s="51" t="n">
        <f aca="false">D22/$D$2</f>
        <v>40.3327451474666</v>
      </c>
      <c r="G22" s="51" t="n">
        <v>82</v>
      </c>
      <c r="H22" s="90" t="n">
        <v>3.3</v>
      </c>
      <c r="I22" s="51" t="n">
        <f aca="false">G22+H22</f>
        <v>85.3</v>
      </c>
      <c r="J22" s="78" t="n">
        <f aca="false">IF(L22&gt;0,L22,0)</f>
        <v>9.3327451474666</v>
      </c>
      <c r="K22" s="51" t="n">
        <f aca="false">I22+J22</f>
        <v>94.6327451474666</v>
      </c>
      <c r="L22" s="51" t="n">
        <f aca="false">F22-(I22-X22)</f>
        <v>9.3327451474666</v>
      </c>
      <c r="M22" s="92" t="n">
        <v>5.3</v>
      </c>
      <c r="N22" s="92" t="n">
        <v>0</v>
      </c>
      <c r="O22" s="51" t="n">
        <v>0</v>
      </c>
      <c r="P22" s="6" t="n">
        <f aca="false">M22-(N22+O22)</f>
        <v>5.3</v>
      </c>
      <c r="Q22" s="51" t="n">
        <v>0</v>
      </c>
      <c r="R22" s="51" t="n">
        <v>0</v>
      </c>
      <c r="S22" s="51" t="n">
        <f aca="false">SUM(P22:R22)</f>
        <v>5.3</v>
      </c>
      <c r="T22" s="52"/>
      <c r="U22" s="51" t="n">
        <v>0</v>
      </c>
      <c r="V22" s="51" t="n">
        <v>49</v>
      </c>
      <c r="W22" s="52" t="n">
        <f aca="false">W21-45-2</f>
        <v>371</v>
      </c>
      <c r="X22" s="6" t="n">
        <f aca="false">N22+O22+S22+U22+V22</f>
        <v>54.3</v>
      </c>
      <c r="Y22" s="51" t="n">
        <f aca="false">IF(L22&lt;0,L22*-1,0)</f>
        <v>0</v>
      </c>
      <c r="Z22" s="51" t="n">
        <f aca="false">X22+Y22</f>
        <v>54.3</v>
      </c>
      <c r="AA22" s="53" t="n">
        <v>0</v>
      </c>
      <c r="AB22" s="56" t="n">
        <v>51</v>
      </c>
      <c r="AC22" s="56" t="n">
        <v>24</v>
      </c>
      <c r="AD22" s="57" t="n">
        <f aca="false">AD21+1</f>
        <v>13</v>
      </c>
      <c r="AE22" s="85"/>
      <c r="AF22" s="87"/>
      <c r="AG22" s="86"/>
    </row>
    <row r="23" customFormat="false" ht="11.1" hidden="false" customHeight="true" outlineLevel="0" collapsed="false">
      <c r="A23" s="57" t="n">
        <f aca="false">A22+1</f>
        <v>14</v>
      </c>
      <c r="B23" s="71" t="n">
        <v>6910.76</v>
      </c>
      <c r="C23" s="52" t="n">
        <v>325036</v>
      </c>
      <c r="D23" s="56" t="n">
        <f aca="false">C23-C22</f>
        <v>120</v>
      </c>
      <c r="E23" s="52" t="n">
        <f aca="false">C23-152000</f>
        <v>173036</v>
      </c>
      <c r="F23" s="51" t="n">
        <f aca="false">D23/$D$2</f>
        <v>60.4991177211999</v>
      </c>
      <c r="G23" s="51" t="n">
        <v>80</v>
      </c>
      <c r="H23" s="53" t="n">
        <v>3.8</v>
      </c>
      <c r="I23" s="51" t="n">
        <f aca="false">G23+H23</f>
        <v>83.8</v>
      </c>
      <c r="J23" s="78" t="n">
        <f aca="false">IF(L23&gt;0,L23,0)</f>
        <v>30.7991177211999</v>
      </c>
      <c r="K23" s="51" t="n">
        <f aca="false">I23+J23</f>
        <v>114.5991177212</v>
      </c>
      <c r="L23" s="51" t="n">
        <f aca="false">F23-(I23-X23)</f>
        <v>30.7991177211999</v>
      </c>
      <c r="M23" s="51" t="n">
        <v>5.1</v>
      </c>
      <c r="N23" s="51" t="n">
        <v>0</v>
      </c>
      <c r="O23" s="51" t="n">
        <v>0</v>
      </c>
      <c r="P23" s="6" t="n">
        <f aca="false">M23-(N23+O23)</f>
        <v>5.1</v>
      </c>
      <c r="Q23" s="51" t="n">
        <v>0</v>
      </c>
      <c r="R23" s="51" t="n">
        <v>0</v>
      </c>
      <c r="S23" s="51" t="n">
        <f aca="false">SUM(P23:R23)</f>
        <v>5.1</v>
      </c>
      <c r="T23" s="52"/>
      <c r="U23" s="51" t="n">
        <v>0</v>
      </c>
      <c r="V23" s="51" t="n">
        <v>49</v>
      </c>
      <c r="W23" s="52" t="n">
        <f aca="false">W22-45-2</f>
        <v>324</v>
      </c>
      <c r="X23" s="6" t="n">
        <f aca="false">N23+O23+S23+U23+V23</f>
        <v>54.1</v>
      </c>
      <c r="Y23" s="51" t="n">
        <f aca="false">IF(L23&lt;0,L23*-1,0)</f>
        <v>0</v>
      </c>
      <c r="Z23" s="51" t="n">
        <f aca="false">X23+Y23</f>
        <v>54.1</v>
      </c>
      <c r="AA23" s="53" t="n">
        <v>0</v>
      </c>
      <c r="AB23" s="79" t="n">
        <v>57</v>
      </c>
      <c r="AC23" s="56" t="n">
        <v>26</v>
      </c>
      <c r="AD23" s="57" t="n">
        <f aca="false">AD22+1</f>
        <v>14</v>
      </c>
      <c r="AE23" s="85"/>
      <c r="AF23" s="87"/>
      <c r="AG23" s="86"/>
    </row>
    <row r="24" customFormat="false" ht="11.1" hidden="false" customHeight="true" outlineLevel="0" collapsed="false">
      <c r="A24" s="57" t="n">
        <f aca="false">A23+1</f>
        <v>15</v>
      </c>
      <c r="B24" s="71" t="n">
        <v>6910.78</v>
      </c>
      <c r="C24" s="52" t="n">
        <v>325117</v>
      </c>
      <c r="D24" s="56" t="n">
        <f aca="false">C24-C23</f>
        <v>81</v>
      </c>
      <c r="E24" s="52" t="n">
        <f aca="false">C24-152000</f>
        <v>173117</v>
      </c>
      <c r="F24" s="51" t="n">
        <f aca="false">D24/$D$2</f>
        <v>40.8369044618099</v>
      </c>
      <c r="G24" s="51" t="n">
        <v>90</v>
      </c>
      <c r="H24" s="53" t="n">
        <v>3.5</v>
      </c>
      <c r="I24" s="51" t="n">
        <f aca="false">G24+H24</f>
        <v>93.5</v>
      </c>
      <c r="J24" s="78" t="n">
        <f aca="false">IF(L24&gt;0,L24,0)</f>
        <v>2.23690446180993</v>
      </c>
      <c r="K24" s="51" t="n">
        <f aca="false">I24+J24</f>
        <v>95.7369044618099</v>
      </c>
      <c r="L24" s="51" t="n">
        <f aca="false">F24-(I24-X24)</f>
        <v>2.23690446180993</v>
      </c>
      <c r="M24" s="51" t="n">
        <v>5.9</v>
      </c>
      <c r="N24" s="51" t="n">
        <v>0</v>
      </c>
      <c r="O24" s="51" t="n">
        <v>0</v>
      </c>
      <c r="P24" s="6" t="n">
        <f aca="false">M24-(N24+O24)</f>
        <v>5.9</v>
      </c>
      <c r="Q24" s="51" t="n">
        <v>0</v>
      </c>
      <c r="R24" s="51" t="n">
        <v>0</v>
      </c>
      <c r="S24" s="51" t="n">
        <f aca="false">SUM(P24:R24)</f>
        <v>5.9</v>
      </c>
      <c r="T24" s="52"/>
      <c r="U24" s="51" t="n">
        <v>0</v>
      </c>
      <c r="V24" s="51" t="n">
        <v>49</v>
      </c>
      <c r="W24" s="52" t="n">
        <f aca="false">W23-45-2</f>
        <v>277</v>
      </c>
      <c r="X24" s="6" t="n">
        <f aca="false">N24+O24+S24+U24+V24</f>
        <v>54.9</v>
      </c>
      <c r="Y24" s="51" t="n">
        <f aca="false">IF(L24&lt;0,L24*-1,0)</f>
        <v>0</v>
      </c>
      <c r="Z24" s="51" t="n">
        <f aca="false">X24+Y24</f>
        <v>54.9</v>
      </c>
      <c r="AA24" s="53" t="n">
        <v>0</v>
      </c>
      <c r="AB24" s="79" t="n">
        <v>51</v>
      </c>
      <c r="AC24" s="56" t="n">
        <v>30</v>
      </c>
      <c r="AD24" s="57" t="n">
        <f aca="false">AD23+1</f>
        <v>15</v>
      </c>
      <c r="AE24" s="85"/>
      <c r="AF24" s="87"/>
      <c r="AG24" s="86"/>
    </row>
    <row r="25" customFormat="false" ht="11.1" hidden="false" customHeight="true" outlineLevel="0" collapsed="false">
      <c r="A25" s="57" t="n">
        <f aca="false">A24+1</f>
        <v>16</v>
      </c>
      <c r="B25" s="71" t="n">
        <v>6910.8</v>
      </c>
      <c r="C25" s="52" t="n">
        <v>325197</v>
      </c>
      <c r="D25" s="56" t="n">
        <f aca="false">C25-C24</f>
        <v>80</v>
      </c>
      <c r="E25" s="52" t="n">
        <f aca="false">C25-152000</f>
        <v>173197</v>
      </c>
      <c r="F25" s="51" t="n">
        <f aca="false">D25/$D$2</f>
        <v>40.3327451474666</v>
      </c>
      <c r="G25" s="51" t="n">
        <v>89</v>
      </c>
      <c r="H25" s="53" t="n">
        <v>3.8</v>
      </c>
      <c r="I25" s="51" t="n">
        <f aca="false">G25+H25</f>
        <v>92.8</v>
      </c>
      <c r="J25" s="78" t="n">
        <f aca="false">IF(L25&gt;0,L25,0)</f>
        <v>4.7327451474666</v>
      </c>
      <c r="K25" s="51" t="n">
        <f aca="false">I25+J25</f>
        <v>97.5327451474666</v>
      </c>
      <c r="L25" s="51" t="n">
        <f aca="false">F25-(I25-X25)</f>
        <v>4.7327451474666</v>
      </c>
      <c r="M25" s="51" t="n">
        <v>8.2</v>
      </c>
      <c r="N25" s="51" t="n">
        <v>0</v>
      </c>
      <c r="O25" s="51" t="n">
        <v>0</v>
      </c>
      <c r="P25" s="6" t="n">
        <f aca="false">M25-(N25+O25)</f>
        <v>8.2</v>
      </c>
      <c r="Q25" s="51" t="n">
        <v>0</v>
      </c>
      <c r="R25" s="51" t="n">
        <v>0</v>
      </c>
      <c r="S25" s="51" t="n">
        <f aca="false">SUM(P25:R25)</f>
        <v>8.2</v>
      </c>
      <c r="T25" s="52"/>
      <c r="U25" s="51" t="n">
        <v>0</v>
      </c>
      <c r="V25" s="51" t="n">
        <v>49</v>
      </c>
      <c r="W25" s="52" t="n">
        <f aca="false">W24-45-2</f>
        <v>230</v>
      </c>
      <c r="X25" s="6" t="n">
        <f aca="false">N25+O25+S25+U25+V25</f>
        <v>57.2</v>
      </c>
      <c r="Y25" s="51" t="n">
        <f aca="false">IF(L25&lt;0,L25*-1,0)</f>
        <v>0</v>
      </c>
      <c r="Z25" s="51" t="n">
        <f aca="false">X25+Y25</f>
        <v>57.2</v>
      </c>
      <c r="AA25" s="53" t="n">
        <v>0</v>
      </c>
      <c r="AB25" s="79" t="n">
        <v>50</v>
      </c>
      <c r="AC25" s="56" t="n">
        <v>20</v>
      </c>
      <c r="AD25" s="57" t="n">
        <f aca="false">AD24+1</f>
        <v>16</v>
      </c>
      <c r="AE25" s="85"/>
      <c r="AF25" s="88"/>
      <c r="AG25" s="86"/>
    </row>
    <row r="26" customFormat="false" ht="11.1" hidden="false" customHeight="true" outlineLevel="0" collapsed="false">
      <c r="A26" s="57" t="n">
        <f aca="false">A25+1</f>
        <v>17</v>
      </c>
      <c r="B26" s="71" t="n">
        <v>6910.82</v>
      </c>
      <c r="C26" s="52" t="n">
        <v>325277</v>
      </c>
      <c r="D26" s="56" t="n">
        <f aca="false">C26-C25</f>
        <v>80</v>
      </c>
      <c r="E26" s="52" t="n">
        <f aca="false">C26-152000</f>
        <v>173277</v>
      </c>
      <c r="F26" s="51" t="n">
        <f aca="false">D26/$D$2</f>
        <v>40.3327451474666</v>
      </c>
      <c r="G26" s="51" t="n">
        <v>89</v>
      </c>
      <c r="H26" s="53" t="n">
        <v>3.9</v>
      </c>
      <c r="I26" s="51" t="n">
        <f aca="false">G26+H26</f>
        <v>92.9</v>
      </c>
      <c r="J26" s="78" t="n">
        <f aca="false">IF(L26&gt;0,L26,0)</f>
        <v>4.13274514746659</v>
      </c>
      <c r="K26" s="51" t="n">
        <f aca="false">I26+J26</f>
        <v>97.0327451474666</v>
      </c>
      <c r="L26" s="51" t="n">
        <f aca="false">F26-(I26-X26)</f>
        <v>4.13274514746659</v>
      </c>
      <c r="M26" s="51" t="n">
        <v>8.7</v>
      </c>
      <c r="N26" s="51" t="n">
        <v>0</v>
      </c>
      <c r="O26" s="51" t="n">
        <v>0</v>
      </c>
      <c r="P26" s="6" t="n">
        <f aca="false">M26-(N26+O26)</f>
        <v>8.7</v>
      </c>
      <c r="Q26" s="51" t="n">
        <v>0</v>
      </c>
      <c r="R26" s="51" t="n">
        <v>0</v>
      </c>
      <c r="S26" s="51" t="n">
        <f aca="false">SUM(P26:R26)</f>
        <v>8.7</v>
      </c>
      <c r="T26" s="52"/>
      <c r="U26" s="51" t="n">
        <v>0</v>
      </c>
      <c r="V26" s="51" t="n">
        <v>48</v>
      </c>
      <c r="W26" s="52" t="n">
        <f aca="false">W25-45-2</f>
        <v>183</v>
      </c>
      <c r="X26" s="6" t="n">
        <f aca="false">N26+O26+S26+U26+V26</f>
        <v>56.7</v>
      </c>
      <c r="Y26" s="51" t="n">
        <f aca="false">IF(L26&lt;0,L26*-1,0)</f>
        <v>0</v>
      </c>
      <c r="Z26" s="51" t="n">
        <f aca="false">X26+Y26</f>
        <v>56.7</v>
      </c>
      <c r="AA26" s="53" t="n">
        <v>0</v>
      </c>
      <c r="AB26" s="79" t="n">
        <v>52</v>
      </c>
      <c r="AC26" s="56" t="n">
        <v>26</v>
      </c>
      <c r="AD26" s="57" t="n">
        <f aca="false">AD25+1</f>
        <v>17</v>
      </c>
      <c r="AE26" s="85"/>
      <c r="AF26" s="87"/>
      <c r="AG26" s="86"/>
    </row>
    <row r="27" customFormat="false" ht="11.1" hidden="false" customHeight="true" outlineLevel="0" collapsed="false">
      <c r="A27" s="57" t="n">
        <f aca="false">A26+1</f>
        <v>18</v>
      </c>
      <c r="B27" s="71" t="n">
        <v>6910.83</v>
      </c>
      <c r="C27" s="52" t="n">
        <v>325317</v>
      </c>
      <c r="D27" s="56" t="n">
        <f aca="false">C27-C26</f>
        <v>40</v>
      </c>
      <c r="E27" s="52" t="n">
        <f aca="false">C27-152000</f>
        <v>173317</v>
      </c>
      <c r="F27" s="51" t="n">
        <f aca="false">D27/$D$2</f>
        <v>20.1663725737333</v>
      </c>
      <c r="G27" s="51" t="n">
        <v>87</v>
      </c>
      <c r="H27" s="53" t="n">
        <v>3.8</v>
      </c>
      <c r="I27" s="51" t="n">
        <f aca="false">G27+H27</f>
        <v>90.8</v>
      </c>
      <c r="J27" s="78" t="n">
        <f aca="false">IF(L27&gt;0,L27,0)</f>
        <v>0</v>
      </c>
      <c r="K27" s="51" t="n">
        <f aca="false">I27+J27</f>
        <v>90.8</v>
      </c>
      <c r="L27" s="51" t="n">
        <f aca="false">F27-(I27-X27)</f>
        <v>-14.2336274262667</v>
      </c>
      <c r="M27" s="51" t="n">
        <v>8.4</v>
      </c>
      <c r="N27" s="51" t="n">
        <v>0</v>
      </c>
      <c r="O27" s="51" t="n">
        <v>0</v>
      </c>
      <c r="P27" s="6" t="n">
        <f aca="false">M27-(N27+O27)</f>
        <v>8.4</v>
      </c>
      <c r="Q27" s="51" t="n">
        <v>0</v>
      </c>
      <c r="R27" s="51" t="n">
        <v>0</v>
      </c>
      <c r="S27" s="51" t="n">
        <f aca="false">SUM(P27:R27)</f>
        <v>8.4</v>
      </c>
      <c r="T27" s="52"/>
      <c r="U27" s="51" t="n">
        <v>0</v>
      </c>
      <c r="V27" s="51" t="n">
        <v>48</v>
      </c>
      <c r="W27" s="52" t="n">
        <f aca="false">W26-45-2</f>
        <v>136</v>
      </c>
      <c r="X27" s="6" t="n">
        <f aca="false">N27+O27+S27+U27+V27</f>
        <v>56.4</v>
      </c>
      <c r="Y27" s="51" t="n">
        <f aca="false">IF(L27&lt;0,L27*-1,0)</f>
        <v>14.2336274262667</v>
      </c>
      <c r="Z27" s="51" t="n">
        <f aca="false">X27+Y27</f>
        <v>70.6336274262667</v>
      </c>
      <c r="AA27" s="53" t="n">
        <v>0</v>
      </c>
      <c r="AB27" s="79" t="n">
        <v>54</v>
      </c>
      <c r="AC27" s="56" t="n">
        <v>24</v>
      </c>
      <c r="AD27" s="57" t="n">
        <f aca="false">AD26+1</f>
        <v>18</v>
      </c>
      <c r="AE27" s="85"/>
      <c r="AF27" s="87"/>
      <c r="AG27" s="86"/>
    </row>
    <row r="28" customFormat="false" ht="11.1" hidden="false" customHeight="true" outlineLevel="0" collapsed="false">
      <c r="A28" s="57" t="n">
        <f aca="false">A27+1</f>
        <v>19</v>
      </c>
      <c r="B28" s="71" t="n">
        <v>6910.86</v>
      </c>
      <c r="C28" s="91" t="n">
        <v>325438</v>
      </c>
      <c r="D28" s="56" t="n">
        <f aca="false">C28-C27</f>
        <v>121</v>
      </c>
      <c r="E28" s="52" t="n">
        <f aca="false">C28-152000</f>
        <v>173438</v>
      </c>
      <c r="F28" s="51" t="n">
        <f aca="false">D28/$D$2</f>
        <v>61.0032770355432</v>
      </c>
      <c r="G28" s="51" t="n">
        <v>80</v>
      </c>
      <c r="H28" s="53" t="n">
        <v>3.6</v>
      </c>
      <c r="I28" s="51" t="n">
        <f aca="false">G28+H28</f>
        <v>83.6</v>
      </c>
      <c r="J28" s="78" t="n">
        <f aca="false">IF(L28&gt;0,L28,0)</f>
        <v>33.8032770355432</v>
      </c>
      <c r="K28" s="51" t="n">
        <f aca="false">I28+J28</f>
        <v>117.403277035543</v>
      </c>
      <c r="L28" s="51" t="n">
        <f aca="false">F28-(I28-X28)</f>
        <v>33.8032770355432</v>
      </c>
      <c r="M28" s="51" t="n">
        <v>8.4</v>
      </c>
      <c r="N28" s="51" t="n">
        <v>0</v>
      </c>
      <c r="O28" s="51" t="n">
        <v>0</v>
      </c>
      <c r="P28" s="6" t="n">
        <f aca="false">M28-(N28+O28)</f>
        <v>8.4</v>
      </c>
      <c r="Q28" s="51" t="n">
        <v>0</v>
      </c>
      <c r="R28" s="51" t="n">
        <v>0</v>
      </c>
      <c r="S28" s="51" t="n">
        <f aca="false">SUM(P28:R28)</f>
        <v>8.4</v>
      </c>
      <c r="T28" s="52"/>
      <c r="U28" s="51" t="n">
        <v>0</v>
      </c>
      <c r="V28" s="51" t="n">
        <v>48</v>
      </c>
      <c r="W28" s="52" t="n">
        <f aca="false">W27-45-2</f>
        <v>89</v>
      </c>
      <c r="X28" s="6" t="n">
        <f aca="false">N28+O28+S28+U28+V28</f>
        <v>56.4</v>
      </c>
      <c r="Y28" s="51" t="n">
        <f aca="false">IF(L28&lt;0,L28*-1,0)</f>
        <v>0</v>
      </c>
      <c r="Z28" s="51" t="n">
        <f aca="false">X28+Y28</f>
        <v>56.4</v>
      </c>
      <c r="AA28" s="53" t="n">
        <v>0</v>
      </c>
      <c r="AB28" s="79" t="n">
        <v>55</v>
      </c>
      <c r="AC28" s="56" t="n">
        <v>19</v>
      </c>
      <c r="AD28" s="57" t="n">
        <f aca="false">AD27+1</f>
        <v>19</v>
      </c>
      <c r="AE28" s="85"/>
      <c r="AF28" s="87"/>
      <c r="AG28" s="86"/>
    </row>
    <row r="29" customFormat="false" ht="11.1" hidden="false" customHeight="true" outlineLevel="0" collapsed="false">
      <c r="A29" s="57" t="n">
        <f aca="false">A28+1</f>
        <v>20</v>
      </c>
      <c r="B29" s="71" t="n">
        <v>6910.9</v>
      </c>
      <c r="C29" s="52" t="n">
        <v>325598</v>
      </c>
      <c r="D29" s="56" t="n">
        <f aca="false">C29-C28</f>
        <v>160</v>
      </c>
      <c r="E29" s="52" t="n">
        <f aca="false">C29-152000</f>
        <v>173598</v>
      </c>
      <c r="F29" s="51" t="n">
        <f aca="false">D29/$D$2</f>
        <v>80.6654902949332</v>
      </c>
      <c r="G29" s="51" t="n">
        <v>101</v>
      </c>
      <c r="H29" s="53" t="n">
        <v>3.5</v>
      </c>
      <c r="I29" s="51" t="n">
        <f aca="false">G29+H29</f>
        <v>104.5</v>
      </c>
      <c r="J29" s="78" t="n">
        <f aca="false">IF(L29&gt;0,L29,0)</f>
        <v>31.8654902949332</v>
      </c>
      <c r="K29" s="51" t="n">
        <f aca="false">I29+J29</f>
        <v>136.365490294933</v>
      </c>
      <c r="L29" s="51" t="n">
        <f aca="false">F29-(I29-X29)</f>
        <v>31.8654902949332</v>
      </c>
      <c r="M29" s="51" t="n">
        <v>6.7</v>
      </c>
      <c r="N29" s="51" t="n">
        <v>0</v>
      </c>
      <c r="O29" s="51" t="n">
        <v>0</v>
      </c>
      <c r="P29" s="6" t="n">
        <f aca="false">M29-(N29+O29)</f>
        <v>6.7</v>
      </c>
      <c r="Q29" s="51" t="n">
        <v>0</v>
      </c>
      <c r="R29" s="51" t="n">
        <v>0</v>
      </c>
      <c r="S29" s="51" t="n">
        <f aca="false">SUM(P29:R29)</f>
        <v>6.7</v>
      </c>
      <c r="T29" s="52"/>
      <c r="U29" s="51" t="n">
        <v>0</v>
      </c>
      <c r="V29" s="51" t="n">
        <v>49</v>
      </c>
      <c r="W29" s="52" t="n">
        <f aca="false">W28-45-2</f>
        <v>42</v>
      </c>
      <c r="X29" s="6" t="n">
        <f aca="false">N29+O29+S29+U29+V29</f>
        <v>55.7</v>
      </c>
      <c r="Y29" s="51" t="n">
        <f aca="false">IF(L29&lt;0,L29*-1,0)</f>
        <v>0</v>
      </c>
      <c r="Z29" s="51" t="n">
        <f aca="false">X29+Y29</f>
        <v>55.7</v>
      </c>
      <c r="AA29" s="53" t="n">
        <v>0.35</v>
      </c>
      <c r="AB29" s="79" t="n">
        <v>43</v>
      </c>
      <c r="AC29" s="56" t="n">
        <v>28</v>
      </c>
      <c r="AD29" s="57" t="n">
        <f aca="false">AD28+1</f>
        <v>20</v>
      </c>
      <c r="AE29" s="85"/>
      <c r="AF29" s="87"/>
      <c r="AG29" s="86"/>
    </row>
    <row r="30" customFormat="false" ht="11.1" hidden="false" customHeight="true" outlineLevel="0" collapsed="false">
      <c r="A30" s="57" t="n">
        <f aca="false">A29+1</f>
        <v>21</v>
      </c>
      <c r="B30" s="71" t="n">
        <v>6910.94</v>
      </c>
      <c r="C30" s="52" t="n">
        <v>325759</v>
      </c>
      <c r="D30" s="56" t="n">
        <f aca="false">C30-C29</f>
        <v>161</v>
      </c>
      <c r="E30" s="52" t="n">
        <f aca="false">C30-152000</f>
        <v>173759</v>
      </c>
      <c r="F30" s="51" t="n">
        <f aca="false">D30/$D$2</f>
        <v>81.1696496092765</v>
      </c>
      <c r="G30" s="92" t="n">
        <v>97</v>
      </c>
      <c r="H30" s="53" t="n">
        <v>3.4</v>
      </c>
      <c r="I30" s="51" t="n">
        <f aca="false">G30+H30</f>
        <v>100.4</v>
      </c>
      <c r="J30" s="78" t="n">
        <f aca="false">IF(L30&gt;0,L30,0)</f>
        <v>35.0696496092765</v>
      </c>
      <c r="K30" s="51" t="n">
        <f aca="false">I30+J30</f>
        <v>135.469649609277</v>
      </c>
      <c r="L30" s="51" t="n">
        <f aca="false">F30-(I30-X30)</f>
        <v>35.0696496092765</v>
      </c>
      <c r="M30" s="51" t="n">
        <v>5.3</v>
      </c>
      <c r="N30" s="51" t="n">
        <v>0</v>
      </c>
      <c r="O30" s="51" t="n">
        <v>0</v>
      </c>
      <c r="P30" s="6" t="n">
        <f aca="false">M30-(N30+O30)</f>
        <v>5.3</v>
      </c>
      <c r="Q30" s="51" t="n">
        <v>0</v>
      </c>
      <c r="R30" s="51" t="n">
        <v>0</v>
      </c>
      <c r="S30" s="51" t="n">
        <f aca="false">SUM(P30:R30)</f>
        <v>5.3</v>
      </c>
      <c r="T30" s="52"/>
      <c r="U30" s="51" t="n">
        <v>0</v>
      </c>
      <c r="V30" s="51" t="n">
        <v>49</v>
      </c>
      <c r="W30" s="52" t="n">
        <f aca="false">W29-45-2</f>
        <v>-5</v>
      </c>
      <c r="X30" s="6" t="n">
        <f aca="false">N30+O30+S30+U30+V30</f>
        <v>54.3</v>
      </c>
      <c r="Y30" s="51" t="n">
        <f aca="false">IF(L30&lt;0,L30*-1,0)</f>
        <v>0</v>
      </c>
      <c r="Z30" s="51" t="n">
        <f aca="false">X30+Y30</f>
        <v>54.3</v>
      </c>
      <c r="AA30" s="53" t="n">
        <v>0.06</v>
      </c>
      <c r="AB30" s="56" t="n">
        <v>36</v>
      </c>
      <c r="AC30" s="56" t="n">
        <v>31</v>
      </c>
      <c r="AD30" s="57" t="n">
        <f aca="false">AD29+1</f>
        <v>21</v>
      </c>
      <c r="AE30" s="85"/>
      <c r="AF30" s="87"/>
      <c r="AG30" s="86"/>
    </row>
    <row r="31" customFormat="false" ht="11.1" hidden="false" customHeight="true" outlineLevel="0" collapsed="false">
      <c r="A31" s="57" t="n">
        <f aca="false">A30+1</f>
        <v>22</v>
      </c>
      <c r="B31" s="71" t="n">
        <v>6910.97</v>
      </c>
      <c r="C31" s="52" t="n">
        <v>325879</v>
      </c>
      <c r="D31" s="56" t="n">
        <f aca="false">C31-C30</f>
        <v>120</v>
      </c>
      <c r="E31" s="52" t="n">
        <f aca="false">C31-152000</f>
        <v>173879</v>
      </c>
      <c r="F31" s="51" t="n">
        <f aca="false">D31/$D$2</f>
        <v>60.4991177211999</v>
      </c>
      <c r="G31" s="51" t="n">
        <v>92</v>
      </c>
      <c r="H31" s="53" t="n">
        <v>3.4</v>
      </c>
      <c r="I31" s="51" t="n">
        <f aca="false">G31+H31</f>
        <v>95.4</v>
      </c>
      <c r="J31" s="78" t="n">
        <f aca="false">IF(L31&gt;0,L31,0)</f>
        <v>18.9991177211999</v>
      </c>
      <c r="K31" s="51" t="n">
        <f aca="false">I31+J31</f>
        <v>114.3991177212</v>
      </c>
      <c r="L31" s="51" t="n">
        <f aca="false">F31-(I31-X31)</f>
        <v>18.9991177211999</v>
      </c>
      <c r="M31" s="51" t="n">
        <v>4.9</v>
      </c>
      <c r="N31" s="51" t="n">
        <v>0</v>
      </c>
      <c r="O31" s="51" t="n">
        <v>0</v>
      </c>
      <c r="P31" s="6" t="n">
        <f aca="false">M31-(N31+O31)</f>
        <v>4.9</v>
      </c>
      <c r="Q31" s="51" t="n">
        <v>0</v>
      </c>
      <c r="R31" s="51" t="n">
        <v>0</v>
      </c>
      <c r="S31" s="51" t="n">
        <f aca="false">SUM(P31:R31)</f>
        <v>4.9</v>
      </c>
      <c r="T31" s="52"/>
      <c r="U31" s="51" t="n">
        <v>0</v>
      </c>
      <c r="V31" s="51" t="n">
        <v>49</v>
      </c>
      <c r="W31" s="52" t="n">
        <f aca="false">W30-45-2</f>
        <v>-52</v>
      </c>
      <c r="X31" s="6" t="n">
        <f aca="false">N31+O31+S31+U31+V31</f>
        <v>53.9</v>
      </c>
      <c r="Y31" s="51" t="n">
        <f aca="false">IF(L31&lt;0,L31*-1,0)</f>
        <v>0</v>
      </c>
      <c r="Z31" s="51" t="n">
        <f aca="false">X31+Y31</f>
        <v>53.9</v>
      </c>
      <c r="AA31" s="53" t="n">
        <v>0.09</v>
      </c>
      <c r="AB31" s="56" t="n">
        <v>39</v>
      </c>
      <c r="AC31" s="56" t="n">
        <v>27</v>
      </c>
      <c r="AD31" s="57" t="n">
        <f aca="false">AD30+1</f>
        <v>22</v>
      </c>
      <c r="AE31" s="85"/>
      <c r="AF31" s="87"/>
      <c r="AG31" s="86"/>
    </row>
    <row r="32" customFormat="false" ht="11.1" hidden="false" customHeight="true" outlineLevel="0" collapsed="false">
      <c r="A32" s="57" t="n">
        <f aca="false">A31+1</f>
        <v>23</v>
      </c>
      <c r="B32" s="71" t="n">
        <v>6911</v>
      </c>
      <c r="C32" s="52" t="n">
        <v>325999</v>
      </c>
      <c r="D32" s="56" t="n">
        <f aca="false">C32-C31</f>
        <v>120</v>
      </c>
      <c r="E32" s="52" t="n">
        <f aca="false">C32-152000</f>
        <v>173999</v>
      </c>
      <c r="F32" s="51" t="n">
        <f aca="false">D32/$D$2</f>
        <v>60.4991177211999</v>
      </c>
      <c r="G32" s="51" t="n">
        <v>94</v>
      </c>
      <c r="H32" s="53" t="n">
        <v>3.9</v>
      </c>
      <c r="I32" s="51" t="n">
        <f aca="false">G32+H32</f>
        <v>97.9</v>
      </c>
      <c r="J32" s="78" t="n">
        <f aca="false">IF(L32&gt;0,L32,0)</f>
        <v>29.5991177211999</v>
      </c>
      <c r="K32" s="51" t="n">
        <f aca="false">I32+J32</f>
        <v>127.4991177212</v>
      </c>
      <c r="L32" s="51" t="n">
        <f aca="false">F32-(I32-X32)</f>
        <v>29.5991177211999</v>
      </c>
      <c r="M32" s="51" t="n">
        <v>18</v>
      </c>
      <c r="N32" s="51" t="n">
        <v>0</v>
      </c>
      <c r="O32" s="51" t="n">
        <v>0</v>
      </c>
      <c r="P32" s="6" t="n">
        <f aca="false">M32-(N32+O32)</f>
        <v>18</v>
      </c>
      <c r="Q32" s="51" t="n">
        <v>0</v>
      </c>
      <c r="R32" s="51" t="n">
        <v>0</v>
      </c>
      <c r="S32" s="51" t="n">
        <f aca="false">SUM(P32:R32)</f>
        <v>18</v>
      </c>
      <c r="T32" s="52"/>
      <c r="U32" s="51" t="n">
        <v>0</v>
      </c>
      <c r="V32" s="51" t="n">
        <v>49</v>
      </c>
      <c r="W32" s="52" t="n">
        <f aca="false">W31-45-2</f>
        <v>-99</v>
      </c>
      <c r="X32" s="6" t="n">
        <f aca="false">N32+O32+S32+U32+V32</f>
        <v>67</v>
      </c>
      <c r="Y32" s="51" t="n">
        <f aca="false">IF(L32&lt;0,L32*-1,0)</f>
        <v>0</v>
      </c>
      <c r="Z32" s="51" t="n">
        <f aca="false">X32+Y32</f>
        <v>67</v>
      </c>
      <c r="AA32" s="53" t="n">
        <v>0</v>
      </c>
      <c r="AB32" s="56" t="n">
        <v>48</v>
      </c>
      <c r="AC32" s="79" t="n">
        <v>25</v>
      </c>
      <c r="AD32" s="57" t="n">
        <f aca="false">AD31+1</f>
        <v>23</v>
      </c>
      <c r="AE32" s="85"/>
      <c r="AF32" s="87"/>
      <c r="AG32" s="86"/>
    </row>
    <row r="33" customFormat="false" ht="11.1" hidden="false" customHeight="true" outlineLevel="0" collapsed="false">
      <c r="A33" s="57" t="n">
        <f aca="false">A32+1</f>
        <v>24</v>
      </c>
      <c r="B33" s="71" t="n">
        <v>6911.03</v>
      </c>
      <c r="C33" s="52" t="n">
        <v>326121</v>
      </c>
      <c r="D33" s="56" t="n">
        <f aca="false">C33-C32</f>
        <v>122</v>
      </c>
      <c r="E33" s="52" t="n">
        <f aca="false">C33-152000</f>
        <v>174121</v>
      </c>
      <c r="F33" s="51" t="n">
        <f aca="false">D33/$D$2</f>
        <v>61.5074363498866</v>
      </c>
      <c r="G33" s="51" t="n">
        <v>103</v>
      </c>
      <c r="H33" s="53" t="n">
        <v>4.8</v>
      </c>
      <c r="I33" s="51" t="n">
        <f aca="false">G33+H33</f>
        <v>107.8</v>
      </c>
      <c r="J33" s="78" t="n">
        <f aca="false">IF(L33&gt;0,L33,0)</f>
        <v>25.7074363498866</v>
      </c>
      <c r="K33" s="51" t="n">
        <f aca="false">I33+J33</f>
        <v>133.507436349887</v>
      </c>
      <c r="L33" s="51" t="n">
        <f aca="false">F33-(I33-X33)</f>
        <v>25.7074363498866</v>
      </c>
      <c r="M33" s="51" t="n">
        <v>23</v>
      </c>
      <c r="N33" s="51" t="n">
        <v>0</v>
      </c>
      <c r="O33" s="51" t="n">
        <v>0</v>
      </c>
      <c r="P33" s="6" t="n">
        <f aca="false">M33-(N33+O33)</f>
        <v>23</v>
      </c>
      <c r="Q33" s="51" t="n">
        <v>0</v>
      </c>
      <c r="R33" s="51" t="n">
        <v>0</v>
      </c>
      <c r="S33" s="51" t="n">
        <f aca="false">SUM(P33:R33)</f>
        <v>23</v>
      </c>
      <c r="T33" s="52"/>
      <c r="U33" s="51" t="n">
        <v>0</v>
      </c>
      <c r="V33" s="51" t="n">
        <v>49</v>
      </c>
      <c r="W33" s="52" t="n">
        <f aca="false">W32-45-2</f>
        <v>-146</v>
      </c>
      <c r="X33" s="6" t="n">
        <f aca="false">N33+O33+S33+U33+V33</f>
        <v>72</v>
      </c>
      <c r="Y33" s="51" t="n">
        <f aca="false">IF(L33&lt;0,L33*-1,0)</f>
        <v>0</v>
      </c>
      <c r="Z33" s="51" t="n">
        <f aca="false">X33+Y33</f>
        <v>72</v>
      </c>
      <c r="AA33" s="53" t="n">
        <v>0</v>
      </c>
      <c r="AB33" s="56" t="n">
        <v>59</v>
      </c>
      <c r="AC33" s="79" t="n">
        <v>27</v>
      </c>
      <c r="AD33" s="57" t="n">
        <f aca="false">AD32+1</f>
        <v>24</v>
      </c>
      <c r="AE33" s="85"/>
      <c r="AF33" s="87"/>
      <c r="AG33" s="86"/>
    </row>
    <row r="34" customFormat="false" ht="11.1" hidden="false" customHeight="true" outlineLevel="0" collapsed="false">
      <c r="A34" s="57" t="n">
        <f aca="false">A33+1</f>
        <v>25</v>
      </c>
      <c r="B34" s="71" t="n">
        <v>6911.06</v>
      </c>
      <c r="C34" s="52" t="n">
        <v>326242</v>
      </c>
      <c r="D34" s="56" t="n">
        <f aca="false">C34-C33</f>
        <v>121</v>
      </c>
      <c r="E34" s="52" t="n">
        <f aca="false">C34-152000</f>
        <v>174242</v>
      </c>
      <c r="F34" s="51" t="n">
        <f aca="false">D34/$D$2</f>
        <v>61.0032770355432</v>
      </c>
      <c r="G34" s="51" t="n">
        <v>118</v>
      </c>
      <c r="H34" s="53" t="n">
        <v>5.7</v>
      </c>
      <c r="I34" s="51" t="n">
        <f aca="false">G34+H34</f>
        <v>123.7</v>
      </c>
      <c r="J34" s="78" t="n">
        <f aca="false">IF(L34&gt;0,L34,0)</f>
        <v>9.30327703554323</v>
      </c>
      <c r="K34" s="51" t="n">
        <f aca="false">I34+J34</f>
        <v>133.003277035543</v>
      </c>
      <c r="L34" s="51" t="n">
        <f aca="false">F34-(I34-X34)</f>
        <v>9.30327703554323</v>
      </c>
      <c r="M34" s="51" t="n">
        <v>23</v>
      </c>
      <c r="N34" s="51" t="n">
        <v>0</v>
      </c>
      <c r="O34" s="51" t="n">
        <v>0</v>
      </c>
      <c r="P34" s="6" t="n">
        <f aca="false">M34-(N34+O34)</f>
        <v>23</v>
      </c>
      <c r="Q34" s="51" t="n">
        <v>0</v>
      </c>
      <c r="R34" s="51" t="n">
        <v>0</v>
      </c>
      <c r="S34" s="51" t="n">
        <f aca="false">SUM(P34:R34)</f>
        <v>23</v>
      </c>
      <c r="T34" s="52"/>
      <c r="U34" s="51" t="n">
        <v>0</v>
      </c>
      <c r="V34" s="51" t="n">
        <v>49</v>
      </c>
      <c r="W34" s="52" t="n">
        <f aca="false">W33-45-2</f>
        <v>-193</v>
      </c>
      <c r="X34" s="6" t="n">
        <f aca="false">N34+O34+S34+U34+V34</f>
        <v>72</v>
      </c>
      <c r="Y34" s="51" t="n">
        <f aca="false">IF(L34&lt;0,L34*-1,0)</f>
        <v>0</v>
      </c>
      <c r="Z34" s="51" t="n">
        <f aca="false">X34+Y34</f>
        <v>72</v>
      </c>
      <c r="AA34" s="53" t="n">
        <v>0</v>
      </c>
      <c r="AB34" s="56" t="n">
        <v>62</v>
      </c>
      <c r="AC34" s="79" t="n">
        <v>34</v>
      </c>
      <c r="AD34" s="57" t="n">
        <f aca="false">AD33+1</f>
        <v>25</v>
      </c>
      <c r="AE34" s="85"/>
      <c r="AF34" s="87"/>
      <c r="AG34" s="86"/>
    </row>
    <row r="35" customFormat="false" ht="11.1" hidden="false" customHeight="true" outlineLevel="0" collapsed="false">
      <c r="A35" s="57" t="n">
        <f aca="false">A34+1</f>
        <v>26</v>
      </c>
      <c r="B35" s="71" t="n">
        <v>6911.11</v>
      </c>
      <c r="C35" s="52" t="n">
        <v>326444</v>
      </c>
      <c r="D35" s="56" t="n">
        <f aca="false">C35-C34</f>
        <v>202</v>
      </c>
      <c r="E35" s="52" t="n">
        <f aca="false">C35-152000</f>
        <v>174444</v>
      </c>
      <c r="F35" s="51" t="n">
        <f aca="false">D35/$D$2</f>
        <v>101.840181497353</v>
      </c>
      <c r="G35" s="51" t="n">
        <v>141</v>
      </c>
      <c r="H35" s="53" t="n">
        <v>6.2</v>
      </c>
      <c r="I35" s="51" t="n">
        <f aca="false">G35+H35</f>
        <v>147.2</v>
      </c>
      <c r="J35" s="78" t="n">
        <f aca="false">IF(L35&gt;0,L35,0)</f>
        <v>26.6401814973532</v>
      </c>
      <c r="K35" s="51" t="n">
        <f aca="false">I35+J35</f>
        <v>173.840181497353</v>
      </c>
      <c r="L35" s="51" t="n">
        <f aca="false">F35-(I35-X35)</f>
        <v>26.6401814973532</v>
      </c>
      <c r="M35" s="51" t="n">
        <v>23</v>
      </c>
      <c r="N35" s="51" t="n">
        <v>0</v>
      </c>
      <c r="O35" s="51" t="n">
        <v>0</v>
      </c>
      <c r="P35" s="6" t="n">
        <f aca="false">M35-(N35+O35)</f>
        <v>23</v>
      </c>
      <c r="Q35" s="51" t="n">
        <v>0</v>
      </c>
      <c r="R35" s="51" t="n">
        <v>0</v>
      </c>
      <c r="S35" s="51" t="n">
        <f aca="false">SUM(P35:R35)</f>
        <v>23</v>
      </c>
      <c r="T35" s="52"/>
      <c r="U35" s="51" t="n">
        <v>0</v>
      </c>
      <c r="V35" s="51" t="n">
        <v>49</v>
      </c>
      <c r="W35" s="52" t="n">
        <f aca="false">W34-45-2</f>
        <v>-240</v>
      </c>
      <c r="X35" s="6" t="n">
        <f aca="false">N35+O35+S35+U35+V35</f>
        <v>72</v>
      </c>
      <c r="Y35" s="51" t="n">
        <f aca="false">IF(L35&lt;0,L35*-1,0)</f>
        <v>0</v>
      </c>
      <c r="Z35" s="51" t="n">
        <f aca="false">X35+Y35</f>
        <v>72</v>
      </c>
      <c r="AA35" s="53" t="n">
        <v>0</v>
      </c>
      <c r="AB35" s="56" t="n">
        <v>63</v>
      </c>
      <c r="AC35" s="56" t="n">
        <v>34</v>
      </c>
      <c r="AD35" s="57" t="n">
        <f aca="false">AD34+1</f>
        <v>26</v>
      </c>
      <c r="AE35" s="85"/>
      <c r="AF35" s="87"/>
      <c r="AG35" s="86"/>
    </row>
    <row r="36" customFormat="false" ht="11.1" hidden="false" customHeight="true" outlineLevel="0" collapsed="false">
      <c r="A36" s="57" t="n">
        <f aca="false">A35+1</f>
        <v>27</v>
      </c>
      <c r="B36" s="71" t="n">
        <v>6911.2</v>
      </c>
      <c r="C36" s="52" t="n">
        <v>326808</v>
      </c>
      <c r="D36" s="56" t="n">
        <f aca="false">C36-C35</f>
        <v>364</v>
      </c>
      <c r="E36" s="52" t="n">
        <f aca="false">C36-152000</f>
        <v>174808</v>
      </c>
      <c r="F36" s="51" t="n">
        <f aca="false">D36/$D$2</f>
        <v>183.513990420973</v>
      </c>
      <c r="G36" s="51" t="n">
        <v>164</v>
      </c>
      <c r="H36" s="53" t="n">
        <v>7.2</v>
      </c>
      <c r="I36" s="51" t="n">
        <f aca="false">G36+H36</f>
        <v>171.2</v>
      </c>
      <c r="J36" s="78" t="n">
        <f aca="false">IF(L36&gt;0,L36,0)</f>
        <v>107.313990420973</v>
      </c>
      <c r="K36" s="51" t="n">
        <f aca="false">I36+J36</f>
        <v>278.513990420973</v>
      </c>
      <c r="L36" s="51" t="n">
        <f aca="false">F36-(I36-X36)</f>
        <v>107.313990420973</v>
      </c>
      <c r="M36" s="51" t="n">
        <v>46</v>
      </c>
      <c r="N36" s="51" t="n">
        <v>0</v>
      </c>
      <c r="O36" s="51" t="n">
        <v>0</v>
      </c>
      <c r="P36" s="6" t="n">
        <f aca="false">M36-(N36+O36)</f>
        <v>46</v>
      </c>
      <c r="Q36" s="51" t="n">
        <v>0</v>
      </c>
      <c r="R36" s="51" t="n">
        <v>0</v>
      </c>
      <c r="S36" s="51" t="n">
        <f aca="false">SUM(P36:R36)</f>
        <v>46</v>
      </c>
      <c r="T36" s="52"/>
      <c r="U36" s="51" t="n">
        <v>0</v>
      </c>
      <c r="V36" s="51" t="n">
        <v>49</v>
      </c>
      <c r="W36" s="52" t="n">
        <f aca="false">W35-45-2</f>
        <v>-287</v>
      </c>
      <c r="X36" s="6" t="n">
        <f aca="false">N36+O36+S36+U36+V36</f>
        <v>95</v>
      </c>
      <c r="Y36" s="51" t="n">
        <f aca="false">IF(L36&lt;0,L36*-1,0)</f>
        <v>0</v>
      </c>
      <c r="Z36" s="51" t="n">
        <f aca="false">X36+Y36</f>
        <v>95</v>
      </c>
      <c r="AA36" s="53" t="n">
        <v>0</v>
      </c>
      <c r="AB36" s="56" t="n">
        <v>63</v>
      </c>
      <c r="AC36" s="56" t="n">
        <v>32</v>
      </c>
      <c r="AD36" s="57" t="n">
        <f aca="false">AD35+1</f>
        <v>27</v>
      </c>
      <c r="AE36" s="85"/>
      <c r="AF36" s="87"/>
      <c r="AG36" s="86"/>
    </row>
    <row r="37" customFormat="false" ht="11.1" hidden="false" customHeight="true" outlineLevel="0" collapsed="false">
      <c r="A37" s="57" t="n">
        <f aca="false">A36+1</f>
        <v>28</v>
      </c>
      <c r="B37" s="71" t="n">
        <v>6911.31</v>
      </c>
      <c r="C37" s="52" t="n">
        <v>327253</v>
      </c>
      <c r="D37" s="56" t="n">
        <f aca="false">C37-C36</f>
        <v>445</v>
      </c>
      <c r="E37" s="52" t="n">
        <f aca="false">C37-152000</f>
        <v>175253</v>
      </c>
      <c r="F37" s="51" t="n">
        <f aca="false">D37/$D$2</f>
        <v>224.350894882783</v>
      </c>
      <c r="G37" s="51" t="n">
        <v>205</v>
      </c>
      <c r="H37" s="53" t="n">
        <v>6.1</v>
      </c>
      <c r="I37" s="51" t="n">
        <f aca="false">G37+H37</f>
        <v>211.1</v>
      </c>
      <c r="J37" s="78" t="n">
        <f aca="false">IF(L37&gt;0,L37,0)</f>
        <v>131.250894882783</v>
      </c>
      <c r="K37" s="51" t="n">
        <f aca="false">I37+J37</f>
        <v>342.350894882783</v>
      </c>
      <c r="L37" s="51" t="n">
        <f aca="false">F37-(I37-X37)</f>
        <v>131.250894882783</v>
      </c>
      <c r="M37" s="51" t="n">
        <v>69</v>
      </c>
      <c r="N37" s="51" t="n">
        <v>0</v>
      </c>
      <c r="O37" s="51" t="n">
        <v>0</v>
      </c>
      <c r="P37" s="6" t="n">
        <f aca="false">M37-(N37+O37)</f>
        <v>69</v>
      </c>
      <c r="Q37" s="51" t="n">
        <v>0</v>
      </c>
      <c r="R37" s="51" t="n">
        <v>0</v>
      </c>
      <c r="S37" s="51" t="n">
        <f aca="false">SUM(P37:R37)</f>
        <v>69</v>
      </c>
      <c r="T37" s="52"/>
      <c r="U37" s="51" t="n">
        <v>0</v>
      </c>
      <c r="V37" s="51" t="n">
        <v>49</v>
      </c>
      <c r="W37" s="52" t="n">
        <f aca="false">W36-45-2</f>
        <v>-334</v>
      </c>
      <c r="X37" s="6" t="n">
        <f aca="false">N37+O37+S37+U37+V37</f>
        <v>118</v>
      </c>
      <c r="Y37" s="51" t="n">
        <f aca="false">IF(L37&lt;0,L37*-1,0)</f>
        <v>0</v>
      </c>
      <c r="Z37" s="51" t="n">
        <f aca="false">X37+Y37</f>
        <v>118</v>
      </c>
      <c r="AA37" s="53" t="n">
        <v>0.38</v>
      </c>
      <c r="AB37" s="56" t="n">
        <v>48</v>
      </c>
      <c r="AC37" s="56" t="n">
        <v>36</v>
      </c>
      <c r="AD37" s="57" t="n">
        <f aca="false">AD36+1</f>
        <v>28</v>
      </c>
      <c r="AE37" s="85"/>
      <c r="AF37" s="87"/>
      <c r="AG37" s="86"/>
    </row>
    <row r="38" customFormat="false" ht="11.1" hidden="false" customHeight="true" outlineLevel="0" collapsed="false">
      <c r="A38" s="57" t="n">
        <f aca="false">A37+1</f>
        <v>29</v>
      </c>
      <c r="B38" s="71" t="n">
        <v>6911.41</v>
      </c>
      <c r="C38" s="52" t="n">
        <v>327658</v>
      </c>
      <c r="D38" s="56" t="n">
        <f aca="false">C38-C37</f>
        <v>405</v>
      </c>
      <c r="E38" s="52" t="n">
        <f aca="false">C38-152000</f>
        <v>175658</v>
      </c>
      <c r="F38" s="51" t="n">
        <f aca="false">D38/$D$2</f>
        <v>204.18452230905</v>
      </c>
      <c r="G38" s="51" t="n">
        <v>196</v>
      </c>
      <c r="H38" s="53" t="n">
        <v>9.3</v>
      </c>
      <c r="I38" s="51" t="n">
        <f aca="false">G38+H38</f>
        <v>205.3</v>
      </c>
      <c r="J38" s="78" t="n">
        <f aca="false">IF(L38&gt;0,L38,0)</f>
        <v>112.88452230905</v>
      </c>
      <c r="K38" s="51" t="n">
        <f aca="false">I38+J38</f>
        <v>318.18452230905</v>
      </c>
      <c r="L38" s="51" t="n">
        <f aca="false">F38-(I38-X38)</f>
        <v>112.88452230905</v>
      </c>
      <c r="M38" s="51" t="n">
        <v>65</v>
      </c>
      <c r="N38" s="51" t="n">
        <v>0</v>
      </c>
      <c r="O38" s="51" t="n">
        <v>0</v>
      </c>
      <c r="P38" s="6" t="n">
        <f aca="false">M38-(N38+O38)</f>
        <v>65</v>
      </c>
      <c r="Q38" s="51" t="n">
        <v>0</v>
      </c>
      <c r="R38" s="51" t="n">
        <v>0</v>
      </c>
      <c r="S38" s="51" t="n">
        <f aca="false">SUM(P38:R38)</f>
        <v>65</v>
      </c>
      <c r="T38" s="52"/>
      <c r="U38" s="51" t="n">
        <v>0</v>
      </c>
      <c r="V38" s="51" t="n">
        <v>49</v>
      </c>
      <c r="W38" s="52" t="n">
        <f aca="false">W37-45-2</f>
        <v>-381</v>
      </c>
      <c r="X38" s="6" t="n">
        <f aca="false">N38+O38+S38+U38+V38</f>
        <v>114</v>
      </c>
      <c r="Y38" s="51" t="n">
        <f aca="false">IF(L38&lt;0,L38*-1,0)</f>
        <v>0</v>
      </c>
      <c r="Z38" s="51" t="n">
        <f aca="false">X38+Y38</f>
        <v>114</v>
      </c>
      <c r="AA38" s="53" t="n">
        <v>0</v>
      </c>
      <c r="AB38" s="79" t="n">
        <v>54</v>
      </c>
      <c r="AC38" s="56" t="n">
        <v>27</v>
      </c>
      <c r="AD38" s="57" t="n">
        <f aca="false">AD37+1</f>
        <v>29</v>
      </c>
      <c r="AE38" s="85"/>
      <c r="AF38" s="87"/>
      <c r="AG38" s="86"/>
    </row>
    <row r="39" customFormat="false" ht="11.1" hidden="false" customHeight="true" outlineLevel="0" collapsed="false">
      <c r="A39" s="57" t="n">
        <v>30</v>
      </c>
      <c r="B39" s="71" t="n">
        <v>6911.52</v>
      </c>
      <c r="C39" s="52" t="n">
        <v>328103</v>
      </c>
      <c r="D39" s="56" t="n">
        <f aca="false">C39-C38</f>
        <v>445</v>
      </c>
      <c r="E39" s="52" t="n">
        <f aca="false">C39-152000</f>
        <v>176103</v>
      </c>
      <c r="F39" s="51" t="n">
        <f aca="false">D39/$D$2</f>
        <v>224.350894882783</v>
      </c>
      <c r="G39" s="51" t="n">
        <v>198</v>
      </c>
      <c r="H39" s="53" t="n">
        <v>10</v>
      </c>
      <c r="I39" s="51" t="n">
        <f aca="false">G39+H39</f>
        <v>208</v>
      </c>
      <c r="J39" s="78" t="n">
        <f aca="false">IF(L39&gt;0,L39,0)</f>
        <v>85.350894882783</v>
      </c>
      <c r="K39" s="51" t="n">
        <f aca="false">I39+J39</f>
        <v>293.350894882783</v>
      </c>
      <c r="L39" s="51" t="n">
        <f aca="false">F39-(I39-X39)</f>
        <v>85.350894882783</v>
      </c>
      <c r="M39" s="51" t="n">
        <v>20</v>
      </c>
      <c r="N39" s="51" t="n">
        <v>0</v>
      </c>
      <c r="O39" s="51" t="n">
        <v>0</v>
      </c>
      <c r="P39" s="6" t="n">
        <f aca="false">M39-(N39+O39)</f>
        <v>20</v>
      </c>
      <c r="Q39" s="51" t="n">
        <v>0</v>
      </c>
      <c r="R39" s="51" t="n">
        <v>0</v>
      </c>
      <c r="S39" s="51" t="n">
        <f aca="false">SUM(P39:R39)</f>
        <v>20</v>
      </c>
      <c r="T39" s="52"/>
      <c r="U39" s="51" t="n">
        <v>0</v>
      </c>
      <c r="V39" s="51" t="n">
        <v>49</v>
      </c>
      <c r="W39" s="52" t="n">
        <f aca="false">W38-45-2</f>
        <v>-428</v>
      </c>
      <c r="X39" s="6" t="n">
        <f aca="false">N39+O39+S39+U39+V39</f>
        <v>69</v>
      </c>
      <c r="Y39" s="51" t="n">
        <f aca="false">IF(L39&lt;0,L39*-1,0)</f>
        <v>0</v>
      </c>
      <c r="Z39" s="51" t="n">
        <f aca="false">X39+Y39</f>
        <v>69</v>
      </c>
      <c r="AA39" s="53" t="n">
        <v>0.06</v>
      </c>
      <c r="AB39" s="79" t="n">
        <v>47</v>
      </c>
      <c r="AC39" s="56" t="n">
        <v>29</v>
      </c>
      <c r="AD39" s="57" t="n">
        <v>30</v>
      </c>
      <c r="AE39" s="85"/>
      <c r="AF39" s="87"/>
      <c r="AG39" s="86"/>
    </row>
    <row r="40" customFormat="false" ht="11.1" hidden="false" customHeight="true" outlineLevel="0" collapsed="false">
      <c r="A40" s="57" t="n">
        <v>31</v>
      </c>
      <c r="B40" s="71" t="n">
        <v>6911.65</v>
      </c>
      <c r="C40" s="52" t="n">
        <v>328629</v>
      </c>
      <c r="D40" s="56" t="n">
        <f aca="false">C40-C39</f>
        <v>526</v>
      </c>
      <c r="E40" s="52" t="n">
        <f aca="false">C40-152000</f>
        <v>176629</v>
      </c>
      <c r="F40" s="51" t="n">
        <f aca="false">D40/$D$2</f>
        <v>265.187799344593</v>
      </c>
      <c r="G40" s="51" t="n">
        <v>190</v>
      </c>
      <c r="H40" s="53" t="n">
        <v>10</v>
      </c>
      <c r="I40" s="51" t="n">
        <f aca="false">G40+H40</f>
        <v>200</v>
      </c>
      <c r="J40" s="78" t="n">
        <f aca="false">IF(L40&gt;0,L40,0)</f>
        <v>134.187799344593</v>
      </c>
      <c r="K40" s="51" t="n">
        <f aca="false">I40+J40</f>
        <v>334.187799344593</v>
      </c>
      <c r="L40" s="51" t="n">
        <f aca="false">F40-(I40-X40)</f>
        <v>134.187799344593</v>
      </c>
      <c r="M40" s="51" t="n">
        <v>20</v>
      </c>
      <c r="N40" s="51" t="n">
        <v>0</v>
      </c>
      <c r="O40" s="51" t="n">
        <v>0</v>
      </c>
      <c r="P40" s="6" t="n">
        <f aca="false">M40-(N40+O40)</f>
        <v>20</v>
      </c>
      <c r="Q40" s="51" t="n">
        <v>0</v>
      </c>
      <c r="R40" s="51" t="n">
        <v>0</v>
      </c>
      <c r="S40" s="51" t="n">
        <f aca="false">SUM(P40:R40)</f>
        <v>20</v>
      </c>
      <c r="T40" s="52"/>
      <c r="U40" s="51" t="n">
        <v>0</v>
      </c>
      <c r="V40" s="51" t="n">
        <v>49</v>
      </c>
      <c r="W40" s="52" t="n">
        <f aca="false">W39-45-2</f>
        <v>-475</v>
      </c>
      <c r="X40" s="6" t="n">
        <f aca="false">N40+O40+S40+U40+V40</f>
        <v>69</v>
      </c>
      <c r="Y40" s="51" t="n">
        <f aca="false">IF(L40&lt;0,L40*-1,0)</f>
        <v>0</v>
      </c>
      <c r="Z40" s="51" t="n">
        <f aca="false">X40+Y40</f>
        <v>69</v>
      </c>
      <c r="AA40" s="53" t="n">
        <v>0.55</v>
      </c>
      <c r="AB40" s="79" t="n">
        <v>46</v>
      </c>
      <c r="AC40" s="56" t="n">
        <v>26</v>
      </c>
      <c r="AD40" s="57" t="n">
        <v>31</v>
      </c>
      <c r="AE40" s="85"/>
      <c r="AF40" s="85"/>
      <c r="AG40" s="86"/>
    </row>
    <row r="41" customFormat="false" ht="3" hidden="false" customHeight="true" outlineLevel="0" collapsed="false">
      <c r="A41" s="72"/>
      <c r="B41" s="72"/>
      <c r="C41" s="74"/>
      <c r="D41" s="72"/>
      <c r="E41" s="74"/>
      <c r="F41" s="72"/>
      <c r="G41" s="72"/>
      <c r="H41" s="75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4"/>
      <c r="U41" s="72"/>
      <c r="V41" s="72"/>
      <c r="W41" s="72"/>
      <c r="X41" s="72"/>
      <c r="Y41" s="72"/>
      <c r="Z41" s="72"/>
      <c r="AA41" s="75"/>
      <c r="AB41" s="76"/>
      <c r="AC41" s="76"/>
      <c r="AD41" s="77"/>
      <c r="AE41" s="85"/>
      <c r="AF41" s="85"/>
      <c r="AG41" s="86"/>
    </row>
    <row r="42" customFormat="false" ht="11.1" hidden="false" customHeight="true" outlineLevel="0" collapsed="false">
      <c r="A42" s="51" t="s">
        <v>46</v>
      </c>
      <c r="B42" s="51"/>
      <c r="C42" s="52"/>
      <c r="D42" s="52"/>
      <c r="E42" s="52"/>
      <c r="F42" s="52" t="n">
        <f aca="false">SUM(F10:F40)</f>
        <v>2478.95134862617</v>
      </c>
      <c r="G42" s="52" t="n">
        <f aca="false">SUM(G10:G40)</f>
        <v>3216</v>
      </c>
      <c r="H42" s="53" t="n">
        <f aca="false">SUM(H10:H40)</f>
        <v>134.2</v>
      </c>
      <c r="I42" s="52" t="n">
        <f aca="false">SUM(I10:I40)</f>
        <v>3350.2</v>
      </c>
      <c r="J42" s="52" t="n">
        <f aca="false">SUM(J10:J40)</f>
        <v>1113.85223090497</v>
      </c>
      <c r="K42" s="52" t="n">
        <f aca="false">SUM(K10:K40)</f>
        <v>4464.05223090497</v>
      </c>
      <c r="L42" s="52" t="n">
        <f aca="false">SUM(L10:L40)</f>
        <v>1086.25134862617</v>
      </c>
      <c r="M42" s="52" t="n">
        <f aca="false">SUM(M10:M40)</f>
        <v>448.5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448.5</v>
      </c>
      <c r="Q42" s="52" t="n">
        <f aca="false">SUM(Q10:Q40)</f>
        <v>0</v>
      </c>
      <c r="R42" s="52" t="n">
        <f aca="false">SUM(R10:R40)</f>
        <v>0</v>
      </c>
      <c r="S42" s="52" t="n">
        <f aca="false">SUM(S10:S40)</f>
        <v>448.5</v>
      </c>
      <c r="T42" s="52"/>
      <c r="U42" s="52" t="n">
        <f aca="false">SUM(U10:U40)</f>
        <v>0</v>
      </c>
      <c r="V42" s="52" t="n">
        <f aca="false">SUM(V10:V40)</f>
        <v>1509</v>
      </c>
      <c r="W42" s="52"/>
      <c r="X42" s="52" t="n">
        <f aca="false">SUM(X10:X40)</f>
        <v>1957.5</v>
      </c>
      <c r="Y42" s="52" t="n">
        <f aca="false">SUM(Y10:Y40)</f>
        <v>27.6008822788001</v>
      </c>
      <c r="Z42" s="52" t="n">
        <f aca="false">SUM(Z10:Z40)</f>
        <v>1985.1008822788</v>
      </c>
      <c r="AA42" s="53" t="n">
        <f aca="false">SUM(AA10:AA40)</f>
        <v>2.57</v>
      </c>
      <c r="AB42" s="56" t="n">
        <f aca="false">AVERAGE(AB10:AB40)</f>
        <v>50.1612903225807</v>
      </c>
      <c r="AC42" s="56" t="n">
        <f aca="false">AVERAGE(AC10:AC40)</f>
        <v>26.5161290322581</v>
      </c>
      <c r="AD42" s="57" t="s">
        <v>47</v>
      </c>
      <c r="AE42" s="85"/>
      <c r="AF42" s="85"/>
      <c r="AG42" s="86"/>
    </row>
    <row r="43" customFormat="false" ht="11.1" hidden="false" customHeight="true" outlineLevel="0" collapsed="false">
      <c r="A43" s="51" t="s">
        <v>48</v>
      </c>
      <c r="B43" s="51"/>
      <c r="C43" s="52"/>
      <c r="D43" s="52" t="n">
        <f aca="false">SUM(D10:D40)</f>
        <v>4917</v>
      </c>
      <c r="E43" s="52"/>
      <c r="F43" s="52" t="n">
        <f aca="false">F42*$D$2</f>
        <v>4917</v>
      </c>
      <c r="G43" s="52" t="n">
        <f aca="false">G42*$D$2</f>
        <v>6378.936</v>
      </c>
      <c r="H43" s="53" t="n">
        <f aca="false">H42*$D$2</f>
        <v>266.1857</v>
      </c>
      <c r="I43" s="52" t="n">
        <f aca="false">I42*$D$2</f>
        <v>6645.1217</v>
      </c>
      <c r="J43" s="52" t="n">
        <f aca="false">J42*$D$2</f>
        <v>2209.3259</v>
      </c>
      <c r="K43" s="52" t="n">
        <f aca="false">K42*$D$2</f>
        <v>8854.4476</v>
      </c>
      <c r="L43" s="52" t="n">
        <f aca="false">L42*$D$2</f>
        <v>2154.57955</v>
      </c>
      <c r="M43" s="52" t="n">
        <f aca="false">M42*$D$2</f>
        <v>889.59975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889.59975</v>
      </c>
      <c r="Q43" s="52" t="n">
        <f aca="false">Q42*$D$2</f>
        <v>0</v>
      </c>
      <c r="R43" s="52" t="n">
        <f aca="false">R42*$D$2</f>
        <v>0</v>
      </c>
      <c r="S43" s="52" t="n">
        <f aca="false">S42*$D$2</f>
        <v>889.59975</v>
      </c>
      <c r="T43" s="52"/>
      <c r="U43" s="52" t="n">
        <f aca="false">U42*$D$2</f>
        <v>0</v>
      </c>
      <c r="V43" s="52" t="n">
        <f aca="false">V42*$D$2</f>
        <v>2993.1015</v>
      </c>
      <c r="W43" s="52"/>
      <c r="X43" s="52" t="n">
        <f aca="false">X42*$D$2</f>
        <v>3882.70125</v>
      </c>
      <c r="Y43" s="52" t="n">
        <f aca="false">Y42*$D$2</f>
        <v>54.74635</v>
      </c>
      <c r="Z43" s="52" t="n">
        <f aca="false">Z42*$D$2</f>
        <v>3937.4476</v>
      </c>
      <c r="AA43" s="53"/>
      <c r="AB43" s="56" t="n">
        <f aca="false">MAX(AB10:AB40)</f>
        <v>68</v>
      </c>
      <c r="AC43" s="56" t="n">
        <f aca="false">MAX(AC10:AC40)</f>
        <v>36</v>
      </c>
      <c r="AD43" s="57" t="s">
        <v>49</v>
      </c>
      <c r="AE43" s="85"/>
      <c r="AF43" s="85"/>
      <c r="AG43" s="86"/>
    </row>
    <row r="44" customFormat="false" ht="3" hidden="false" customHeight="true" outlineLevel="0" collapsed="false">
      <c r="A44" s="72"/>
      <c r="B44" s="72"/>
      <c r="C44" s="74"/>
      <c r="D44" s="74"/>
      <c r="E44" s="74"/>
      <c r="F44" s="74"/>
      <c r="G44" s="74"/>
      <c r="H44" s="75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2"/>
      <c r="X44" s="74"/>
      <c r="Y44" s="74"/>
      <c r="Z44" s="74"/>
      <c r="AA44" s="53"/>
      <c r="AB44" s="56"/>
      <c r="AC44" s="56"/>
      <c r="AD44" s="57"/>
      <c r="AE44" s="85"/>
      <c r="AF44" s="85"/>
      <c r="AG44" s="86"/>
    </row>
    <row r="45" customFormat="false" ht="11.1" hidden="false" customHeight="true" outlineLevel="0" collapsed="false">
      <c r="A45" s="51" t="s">
        <v>50</v>
      </c>
      <c r="B45" s="51"/>
      <c r="C45" s="52"/>
      <c r="D45" s="52"/>
      <c r="E45" s="52"/>
      <c r="F45" s="52"/>
      <c r="G45" s="52"/>
      <c r="H45" s="53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3"/>
      <c r="AB45" s="56" t="n">
        <f aca="false">MIN(AB10:AB40)</f>
        <v>36</v>
      </c>
      <c r="AC45" s="56" t="n">
        <f aca="false">MIN(AC10:AC40)</f>
        <v>15</v>
      </c>
      <c r="AD45" s="57" t="s">
        <v>51</v>
      </c>
      <c r="AE45" s="85"/>
      <c r="AF45" s="85"/>
      <c r="AG45" s="86"/>
    </row>
    <row r="46" customFormat="false" ht="11.1" hidden="false" customHeight="true" outlineLevel="0" collapsed="false">
      <c r="A46" s="51" t="s">
        <v>52</v>
      </c>
      <c r="B46" s="51"/>
      <c r="C46" s="52"/>
      <c r="D46" s="52"/>
      <c r="E46" s="52"/>
      <c r="F46" s="52"/>
      <c r="G46" s="52"/>
      <c r="H46" s="53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3"/>
      <c r="AB46" s="56"/>
      <c r="AC46" s="56"/>
      <c r="AD46" s="57"/>
      <c r="AE46" s="85"/>
      <c r="AF46" s="85"/>
      <c r="AG46" s="86"/>
    </row>
    <row r="47" customFormat="false" ht="3" hidden="false" customHeight="true" outlineLevel="0" collapsed="false">
      <c r="A47" s="72"/>
      <c r="B47" s="72"/>
      <c r="C47" s="74"/>
      <c r="D47" s="74"/>
      <c r="E47" s="74"/>
      <c r="F47" s="74"/>
      <c r="G47" s="74"/>
      <c r="H47" s="75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5"/>
      <c r="AB47" s="56"/>
      <c r="AC47" s="56"/>
      <c r="AD47" s="57"/>
      <c r="AE47" s="85"/>
      <c r="AF47" s="85"/>
      <c r="AG47" s="86"/>
    </row>
    <row r="48" customFormat="false" ht="11.1" hidden="false" customHeight="true" outlineLevel="0" collapsed="false">
      <c r="A48" s="51" t="s">
        <v>53</v>
      </c>
      <c r="B48" s="51"/>
      <c r="C48" s="52"/>
      <c r="D48" s="52"/>
      <c r="E48" s="52"/>
      <c r="F48" s="52" t="n">
        <f aca="false">F8+F42</f>
        <v>-529.871439374842</v>
      </c>
      <c r="G48" s="52" t="n">
        <f aca="false">G8+G42</f>
        <v>9584</v>
      </c>
      <c r="H48" s="53" t="n">
        <f aca="false">H8+H42</f>
        <v>265.28</v>
      </c>
      <c r="I48" s="52" t="n">
        <f aca="false">I8+I42</f>
        <v>9849.28</v>
      </c>
      <c r="J48" s="52" t="n">
        <f aca="false">J8+J42</f>
        <v>2348.16097554827</v>
      </c>
      <c r="K48" s="52" t="n">
        <f aca="false">K8+K42</f>
        <v>12193.7082304008</v>
      </c>
      <c r="L48" s="52" t="n">
        <f aca="false">L8+L42</f>
        <v>1677.57856062516</v>
      </c>
      <c r="M48" s="52" t="n">
        <f aca="false">M8+M42</f>
        <v>2438.76</v>
      </c>
      <c r="N48" s="52" t="n">
        <f aca="false">N8+N42</f>
        <v>66.38</v>
      </c>
      <c r="O48" s="52" t="n">
        <f aca="false">O8+O42</f>
        <v>441.3405</v>
      </c>
      <c r="P48" s="52" t="n">
        <f aca="false">P8+P42</f>
        <v>1931.0395</v>
      </c>
      <c r="Q48" s="52" t="n">
        <f aca="false">Q8+Q42</f>
        <v>1044</v>
      </c>
      <c r="R48" s="52" t="n">
        <f aca="false">R8+R42</f>
        <v>560</v>
      </c>
      <c r="S48" s="52" t="n">
        <f aca="false">S8+S42</f>
        <v>3535.0395</v>
      </c>
      <c r="T48" s="52"/>
      <c r="U48" s="52" t="n">
        <f aca="false">U8+U42</f>
        <v>0</v>
      </c>
      <c r="V48" s="52" t="n">
        <f aca="false">V8+V42</f>
        <v>8013.97</v>
      </c>
      <c r="W48" s="52" t="n">
        <f aca="false">W40</f>
        <v>-475</v>
      </c>
      <c r="X48" s="52" t="n">
        <f aca="false">X8+X42</f>
        <v>12056.73</v>
      </c>
      <c r="Y48" s="52" t="n">
        <f aca="false">Y8+Y42</f>
        <v>670.582414923116</v>
      </c>
      <c r="Z48" s="52" t="n">
        <f aca="false">Z8+Z42</f>
        <v>12727.3124149231</v>
      </c>
      <c r="AA48" s="53" t="n">
        <f aca="false">AA8+AA42</f>
        <v>5.47</v>
      </c>
      <c r="AB48" s="56"/>
      <c r="AC48" s="56"/>
      <c r="AD48" s="57"/>
      <c r="AE48" s="85"/>
      <c r="AF48" s="85"/>
      <c r="AG48" s="86"/>
    </row>
    <row r="49" customFormat="false" ht="11.1" hidden="false" customHeight="true" outlineLevel="0" collapsed="false">
      <c r="A49" s="51" t="s">
        <v>54</v>
      </c>
      <c r="B49" s="51"/>
      <c r="C49" s="52"/>
      <c r="D49" s="52" t="n">
        <f aca="false">D8+D43</f>
        <v>-1051</v>
      </c>
      <c r="E49" s="52" t="n">
        <f aca="false">E40</f>
        <v>176629</v>
      </c>
      <c r="F49" s="52" t="n">
        <f aca="false">F48*$D$2</f>
        <v>-1051</v>
      </c>
      <c r="G49" s="52" t="n">
        <f aca="false">G48*$D$2</f>
        <v>19009.864</v>
      </c>
      <c r="H49" s="53" t="n">
        <f aca="false">H48*$D$2</f>
        <v>526.18288</v>
      </c>
      <c r="I49" s="52" t="n">
        <f aca="false">I48*$D$2</f>
        <v>19536.04688</v>
      </c>
      <c r="J49" s="52" t="n">
        <f aca="false">J48*$D$2</f>
        <v>4657.577295</v>
      </c>
      <c r="K49" s="52" t="n">
        <f aca="false">K48*$D$2</f>
        <v>24186.220275</v>
      </c>
      <c r="L49" s="52" t="n">
        <f aca="false">L48*$D$2</f>
        <v>3327.477075</v>
      </c>
      <c r="M49" s="52" t="n">
        <f aca="false">M48*$D$2</f>
        <v>4837.28046</v>
      </c>
      <c r="N49" s="52" t="n">
        <f aca="false">N48*$D$2</f>
        <v>131.66473</v>
      </c>
      <c r="O49" s="52" t="n">
        <f aca="false">O48*$D$2</f>
        <v>875.39888175</v>
      </c>
      <c r="P49" s="52" t="n">
        <f aca="false">P48*$D$2</f>
        <v>3830.21684825</v>
      </c>
      <c r="Q49" s="52" t="n">
        <f aca="false">Q48*$D$2</f>
        <v>2070.774</v>
      </c>
      <c r="R49" s="52" t="n">
        <f aca="false">R48*$D$2</f>
        <v>1110.76</v>
      </c>
      <c r="S49" s="52" t="n">
        <f aca="false">S48*$D$2</f>
        <v>7011.75084825</v>
      </c>
      <c r="T49" s="52" t="n">
        <f aca="false">T48*$D$2</f>
        <v>0</v>
      </c>
      <c r="U49" s="52" t="n">
        <f aca="false">U48*$D$2</f>
        <v>0</v>
      </c>
      <c r="V49" s="52" t="n">
        <f aca="false">V48*$D$2</f>
        <v>15895.709495</v>
      </c>
      <c r="W49" s="52" t="n">
        <f aca="false">W48*$D$2</f>
        <v>-942.1625</v>
      </c>
      <c r="X49" s="52" t="n">
        <f aca="false">X48*$D$2</f>
        <v>23914.523955</v>
      </c>
      <c r="Y49" s="52" t="n">
        <f aca="false">Y48*$D$2</f>
        <v>1330.10022</v>
      </c>
      <c r="Z49" s="52" t="n">
        <f aca="false">Z48*$D$2</f>
        <v>25244.624175</v>
      </c>
      <c r="AA49" s="53"/>
      <c r="AB49" s="56"/>
      <c r="AC49" s="56"/>
      <c r="AD49" s="57"/>
      <c r="AE49" s="85"/>
      <c r="AF49" s="85"/>
      <c r="AG49" s="86"/>
    </row>
    <row r="50" customFormat="false" ht="3" hidden="false" customHeight="true" outlineLevel="0" collapsed="false">
      <c r="A50" s="72"/>
      <c r="B50" s="72"/>
      <c r="C50" s="74"/>
      <c r="D50" s="72"/>
      <c r="E50" s="74"/>
      <c r="F50" s="72"/>
      <c r="G50" s="72"/>
      <c r="H50" s="75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4"/>
      <c r="U50" s="72"/>
      <c r="V50" s="72"/>
      <c r="W50" s="74"/>
      <c r="X50" s="72"/>
      <c r="Y50" s="72"/>
      <c r="Z50" s="72"/>
      <c r="AA50" s="53"/>
      <c r="AB50" s="56"/>
      <c r="AC50" s="56"/>
      <c r="AD50" s="57"/>
      <c r="AE50" s="85"/>
      <c r="AF50" s="85"/>
      <c r="AG50" s="86"/>
    </row>
    <row r="51" customFormat="false" ht="11.1" hidden="false" customHeight="true" outlineLevel="0" collapsed="false">
      <c r="A51" s="51"/>
      <c r="B51" s="81"/>
      <c r="C51" s="52"/>
      <c r="D51" s="51"/>
      <c r="E51" s="52"/>
      <c r="F51" s="51"/>
      <c r="G51" s="51"/>
      <c r="H51" s="53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2"/>
      <c r="U51" s="51"/>
      <c r="V51" s="51"/>
      <c r="W51" s="52"/>
      <c r="X51" s="51"/>
      <c r="Y51" s="51"/>
      <c r="Z51" s="51"/>
      <c r="AA51" s="53"/>
      <c r="AB51" s="56"/>
      <c r="AC51" s="56"/>
      <c r="AD51" s="57"/>
      <c r="AE51" s="84"/>
      <c r="AF51" s="84"/>
    </row>
    <row r="52" customFormat="false" ht="11.1" hidden="false" customHeight="true" outlineLevel="0" collapsed="false">
      <c r="A52" s="51"/>
      <c r="B52" s="71"/>
      <c r="C52" s="52"/>
      <c r="D52" s="79"/>
      <c r="E52" s="52"/>
      <c r="F52" s="51"/>
      <c r="G52" s="51"/>
      <c r="H52" s="53"/>
      <c r="I52" s="82"/>
      <c r="J52" s="51"/>
      <c r="K52" s="41"/>
      <c r="L52" s="51"/>
      <c r="M52" s="51"/>
      <c r="N52" s="51"/>
      <c r="O52" s="51"/>
      <c r="P52" s="51"/>
      <c r="Q52" s="51"/>
      <c r="R52" s="51"/>
      <c r="S52" s="51"/>
      <c r="T52" s="52"/>
      <c r="U52" s="51"/>
      <c r="V52" s="51"/>
      <c r="W52" s="52"/>
      <c r="X52" s="51"/>
      <c r="Y52" s="51"/>
      <c r="Z52" s="51"/>
      <c r="AA52" s="53"/>
      <c r="AB52" s="56"/>
      <c r="AC52" s="56"/>
      <c r="AD52" s="57"/>
      <c r="AE52" s="84"/>
      <c r="AF52" s="84"/>
    </row>
    <row r="53" customFormat="false" ht="11.1" hidden="false" customHeight="true" outlineLevel="0" collapsed="false">
      <c r="A53" s="79"/>
      <c r="B53" s="79"/>
      <c r="C53" s="52"/>
      <c r="D53" s="52"/>
      <c r="E53" s="52"/>
      <c r="F53" s="79"/>
      <c r="G53" s="79"/>
      <c r="H53" s="53"/>
      <c r="I53" s="79"/>
      <c r="J53" s="79"/>
      <c r="K53" s="79"/>
      <c r="L53" s="79"/>
      <c r="M53" s="78"/>
      <c r="N53" s="78"/>
      <c r="O53" s="78"/>
      <c r="P53" s="78"/>
      <c r="Q53" s="79"/>
      <c r="R53" s="79"/>
      <c r="S53" s="79"/>
      <c r="T53" s="52"/>
      <c r="U53" s="79"/>
      <c r="V53" s="79"/>
      <c r="W53" s="52"/>
      <c r="X53" s="79"/>
      <c r="Y53" s="79"/>
      <c r="Z53" s="79"/>
      <c r="AA53" s="53"/>
      <c r="AB53" s="56"/>
      <c r="AC53" s="56"/>
      <c r="AD53" s="57"/>
      <c r="AE53" s="89"/>
      <c r="AF53" s="89"/>
    </row>
    <row r="54" customFormat="false" ht="11.1" hidden="false" customHeight="true" outlineLevel="0" collapsed="false">
      <c r="A54" s="79"/>
      <c r="B54" s="55"/>
      <c r="C54" s="52"/>
      <c r="D54" s="52"/>
      <c r="E54" s="52"/>
      <c r="F54" s="79"/>
      <c r="G54" s="79"/>
      <c r="H54" s="53"/>
      <c r="I54" s="79"/>
      <c r="J54" s="79"/>
      <c r="K54" s="79"/>
      <c r="L54" s="79"/>
      <c r="M54" s="78"/>
      <c r="N54" s="78"/>
      <c r="O54" s="78"/>
      <c r="P54" s="79"/>
      <c r="Q54" s="79"/>
      <c r="R54" s="79"/>
      <c r="S54" s="52"/>
      <c r="T54" s="79"/>
      <c r="U54" s="79"/>
      <c r="V54" s="52"/>
      <c r="W54" s="79"/>
      <c r="X54" s="79"/>
      <c r="Y54" s="79"/>
      <c r="Z54" s="55"/>
      <c r="AA54" s="53"/>
      <c r="AB54" s="56"/>
      <c r="AC54" s="57"/>
      <c r="AD54" s="89"/>
      <c r="AE54" s="89"/>
    </row>
    <row r="55" customFormat="false" ht="11.1" hidden="false" customHeight="true" outlineLevel="0" collapsed="false">
      <c r="A55" s="79"/>
      <c r="B55" s="79"/>
      <c r="C55" s="52"/>
      <c r="D55" s="79"/>
      <c r="E55" s="52"/>
      <c r="F55" s="79"/>
      <c r="G55" s="83"/>
      <c r="H55" s="53"/>
      <c r="I55" s="79"/>
      <c r="J55" s="79"/>
      <c r="K55" s="79"/>
      <c r="L55" s="79"/>
      <c r="M55" s="78"/>
      <c r="N55" s="78"/>
      <c r="O55" s="78"/>
      <c r="P55" s="79"/>
      <c r="Q55" s="79"/>
      <c r="R55" s="79"/>
      <c r="S55" s="52"/>
      <c r="T55" s="79"/>
      <c r="U55" s="79"/>
      <c r="V55" s="52"/>
      <c r="W55" s="79"/>
      <c r="X55" s="79"/>
      <c r="Y55" s="79"/>
      <c r="Z55" s="55"/>
      <c r="AA55" s="53"/>
      <c r="AB55" s="56"/>
      <c r="AC55" s="57"/>
      <c r="AD55" s="89"/>
      <c r="AE55" s="89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L10" activePane="bottomRight" state="frozen"/>
      <selection pane="topLeft" activeCell="A1" activeCellId="0" sqref="A1"/>
      <selection pane="topRight" activeCell="L1" activeCellId="0" sqref="L1"/>
      <selection pane="bottomLeft" activeCell="A10" activeCellId="0" sqref="A10"/>
      <selection pane="bottomRight" activeCell="S10" activeCellId="0" sqref="S10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66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93" width="6.66"/>
    <col collapsed="false" customWidth="true" hidden="false" outlineLevel="0" max="9" min="9" style="0" width="7.99"/>
    <col collapsed="false" customWidth="true" hidden="false" outlineLevel="0" max="10" min="10" style="0" width="6.66"/>
    <col collapsed="false" customWidth="true" hidden="false" outlineLevel="0" max="12" min="11" style="0" width="7.16"/>
    <col collapsed="false" customWidth="true" hidden="false" outlineLevel="0" max="13" min="13" style="3" width="6.16"/>
    <col collapsed="false" customWidth="true" hidden="false" outlineLevel="0" max="14" min="14" style="3" width="7.32"/>
    <col collapsed="false" customWidth="true" hidden="false" outlineLevel="0" max="15" min="15" style="3" width="6.49"/>
    <col collapsed="false" customWidth="true" hidden="fals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3" min="23" style="0" width="6.82"/>
    <col collapsed="false" customWidth="true" hidden="false" outlineLevel="0" max="25" min="24" style="0" width="7.82"/>
    <col collapsed="false" customWidth="true" hidden="false" outlineLevel="0" max="26" min="26" style="94" width="8.16"/>
    <col collapsed="false" customWidth="true" hidden="false" outlineLevel="0" max="27" min="27" style="2" width="4.66"/>
    <col collapsed="false" customWidth="true" hidden="false" outlineLevel="0" max="28" min="28" style="4" width="4.66"/>
    <col collapsed="false" customWidth="true" hidden="false" outlineLevel="0" max="29" min="29" style="5" width="4.66"/>
    <col collapsed="false" customWidth="true" hidden="false" outlineLevel="0" max="30" min="30" style="0" width="5.66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40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6"/>
      <c r="V1" s="7"/>
      <c r="W1" s="6"/>
      <c r="X1" s="6"/>
      <c r="Y1" s="6"/>
      <c r="Z1" s="42"/>
      <c r="AA1" s="8"/>
      <c r="AB1" s="10"/>
      <c r="AC1" s="11"/>
      <c r="AD1" s="95"/>
      <c r="AE1" s="95"/>
    </row>
    <row r="2" customFormat="false" ht="14.1" hidden="false" customHeight="true" outlineLevel="0" collapsed="false">
      <c r="A2" s="6" t="s">
        <v>1</v>
      </c>
      <c r="B2" s="6"/>
      <c r="C2" s="7"/>
      <c r="D2" s="12" t="n">
        <v>1.9835</v>
      </c>
      <c r="E2" s="7"/>
      <c r="F2" s="6"/>
      <c r="G2" s="6"/>
      <c r="H2" s="40"/>
      <c r="I2" s="6"/>
      <c r="J2" s="6"/>
      <c r="K2" s="96" t="s">
        <v>63</v>
      </c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6"/>
      <c r="X2" s="6"/>
      <c r="Y2" s="6"/>
      <c r="Z2" s="42"/>
      <c r="AA2" s="8"/>
      <c r="AB2" s="10"/>
      <c r="AC2" s="11"/>
      <c r="AD2" s="95"/>
      <c r="AE2" s="95"/>
    </row>
    <row r="3" customFormat="false" ht="11.1" hidden="false" customHeight="true" outlineLevel="0" collapsed="false">
      <c r="A3" s="6"/>
      <c r="B3" s="6"/>
      <c r="C3" s="7"/>
      <c r="D3" s="13"/>
      <c r="E3" s="7"/>
      <c r="F3" s="6"/>
      <c r="G3" s="6"/>
      <c r="H3" s="40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6"/>
      <c r="V3" s="7"/>
      <c r="W3" s="6"/>
      <c r="X3" s="6"/>
      <c r="Y3" s="6" t="n">
        <v>5</v>
      </c>
      <c r="Z3" s="42"/>
      <c r="AA3" s="8"/>
      <c r="AB3" s="10"/>
      <c r="AC3" s="11"/>
      <c r="AD3" s="95"/>
      <c r="AE3" s="95"/>
    </row>
    <row r="4" customFormat="false" ht="11.1" hidden="false" customHeight="true" outlineLevel="0" collapsed="false">
      <c r="A4" s="14" t="s">
        <v>3</v>
      </c>
      <c r="B4" s="14" t="s">
        <v>4</v>
      </c>
      <c r="C4" s="15" t="s">
        <v>4</v>
      </c>
      <c r="D4" s="14" t="s">
        <v>5</v>
      </c>
      <c r="E4" s="15" t="s">
        <v>6</v>
      </c>
      <c r="F4" s="14" t="s">
        <v>7</v>
      </c>
      <c r="G4" s="14" t="s">
        <v>8</v>
      </c>
      <c r="H4" s="97" t="s">
        <v>9</v>
      </c>
      <c r="I4" s="14" t="s">
        <v>10</v>
      </c>
      <c r="J4" s="14" t="s">
        <v>11</v>
      </c>
      <c r="K4" s="14" t="s">
        <v>12</v>
      </c>
      <c r="L4" s="14" t="s">
        <v>11</v>
      </c>
      <c r="M4" s="17" t="s">
        <v>13</v>
      </c>
      <c r="N4" s="17"/>
      <c r="O4" s="17"/>
      <c r="P4" s="17"/>
      <c r="Q4" s="14" t="s">
        <v>14</v>
      </c>
      <c r="R4" s="14" t="s">
        <v>15</v>
      </c>
      <c r="S4" s="14" t="s">
        <v>12</v>
      </c>
      <c r="T4" s="15" t="s">
        <v>16</v>
      </c>
      <c r="U4" s="14" t="s">
        <v>17</v>
      </c>
      <c r="V4" s="14" t="s">
        <v>18</v>
      </c>
      <c r="W4" s="15" t="s">
        <v>19</v>
      </c>
      <c r="X4" s="14" t="s">
        <v>10</v>
      </c>
      <c r="Y4" s="14" t="s">
        <v>11</v>
      </c>
      <c r="Z4" s="14" t="s">
        <v>12</v>
      </c>
      <c r="AA4" s="16" t="s">
        <v>20</v>
      </c>
      <c r="AB4" s="18" t="s">
        <v>21</v>
      </c>
      <c r="AC4" s="18" t="s">
        <v>22</v>
      </c>
      <c r="AD4" s="18" t="s">
        <v>3</v>
      </c>
      <c r="AE4" s="95"/>
      <c r="AF4" s="95"/>
    </row>
    <row r="5" customFormat="false" ht="11.1" hidden="false" customHeight="true" outlineLevel="0" collapsed="false">
      <c r="A5" s="19" t="s">
        <v>64</v>
      </c>
      <c r="B5" s="14" t="s">
        <v>24</v>
      </c>
      <c r="C5" s="15" t="s">
        <v>5</v>
      </c>
      <c r="D5" s="14" t="s">
        <v>25</v>
      </c>
      <c r="E5" s="15" t="s">
        <v>26</v>
      </c>
      <c r="F5" s="14" t="s">
        <v>27</v>
      </c>
      <c r="G5" s="14" t="s">
        <v>28</v>
      </c>
      <c r="H5" s="97" t="s">
        <v>29</v>
      </c>
      <c r="I5" s="14" t="s">
        <v>30</v>
      </c>
      <c r="J5" s="14" t="s">
        <v>30</v>
      </c>
      <c r="K5" s="14" t="s">
        <v>30</v>
      </c>
      <c r="L5" s="14" t="s">
        <v>31</v>
      </c>
      <c r="M5" s="14" t="s">
        <v>32</v>
      </c>
      <c r="N5" s="14" t="s">
        <v>33</v>
      </c>
      <c r="O5" s="14" t="s">
        <v>34</v>
      </c>
      <c r="P5" s="14" t="s">
        <v>65</v>
      </c>
      <c r="Q5" s="14" t="s">
        <v>36</v>
      </c>
      <c r="R5" s="14" t="s">
        <v>37</v>
      </c>
      <c r="S5" s="14" t="s">
        <v>16</v>
      </c>
      <c r="T5" s="15" t="s">
        <v>38</v>
      </c>
      <c r="U5" s="14" t="s">
        <v>39</v>
      </c>
      <c r="V5" s="14" t="s">
        <v>40</v>
      </c>
      <c r="W5" s="15" t="s">
        <v>41</v>
      </c>
      <c r="X5" s="14" t="s">
        <v>42</v>
      </c>
      <c r="Y5" s="14" t="s">
        <v>42</v>
      </c>
      <c r="Z5" s="14" t="s">
        <v>42</v>
      </c>
      <c r="AA5" s="21"/>
      <c r="AB5" s="18" t="s">
        <v>43</v>
      </c>
      <c r="AC5" s="18" t="s">
        <v>43</v>
      </c>
      <c r="AD5" s="22" t="s">
        <v>64</v>
      </c>
      <c r="AE5" s="95"/>
      <c r="AF5" s="95"/>
    </row>
    <row r="6" customFormat="false" ht="11.1" hidden="false" customHeight="true" outlineLevel="0" collapsed="false">
      <c r="A6" s="23"/>
      <c r="B6" s="23"/>
      <c r="C6" s="24"/>
      <c r="D6" s="23"/>
      <c r="E6" s="24"/>
      <c r="F6" s="23"/>
      <c r="G6" s="23"/>
      <c r="H6" s="98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4"/>
      <c r="U6" s="23"/>
      <c r="V6" s="23"/>
      <c r="W6" s="24" t="n">
        <f aca="false">25400+3900+3900+150</f>
        <v>33350</v>
      </c>
      <c r="X6" s="23"/>
      <c r="Y6" s="23"/>
      <c r="Z6" s="23"/>
      <c r="AA6" s="8"/>
      <c r="AB6" s="11"/>
      <c r="AC6" s="11"/>
      <c r="AD6" s="11"/>
      <c r="AE6" s="95"/>
      <c r="AF6" s="95"/>
    </row>
    <row r="7" customFormat="false" ht="11.1" hidden="false" customHeight="true" outlineLevel="0" collapsed="false">
      <c r="A7" s="6" t="s">
        <v>44</v>
      </c>
      <c r="B7" s="6"/>
      <c r="C7" s="7"/>
      <c r="D7" s="7"/>
      <c r="E7" s="7"/>
      <c r="F7" s="7"/>
      <c r="G7" s="7"/>
      <c r="H7" s="10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8"/>
      <c r="AB7" s="10"/>
      <c r="AC7" s="10"/>
      <c r="AD7" s="11"/>
      <c r="AE7" s="95"/>
    </row>
    <row r="8" s="1" customFormat="true" ht="11.1" hidden="false" customHeight="true" outlineLevel="0" collapsed="false">
      <c r="A8" s="7" t="s">
        <v>45</v>
      </c>
      <c r="B8" s="28" t="n">
        <f aca="false">MAR!B40</f>
        <v>6911.65</v>
      </c>
      <c r="C8" s="7" t="n">
        <f aca="false">MAR!C40</f>
        <v>328629</v>
      </c>
      <c r="D8" s="7" t="n">
        <f aca="false">MAR!D49</f>
        <v>-1051</v>
      </c>
      <c r="E8" s="7" t="n">
        <f aca="false">MAR!E49</f>
        <v>176629</v>
      </c>
      <c r="F8" s="7" t="n">
        <f aca="false">MAR!F48</f>
        <v>-529.871439374842</v>
      </c>
      <c r="G8" s="7" t="n">
        <f aca="false">MAR!G48</f>
        <v>9584</v>
      </c>
      <c r="H8" s="10" t="n">
        <f aca="false">MAR!H48</f>
        <v>265.28</v>
      </c>
      <c r="I8" s="7" t="n">
        <f aca="false">MAR!I48</f>
        <v>9849.28</v>
      </c>
      <c r="J8" s="7" t="n">
        <f aca="false">MAR!J48</f>
        <v>2348.16097554827</v>
      </c>
      <c r="K8" s="7" t="n">
        <f aca="false">MAR!K48</f>
        <v>12193.7082304008</v>
      </c>
      <c r="L8" s="7" t="n">
        <f aca="false">MAR!L48</f>
        <v>1677.57856062516</v>
      </c>
      <c r="M8" s="7" t="n">
        <f aca="false">MAR!M48</f>
        <v>2438.76</v>
      </c>
      <c r="N8" s="7" t="n">
        <f aca="false">MAR!N48</f>
        <v>66.38</v>
      </c>
      <c r="O8" s="7" t="n">
        <f aca="false">MAR!O48</f>
        <v>441.3405</v>
      </c>
      <c r="P8" s="7" t="n">
        <f aca="false">MAR!P48</f>
        <v>1931.0395</v>
      </c>
      <c r="Q8" s="7" t="n">
        <f aca="false">MAR!Q48</f>
        <v>1044</v>
      </c>
      <c r="R8" s="7" t="n">
        <f aca="false">MAR!R48</f>
        <v>560</v>
      </c>
      <c r="S8" s="7" t="n">
        <f aca="false">MAR!S48</f>
        <v>3535.0395</v>
      </c>
      <c r="T8" s="7" t="n">
        <f aca="false">MAR!T48</f>
        <v>0</v>
      </c>
      <c r="U8" s="7" t="n">
        <f aca="false">MAR!U48</f>
        <v>0</v>
      </c>
      <c r="V8" s="7" t="n">
        <f aca="false">MAR!V48</f>
        <v>8013.97</v>
      </c>
      <c r="W8" s="7" t="n">
        <v>16814</v>
      </c>
      <c r="X8" s="7" t="n">
        <f aca="false">MAR!X48</f>
        <v>12056.73</v>
      </c>
      <c r="Y8" s="7" t="n">
        <f aca="false">MAR!Y48</f>
        <v>670.582414923116</v>
      </c>
      <c r="Z8" s="7" t="n">
        <f aca="false">MAR!Z48</f>
        <v>12727.3124149231</v>
      </c>
      <c r="AA8" s="8" t="n">
        <f aca="false">MAR!AA48</f>
        <v>5.47</v>
      </c>
      <c r="AB8" s="10"/>
      <c r="AC8" s="10"/>
      <c r="AD8" s="11"/>
      <c r="AE8" s="99"/>
      <c r="AF8" s="95"/>
    </row>
    <row r="9" customFormat="false" ht="3" hidden="false" customHeight="true" outlineLevel="0" collapsed="false">
      <c r="A9" s="29"/>
      <c r="B9" s="30"/>
      <c r="C9" s="31"/>
      <c r="D9" s="29"/>
      <c r="E9" s="31"/>
      <c r="F9" s="29"/>
      <c r="G9" s="29"/>
      <c r="H9" s="100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31"/>
      <c r="U9" s="29"/>
      <c r="V9" s="29"/>
      <c r="W9" s="31"/>
      <c r="X9" s="29"/>
      <c r="Y9" s="29"/>
      <c r="Z9" s="29"/>
      <c r="AA9" s="32"/>
      <c r="AB9" s="33"/>
      <c r="AC9" s="33"/>
      <c r="AD9" s="34"/>
      <c r="AE9" s="95"/>
      <c r="AF9" s="95"/>
    </row>
    <row r="10" customFormat="false" ht="11.1" hidden="false" customHeight="true" outlineLevel="0" collapsed="false">
      <c r="A10" s="11" t="n">
        <v>1</v>
      </c>
      <c r="B10" s="28" t="n">
        <v>6911.75</v>
      </c>
      <c r="C10" s="7" t="n">
        <v>329033</v>
      </c>
      <c r="D10" s="10" t="n">
        <f aca="false">C10-C8</f>
        <v>404</v>
      </c>
      <c r="E10" s="7" t="n">
        <f aca="false">C10-152000</f>
        <v>177033</v>
      </c>
      <c r="F10" s="6" t="n">
        <f aca="false">D10/$D$2</f>
        <v>203.680362994706</v>
      </c>
      <c r="G10" s="6" t="n">
        <v>176</v>
      </c>
      <c r="H10" s="40" t="n">
        <v>12</v>
      </c>
      <c r="I10" s="6" t="n">
        <f aca="false">G10+H10</f>
        <v>188</v>
      </c>
      <c r="J10" s="101" t="n">
        <f aca="false">IF(L10&gt;0,L10,0)</f>
        <v>84.6803629947063</v>
      </c>
      <c r="K10" s="6" t="n">
        <f aca="false">I10+J10</f>
        <v>272.680362994706</v>
      </c>
      <c r="L10" s="6" t="n">
        <f aca="false">F10-(I10-X10)</f>
        <v>84.6803629947063</v>
      </c>
      <c r="M10" s="6" t="n">
        <v>20</v>
      </c>
      <c r="N10" s="6" t="n">
        <v>0</v>
      </c>
      <c r="O10" s="6" t="n">
        <v>0</v>
      </c>
      <c r="P10" s="6" t="n">
        <f aca="false">M10-(N10+O10)</f>
        <v>20</v>
      </c>
      <c r="Q10" s="6" t="n">
        <v>0</v>
      </c>
      <c r="R10" s="6" t="n">
        <v>0</v>
      </c>
      <c r="S10" s="6" t="n">
        <f aca="false">SUM(P10:R10)</f>
        <v>20</v>
      </c>
      <c r="T10" s="7"/>
      <c r="U10" s="6" t="n">
        <v>0</v>
      </c>
      <c r="V10" s="6" t="n">
        <v>49</v>
      </c>
      <c r="W10" s="7" t="n">
        <f aca="false">W8</f>
        <v>16814</v>
      </c>
      <c r="X10" s="6" t="n">
        <f aca="false">N10+O10+S10+U10+V10</f>
        <v>69</v>
      </c>
      <c r="Y10" s="6" t="n">
        <f aca="false">IF(L10&lt;0,L10*-1,0)</f>
        <v>0</v>
      </c>
      <c r="Z10" s="6" t="n">
        <f aca="false">X10+Y10</f>
        <v>69</v>
      </c>
      <c r="AA10" s="8" t="n">
        <v>0.14</v>
      </c>
      <c r="AB10" s="10" t="n">
        <v>51</v>
      </c>
      <c r="AC10" s="10" t="n">
        <v>26</v>
      </c>
      <c r="AD10" s="11" t="n">
        <v>1</v>
      </c>
      <c r="AE10" s="10"/>
      <c r="AF10" s="10"/>
      <c r="AH10" s="6"/>
    </row>
    <row r="11" customFormat="false" ht="11.1" hidden="false" customHeight="true" outlineLevel="0" collapsed="false">
      <c r="A11" s="11" t="n">
        <f aca="false">A10+1</f>
        <v>2</v>
      </c>
      <c r="B11" s="28" t="n">
        <v>6911.82</v>
      </c>
      <c r="C11" s="7" t="n">
        <v>329276</v>
      </c>
      <c r="D11" s="10" t="n">
        <f aca="false">C11-C10</f>
        <v>243</v>
      </c>
      <c r="E11" s="7" t="n">
        <f aca="false">C11-152000</f>
        <v>177276</v>
      </c>
      <c r="F11" s="6" t="n">
        <f aca="false">D11/$D$2</f>
        <v>122.51071338543</v>
      </c>
      <c r="G11" s="6" t="n">
        <v>147</v>
      </c>
      <c r="H11" s="40" t="n">
        <v>12</v>
      </c>
      <c r="I11" s="6" t="n">
        <f aca="false">G11+H11</f>
        <v>159</v>
      </c>
      <c r="J11" s="101" t="n">
        <f aca="false">IF(L11&gt;0,L11,0)</f>
        <v>32.5107133854298</v>
      </c>
      <c r="K11" s="6" t="n">
        <f aca="false">I11+J11</f>
        <v>191.51071338543</v>
      </c>
      <c r="L11" s="6" t="n">
        <f aca="false">F11-(I11-X11)</f>
        <v>32.5107133854298</v>
      </c>
      <c r="M11" s="6" t="n">
        <v>20</v>
      </c>
      <c r="N11" s="6" t="n">
        <v>0</v>
      </c>
      <c r="O11" s="6" t="n">
        <v>0</v>
      </c>
      <c r="P11" s="6" t="n">
        <f aca="false">M11-(N11+O11)</f>
        <v>20</v>
      </c>
      <c r="Q11" s="6" t="n">
        <v>0</v>
      </c>
      <c r="R11" s="6" t="n">
        <v>0</v>
      </c>
      <c r="S11" s="6" t="n">
        <f aca="false">SUM(P11:R11)</f>
        <v>20</v>
      </c>
      <c r="T11" s="7"/>
      <c r="U11" s="6" t="n">
        <v>0</v>
      </c>
      <c r="V11" s="6" t="n">
        <v>49</v>
      </c>
      <c r="W11" s="7" t="n">
        <f aca="false">W10</f>
        <v>16814</v>
      </c>
      <c r="X11" s="6" t="n">
        <f aca="false">N11+O11+S11+U11+V11</f>
        <v>69</v>
      </c>
      <c r="Y11" s="6" t="n">
        <f aca="false">IF(L11&lt;0,L11*-1,0)</f>
        <v>0</v>
      </c>
      <c r="Z11" s="6" t="n">
        <f aca="false">X11+Y11</f>
        <v>69</v>
      </c>
      <c r="AA11" s="8" t="n">
        <v>0</v>
      </c>
      <c r="AB11" s="10" t="n">
        <v>50</v>
      </c>
      <c r="AC11" s="10" t="n">
        <v>20</v>
      </c>
      <c r="AD11" s="11" t="n">
        <f aca="false">AD10+1</f>
        <v>2</v>
      </c>
      <c r="AE11" s="10"/>
      <c r="AF11" s="10"/>
      <c r="AH11" s="6"/>
    </row>
    <row r="12" customFormat="false" ht="11.1" hidden="false" customHeight="true" outlineLevel="0" collapsed="false">
      <c r="A12" s="11" t="n">
        <f aca="false">A11+1</f>
        <v>3</v>
      </c>
      <c r="B12" s="28" t="n">
        <v>6911.9</v>
      </c>
      <c r="C12" s="7" t="n">
        <v>329640</v>
      </c>
      <c r="D12" s="10" t="n">
        <f aca="false">C12-C11</f>
        <v>364</v>
      </c>
      <c r="E12" s="7" t="n">
        <f aca="false">C12-152000</f>
        <v>177640</v>
      </c>
      <c r="F12" s="6" t="n">
        <f aca="false">D12/$D$2</f>
        <v>183.513990420973</v>
      </c>
      <c r="G12" s="6" t="n">
        <v>156</v>
      </c>
      <c r="H12" s="40" t="n">
        <v>12</v>
      </c>
      <c r="I12" s="6" t="n">
        <f aca="false">G12+H12</f>
        <v>168</v>
      </c>
      <c r="J12" s="101" t="n">
        <f aca="false">IF(L12&gt;0,L12,0)</f>
        <v>128.513990420973</v>
      </c>
      <c r="K12" s="6" t="n">
        <f aca="false">I12+J12</f>
        <v>296.513990420973</v>
      </c>
      <c r="L12" s="6" t="n">
        <f aca="false">F12-(I12-X12)</f>
        <v>128.513990420973</v>
      </c>
      <c r="M12" s="6" t="n">
        <v>40</v>
      </c>
      <c r="N12" s="6" t="n">
        <v>0</v>
      </c>
      <c r="O12" s="6" t="n">
        <v>33.92</v>
      </c>
      <c r="P12" s="6" t="n">
        <f aca="false">M12-(N12+O12)</f>
        <v>6.08</v>
      </c>
      <c r="Q12" s="6" t="n">
        <v>0</v>
      </c>
      <c r="R12" s="6" t="n">
        <v>0</v>
      </c>
      <c r="S12" s="6" t="n">
        <f aca="false">SUM(P12:R12)</f>
        <v>6.08</v>
      </c>
      <c r="T12" s="7"/>
      <c r="U12" s="6" t="n">
        <v>0</v>
      </c>
      <c r="V12" s="6" t="n">
        <v>73</v>
      </c>
      <c r="W12" s="7" t="n">
        <f aca="false">W11</f>
        <v>16814</v>
      </c>
      <c r="X12" s="6" t="n">
        <f aca="false">N12+O12+S12+U12+V12</f>
        <v>113</v>
      </c>
      <c r="Y12" s="6" t="n">
        <f aca="false">IF(L12&lt;0,L12*-1,0)</f>
        <v>0</v>
      </c>
      <c r="Z12" s="6" t="n">
        <f aca="false">X12+Y12</f>
        <v>113</v>
      </c>
      <c r="AA12" s="8" t="n">
        <v>0</v>
      </c>
      <c r="AB12" s="10" t="n">
        <v>61</v>
      </c>
      <c r="AC12" s="10" t="n">
        <v>30</v>
      </c>
      <c r="AD12" s="11" t="n">
        <f aca="false">AD11+1</f>
        <v>3</v>
      </c>
      <c r="AE12" s="10"/>
      <c r="AF12" s="10"/>
      <c r="AH12" s="6"/>
    </row>
    <row r="13" customFormat="false" ht="11.1" hidden="false" customHeight="true" outlineLevel="0" collapsed="false">
      <c r="A13" s="11" t="n">
        <f aca="false">A12+1</f>
        <v>4</v>
      </c>
      <c r="B13" s="28" t="n">
        <v>6912</v>
      </c>
      <c r="C13" s="7" t="n">
        <v>330044</v>
      </c>
      <c r="D13" s="10" t="n">
        <f aca="false">C13-C12</f>
        <v>404</v>
      </c>
      <c r="E13" s="7" t="n">
        <f aca="false">C13-152000</f>
        <v>178044</v>
      </c>
      <c r="F13" s="6" t="n">
        <f aca="false">D13/$D$2</f>
        <v>203.680362994706</v>
      </c>
      <c r="G13" s="6" t="n">
        <v>165</v>
      </c>
      <c r="H13" s="40" t="n">
        <v>11</v>
      </c>
      <c r="I13" s="6" t="n">
        <f aca="false">G13+H13</f>
        <v>176</v>
      </c>
      <c r="J13" s="101" t="n">
        <f aca="false">IF(L13&gt;0,L13,0)</f>
        <v>124.680362994706</v>
      </c>
      <c r="K13" s="6" t="n">
        <f aca="false">I13+J13</f>
        <v>300.680362994706</v>
      </c>
      <c r="L13" s="6" t="n">
        <f aca="false">F13-(I13-X13)</f>
        <v>124.680362994706</v>
      </c>
      <c r="M13" s="6" t="n">
        <v>26</v>
      </c>
      <c r="N13" s="6" t="n">
        <v>0</v>
      </c>
      <c r="O13" s="6" t="n">
        <v>22.95</v>
      </c>
      <c r="P13" s="6" t="n">
        <f aca="false">M13-(N13+O13)</f>
        <v>3.05</v>
      </c>
      <c r="Q13" s="6" t="n">
        <v>0</v>
      </c>
      <c r="R13" s="6" t="n">
        <v>0</v>
      </c>
      <c r="S13" s="6" t="n">
        <f aca="false">SUM(P13:R13)</f>
        <v>3.05</v>
      </c>
      <c r="T13" s="7"/>
      <c r="U13" s="6" t="n">
        <v>0</v>
      </c>
      <c r="V13" s="6" t="n">
        <v>71</v>
      </c>
      <c r="W13" s="7" t="n">
        <f aca="false">W12</f>
        <v>16814</v>
      </c>
      <c r="X13" s="6" t="n">
        <f aca="false">N13+O13+S13+U13+V13</f>
        <v>97</v>
      </c>
      <c r="Y13" s="6" t="n">
        <f aca="false">IF(L13&lt;0,L13*-1,0)</f>
        <v>0</v>
      </c>
      <c r="Z13" s="6" t="n">
        <f aca="false">X13+Y13</f>
        <v>97</v>
      </c>
      <c r="AA13" s="8" t="n">
        <v>0</v>
      </c>
      <c r="AB13" s="10" t="n">
        <v>68</v>
      </c>
      <c r="AC13" s="10" t="n">
        <v>34</v>
      </c>
      <c r="AD13" s="11" t="n">
        <f aca="false">AD12+1</f>
        <v>4</v>
      </c>
      <c r="AE13" s="10"/>
      <c r="AF13" s="10"/>
      <c r="AH13" s="6"/>
    </row>
    <row r="14" customFormat="false" ht="11.1" hidden="false" customHeight="true" outlineLevel="0" collapsed="false">
      <c r="A14" s="11" t="n">
        <f aca="false">A13+1</f>
        <v>5</v>
      </c>
      <c r="B14" s="28" t="n">
        <v>6912.25</v>
      </c>
      <c r="C14" s="7" t="n">
        <v>331064</v>
      </c>
      <c r="D14" s="10" t="n">
        <f aca="false">C14-C13</f>
        <v>1020</v>
      </c>
      <c r="E14" s="7" t="n">
        <f aca="false">C14-152000</f>
        <v>179064</v>
      </c>
      <c r="F14" s="6" t="n">
        <f aca="false">D14/$D$2</f>
        <v>514.242500630199</v>
      </c>
      <c r="G14" s="6" t="n">
        <v>247</v>
      </c>
      <c r="H14" s="40" t="n">
        <v>11</v>
      </c>
      <c r="I14" s="6" t="n">
        <f aca="false">G14+H14</f>
        <v>258</v>
      </c>
      <c r="J14" s="101" t="n">
        <f aca="false">IF(L14&gt;0,L14,0)</f>
        <v>312.242500630199</v>
      </c>
      <c r="K14" s="6" t="n">
        <f aca="false">I14+J14</f>
        <v>570.242500630199</v>
      </c>
      <c r="L14" s="6" t="n">
        <f aca="false">F14-(I14-X14)</f>
        <v>312.242500630199</v>
      </c>
      <c r="M14" s="6" t="n">
        <v>5</v>
      </c>
      <c r="N14" s="6" t="n">
        <v>0</v>
      </c>
      <c r="O14" s="6" t="n">
        <v>0.99</v>
      </c>
      <c r="P14" s="6" t="n">
        <f aca="false">M14-(N14+O14)</f>
        <v>4.01</v>
      </c>
      <c r="Q14" s="6" t="n">
        <v>0</v>
      </c>
      <c r="R14" s="6" t="n">
        <v>0</v>
      </c>
      <c r="S14" s="6" t="n">
        <f aca="false">SUM(P14:R14)</f>
        <v>4.01</v>
      </c>
      <c r="T14" s="7"/>
      <c r="U14" s="6" t="n">
        <v>0</v>
      </c>
      <c r="V14" s="6" t="n">
        <v>51</v>
      </c>
      <c r="W14" s="7" t="n">
        <f aca="false">W13</f>
        <v>16814</v>
      </c>
      <c r="X14" s="6" t="n">
        <f aca="false">N14+O14+S14+U14+V14</f>
        <v>56</v>
      </c>
      <c r="Y14" s="6" t="n">
        <f aca="false">IF(L14&lt;0,L14*-1,0)</f>
        <v>0</v>
      </c>
      <c r="Z14" s="6" t="n">
        <f aca="false">X14+Y14</f>
        <v>56</v>
      </c>
      <c r="AA14" s="8" t="n">
        <v>0</v>
      </c>
      <c r="AB14" s="10" t="n">
        <v>68</v>
      </c>
      <c r="AC14" s="10" t="n">
        <v>34</v>
      </c>
      <c r="AD14" s="11" t="n">
        <f aca="false">AD13+1</f>
        <v>5</v>
      </c>
      <c r="AE14" s="10"/>
      <c r="AF14" s="10"/>
      <c r="AH14" s="6"/>
    </row>
    <row r="15" customFormat="false" ht="11.1" hidden="false" customHeight="true" outlineLevel="0" collapsed="false">
      <c r="A15" s="11" t="n">
        <f aca="false">A14+1</f>
        <v>6</v>
      </c>
      <c r="B15" s="28" t="n">
        <v>6912.6</v>
      </c>
      <c r="C15" s="7" t="n">
        <v>332490</v>
      </c>
      <c r="D15" s="10" t="n">
        <f aca="false">C15-C14</f>
        <v>1426</v>
      </c>
      <c r="E15" s="7" t="n">
        <f aca="false">C15-152000</f>
        <v>180490</v>
      </c>
      <c r="F15" s="6" t="n">
        <f aca="false">D15/$D$2</f>
        <v>718.931182253592</v>
      </c>
      <c r="G15" s="6" t="n">
        <v>381</v>
      </c>
      <c r="H15" s="40" t="n">
        <v>8.1</v>
      </c>
      <c r="I15" s="6" t="n">
        <f aca="false">G15+H15</f>
        <v>389.1</v>
      </c>
      <c r="J15" s="101" t="n">
        <f aca="false">IF(L15&gt;0,L15,0)</f>
        <v>410.131182253592</v>
      </c>
      <c r="K15" s="6" t="n">
        <f aca="false">I15+J15</f>
        <v>799.231182253592</v>
      </c>
      <c r="L15" s="6" t="n">
        <f aca="false">F15-(I15-X15)</f>
        <v>410.131182253592</v>
      </c>
      <c r="M15" s="6" t="n">
        <v>9.3</v>
      </c>
      <c r="N15" s="6" t="n">
        <v>0</v>
      </c>
      <c r="O15" s="6" t="n">
        <v>0.82</v>
      </c>
      <c r="P15" s="6" t="n">
        <f aca="false">M15-(N15+O15)</f>
        <v>8.48</v>
      </c>
      <c r="Q15" s="6" t="n">
        <v>0</v>
      </c>
      <c r="R15" s="6" t="n">
        <v>0</v>
      </c>
      <c r="S15" s="6" t="n">
        <f aca="false">SUM(P15:R15)</f>
        <v>8.48</v>
      </c>
      <c r="T15" s="7"/>
      <c r="U15" s="6" t="n">
        <v>0</v>
      </c>
      <c r="V15" s="6" t="n">
        <v>71</v>
      </c>
      <c r="W15" s="7" t="n">
        <f aca="false">W14</f>
        <v>16814</v>
      </c>
      <c r="X15" s="6" t="n">
        <f aca="false">N15+O15+S15+U15+V15</f>
        <v>80.3</v>
      </c>
      <c r="Y15" s="6" t="n">
        <f aca="false">IF(L15&lt;0,L15*-1,0)</f>
        <v>0</v>
      </c>
      <c r="Z15" s="6" t="n">
        <f aca="false">X15+Y15</f>
        <v>80.3</v>
      </c>
      <c r="AA15" s="8" t="n">
        <v>0</v>
      </c>
      <c r="AB15" s="10" t="n">
        <v>68</v>
      </c>
      <c r="AC15" s="10" t="n">
        <v>35</v>
      </c>
      <c r="AD15" s="11" t="n">
        <f aca="false">AD14+1</f>
        <v>6</v>
      </c>
      <c r="AE15" s="10"/>
      <c r="AF15" s="10"/>
      <c r="AH15" s="6"/>
    </row>
    <row r="16" customFormat="false" ht="11.1" hidden="false" customHeight="true" outlineLevel="0" collapsed="false">
      <c r="A16" s="11" t="n">
        <f aca="false">A15+1</f>
        <v>7</v>
      </c>
      <c r="B16" s="28" t="n">
        <v>6912.96</v>
      </c>
      <c r="C16" s="7" t="n">
        <v>333958</v>
      </c>
      <c r="D16" s="10" t="n">
        <f aca="false">C16-C15</f>
        <v>1468</v>
      </c>
      <c r="E16" s="7" t="n">
        <f aca="false">C16-152000</f>
        <v>181958</v>
      </c>
      <c r="F16" s="6" t="n">
        <f aca="false">D16/$D$2</f>
        <v>740.105873456012</v>
      </c>
      <c r="G16" s="6" t="n">
        <v>490</v>
      </c>
      <c r="H16" s="40" t="n">
        <v>14</v>
      </c>
      <c r="I16" s="6" t="n">
        <f aca="false">G16+H16</f>
        <v>504</v>
      </c>
      <c r="J16" s="101" t="n">
        <f aca="false">IF(L16&gt;0,L16,0)</f>
        <v>359.105873456012</v>
      </c>
      <c r="K16" s="6" t="n">
        <f aca="false">I16+J16</f>
        <v>863.105873456012</v>
      </c>
      <c r="L16" s="6" t="n">
        <f aca="false">F16-(I16-X16)</f>
        <v>359.105873456012</v>
      </c>
      <c r="M16" s="6" t="n">
        <v>12</v>
      </c>
      <c r="N16" s="6" t="n">
        <v>0</v>
      </c>
      <c r="O16" s="6" t="n">
        <v>3.73</v>
      </c>
      <c r="P16" s="6" t="n">
        <f aca="false">M16-(N16+O16)</f>
        <v>8.27</v>
      </c>
      <c r="Q16" s="6" t="n">
        <v>0</v>
      </c>
      <c r="R16" s="6" t="n">
        <v>0</v>
      </c>
      <c r="S16" s="6" t="n">
        <f aca="false">SUM(P16:R16)</f>
        <v>8.27</v>
      </c>
      <c r="T16" s="7"/>
      <c r="U16" s="6" t="n">
        <v>0</v>
      </c>
      <c r="V16" s="6" t="n">
        <v>111</v>
      </c>
      <c r="W16" s="7" t="n">
        <f aca="false">W15</f>
        <v>16814</v>
      </c>
      <c r="X16" s="6" t="n">
        <f aca="false">N16+O16+S16+U16+V16</f>
        <v>123</v>
      </c>
      <c r="Y16" s="6" t="n">
        <f aca="false">IF(L16&lt;0,L16*-1,0)</f>
        <v>0</v>
      </c>
      <c r="Z16" s="6" t="n">
        <f aca="false">X16+Y16</f>
        <v>123</v>
      </c>
      <c r="AA16" s="8" t="n">
        <v>0</v>
      </c>
      <c r="AB16" s="10" t="n">
        <v>68</v>
      </c>
      <c r="AC16" s="10" t="n">
        <v>33</v>
      </c>
      <c r="AD16" s="11" t="n">
        <f aca="false">AD15+1</f>
        <v>7</v>
      </c>
      <c r="AE16" s="10"/>
      <c r="AF16" s="10"/>
      <c r="AH16" s="6"/>
    </row>
    <row r="17" customFormat="false" ht="11.1" hidden="false" customHeight="true" outlineLevel="0" collapsed="false">
      <c r="A17" s="11" t="n">
        <f aca="false">A16+1</f>
        <v>8</v>
      </c>
      <c r="B17" s="28" t="n">
        <v>6913.4</v>
      </c>
      <c r="C17" s="7" t="n">
        <v>335765</v>
      </c>
      <c r="D17" s="10" t="n">
        <f aca="false">C17-C16</f>
        <v>1807</v>
      </c>
      <c r="E17" s="7" t="n">
        <f aca="false">C17-152000</f>
        <v>183765</v>
      </c>
      <c r="F17" s="6" t="n">
        <f aca="false">D17/$D$2</f>
        <v>911.015881018402</v>
      </c>
      <c r="G17" s="6" t="n">
        <v>596</v>
      </c>
      <c r="H17" s="40" t="n">
        <v>32</v>
      </c>
      <c r="I17" s="6" t="n">
        <f aca="false">G17+H17</f>
        <v>628</v>
      </c>
      <c r="J17" s="101" t="n">
        <f aca="false">IF(L17&gt;0,L17,0)</f>
        <v>410.015881018402</v>
      </c>
      <c r="K17" s="6" t="n">
        <f aca="false">I17+J17</f>
        <v>1038.0158810184</v>
      </c>
      <c r="L17" s="6" t="n">
        <f aca="false">F17-(I17-X17)</f>
        <v>410.015881018402</v>
      </c>
      <c r="M17" s="6" t="n">
        <v>16</v>
      </c>
      <c r="N17" s="6" t="n">
        <v>0</v>
      </c>
      <c r="O17" s="6" t="n">
        <v>4.61</v>
      </c>
      <c r="P17" s="6" t="n">
        <f aca="false">M17-(N17+O17)</f>
        <v>11.39</v>
      </c>
      <c r="Q17" s="6" t="n">
        <v>0</v>
      </c>
      <c r="R17" s="6" t="n">
        <v>0</v>
      </c>
      <c r="S17" s="6" t="n">
        <f aca="false">SUM(P17:R17)</f>
        <v>11.39</v>
      </c>
      <c r="T17" s="6"/>
      <c r="U17" s="6" t="n">
        <v>0</v>
      </c>
      <c r="V17" s="6" t="n">
        <v>111</v>
      </c>
      <c r="W17" s="7" t="n">
        <f aca="false">W16</f>
        <v>16814</v>
      </c>
      <c r="X17" s="6" t="n">
        <f aca="false">N17+O17+S17+U17+V17</f>
        <v>127</v>
      </c>
      <c r="Y17" s="6" t="n">
        <f aca="false">IF(L17&lt;0,L17*-1,0)</f>
        <v>0</v>
      </c>
      <c r="Z17" s="6" t="n">
        <f aca="false">X17+Y17</f>
        <v>127</v>
      </c>
      <c r="AA17" s="8" t="n">
        <v>0</v>
      </c>
      <c r="AB17" s="10" t="n">
        <v>68</v>
      </c>
      <c r="AC17" s="10" t="n">
        <v>32</v>
      </c>
      <c r="AD17" s="11" t="n">
        <f aca="false">AD16+1</f>
        <v>8</v>
      </c>
      <c r="AE17" s="10"/>
      <c r="AF17" s="10"/>
      <c r="AH17" s="6"/>
    </row>
    <row r="18" customFormat="false" ht="11.1" hidden="false" customHeight="true" outlineLevel="0" collapsed="false">
      <c r="A18" s="11" t="n">
        <f aca="false">A17+1</f>
        <v>9</v>
      </c>
      <c r="B18" s="28" t="n">
        <v>6913.91</v>
      </c>
      <c r="C18" s="7" t="n">
        <v>337861</v>
      </c>
      <c r="D18" s="10" t="n">
        <f aca="false">C18-C17</f>
        <v>2096</v>
      </c>
      <c r="E18" s="7" t="n">
        <f aca="false">C18-152000</f>
        <v>185861</v>
      </c>
      <c r="F18" s="6" t="n">
        <f aca="false">D18/$D$2</f>
        <v>1056.71792286362</v>
      </c>
      <c r="G18" s="6" t="n">
        <v>689</v>
      </c>
      <c r="H18" s="40" t="n">
        <v>73</v>
      </c>
      <c r="I18" s="6" t="n">
        <f aca="false">G18+H18</f>
        <v>762</v>
      </c>
      <c r="J18" s="101" t="n">
        <f aca="false">IF(L18&gt;0,L18,0)</f>
        <v>421.717922863625</v>
      </c>
      <c r="K18" s="6" t="n">
        <f aca="false">I18+J18</f>
        <v>1183.71792286362</v>
      </c>
      <c r="L18" s="6" t="n">
        <f aca="false">F18-(I18-X18)</f>
        <v>421.717922863625</v>
      </c>
      <c r="M18" s="6" t="n">
        <v>16</v>
      </c>
      <c r="N18" s="6" t="n">
        <v>0</v>
      </c>
      <c r="O18" s="6" t="n">
        <v>4.61</v>
      </c>
      <c r="P18" s="6" t="n">
        <f aca="false">M18-(N18+O18)</f>
        <v>11.39</v>
      </c>
      <c r="Q18" s="6" t="n">
        <v>0</v>
      </c>
      <c r="R18" s="6" t="n">
        <v>0</v>
      </c>
      <c r="S18" s="6" t="n">
        <f aca="false">SUM(P18:R18)</f>
        <v>11.39</v>
      </c>
      <c r="T18" s="6"/>
      <c r="U18" s="6" t="n">
        <v>0</v>
      </c>
      <c r="V18" s="6" t="n">
        <v>111</v>
      </c>
      <c r="W18" s="7" t="n">
        <f aca="false">W17</f>
        <v>16814</v>
      </c>
      <c r="X18" s="6" t="n">
        <f aca="false">N18+O18+S18+U18+V18</f>
        <v>127</v>
      </c>
      <c r="Y18" s="6" t="n">
        <f aca="false">IF(L18&lt;0,L18*-1,0)</f>
        <v>0</v>
      </c>
      <c r="Z18" s="6" t="n">
        <f aca="false">X18+Y18</f>
        <v>127</v>
      </c>
      <c r="AA18" s="8" t="n">
        <v>0</v>
      </c>
      <c r="AB18" s="37" t="n">
        <v>69</v>
      </c>
      <c r="AC18" s="10" t="n">
        <v>36</v>
      </c>
      <c r="AD18" s="11" t="n">
        <f aca="false">AD17+1</f>
        <v>9</v>
      </c>
      <c r="AE18" s="10"/>
      <c r="AF18" s="10"/>
      <c r="AH18" s="6"/>
    </row>
    <row r="19" customFormat="false" ht="11.1" hidden="false" customHeight="true" outlineLevel="0" collapsed="false">
      <c r="A19" s="11" t="n">
        <f aca="false">A18+1</f>
        <v>10</v>
      </c>
      <c r="B19" s="28" t="n">
        <v>6914.44</v>
      </c>
      <c r="C19" s="7" t="n">
        <v>340053</v>
      </c>
      <c r="D19" s="10" t="n">
        <f aca="false">C19-C18</f>
        <v>2192</v>
      </c>
      <c r="E19" s="7" t="n">
        <f aca="false">C19-152000</f>
        <v>188053</v>
      </c>
      <c r="F19" s="6" t="n">
        <f aca="false">D19/$D$2</f>
        <v>1105.11721704058</v>
      </c>
      <c r="G19" s="6" t="n">
        <v>847</v>
      </c>
      <c r="H19" s="40" t="n">
        <v>116</v>
      </c>
      <c r="I19" s="6" t="n">
        <f aca="false">G19+H19</f>
        <v>963</v>
      </c>
      <c r="J19" s="101" t="n">
        <f aca="false">IF(L19&gt;0,L19,0)</f>
        <v>310.117217040585</v>
      </c>
      <c r="K19" s="6" t="n">
        <f aca="false">I19+J19</f>
        <v>1273.11721704058</v>
      </c>
      <c r="L19" s="6" t="n">
        <f aca="false">F19-(I19-X19)</f>
        <v>310.117217040585</v>
      </c>
      <c r="M19" s="6" t="n">
        <v>37</v>
      </c>
      <c r="N19" s="6" t="n">
        <v>0</v>
      </c>
      <c r="O19" s="6" t="n">
        <v>12.57</v>
      </c>
      <c r="P19" s="6" t="n">
        <f aca="false">M19-(N19+O19)</f>
        <v>24.43</v>
      </c>
      <c r="Q19" s="6" t="n">
        <v>0</v>
      </c>
      <c r="R19" s="6" t="n">
        <v>0</v>
      </c>
      <c r="S19" s="6" t="n">
        <f aca="false">SUM(P19:R19)</f>
        <v>24.43</v>
      </c>
      <c r="T19" s="6"/>
      <c r="U19" s="6" t="n">
        <v>0</v>
      </c>
      <c r="V19" s="6" t="n">
        <v>131</v>
      </c>
      <c r="W19" s="7" t="n">
        <f aca="false">W18</f>
        <v>16814</v>
      </c>
      <c r="X19" s="6" t="n">
        <f aca="false">N19+O19+S19+U19+V19</f>
        <v>168</v>
      </c>
      <c r="Y19" s="6" t="n">
        <f aca="false">IF(L19&lt;0,L19*-1,0)</f>
        <v>0</v>
      </c>
      <c r="Z19" s="6" t="n">
        <f aca="false">X19+Y19</f>
        <v>168</v>
      </c>
      <c r="AA19" s="8" t="n">
        <v>0</v>
      </c>
      <c r="AB19" s="10" t="n">
        <v>68</v>
      </c>
      <c r="AC19" s="10" t="n">
        <v>33</v>
      </c>
      <c r="AD19" s="11" t="n">
        <f aca="false">AD18+1</f>
        <v>10</v>
      </c>
      <c r="AE19" s="10"/>
      <c r="AF19" s="10"/>
      <c r="AH19" s="6"/>
    </row>
    <row r="20" customFormat="false" ht="11.1" hidden="false" customHeight="true" outlineLevel="0" collapsed="false">
      <c r="A20" s="11" t="n">
        <f aca="false">A19+1</f>
        <v>11</v>
      </c>
      <c r="B20" s="28" t="n">
        <v>6914.98</v>
      </c>
      <c r="C20" s="7" t="n">
        <v>342289</v>
      </c>
      <c r="D20" s="10" t="n">
        <f aca="false">C20-C19</f>
        <v>2236</v>
      </c>
      <c r="E20" s="7" t="n">
        <f aca="false">C20-152000</f>
        <v>190289</v>
      </c>
      <c r="F20" s="6" t="n">
        <f aca="false">D20/$D$2</f>
        <v>1127.30022687169</v>
      </c>
      <c r="G20" s="6" t="n">
        <v>813</v>
      </c>
      <c r="H20" s="40" t="n">
        <v>105</v>
      </c>
      <c r="I20" s="6" t="n">
        <f aca="false">G20+H20</f>
        <v>918</v>
      </c>
      <c r="J20" s="101" t="n">
        <f aca="false">IF(L20&gt;0,L20,0)</f>
        <v>420.300226871691</v>
      </c>
      <c r="K20" s="6" t="n">
        <f aca="false">I20+J20</f>
        <v>1338.30022687169</v>
      </c>
      <c r="L20" s="6" t="n">
        <f aca="false">F20-(I20-X20)</f>
        <v>420.300226871691</v>
      </c>
      <c r="M20" s="6" t="n">
        <v>85</v>
      </c>
      <c r="N20" s="6" t="n">
        <v>0</v>
      </c>
      <c r="O20" s="6" t="n">
        <v>40.45</v>
      </c>
      <c r="P20" s="6" t="n">
        <f aca="false">M20-(N20+O20)</f>
        <v>44.55</v>
      </c>
      <c r="Q20" s="6" t="n">
        <v>0</v>
      </c>
      <c r="R20" s="6" t="n">
        <v>0</v>
      </c>
      <c r="S20" s="6" t="n">
        <f aca="false">SUM(P20:R20)</f>
        <v>44.55</v>
      </c>
      <c r="T20" s="6"/>
      <c r="U20" s="6" t="n">
        <v>0</v>
      </c>
      <c r="V20" s="6" t="n">
        <v>126</v>
      </c>
      <c r="W20" s="7" t="n">
        <f aca="false">W19</f>
        <v>16814</v>
      </c>
      <c r="X20" s="6" t="n">
        <f aca="false">N20+O20+S20+U20+V20</f>
        <v>211</v>
      </c>
      <c r="Y20" s="6" t="n">
        <f aca="false">IF(L20&lt;0,L20*-1,0)</f>
        <v>0</v>
      </c>
      <c r="Z20" s="6" t="n">
        <f aca="false">X20+Y20</f>
        <v>211</v>
      </c>
      <c r="AA20" s="8" t="n">
        <v>0</v>
      </c>
      <c r="AB20" s="10" t="n">
        <v>55</v>
      </c>
      <c r="AC20" s="10" t="n">
        <v>34</v>
      </c>
      <c r="AD20" s="11" t="n">
        <f aca="false">AD19+1</f>
        <v>11</v>
      </c>
      <c r="AE20" s="10"/>
      <c r="AF20" s="10"/>
      <c r="AH20" s="6"/>
    </row>
    <row r="21" customFormat="false" ht="11.1" hidden="false" customHeight="true" outlineLevel="0" collapsed="false">
      <c r="A21" s="11" t="n">
        <f aca="false">A20+1</f>
        <v>12</v>
      </c>
      <c r="B21" s="28" t="n">
        <v>6915.36</v>
      </c>
      <c r="C21" s="7" t="n">
        <v>343875</v>
      </c>
      <c r="D21" s="10" t="n">
        <f aca="false">C21-C20</f>
        <v>1586</v>
      </c>
      <c r="E21" s="7" t="n">
        <f aca="false">C21-152000</f>
        <v>191875</v>
      </c>
      <c r="F21" s="6" t="n">
        <f aca="false">D21/$D$2</f>
        <v>799.596672548525</v>
      </c>
      <c r="G21" s="6" t="n">
        <v>701</v>
      </c>
      <c r="H21" s="40" t="n">
        <v>74</v>
      </c>
      <c r="I21" s="6" t="n">
        <f aca="false">G21+H21</f>
        <v>775</v>
      </c>
      <c r="J21" s="101" t="n">
        <f aca="false">IF(L21&gt;0,L21,0)</f>
        <v>255.596672548525</v>
      </c>
      <c r="K21" s="6" t="n">
        <f aca="false">I21+J21</f>
        <v>1030.59667254853</v>
      </c>
      <c r="L21" s="6" t="n">
        <f aca="false">F21-(I21-X21)</f>
        <v>255.596672548525</v>
      </c>
      <c r="M21" s="6" t="n">
        <v>111</v>
      </c>
      <c r="N21" s="6" t="n">
        <v>0</v>
      </c>
      <c r="O21" s="6" t="n">
        <v>66.2</v>
      </c>
      <c r="P21" s="6" t="n">
        <f aca="false">M21-(N21+O21)</f>
        <v>44.8</v>
      </c>
      <c r="Q21" s="6" t="n">
        <v>0</v>
      </c>
      <c r="R21" s="6" t="n">
        <v>0</v>
      </c>
      <c r="S21" s="6" t="n">
        <f aca="false">SUM(P21:R21)</f>
        <v>44.8</v>
      </c>
      <c r="T21" s="6"/>
      <c r="U21" s="6" t="n">
        <v>0</v>
      </c>
      <c r="V21" s="6" t="n">
        <v>120</v>
      </c>
      <c r="W21" s="7" t="n">
        <f aca="false">W20</f>
        <v>16814</v>
      </c>
      <c r="X21" s="6" t="n">
        <f aca="false">N21+O21+S21+U21+V21</f>
        <v>231</v>
      </c>
      <c r="Y21" s="6" t="n">
        <f aca="false">IF(L21&lt;0,L21*-1,0)</f>
        <v>0</v>
      </c>
      <c r="Z21" s="6" t="n">
        <f aca="false">X21+Y21</f>
        <v>231</v>
      </c>
      <c r="AA21" s="8" t="n">
        <v>0</v>
      </c>
      <c r="AB21" s="10" t="n">
        <v>65</v>
      </c>
      <c r="AC21" s="10" t="n">
        <v>34</v>
      </c>
      <c r="AD21" s="11" t="n">
        <f aca="false">AD20+1</f>
        <v>12</v>
      </c>
      <c r="AE21" s="10"/>
      <c r="AF21" s="10"/>
      <c r="AH21" s="6"/>
    </row>
    <row r="22" customFormat="false" ht="11.1" hidden="false" customHeight="true" outlineLevel="0" collapsed="false">
      <c r="A22" s="11" t="n">
        <f aca="false">A21+1</f>
        <v>13</v>
      </c>
      <c r="B22" s="28" t="n">
        <v>6915.76</v>
      </c>
      <c r="C22" s="7" t="n">
        <v>345545</v>
      </c>
      <c r="D22" s="10" t="n">
        <f aca="false">C22-C21</f>
        <v>1670</v>
      </c>
      <c r="E22" s="7" t="n">
        <f aca="false">C22-152000</f>
        <v>193545</v>
      </c>
      <c r="F22" s="6" t="n">
        <f aca="false">D22/$D$2</f>
        <v>841.946054953365</v>
      </c>
      <c r="G22" s="6" t="n">
        <v>854</v>
      </c>
      <c r="H22" s="40" t="n">
        <v>111</v>
      </c>
      <c r="I22" s="6" t="n">
        <f aca="false">G22+H22</f>
        <v>965</v>
      </c>
      <c r="J22" s="101" t="n">
        <f aca="false">IF(L22&gt;0,L22,0)</f>
        <v>282.946054953365</v>
      </c>
      <c r="K22" s="6" t="n">
        <f aca="false">I22+J22</f>
        <v>1247.94605495337</v>
      </c>
      <c r="L22" s="6" t="n">
        <f aca="false">F22-(I22-X22)</f>
        <v>282.946054953365</v>
      </c>
      <c r="M22" s="6" t="n">
        <v>125</v>
      </c>
      <c r="N22" s="6" t="n">
        <v>0</v>
      </c>
      <c r="O22" s="6" t="n">
        <f aca="false">(37+38.1)*1.05</f>
        <v>78.855</v>
      </c>
      <c r="P22" s="6" t="n">
        <f aca="false">M22-(N22+O22)</f>
        <v>46.145</v>
      </c>
      <c r="Q22" s="6" t="n">
        <v>0</v>
      </c>
      <c r="R22" s="6" t="n">
        <v>0</v>
      </c>
      <c r="S22" s="6" t="n">
        <f aca="false">SUM(P22:R22)</f>
        <v>46.145</v>
      </c>
      <c r="T22" s="6"/>
      <c r="U22" s="6" t="n">
        <v>0</v>
      </c>
      <c r="V22" s="6" t="n">
        <v>281</v>
      </c>
      <c r="W22" s="7" t="n">
        <f aca="false">W21</f>
        <v>16814</v>
      </c>
      <c r="X22" s="6" t="n">
        <f aca="false">N22+O22+S22+U22+V22</f>
        <v>406</v>
      </c>
      <c r="Y22" s="6" t="n">
        <f aca="false">IF(L22&lt;0,L22*-1,0)</f>
        <v>0</v>
      </c>
      <c r="Z22" s="6" t="n">
        <f aca="false">X22+Y22</f>
        <v>406</v>
      </c>
      <c r="AA22" s="8" t="n">
        <v>0</v>
      </c>
      <c r="AB22" s="10" t="n">
        <v>62</v>
      </c>
      <c r="AC22" s="10" t="n">
        <v>32</v>
      </c>
      <c r="AD22" s="11" t="n">
        <f aca="false">AD21+1</f>
        <v>13</v>
      </c>
      <c r="AE22" s="10"/>
      <c r="AF22" s="10"/>
      <c r="AH22" s="6"/>
    </row>
    <row r="23" customFormat="false" ht="11.1" hidden="false" customHeight="true" outlineLevel="0" collapsed="false">
      <c r="A23" s="11" t="n">
        <f aca="false">A22+1</f>
        <v>14</v>
      </c>
      <c r="B23" s="28" t="n">
        <v>6916.19</v>
      </c>
      <c r="C23" s="7" t="n">
        <v>347346</v>
      </c>
      <c r="D23" s="10" t="n">
        <f aca="false">C23-C22</f>
        <v>1801</v>
      </c>
      <c r="E23" s="7" t="n">
        <f aca="false">C23-152000</f>
        <v>195346</v>
      </c>
      <c r="F23" s="6" t="n">
        <f aca="false">D23/$D$2</f>
        <v>907.990925132342</v>
      </c>
      <c r="G23" s="6" t="n">
        <v>978</v>
      </c>
      <c r="H23" s="40" t="n">
        <v>130</v>
      </c>
      <c r="I23" s="6" t="n">
        <f aca="false">G23+H23</f>
        <v>1108</v>
      </c>
      <c r="J23" s="101" t="n">
        <f aca="false">IF(L23&gt;0,L23,0)</f>
        <v>549.990925132342</v>
      </c>
      <c r="K23" s="6" t="n">
        <f aca="false">I23+J23</f>
        <v>1657.99092513234</v>
      </c>
      <c r="L23" s="6" t="n">
        <f aca="false">F23-(I23-X23)</f>
        <v>549.990925132342</v>
      </c>
      <c r="M23" s="6" t="n">
        <v>150</v>
      </c>
      <c r="N23" s="6" t="n">
        <v>0</v>
      </c>
      <c r="O23" s="6" t="n">
        <f aca="false">(39.7+40.1)*1.05</f>
        <v>83.79</v>
      </c>
      <c r="P23" s="6" t="n">
        <f aca="false">M23-(N23+O23)</f>
        <v>66.21</v>
      </c>
      <c r="Q23" s="6" t="n">
        <v>0</v>
      </c>
      <c r="R23" s="6" t="n">
        <v>0</v>
      </c>
      <c r="S23" s="6" t="n">
        <f aca="false">SUM(P23:R23)</f>
        <v>66.21</v>
      </c>
      <c r="T23" s="6"/>
      <c r="U23" s="6" t="n">
        <v>0</v>
      </c>
      <c r="V23" s="6" t="n">
        <v>600</v>
      </c>
      <c r="W23" s="7" t="n">
        <f aca="false">W22</f>
        <v>16814</v>
      </c>
      <c r="X23" s="6" t="n">
        <f aca="false">N23+O23+S23+U23+V23</f>
        <v>750</v>
      </c>
      <c r="Y23" s="6" t="n">
        <f aca="false">IF(L23&lt;0,L23*-1,0)</f>
        <v>0</v>
      </c>
      <c r="Z23" s="6" t="n">
        <f aca="false">X23+Y23</f>
        <v>750</v>
      </c>
      <c r="AA23" s="8" t="n">
        <v>0.02</v>
      </c>
      <c r="AB23" s="37" t="n">
        <v>59</v>
      </c>
      <c r="AC23" s="10" t="n">
        <v>29</v>
      </c>
      <c r="AD23" s="11" t="n">
        <f aca="false">AD22+1</f>
        <v>14</v>
      </c>
      <c r="AE23" s="10"/>
      <c r="AF23" s="10"/>
      <c r="AH23" s="6"/>
    </row>
    <row r="24" customFormat="false" ht="11.1" hidden="false" customHeight="true" outlineLevel="0" collapsed="false">
      <c r="A24" s="11" t="n">
        <f aca="false">A23+1</f>
        <v>15</v>
      </c>
      <c r="B24" s="28" t="n">
        <v>6916.46</v>
      </c>
      <c r="C24" s="7" t="n">
        <v>348482</v>
      </c>
      <c r="D24" s="10" t="n">
        <f aca="false">C24-C23</f>
        <v>1136</v>
      </c>
      <c r="E24" s="7" t="n">
        <f aca="false">C24-152000</f>
        <v>196482</v>
      </c>
      <c r="F24" s="6" t="n">
        <f aca="false">D24/$D$2</f>
        <v>572.724981094026</v>
      </c>
      <c r="G24" s="6" t="n">
        <v>863</v>
      </c>
      <c r="H24" s="40" t="n">
        <v>84</v>
      </c>
      <c r="I24" s="6" t="n">
        <f aca="false">G24+H24</f>
        <v>947</v>
      </c>
      <c r="J24" s="101" t="n">
        <f aca="false">IF(L24&gt;0,L24,0)</f>
        <v>340.724981094026</v>
      </c>
      <c r="K24" s="6" t="n">
        <f aca="false">I24+J24</f>
        <v>1287.72498109403</v>
      </c>
      <c r="L24" s="6" t="n">
        <f aca="false">F24-(I24-X24)</f>
        <v>340.724981094026</v>
      </c>
      <c r="M24" s="6" t="n">
        <v>151</v>
      </c>
      <c r="N24" s="6" t="n">
        <v>0</v>
      </c>
      <c r="O24" s="6" t="n">
        <f aca="false">(41.9+43.7)*1.05</f>
        <v>89.88</v>
      </c>
      <c r="P24" s="6" t="n">
        <f aca="false">M24-(N24+O24)</f>
        <v>61.12</v>
      </c>
      <c r="Q24" s="6" t="n">
        <v>0</v>
      </c>
      <c r="R24" s="6" t="n">
        <v>0</v>
      </c>
      <c r="S24" s="6" t="n">
        <f aca="false">SUM(P24:R24)</f>
        <v>61.12</v>
      </c>
      <c r="T24" s="6"/>
      <c r="U24" s="6" t="n">
        <v>0</v>
      </c>
      <c r="V24" s="6" t="n">
        <v>564</v>
      </c>
      <c r="W24" s="7" t="n">
        <f aca="false">W23</f>
        <v>16814</v>
      </c>
      <c r="X24" s="6" t="n">
        <f aca="false">N24+O24+S24+U24+V24</f>
        <v>715</v>
      </c>
      <c r="Y24" s="6" t="n">
        <f aca="false">IF(L24&lt;0,L24*-1,0)</f>
        <v>0</v>
      </c>
      <c r="Z24" s="6" t="n">
        <f aca="false">X24+Y24</f>
        <v>715</v>
      </c>
      <c r="AA24" s="8" t="n">
        <v>0</v>
      </c>
      <c r="AB24" s="37" t="n">
        <v>54</v>
      </c>
      <c r="AC24" s="10" t="n">
        <v>27</v>
      </c>
      <c r="AD24" s="11" t="n">
        <f aca="false">AD23+1</f>
        <v>15</v>
      </c>
      <c r="AE24" s="10"/>
      <c r="AF24" s="10"/>
      <c r="AH24" s="6"/>
    </row>
    <row r="25" customFormat="false" ht="11.1" hidden="false" customHeight="true" outlineLevel="0" collapsed="false">
      <c r="A25" s="11" t="n">
        <f aca="false">A24+1</f>
        <v>16</v>
      </c>
      <c r="B25" s="28" t="n">
        <v>6916.64</v>
      </c>
      <c r="C25" s="7" t="n">
        <v>349239</v>
      </c>
      <c r="D25" s="10" t="n">
        <f aca="false">C25-C24</f>
        <v>757</v>
      </c>
      <c r="E25" s="7" t="n">
        <f aca="false">C25-152000</f>
        <v>197239</v>
      </c>
      <c r="F25" s="6" t="n">
        <f aca="false">D25/$D$2</f>
        <v>381.648600957903</v>
      </c>
      <c r="G25" s="6" t="n">
        <v>690</v>
      </c>
      <c r="H25" s="40" t="n">
        <v>38</v>
      </c>
      <c r="I25" s="6" t="n">
        <f aca="false">G25+H25</f>
        <v>728</v>
      </c>
      <c r="J25" s="101" t="n">
        <f aca="false">IF(L25&gt;0,L25,0)</f>
        <v>338.648600957903</v>
      </c>
      <c r="K25" s="6" t="n">
        <f aca="false">I25+J25</f>
        <v>1066.6486009579</v>
      </c>
      <c r="L25" s="6" t="n">
        <f aca="false">F25-(I25-X25)</f>
        <v>338.648600957903</v>
      </c>
      <c r="M25" s="6" t="n">
        <v>147</v>
      </c>
      <c r="N25" s="6" t="n">
        <v>0</v>
      </c>
      <c r="O25" s="6" t="n">
        <f aca="false">(41.1+39.8)*1.05</f>
        <v>84.945</v>
      </c>
      <c r="P25" s="6" t="n">
        <f aca="false">M25-(N25+O25)</f>
        <v>62.055</v>
      </c>
      <c r="Q25" s="6" t="n">
        <v>0</v>
      </c>
      <c r="R25" s="6" t="n">
        <v>0</v>
      </c>
      <c r="S25" s="6" t="n">
        <f aca="false">SUM(P25:R25)</f>
        <v>62.055</v>
      </c>
      <c r="T25" s="6"/>
      <c r="U25" s="6" t="n">
        <v>0</v>
      </c>
      <c r="V25" s="6" t="n">
        <v>538</v>
      </c>
      <c r="W25" s="7" t="n">
        <f aca="false">W24</f>
        <v>16814</v>
      </c>
      <c r="X25" s="6" t="n">
        <f aca="false">N25+O25+S25+U25+V25</f>
        <v>685</v>
      </c>
      <c r="Y25" s="6" t="n">
        <f aca="false">IF(L25&lt;0,L25*-1,0)</f>
        <v>0</v>
      </c>
      <c r="Z25" s="6" t="n">
        <f aca="false">X25+Y25</f>
        <v>685</v>
      </c>
      <c r="AA25" s="8" t="n">
        <v>0</v>
      </c>
      <c r="AB25" s="37" t="n">
        <v>66</v>
      </c>
      <c r="AC25" s="10" t="n">
        <v>30</v>
      </c>
      <c r="AD25" s="11" t="n">
        <f aca="false">AD24+1</f>
        <v>16</v>
      </c>
      <c r="AE25" s="10"/>
      <c r="AF25" s="10"/>
      <c r="AH25" s="6"/>
    </row>
    <row r="26" customFormat="false" ht="11.1" hidden="false" customHeight="true" outlineLevel="0" collapsed="false">
      <c r="A26" s="11" t="n">
        <f aca="false">A25+1</f>
        <v>17</v>
      </c>
      <c r="B26" s="28" t="n">
        <v>6916.81</v>
      </c>
      <c r="C26" s="7" t="n">
        <v>349954</v>
      </c>
      <c r="D26" s="10" t="n">
        <f aca="false">C26-C25</f>
        <v>715</v>
      </c>
      <c r="E26" s="7" t="n">
        <f aca="false">C26-152000</f>
        <v>197954</v>
      </c>
      <c r="F26" s="6" t="n">
        <f aca="false">D26/$D$2</f>
        <v>360.473909755483</v>
      </c>
      <c r="G26" s="6" t="n">
        <v>763</v>
      </c>
      <c r="H26" s="40" t="n">
        <v>42</v>
      </c>
      <c r="I26" s="6" t="n">
        <f aca="false">G26+H26</f>
        <v>805</v>
      </c>
      <c r="J26" s="101" t="n">
        <f aca="false">IF(L26&gt;0,L26,0)</f>
        <v>264.073909755483</v>
      </c>
      <c r="K26" s="6" t="n">
        <f aca="false">I26+J26</f>
        <v>1069.07390975548</v>
      </c>
      <c r="L26" s="6" t="n">
        <f aca="false">F26-(I26-X26)</f>
        <v>264.073909755483</v>
      </c>
      <c r="M26" s="6" t="n">
        <v>141</v>
      </c>
      <c r="N26" s="6" t="n">
        <v>0</v>
      </c>
      <c r="O26" s="6" t="n">
        <f aca="false">41.6+39.1*1.05</f>
        <v>82.655</v>
      </c>
      <c r="P26" s="6" t="n">
        <f aca="false">M26-(N26+O26)</f>
        <v>58.345</v>
      </c>
      <c r="Q26" s="6" t="n">
        <v>14</v>
      </c>
      <c r="R26" s="6" t="n">
        <v>5.6</v>
      </c>
      <c r="S26" s="6" t="n">
        <f aca="false">SUM(P26:R26)</f>
        <v>77.945</v>
      </c>
      <c r="T26" s="6"/>
      <c r="U26" s="6" t="n">
        <v>0</v>
      </c>
      <c r="V26" s="6" t="n">
        <v>548</v>
      </c>
      <c r="W26" s="7" t="n">
        <f aca="false">W25</f>
        <v>16814</v>
      </c>
      <c r="X26" s="6" t="n">
        <f aca="false">N26+O26+S26+U26+V26</f>
        <v>708.6</v>
      </c>
      <c r="Y26" s="6" t="n">
        <f aca="false">IF(L26&lt;0,L26*-1,0)</f>
        <v>0</v>
      </c>
      <c r="Z26" s="6" t="n">
        <f aca="false">X26+Y26</f>
        <v>708.6</v>
      </c>
      <c r="AA26" s="8" t="n">
        <v>0</v>
      </c>
      <c r="AB26" s="37" t="n">
        <v>72</v>
      </c>
      <c r="AC26" s="10" t="n">
        <v>32</v>
      </c>
      <c r="AD26" s="11" t="n">
        <f aca="false">AD25+1</f>
        <v>17</v>
      </c>
      <c r="AE26" s="10"/>
      <c r="AF26" s="10"/>
      <c r="AH26" s="6"/>
    </row>
    <row r="27" customFormat="false" ht="11.1" hidden="false" customHeight="true" outlineLevel="0" collapsed="false">
      <c r="A27" s="11" t="n">
        <f aca="false">A26+1</f>
        <v>18</v>
      </c>
      <c r="B27" s="28" t="n">
        <v>6917.16</v>
      </c>
      <c r="C27" s="7" t="n">
        <v>351432</v>
      </c>
      <c r="D27" s="10" t="n">
        <f aca="false">C27-C26</f>
        <v>1478</v>
      </c>
      <c r="E27" s="7" t="n">
        <f aca="false">C27-152000</f>
        <v>199432</v>
      </c>
      <c r="F27" s="6" t="n">
        <f aca="false">D27/$D$2</f>
        <v>745.147466599445</v>
      </c>
      <c r="G27" s="6" t="n">
        <v>1010</v>
      </c>
      <c r="H27" s="40" t="n">
        <v>87</v>
      </c>
      <c r="I27" s="6" t="n">
        <f aca="false">G27+H27</f>
        <v>1097</v>
      </c>
      <c r="J27" s="101" t="n">
        <f aca="false">IF(L27&gt;0,L27,0)</f>
        <v>363.647466599445</v>
      </c>
      <c r="K27" s="6" t="n">
        <f aca="false">I27+J27</f>
        <v>1460.64746659945</v>
      </c>
      <c r="L27" s="6" t="n">
        <f aca="false">F27-(I27-X27)</f>
        <v>363.647466599445</v>
      </c>
      <c r="M27" s="6" t="n">
        <v>130</v>
      </c>
      <c r="N27" s="6" t="n">
        <v>0</v>
      </c>
      <c r="O27" s="6" t="n">
        <f aca="false">37.1+37.6*1.05</f>
        <v>76.58</v>
      </c>
      <c r="P27" s="6" t="n">
        <f aca="false">M27-(N27+O27)</f>
        <v>53.42</v>
      </c>
      <c r="Q27" s="6" t="n">
        <v>22</v>
      </c>
      <c r="R27" s="6" t="n">
        <v>8.1</v>
      </c>
      <c r="S27" s="6" t="n">
        <f aca="false">SUM(P27:R27)</f>
        <v>83.52</v>
      </c>
      <c r="T27" s="6"/>
      <c r="U27" s="6" t="n">
        <v>17.4</v>
      </c>
      <c r="V27" s="6" t="n">
        <v>538</v>
      </c>
      <c r="W27" s="7" t="n">
        <f aca="false">W26</f>
        <v>16814</v>
      </c>
      <c r="X27" s="6" t="n">
        <f aca="false">N27+O27+S27+U27+V27</f>
        <v>715.5</v>
      </c>
      <c r="Y27" s="6" t="n">
        <f aca="false">IF(L27&lt;0,L27*-1,0)</f>
        <v>0</v>
      </c>
      <c r="Z27" s="6" t="n">
        <f aca="false">X27+Y27</f>
        <v>715.5</v>
      </c>
      <c r="AA27" s="8" t="n">
        <v>0</v>
      </c>
      <c r="AB27" s="37" t="n">
        <v>54</v>
      </c>
      <c r="AC27" s="10" t="n">
        <v>46</v>
      </c>
      <c r="AD27" s="11" t="n">
        <f aca="false">AD26+1</f>
        <v>18</v>
      </c>
      <c r="AE27" s="10"/>
      <c r="AF27" s="10"/>
      <c r="AH27" s="6"/>
    </row>
    <row r="28" customFormat="false" ht="11.1" hidden="false" customHeight="true" outlineLevel="0" collapsed="false">
      <c r="A28" s="11" t="n">
        <f aca="false">A27+1</f>
        <v>19</v>
      </c>
      <c r="B28" s="28" t="n">
        <v>6917.32</v>
      </c>
      <c r="C28" s="7" t="n">
        <v>352211</v>
      </c>
      <c r="D28" s="10" t="n">
        <f aca="false">C28-C27</f>
        <v>779</v>
      </c>
      <c r="E28" s="7" t="n">
        <f aca="false">C28-152000</f>
        <v>200211</v>
      </c>
      <c r="F28" s="6" t="n">
        <f aca="false">D28/$D$2</f>
        <v>392.740105873456</v>
      </c>
      <c r="G28" s="6" t="n">
        <v>830</v>
      </c>
      <c r="H28" s="40" t="n">
        <v>47</v>
      </c>
      <c r="I28" s="6" t="n">
        <f aca="false">G28+H28</f>
        <v>877</v>
      </c>
      <c r="J28" s="101" t="n">
        <f aca="false">IF(L28&gt;0,L28,0)</f>
        <v>328.540105873456</v>
      </c>
      <c r="K28" s="6" t="n">
        <f aca="false">I28+J28</f>
        <v>1205.54010587346</v>
      </c>
      <c r="L28" s="6" t="n">
        <f aca="false">F28-(I28-X28)</f>
        <v>328.540105873456</v>
      </c>
      <c r="M28" s="6" t="n">
        <v>128</v>
      </c>
      <c r="N28" s="6" t="n">
        <v>0</v>
      </c>
      <c r="O28" s="6" t="n">
        <f aca="false">32.3+31.8*1.05</f>
        <v>65.69</v>
      </c>
      <c r="P28" s="6" t="n">
        <f aca="false">M28-(N28+O28)</f>
        <v>62.31</v>
      </c>
      <c r="Q28" s="6" t="n">
        <v>22</v>
      </c>
      <c r="R28" s="6" t="n">
        <v>8.4</v>
      </c>
      <c r="S28" s="6" t="n">
        <f aca="false">SUM(P28:R28)</f>
        <v>92.71</v>
      </c>
      <c r="T28" s="6"/>
      <c r="U28" s="6" t="n">
        <v>38.4</v>
      </c>
      <c r="V28" s="6" t="n">
        <v>616</v>
      </c>
      <c r="W28" s="7" t="n">
        <f aca="false">W27</f>
        <v>16814</v>
      </c>
      <c r="X28" s="6" t="n">
        <f aca="false">N28+O28+S28+U28+V28</f>
        <v>812.8</v>
      </c>
      <c r="Y28" s="6" t="n">
        <f aca="false">IF(L28&lt;0,L28*-1,0)</f>
        <v>0</v>
      </c>
      <c r="Z28" s="6" t="n">
        <f aca="false">X28+Y28</f>
        <v>812.8</v>
      </c>
      <c r="AA28" s="8" t="n">
        <v>0</v>
      </c>
      <c r="AB28" s="37" t="n">
        <v>50</v>
      </c>
      <c r="AC28" s="10" t="n">
        <v>24</v>
      </c>
      <c r="AD28" s="11" t="n">
        <f aca="false">AD27+1</f>
        <v>19</v>
      </c>
      <c r="AE28" s="10"/>
      <c r="AF28" s="10"/>
      <c r="AH28" s="6"/>
    </row>
    <row r="29" customFormat="false" ht="11.1" hidden="false" customHeight="true" outlineLevel="0" collapsed="false">
      <c r="A29" s="11" t="n">
        <f aca="false">A28+1</f>
        <v>20</v>
      </c>
      <c r="B29" s="28" t="n">
        <v>6917.31</v>
      </c>
      <c r="C29" s="7" t="n">
        <v>352068</v>
      </c>
      <c r="D29" s="10" t="n">
        <f aca="false">C29-C28</f>
        <v>-143</v>
      </c>
      <c r="E29" s="7" t="n">
        <f aca="false">C29-152000</f>
        <v>200068</v>
      </c>
      <c r="F29" s="6" t="n">
        <f aca="false">D29/$D$2</f>
        <v>-72.0947819510966</v>
      </c>
      <c r="G29" s="6" t="n">
        <v>712</v>
      </c>
      <c r="H29" s="40" t="n">
        <v>14</v>
      </c>
      <c r="I29" s="6" t="n">
        <f aca="false">G29+H29</f>
        <v>726</v>
      </c>
      <c r="J29" s="101" t="n">
        <f aca="false">IF(L29&gt;0,L29,0)</f>
        <v>203.205218048903</v>
      </c>
      <c r="K29" s="6" t="n">
        <f aca="false">I29+J29</f>
        <v>929.205218048903</v>
      </c>
      <c r="L29" s="6" t="n">
        <f aca="false">F29-(I29-X29)</f>
        <v>203.205218048903</v>
      </c>
      <c r="M29" s="6" t="n">
        <v>116</v>
      </c>
      <c r="N29" s="6" t="n">
        <v>0</v>
      </c>
      <c r="O29" s="6" t="n">
        <f aca="false">24.1+22.9*1.05</f>
        <v>48.145</v>
      </c>
      <c r="P29" s="6" t="n">
        <f aca="false">M29-(N29+O29)</f>
        <v>67.855</v>
      </c>
      <c r="Q29" s="6" t="n">
        <v>22</v>
      </c>
      <c r="R29" s="6" t="n">
        <v>8.3</v>
      </c>
      <c r="S29" s="6" t="n">
        <f aca="false">SUM(P29:R29)</f>
        <v>98.155</v>
      </c>
      <c r="T29" s="6"/>
      <c r="U29" s="6" t="n">
        <v>76</v>
      </c>
      <c r="V29" s="6" t="n">
        <v>779</v>
      </c>
      <c r="W29" s="7" t="n">
        <f aca="false">W28</f>
        <v>16814</v>
      </c>
      <c r="X29" s="6" t="n">
        <f aca="false">N29+O29+S29+U29+V29</f>
        <v>1001.3</v>
      </c>
      <c r="Y29" s="6" t="n">
        <f aca="false">IF(L29&lt;0,L29*-1,0)</f>
        <v>0</v>
      </c>
      <c r="Z29" s="6" t="n">
        <f aca="false">X29+Y29</f>
        <v>1001.3</v>
      </c>
      <c r="AA29" s="8" t="n">
        <v>0</v>
      </c>
      <c r="AB29" s="37" t="n">
        <v>60</v>
      </c>
      <c r="AC29" s="10" t="n">
        <v>26</v>
      </c>
      <c r="AD29" s="11" t="n">
        <f aca="false">AD28+1</f>
        <v>20</v>
      </c>
      <c r="AE29" s="10"/>
      <c r="AF29" s="10"/>
      <c r="AH29" s="6"/>
    </row>
    <row r="30" customFormat="false" ht="11.1" hidden="false" customHeight="true" outlineLevel="0" collapsed="false">
      <c r="A30" s="11" t="n">
        <f aca="false">A29+1</f>
        <v>21</v>
      </c>
      <c r="B30" s="28" t="n">
        <v>6917.32</v>
      </c>
      <c r="C30" s="7" t="n">
        <v>352111</v>
      </c>
      <c r="D30" s="10" t="n">
        <f aca="false">C30-C29</f>
        <v>43</v>
      </c>
      <c r="E30" s="7" t="n">
        <f aca="false">C30-152000</f>
        <v>200111</v>
      </c>
      <c r="F30" s="6" t="n">
        <f aca="false">D30/$D$2</f>
        <v>21.6788505167633</v>
      </c>
      <c r="G30" s="6" t="n">
        <v>946</v>
      </c>
      <c r="H30" s="40" t="n">
        <v>49</v>
      </c>
      <c r="I30" s="6" t="n">
        <f aca="false">G30+H30</f>
        <v>995</v>
      </c>
      <c r="J30" s="101" t="n">
        <f aca="false">IF(L30&gt;0,L30,0)</f>
        <v>176.478850516763</v>
      </c>
      <c r="K30" s="6" t="n">
        <f aca="false">I30+J30</f>
        <v>1171.47885051676</v>
      </c>
      <c r="L30" s="6" t="n">
        <f aca="false">F30-(I30-X30)</f>
        <v>176.478850516763</v>
      </c>
      <c r="M30" s="6" t="n">
        <v>114</v>
      </c>
      <c r="N30" s="6" t="n">
        <v>0</v>
      </c>
      <c r="O30" s="6" t="n">
        <f aca="false">19.5+17.9*1.05</f>
        <v>38.295</v>
      </c>
      <c r="P30" s="6" t="n">
        <f aca="false">M30-(N30+O30)</f>
        <v>75.705</v>
      </c>
      <c r="Q30" s="6" t="n">
        <v>22</v>
      </c>
      <c r="R30" s="6" t="n">
        <v>8.3</v>
      </c>
      <c r="S30" s="6" t="n">
        <f aca="false">SUM(P30:R30)</f>
        <v>106.005</v>
      </c>
      <c r="T30" s="6"/>
      <c r="U30" s="6" t="n">
        <v>34.5</v>
      </c>
      <c r="V30" s="6" t="n">
        <v>971</v>
      </c>
      <c r="W30" s="7" t="n">
        <f aca="false">W29</f>
        <v>16814</v>
      </c>
      <c r="X30" s="6" t="n">
        <f aca="false">N30+O30+S30+U30+V30</f>
        <v>1149.8</v>
      </c>
      <c r="Y30" s="6" t="n">
        <f aca="false">IF(L30&lt;0,L30*-1,0)</f>
        <v>0</v>
      </c>
      <c r="Z30" s="6" t="n">
        <f aca="false">X30+Y30</f>
        <v>1149.8</v>
      </c>
      <c r="AA30" s="8" t="n">
        <v>0</v>
      </c>
      <c r="AB30" s="10" t="n">
        <v>60</v>
      </c>
      <c r="AC30" s="10" t="n">
        <v>30</v>
      </c>
      <c r="AD30" s="11" t="n">
        <f aca="false">AD29+1</f>
        <v>21</v>
      </c>
      <c r="AE30" s="10"/>
      <c r="AF30" s="10"/>
      <c r="AH30" s="6"/>
    </row>
    <row r="31" customFormat="false" ht="11.1" hidden="false" customHeight="true" outlineLevel="0" collapsed="false">
      <c r="A31" s="11" t="n">
        <f aca="false">A30+1</f>
        <v>22</v>
      </c>
      <c r="B31" s="28" t="n">
        <v>6917.34</v>
      </c>
      <c r="C31" s="7" t="n">
        <v>352195</v>
      </c>
      <c r="D31" s="10" t="n">
        <f aca="false">C31-C30</f>
        <v>84</v>
      </c>
      <c r="E31" s="7" t="n">
        <f aca="false">C31-152000</f>
        <v>200195</v>
      </c>
      <c r="F31" s="6" t="n">
        <f aca="false">D31/$D$2</f>
        <v>42.3493824048399</v>
      </c>
      <c r="G31" s="6" t="n">
        <v>970</v>
      </c>
      <c r="H31" s="40" t="n">
        <v>50</v>
      </c>
      <c r="I31" s="6" t="n">
        <f aca="false">G31+H31</f>
        <v>1020</v>
      </c>
      <c r="J31" s="101" t="n">
        <f aca="false">IF(L31&gt;0,L31,0)</f>
        <v>295.54938240484</v>
      </c>
      <c r="K31" s="6" t="n">
        <f aca="false">I31+J31</f>
        <v>1315.54938240484</v>
      </c>
      <c r="L31" s="6" t="n">
        <f aca="false">F31-(I31-X31)</f>
        <v>295.54938240484</v>
      </c>
      <c r="M31" s="6" t="n">
        <v>130</v>
      </c>
      <c r="N31" s="6" t="n">
        <v>0</v>
      </c>
      <c r="O31" s="6" t="n">
        <f aca="false">22.8+23.1*1.05</f>
        <v>47.055</v>
      </c>
      <c r="P31" s="6" t="n">
        <f aca="false">M31-(N31+O31)</f>
        <v>82.945</v>
      </c>
      <c r="Q31" s="6" t="n">
        <v>22</v>
      </c>
      <c r="R31" s="6" t="n">
        <v>8.1</v>
      </c>
      <c r="S31" s="6" t="n">
        <f aca="false">SUM(P31:R31)</f>
        <v>113.045</v>
      </c>
      <c r="T31" s="6"/>
      <c r="U31" s="6" t="n">
        <v>53.1</v>
      </c>
      <c r="V31" s="6" t="n">
        <v>1060</v>
      </c>
      <c r="W31" s="7" t="n">
        <f aca="false">W30</f>
        <v>16814</v>
      </c>
      <c r="X31" s="6" t="n">
        <f aca="false">N31+O31+S31+U31+V31</f>
        <v>1273.2</v>
      </c>
      <c r="Y31" s="6" t="n">
        <f aca="false">IF(L31&lt;0,L31*-1,0)</f>
        <v>0</v>
      </c>
      <c r="Z31" s="6" t="n">
        <f aca="false">X31+Y31</f>
        <v>1273.2</v>
      </c>
      <c r="AA31" s="8" t="n">
        <v>0.04</v>
      </c>
      <c r="AB31" s="10" t="n">
        <v>52</v>
      </c>
      <c r="AC31" s="10" t="n">
        <v>38</v>
      </c>
      <c r="AD31" s="11" t="n">
        <f aca="false">AD30+1</f>
        <v>22</v>
      </c>
      <c r="AE31" s="10"/>
      <c r="AF31" s="10"/>
      <c r="AH31" s="6"/>
    </row>
    <row r="32" customFormat="false" ht="11.1" hidden="false" customHeight="true" outlineLevel="0" collapsed="false">
      <c r="A32" s="11" t="n">
        <f aca="false">A31+1</f>
        <v>23</v>
      </c>
      <c r="B32" s="28" t="n">
        <v>6917.31</v>
      </c>
      <c r="C32" s="7" t="n">
        <v>352068</v>
      </c>
      <c r="D32" s="10" t="n">
        <f aca="false">C32-C31</f>
        <v>-127</v>
      </c>
      <c r="E32" s="7" t="n">
        <f aca="false">C32-152000</f>
        <v>200068</v>
      </c>
      <c r="F32" s="6" t="n">
        <f aca="false">D32/$D$2</f>
        <v>-64.0282329216032</v>
      </c>
      <c r="G32" s="6" t="n">
        <v>941</v>
      </c>
      <c r="H32" s="40" t="n">
        <v>30</v>
      </c>
      <c r="I32" s="6" t="n">
        <f aca="false">G32+H32</f>
        <v>971</v>
      </c>
      <c r="J32" s="101" t="n">
        <f aca="false">IF(L32&gt;0,L32,0)</f>
        <v>186.171767078397</v>
      </c>
      <c r="K32" s="6" t="n">
        <f aca="false">I32+J32</f>
        <v>1157.1717670784</v>
      </c>
      <c r="L32" s="6" t="n">
        <f aca="false">F32-(I32-X32)</f>
        <v>186.171767078397</v>
      </c>
      <c r="M32" s="6" t="n">
        <v>137</v>
      </c>
      <c r="N32" s="6" t="n">
        <v>0</v>
      </c>
      <c r="O32" s="6" t="n">
        <f aca="false">25.7+25*1.05</f>
        <v>51.95</v>
      </c>
      <c r="P32" s="6" t="n">
        <f aca="false">M32-(N32+O32)</f>
        <v>85.05</v>
      </c>
      <c r="Q32" s="6" t="n">
        <v>22</v>
      </c>
      <c r="R32" s="6" t="n">
        <v>8.3</v>
      </c>
      <c r="S32" s="6" t="n">
        <f aca="false">SUM(P32:R32)</f>
        <v>115.35</v>
      </c>
      <c r="T32" s="6"/>
      <c r="U32" s="6" t="n">
        <v>3.9</v>
      </c>
      <c r="V32" s="6" t="n">
        <v>1050</v>
      </c>
      <c r="W32" s="7" t="n">
        <f aca="false">W31</f>
        <v>16814</v>
      </c>
      <c r="X32" s="6" t="n">
        <f aca="false">N32+O32+S32+U32+V32</f>
        <v>1221.2</v>
      </c>
      <c r="Y32" s="6" t="n">
        <f aca="false">IF(L32&lt;0,L32*-1,0)</f>
        <v>0</v>
      </c>
      <c r="Z32" s="6" t="n">
        <f aca="false">X32+Y32</f>
        <v>1221.2</v>
      </c>
      <c r="AA32" s="8" t="n">
        <v>0</v>
      </c>
      <c r="AB32" s="10" t="n">
        <v>66</v>
      </c>
      <c r="AC32" s="37" t="n">
        <v>34</v>
      </c>
      <c r="AD32" s="11" t="n">
        <f aca="false">AD31+1</f>
        <v>23</v>
      </c>
      <c r="AE32" s="10"/>
      <c r="AF32" s="10"/>
      <c r="AH32" s="6"/>
    </row>
    <row r="33" customFormat="false" ht="11.1" hidden="false" customHeight="true" outlineLevel="0" collapsed="false">
      <c r="A33" s="11" t="n">
        <f aca="false">A32+1</f>
        <v>24</v>
      </c>
      <c r="B33" s="28" t="n">
        <v>6917.37</v>
      </c>
      <c r="C33" s="7" t="n">
        <v>352323</v>
      </c>
      <c r="D33" s="10" t="n">
        <f aca="false">C33-C32</f>
        <v>255</v>
      </c>
      <c r="E33" s="7" t="n">
        <f aca="false">C33-152000</f>
        <v>200323</v>
      </c>
      <c r="F33" s="6" t="n">
        <f aca="false">D33/$D$2</f>
        <v>128.56062515755</v>
      </c>
      <c r="G33" s="6" t="n">
        <v>1130</v>
      </c>
      <c r="H33" s="40" t="n">
        <v>55</v>
      </c>
      <c r="I33" s="6" t="n">
        <f aca="false">G33+H33</f>
        <v>1185</v>
      </c>
      <c r="J33" s="101" t="n">
        <f aca="false">IF(L33&gt;0,L33,0)</f>
        <v>174.46062515755</v>
      </c>
      <c r="K33" s="6" t="n">
        <f aca="false">I33+J33</f>
        <v>1359.46062515755</v>
      </c>
      <c r="L33" s="6" t="n">
        <f aca="false">F33-(I33-X33)</f>
        <v>174.46062515755</v>
      </c>
      <c r="M33" s="6" t="n">
        <v>139</v>
      </c>
      <c r="N33" s="6" t="n">
        <v>0</v>
      </c>
      <c r="O33" s="6" t="n">
        <f aca="false">25.2+23.5*1.05</f>
        <v>49.875</v>
      </c>
      <c r="P33" s="6" t="n">
        <f aca="false">M33-(N33+O33)</f>
        <v>89.125</v>
      </c>
      <c r="Q33" s="6" t="n">
        <v>22</v>
      </c>
      <c r="R33" s="6" t="n">
        <v>11</v>
      </c>
      <c r="S33" s="6" t="n">
        <f aca="false">SUM(P33:R33)</f>
        <v>122.125</v>
      </c>
      <c r="T33" s="6"/>
      <c r="U33" s="6" t="n">
        <v>8.9</v>
      </c>
      <c r="V33" s="6" t="n">
        <v>1050</v>
      </c>
      <c r="W33" s="7" t="n">
        <f aca="false">W32</f>
        <v>16814</v>
      </c>
      <c r="X33" s="6" t="n">
        <f aca="false">N33+O33+S33+U33+V33</f>
        <v>1230.9</v>
      </c>
      <c r="Y33" s="6" t="n">
        <f aca="false">IF(L33&lt;0,L33*-1,0)</f>
        <v>0</v>
      </c>
      <c r="Z33" s="6" t="n">
        <f aca="false">X33+Y33</f>
        <v>1230.9</v>
      </c>
      <c r="AA33" s="8" t="n">
        <v>0</v>
      </c>
      <c r="AB33" s="10" t="n">
        <v>71</v>
      </c>
      <c r="AC33" s="37" t="n">
        <v>32</v>
      </c>
      <c r="AD33" s="11" t="n">
        <f aca="false">AD32+1</f>
        <v>24</v>
      </c>
      <c r="AE33" s="10"/>
      <c r="AF33" s="10"/>
      <c r="AH33" s="6"/>
    </row>
    <row r="34" customFormat="false" ht="11.1" hidden="false" customHeight="true" outlineLevel="0" collapsed="false">
      <c r="A34" s="11" t="n">
        <f aca="false">A33+1</f>
        <v>25</v>
      </c>
      <c r="B34" s="28" t="n">
        <v>6917.53</v>
      </c>
      <c r="C34" s="7" t="n">
        <v>353001</v>
      </c>
      <c r="D34" s="10" t="n">
        <f aca="false">C34-C33</f>
        <v>678</v>
      </c>
      <c r="E34" s="7" t="n">
        <f aca="false">C34-152000</f>
        <v>201001</v>
      </c>
      <c r="F34" s="6" t="n">
        <f aca="false">D34/$D$2</f>
        <v>341.820015124779</v>
      </c>
      <c r="G34" s="6" t="n">
        <v>1280</v>
      </c>
      <c r="H34" s="40" t="n">
        <v>66</v>
      </c>
      <c r="I34" s="6" t="n">
        <f aca="false">G34+H34</f>
        <v>1346</v>
      </c>
      <c r="J34" s="101" t="n">
        <f aca="false">IF(L34&gt;0,L34,0)</f>
        <v>260.120015124779</v>
      </c>
      <c r="K34" s="6" t="n">
        <f aca="false">I34+J34</f>
        <v>1606.12001512478</v>
      </c>
      <c r="L34" s="6" t="n">
        <f aca="false">F34-(I34-X34)</f>
        <v>260.120015124779</v>
      </c>
      <c r="M34" s="6" t="n">
        <v>158</v>
      </c>
      <c r="N34" s="6" t="n">
        <v>0</v>
      </c>
      <c r="O34" s="6" t="n">
        <f aca="false">26.1+25.6*1.05</f>
        <v>52.98</v>
      </c>
      <c r="P34" s="6" t="n">
        <f aca="false">M34-(N34+O34)</f>
        <v>105.02</v>
      </c>
      <c r="Q34" s="6" t="n">
        <v>22</v>
      </c>
      <c r="R34" s="6" t="n">
        <v>16</v>
      </c>
      <c r="S34" s="6" t="n">
        <f aca="false">SUM(P34:R34)</f>
        <v>143.02</v>
      </c>
      <c r="T34" s="6"/>
      <c r="U34" s="6" t="n">
        <v>8.3</v>
      </c>
      <c r="V34" s="6" t="n">
        <v>1060</v>
      </c>
      <c r="W34" s="7" t="n">
        <f aca="false">W33</f>
        <v>16814</v>
      </c>
      <c r="X34" s="6" t="n">
        <f aca="false">N34+O34+S34+U34+V34</f>
        <v>1264.3</v>
      </c>
      <c r="Y34" s="6" t="n">
        <f aca="false">IF(L34&lt;0,L34*-1,0)</f>
        <v>0</v>
      </c>
      <c r="Z34" s="6" t="n">
        <f aca="false">X34+Y34</f>
        <v>1264.3</v>
      </c>
      <c r="AA34" s="8" t="n">
        <v>0</v>
      </c>
      <c r="AB34" s="10" t="n">
        <v>72</v>
      </c>
      <c r="AC34" s="37" t="n">
        <v>35</v>
      </c>
      <c r="AD34" s="11" t="n">
        <f aca="false">AD33+1</f>
        <v>25</v>
      </c>
      <c r="AE34" s="10"/>
      <c r="AF34" s="10"/>
      <c r="AH34" s="6"/>
    </row>
    <row r="35" customFormat="false" ht="11.1" hidden="false" customHeight="true" outlineLevel="0" collapsed="false">
      <c r="A35" s="11" t="n">
        <f aca="false">A34+1</f>
        <v>26</v>
      </c>
      <c r="B35" s="28" t="n">
        <v>6917.76</v>
      </c>
      <c r="C35" s="7" t="n">
        <v>353976</v>
      </c>
      <c r="D35" s="10" t="n">
        <f aca="false">C35-C34</f>
        <v>975</v>
      </c>
      <c r="E35" s="7" t="n">
        <f aca="false">C35-152000</f>
        <v>201976</v>
      </c>
      <c r="F35" s="6" t="n">
        <f aca="false">D35/$D$2</f>
        <v>491.555331484749</v>
      </c>
      <c r="G35" s="6" t="n">
        <v>1440</v>
      </c>
      <c r="H35" s="40" t="n">
        <v>70</v>
      </c>
      <c r="I35" s="6" t="n">
        <f aca="false">G35+H35</f>
        <v>1510</v>
      </c>
      <c r="J35" s="101" t="n">
        <f aca="false">IF(L35&gt;0,L35,0)</f>
        <v>282.055331484749</v>
      </c>
      <c r="K35" s="6" t="n">
        <f aca="false">I35+J35</f>
        <v>1792.05533148475</v>
      </c>
      <c r="L35" s="6" t="n">
        <f aca="false">F35-(I35-X35)</f>
        <v>282.055331484749</v>
      </c>
      <c r="M35" s="6" t="n">
        <v>191</v>
      </c>
      <c r="N35" s="6" t="n">
        <v>0</v>
      </c>
      <c r="O35" s="6" t="n">
        <f aca="false">27.6+25.6*1.05</f>
        <v>54.48</v>
      </c>
      <c r="P35" s="6" t="n">
        <f aca="false">M35-(N35+O35)</f>
        <v>136.52</v>
      </c>
      <c r="Q35" s="6" t="n">
        <v>22</v>
      </c>
      <c r="R35" s="6" t="n">
        <v>25</v>
      </c>
      <c r="S35" s="6" t="n">
        <f aca="false">SUM(P35:R35)</f>
        <v>183.52</v>
      </c>
      <c r="T35" s="6"/>
      <c r="U35" s="6" t="n">
        <v>22.5</v>
      </c>
      <c r="V35" s="6" t="n">
        <v>1040</v>
      </c>
      <c r="W35" s="7" t="n">
        <f aca="false">W34</f>
        <v>16814</v>
      </c>
      <c r="X35" s="6" t="n">
        <f aca="false">N35+O35+S35+U35+V35</f>
        <v>1300.5</v>
      </c>
      <c r="Y35" s="6" t="n">
        <f aca="false">IF(L35&lt;0,L35*-1,0)</f>
        <v>0</v>
      </c>
      <c r="Z35" s="6" t="n">
        <f aca="false">X35+Y35</f>
        <v>1300.5</v>
      </c>
      <c r="AA35" s="8" t="n">
        <v>0</v>
      </c>
      <c r="AB35" s="10" t="n">
        <v>78</v>
      </c>
      <c r="AC35" s="10" t="n">
        <v>37</v>
      </c>
      <c r="AD35" s="11" t="n">
        <f aca="false">AD34+1</f>
        <v>26</v>
      </c>
      <c r="AE35" s="10"/>
      <c r="AF35" s="10"/>
      <c r="AH35" s="3"/>
    </row>
    <row r="36" customFormat="false" ht="11.1" hidden="false" customHeight="true" outlineLevel="0" collapsed="false">
      <c r="A36" s="11" t="n">
        <f aca="false">A35+1</f>
        <v>27</v>
      </c>
      <c r="B36" s="28" t="n">
        <v>6918.11</v>
      </c>
      <c r="C36" s="7" t="n">
        <v>355464</v>
      </c>
      <c r="D36" s="10" t="n">
        <f aca="false">C36-C35</f>
        <v>1488</v>
      </c>
      <c r="E36" s="7" t="n">
        <f aca="false">C36-152000</f>
        <v>203464</v>
      </c>
      <c r="F36" s="6" t="n">
        <f aca="false">D36/$D$2</f>
        <v>750.189059742879</v>
      </c>
      <c r="G36" s="6" t="n">
        <v>1770</v>
      </c>
      <c r="H36" s="40" t="n">
        <v>92</v>
      </c>
      <c r="I36" s="6" t="n">
        <f aca="false">G36+H36</f>
        <v>1862</v>
      </c>
      <c r="J36" s="101" t="n">
        <f aca="false">IF(L36&gt;0,L36,0)</f>
        <v>255.689059742879</v>
      </c>
      <c r="K36" s="6" t="n">
        <f aca="false">I36+J36</f>
        <v>2117.68905974288</v>
      </c>
      <c r="L36" s="6" t="n">
        <f aca="false">F36-(I36-X36)</f>
        <v>255.689059742879</v>
      </c>
      <c r="M36" s="6" t="n">
        <v>241</v>
      </c>
      <c r="N36" s="6" t="n">
        <v>0</v>
      </c>
      <c r="O36" s="6" t="n">
        <f aca="false">35.6+35*1.05</f>
        <v>72.35</v>
      </c>
      <c r="P36" s="6" t="n">
        <f aca="false">M36-(N36+O36)</f>
        <v>168.65</v>
      </c>
      <c r="Q36" s="6" t="n">
        <v>22</v>
      </c>
      <c r="R36" s="6" t="n">
        <v>46</v>
      </c>
      <c r="S36" s="6" t="n">
        <f aca="false">SUM(P36:R36)</f>
        <v>236.65</v>
      </c>
      <c r="T36" s="7"/>
      <c r="U36" s="6" t="n">
        <v>28.5</v>
      </c>
      <c r="V36" s="6" t="n">
        <v>1030</v>
      </c>
      <c r="W36" s="7" t="n">
        <f aca="false">W35</f>
        <v>16814</v>
      </c>
      <c r="X36" s="6" t="n">
        <f aca="false">N36+O36+S36+U36+V36</f>
        <v>1367.5</v>
      </c>
      <c r="Y36" s="6" t="n">
        <f aca="false">IF(L36&lt;0,L36*-1,0)</f>
        <v>0</v>
      </c>
      <c r="Z36" s="6" t="n">
        <f aca="false">X36+Y36</f>
        <v>1367.5</v>
      </c>
      <c r="AA36" s="8" t="n">
        <v>0</v>
      </c>
      <c r="AB36" s="10" t="n">
        <v>81</v>
      </c>
      <c r="AC36" s="10" t="n">
        <v>42</v>
      </c>
      <c r="AD36" s="11" t="n">
        <f aca="false">AD35+1</f>
        <v>27</v>
      </c>
      <c r="AE36" s="10"/>
      <c r="AF36" s="10"/>
      <c r="AH36" s="6"/>
    </row>
    <row r="37" customFormat="false" ht="11.1" hidden="false" customHeight="true" outlineLevel="0" collapsed="false">
      <c r="A37" s="11" t="n">
        <f aca="false">A36+1</f>
        <v>28</v>
      </c>
      <c r="B37" s="28" t="n">
        <v>6918.49</v>
      </c>
      <c r="C37" s="7" t="n">
        <v>357088</v>
      </c>
      <c r="D37" s="10" t="n">
        <f aca="false">C37-C36</f>
        <v>1624</v>
      </c>
      <c r="E37" s="7" t="n">
        <f aca="false">C37-152000</f>
        <v>205088</v>
      </c>
      <c r="F37" s="6" t="n">
        <f aca="false">D37/$D$2</f>
        <v>818.754726493572</v>
      </c>
      <c r="G37" s="6" t="n">
        <v>2070</v>
      </c>
      <c r="H37" s="40" t="n">
        <v>109</v>
      </c>
      <c r="I37" s="6" t="n">
        <f aca="false">G37+H37</f>
        <v>2179</v>
      </c>
      <c r="J37" s="101" t="n">
        <f aca="false">IF(L37&gt;0,L37,0)</f>
        <v>131.954726493572</v>
      </c>
      <c r="K37" s="6" t="n">
        <f aca="false">I37+J37</f>
        <v>2310.95472649357</v>
      </c>
      <c r="L37" s="6" t="n">
        <f aca="false">F37-(I37-X37)</f>
        <v>131.954726493572</v>
      </c>
      <c r="M37" s="6" t="n">
        <v>274</v>
      </c>
      <c r="N37" s="6" t="n">
        <v>1.87</v>
      </c>
      <c r="O37" s="6" t="n">
        <f aca="false">46.9+46.6*1.05</f>
        <v>95.83</v>
      </c>
      <c r="P37" s="6" t="n">
        <f aca="false">M37-(N37+O37)</f>
        <v>176.3</v>
      </c>
      <c r="Q37" s="6" t="n">
        <v>35</v>
      </c>
      <c r="R37" s="6" t="n">
        <v>57</v>
      </c>
      <c r="S37" s="6" t="n">
        <f aca="false">SUM(P37:R37)</f>
        <v>268.3</v>
      </c>
      <c r="T37" s="7"/>
      <c r="U37" s="6" t="n">
        <v>16.2</v>
      </c>
      <c r="V37" s="6" t="n">
        <v>1110</v>
      </c>
      <c r="W37" s="7" t="n">
        <f aca="false">W36</f>
        <v>16814</v>
      </c>
      <c r="X37" s="6" t="n">
        <f aca="false">N37+O37+S37+U37+V37</f>
        <v>1492.2</v>
      </c>
      <c r="Y37" s="6" t="n">
        <f aca="false">IF(L37&lt;0,L37*-1,0)</f>
        <v>0</v>
      </c>
      <c r="Z37" s="6" t="n">
        <f aca="false">X37+Y37</f>
        <v>1492.2</v>
      </c>
      <c r="AA37" s="8" t="n">
        <v>0</v>
      </c>
      <c r="AB37" s="10" t="n">
        <v>82</v>
      </c>
      <c r="AC37" s="10" t="n">
        <v>43</v>
      </c>
      <c r="AD37" s="11" t="n">
        <f aca="false">AD36+1</f>
        <v>28</v>
      </c>
      <c r="AE37" s="10"/>
      <c r="AF37" s="10"/>
      <c r="AH37" s="6"/>
    </row>
    <row r="38" customFormat="false" ht="11.1" hidden="false" customHeight="true" outlineLevel="0" collapsed="false">
      <c r="A38" s="11" t="n">
        <f aca="false">A37+1</f>
        <v>29</v>
      </c>
      <c r="B38" s="28" t="n">
        <v>6918.78</v>
      </c>
      <c r="C38" s="7" t="n">
        <v>358327</v>
      </c>
      <c r="D38" s="10" t="n">
        <f aca="false">C38-C37</f>
        <v>1239</v>
      </c>
      <c r="E38" s="7" t="n">
        <f aca="false">C38-152000</f>
        <v>206327</v>
      </c>
      <c r="F38" s="6" t="n">
        <f aca="false">D38/$D$2</f>
        <v>624.653390471389</v>
      </c>
      <c r="G38" s="6" t="n">
        <v>1930</v>
      </c>
      <c r="H38" s="40" t="n">
        <v>89</v>
      </c>
      <c r="I38" s="6" t="n">
        <f aca="false">G38+H38</f>
        <v>2019</v>
      </c>
      <c r="J38" s="101" t="n">
        <f aca="false">IF(L38&gt;0,L38,0)</f>
        <v>233.753390471389</v>
      </c>
      <c r="K38" s="6" t="n">
        <f aca="false">I38+J38</f>
        <v>2252.75339047139</v>
      </c>
      <c r="L38" s="6" t="n">
        <f aca="false">F38-(I38-X38)</f>
        <v>233.753390471389</v>
      </c>
      <c r="M38" s="6" t="n">
        <v>264</v>
      </c>
      <c r="N38" s="6" t="n">
        <v>5</v>
      </c>
      <c r="O38" s="6" t="n">
        <f aca="false">33.3+33.2*1.05</f>
        <v>68.16</v>
      </c>
      <c r="P38" s="6" t="n">
        <f aca="false">M38-(N38+O38)</f>
        <v>190.84</v>
      </c>
      <c r="Q38" s="6" t="n">
        <v>48</v>
      </c>
      <c r="R38" s="6" t="n">
        <v>57</v>
      </c>
      <c r="S38" s="6" t="n">
        <f aca="false">SUM(P38:R38)</f>
        <v>295.84</v>
      </c>
      <c r="T38" s="7"/>
      <c r="U38" s="6" t="n">
        <v>29.1</v>
      </c>
      <c r="V38" s="6" t="n">
        <v>1230</v>
      </c>
      <c r="W38" s="7" t="n">
        <f aca="false">W37</f>
        <v>16814</v>
      </c>
      <c r="X38" s="6" t="n">
        <f aca="false">N38+O38+S38+U38+V38</f>
        <v>1628.1</v>
      </c>
      <c r="Y38" s="6" t="n">
        <f aca="false">IF(L38&lt;0,L38*-1,0)</f>
        <v>0</v>
      </c>
      <c r="Z38" s="6" t="n">
        <f aca="false">X38+Y38</f>
        <v>1628.1</v>
      </c>
      <c r="AA38" s="8" t="n">
        <v>0</v>
      </c>
      <c r="AB38" s="37" t="n">
        <v>66</v>
      </c>
      <c r="AC38" s="10" t="n">
        <v>42</v>
      </c>
      <c r="AD38" s="11" t="n">
        <f aca="false">AD37+1</f>
        <v>29</v>
      </c>
      <c r="AE38" s="10"/>
      <c r="AF38" s="10"/>
      <c r="AH38" s="6"/>
    </row>
    <row r="39" customFormat="false" ht="11.1" hidden="false" customHeight="true" outlineLevel="0" collapsed="false">
      <c r="A39" s="11" t="n">
        <v>30</v>
      </c>
      <c r="B39" s="28" t="n">
        <v>6918.9</v>
      </c>
      <c r="C39" s="7" t="n">
        <v>358839</v>
      </c>
      <c r="D39" s="10" t="n">
        <f aca="false">C39-C38</f>
        <v>512</v>
      </c>
      <c r="E39" s="7" t="n">
        <f aca="false">C39-152000</f>
        <v>206839</v>
      </c>
      <c r="F39" s="6" t="n">
        <f aca="false">D39/$D$2</f>
        <v>258.129568943786</v>
      </c>
      <c r="G39" s="6" t="n">
        <v>1590</v>
      </c>
      <c r="H39" s="40" t="n">
        <v>54</v>
      </c>
      <c r="I39" s="6" t="n">
        <f aca="false">G39+H39</f>
        <v>1644</v>
      </c>
      <c r="J39" s="101" t="n">
        <f aca="false">IF(L39&gt;0,L39,0)</f>
        <v>215.829568943786</v>
      </c>
      <c r="K39" s="6" t="n">
        <f aca="false">I39+J39</f>
        <v>1859.82956894379</v>
      </c>
      <c r="L39" s="6" t="n">
        <f aca="false">F39-(I39-X39)</f>
        <v>215.829568943786</v>
      </c>
      <c r="M39" s="6" t="n">
        <v>268</v>
      </c>
      <c r="N39" s="6" t="n">
        <v>5</v>
      </c>
      <c r="O39" s="6" t="n">
        <f aca="false">34+33.2*1.05</f>
        <v>68.86</v>
      </c>
      <c r="P39" s="6" t="n">
        <f aca="false">M39-(N39+O39)</f>
        <v>194.14</v>
      </c>
      <c r="Q39" s="6" t="n">
        <v>48</v>
      </c>
      <c r="R39" s="6" t="n">
        <v>57</v>
      </c>
      <c r="S39" s="6" t="n">
        <f aca="false">SUM(P39:R39)</f>
        <v>299.14</v>
      </c>
      <c r="T39" s="7"/>
      <c r="U39" s="6" t="n">
        <v>8.7</v>
      </c>
      <c r="V39" s="6" t="n">
        <v>1220</v>
      </c>
      <c r="W39" s="7" t="n">
        <f aca="false">W38</f>
        <v>16814</v>
      </c>
      <c r="X39" s="6" t="n">
        <f aca="false">N39+O39+S39+U39+V39</f>
        <v>1601.7</v>
      </c>
      <c r="Y39" s="6" t="n">
        <f aca="false">IF(L39&lt;0,L39*-1,0)</f>
        <v>0</v>
      </c>
      <c r="Z39" s="6" t="n">
        <f aca="false">X39+Y39</f>
        <v>1601.7</v>
      </c>
      <c r="AA39" s="8" t="n">
        <v>0</v>
      </c>
      <c r="AB39" s="37" t="n">
        <v>64</v>
      </c>
      <c r="AC39" s="10" t="n">
        <v>39</v>
      </c>
      <c r="AD39" s="11" t="n">
        <v>30</v>
      </c>
      <c r="AE39" s="10"/>
      <c r="AF39" s="10"/>
      <c r="AH39" s="6"/>
    </row>
    <row r="40" customFormat="false" ht="3" hidden="false" customHeight="true" outlineLevel="0" collapsed="false">
      <c r="A40" s="29"/>
      <c r="B40" s="29"/>
      <c r="C40" s="31"/>
      <c r="D40" s="29"/>
      <c r="E40" s="31"/>
      <c r="F40" s="29"/>
      <c r="G40" s="29"/>
      <c r="H40" s="100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31"/>
      <c r="U40" s="29"/>
      <c r="V40" s="29"/>
      <c r="W40" s="29"/>
      <c r="X40" s="29"/>
      <c r="Y40" s="29"/>
      <c r="Z40" s="29"/>
      <c r="AA40" s="32"/>
      <c r="AB40" s="33"/>
      <c r="AC40" s="33"/>
      <c r="AD40" s="34"/>
      <c r="AE40" s="95"/>
      <c r="AF40" s="95"/>
    </row>
    <row r="41" customFormat="false" ht="11.1" hidden="false" customHeight="true" outlineLevel="0" collapsed="false">
      <c r="A41" s="6" t="s">
        <v>46</v>
      </c>
      <c r="B41" s="6"/>
      <c r="C41" s="7"/>
      <c r="D41" s="7"/>
      <c r="E41" s="7"/>
      <c r="F41" s="7" t="n">
        <f aca="false">SUM(F10:F39)</f>
        <v>15230.6528863121</v>
      </c>
      <c r="G41" s="7" t="n">
        <f aca="false">SUM(G10:G39)</f>
        <v>26175</v>
      </c>
      <c r="H41" s="7" t="n">
        <f aca="false">SUM(H10:H39)</f>
        <v>1697.1</v>
      </c>
      <c r="I41" s="7" t="n">
        <f aca="false">SUM(I10:I39)</f>
        <v>27872.1</v>
      </c>
      <c r="J41" s="7" t="n">
        <f aca="false">SUM(J10:J39)</f>
        <v>8153.45288631207</v>
      </c>
      <c r="K41" s="7" t="n">
        <f aca="false">SUM(K10:K39)</f>
        <v>36025.5528863121</v>
      </c>
      <c r="L41" s="7" t="n">
        <f aca="false">SUM(L10:L39)</f>
        <v>8153.45288631207</v>
      </c>
      <c r="M41" s="7" t="n">
        <f aca="false">SUM(M10:M39)</f>
        <v>3401.3</v>
      </c>
      <c r="N41" s="7" t="n">
        <f aca="false">SUM(N10:N39)</f>
        <v>11.87</v>
      </c>
      <c r="O41" s="7" t="n">
        <f aca="false">SUM(O10:O39)</f>
        <v>1401.225</v>
      </c>
      <c r="P41" s="7" t="n">
        <f aca="false">SUM(P10:P39)</f>
        <v>1988.205</v>
      </c>
      <c r="Q41" s="7" t="n">
        <f aca="false">SUM(Q10:Q39)</f>
        <v>365</v>
      </c>
      <c r="R41" s="7" t="n">
        <f aca="false">SUM(R10:R39)</f>
        <v>324.1</v>
      </c>
      <c r="S41" s="7" t="n">
        <f aca="false">SUM(S10:S39)</f>
        <v>2677.305</v>
      </c>
      <c r="T41" s="7"/>
      <c r="U41" s="7" t="n">
        <f aca="false">SUM(U10:U39)</f>
        <v>345.5</v>
      </c>
      <c r="V41" s="7" t="n">
        <f aca="false">SUM(V10:V39)</f>
        <v>16359</v>
      </c>
      <c r="W41" s="7"/>
      <c r="X41" s="7" t="n">
        <f aca="false">SUM(X10:X39)</f>
        <v>20794.9</v>
      </c>
      <c r="Y41" s="7" t="n">
        <f aca="false">SUM(Y10:Y39)</f>
        <v>0</v>
      </c>
      <c r="Z41" s="7" t="n">
        <f aca="false">SUM(Z10:Z39)</f>
        <v>20794.9</v>
      </c>
      <c r="AA41" s="8" t="n">
        <f aca="false">SUM(AA10:AA39)</f>
        <v>0.2</v>
      </c>
      <c r="AB41" s="10" t="n">
        <f aca="false">AVERAGE(AB10:AB39)</f>
        <v>64.2666666666667</v>
      </c>
      <c r="AC41" s="10" t="n">
        <f aca="false">AVERAGE(AC10:AC39)</f>
        <v>33.3</v>
      </c>
      <c r="AD41" s="11" t="s">
        <v>66</v>
      </c>
      <c r="AE41" s="95"/>
      <c r="AF41" s="95"/>
    </row>
    <row r="42" customFormat="false" ht="11.1" hidden="false" customHeight="true" outlineLevel="0" collapsed="false">
      <c r="A42" s="6" t="s">
        <v>48</v>
      </c>
      <c r="B42" s="6"/>
      <c r="C42" s="7"/>
      <c r="D42" s="7" t="n">
        <f aca="false">SUM(D10:D39)</f>
        <v>30210</v>
      </c>
      <c r="E42" s="7"/>
      <c r="F42" s="7" t="n">
        <f aca="false">F41*$D$2</f>
        <v>30210</v>
      </c>
      <c r="G42" s="7" t="n">
        <f aca="false">G41*$D$2</f>
        <v>51918.1125</v>
      </c>
      <c r="H42" s="7" t="n">
        <f aca="false">H41*$D$2</f>
        <v>3366.19785</v>
      </c>
      <c r="I42" s="7" t="n">
        <f aca="false">I41*$D$2</f>
        <v>55284.31035</v>
      </c>
      <c r="J42" s="7" t="n">
        <f aca="false">J41*$D$2</f>
        <v>16172.3738</v>
      </c>
      <c r="K42" s="7" t="n">
        <f aca="false">K41*$D$2</f>
        <v>71456.68415</v>
      </c>
      <c r="L42" s="7" t="n">
        <f aca="false">L41*$D$2</f>
        <v>16172.3738</v>
      </c>
      <c r="M42" s="7" t="n">
        <f aca="false">M41*$D$2</f>
        <v>6746.47855</v>
      </c>
      <c r="N42" s="7" t="n">
        <f aca="false">N41*$D$2</f>
        <v>23.544145</v>
      </c>
      <c r="O42" s="7" t="n">
        <f aca="false">O41*$D$2</f>
        <v>2779.3297875</v>
      </c>
      <c r="P42" s="7" t="n">
        <f aca="false">P41*$D$2</f>
        <v>3943.6046175</v>
      </c>
      <c r="Q42" s="7" t="n">
        <f aca="false">Q41*$D$2</f>
        <v>723.9775</v>
      </c>
      <c r="R42" s="7" t="n">
        <f aca="false">R41*$D$2</f>
        <v>642.85235</v>
      </c>
      <c r="S42" s="7" t="n">
        <f aca="false">S41*$D$2</f>
        <v>5310.4344675</v>
      </c>
      <c r="T42" s="7"/>
      <c r="U42" s="7" t="n">
        <f aca="false">U41*$D$2</f>
        <v>685.29925</v>
      </c>
      <c r="V42" s="7" t="n">
        <f aca="false">V41*$D$2</f>
        <v>32448.0765</v>
      </c>
      <c r="W42" s="7"/>
      <c r="X42" s="7" t="n">
        <f aca="false">X41*$D$2</f>
        <v>41246.68415</v>
      </c>
      <c r="Y42" s="7" t="n">
        <f aca="false">Y41*$D$2</f>
        <v>0</v>
      </c>
      <c r="Z42" s="7" t="n">
        <f aca="false">Z41*$D$2</f>
        <v>41246.68415</v>
      </c>
      <c r="AA42" s="8"/>
      <c r="AB42" s="10" t="n">
        <f aca="false">MAX(AB10:AB39)</f>
        <v>82</v>
      </c>
      <c r="AC42" s="10" t="n">
        <f aca="false">MAX(AC10:AC39)</f>
        <v>46</v>
      </c>
      <c r="AD42" s="11" t="s">
        <v>49</v>
      </c>
      <c r="AE42" s="95"/>
      <c r="AF42" s="95"/>
    </row>
    <row r="43" customFormat="false" ht="3" hidden="false" customHeight="true" outlineLevel="0" collapsed="false">
      <c r="A43" s="29"/>
      <c r="B43" s="29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29"/>
      <c r="X43" s="31"/>
      <c r="Y43" s="31"/>
      <c r="Z43" s="31"/>
      <c r="AA43" s="8"/>
      <c r="AB43" s="10"/>
      <c r="AC43" s="10"/>
      <c r="AD43" s="11"/>
      <c r="AE43" s="95"/>
      <c r="AF43" s="95"/>
    </row>
    <row r="44" customFormat="false" ht="11.1" hidden="false" customHeight="true" outlineLevel="0" collapsed="false">
      <c r="A44" s="6" t="s">
        <v>50</v>
      </c>
      <c r="B44" s="6"/>
      <c r="C44" s="7"/>
      <c r="D44" s="7"/>
      <c r="E44" s="7"/>
      <c r="F44" s="7" t="n">
        <f aca="false">F7+F41</f>
        <v>15230.6528863121</v>
      </c>
      <c r="G44" s="7" t="n">
        <f aca="false">G7+G41</f>
        <v>26175</v>
      </c>
      <c r="H44" s="10" t="n">
        <f aca="false">H7+H41</f>
        <v>1697.1</v>
      </c>
      <c r="I44" s="7" t="n">
        <f aca="false">I7+I41</f>
        <v>27872.1</v>
      </c>
      <c r="J44" s="7" t="n">
        <f aca="false">J7+J41</f>
        <v>8153.45288631207</v>
      </c>
      <c r="K44" s="7" t="n">
        <f aca="false">K7+K41</f>
        <v>36025.5528863121</v>
      </c>
      <c r="L44" s="7" t="n">
        <f aca="false">L7+L41</f>
        <v>8153.45288631207</v>
      </c>
      <c r="M44" s="7" t="n">
        <f aca="false">M7+M41</f>
        <v>3401.3</v>
      </c>
      <c r="N44" s="7" t="n">
        <f aca="false">N7+N41</f>
        <v>11.87</v>
      </c>
      <c r="O44" s="7" t="n">
        <f aca="false">O7+O41</f>
        <v>1401.225</v>
      </c>
      <c r="P44" s="7" t="n">
        <f aca="false">P7+P41</f>
        <v>1988.205</v>
      </c>
      <c r="Q44" s="7" t="n">
        <f aca="false">Q7+Q41</f>
        <v>365</v>
      </c>
      <c r="R44" s="7" t="n">
        <f aca="false">R7+R41</f>
        <v>324.1</v>
      </c>
      <c r="S44" s="7" t="n">
        <f aca="false">S7+S41</f>
        <v>2677.305</v>
      </c>
      <c r="T44" s="7" t="n">
        <f aca="false">T39</f>
        <v>0</v>
      </c>
      <c r="U44" s="7" t="n">
        <f aca="false">U7+U41</f>
        <v>345.5</v>
      </c>
      <c r="V44" s="7" t="n">
        <f aca="false">V7+V41</f>
        <v>16359</v>
      </c>
      <c r="W44" s="7"/>
      <c r="X44" s="7" t="n">
        <f aca="false">X7+X41</f>
        <v>20794.9</v>
      </c>
      <c r="Y44" s="7" t="n">
        <f aca="false">Y7+Y41</f>
        <v>0</v>
      </c>
      <c r="Z44" s="7" t="n">
        <f aca="false">Z7+Z41</f>
        <v>20794.9</v>
      </c>
      <c r="AA44" s="8"/>
      <c r="AB44" s="10" t="n">
        <f aca="false">MIN(AB10:AB39)</f>
        <v>50</v>
      </c>
      <c r="AC44" s="10" t="n">
        <f aca="false">MIN(AC10:AC39)</f>
        <v>20</v>
      </c>
      <c r="AD44" s="11" t="s">
        <v>51</v>
      </c>
      <c r="AE44" s="95"/>
      <c r="AF44" s="95"/>
    </row>
    <row r="45" customFormat="false" ht="11.1" hidden="false" customHeight="true" outlineLevel="0" collapsed="false">
      <c r="A45" s="6" t="s">
        <v>52</v>
      </c>
      <c r="B45" s="6"/>
      <c r="C45" s="7"/>
      <c r="D45" s="7"/>
      <c r="E45" s="7"/>
      <c r="F45" s="7" t="n">
        <f aca="false">F44*$D$2</f>
        <v>30210</v>
      </c>
      <c r="G45" s="7" t="n">
        <f aca="false">G44*$D$2</f>
        <v>51918.1125</v>
      </c>
      <c r="H45" s="10" t="n">
        <f aca="false">H44*$D$2</f>
        <v>3366.19785</v>
      </c>
      <c r="I45" s="7" t="n">
        <f aca="false">I44*$D$2</f>
        <v>55284.31035</v>
      </c>
      <c r="J45" s="7" t="n">
        <f aca="false">J44*$D$2</f>
        <v>16172.3738</v>
      </c>
      <c r="K45" s="7" t="n">
        <f aca="false">K44*$D$2</f>
        <v>71456.68415</v>
      </c>
      <c r="L45" s="7" t="n">
        <f aca="false">L44*$D$2</f>
        <v>16172.3738</v>
      </c>
      <c r="M45" s="7" t="n">
        <f aca="false">M44*$D$2</f>
        <v>6746.47855</v>
      </c>
      <c r="N45" s="7" t="n">
        <f aca="false">N44*$D$2</f>
        <v>23.544145</v>
      </c>
      <c r="O45" s="7" t="n">
        <f aca="false">O44*$D$2</f>
        <v>2779.3297875</v>
      </c>
      <c r="P45" s="7" t="n">
        <f aca="false">P44*$D$2</f>
        <v>3943.6046175</v>
      </c>
      <c r="Q45" s="7" t="n">
        <f aca="false">Q44*$D$2</f>
        <v>723.9775</v>
      </c>
      <c r="R45" s="7" t="n">
        <f aca="false">R44*$D$2</f>
        <v>642.85235</v>
      </c>
      <c r="S45" s="7" t="n">
        <f aca="false">S44*$D$2</f>
        <v>5310.4344675</v>
      </c>
      <c r="T45" s="7" t="n">
        <f aca="false">T44*$D$2</f>
        <v>0</v>
      </c>
      <c r="U45" s="7" t="n">
        <f aca="false">U44*$D$2</f>
        <v>685.29925</v>
      </c>
      <c r="V45" s="7" t="n">
        <f aca="false">V44*$D$2</f>
        <v>32448.0765</v>
      </c>
      <c r="W45" s="7"/>
      <c r="X45" s="7" t="n">
        <f aca="false">X44*$D$2</f>
        <v>41246.68415</v>
      </c>
      <c r="Y45" s="7" t="n">
        <f aca="false">Y44*$D$2</f>
        <v>0</v>
      </c>
      <c r="Z45" s="7" t="n">
        <f aca="false">Z44*$D$2</f>
        <v>41246.68415</v>
      </c>
      <c r="AA45" s="8"/>
      <c r="AB45" s="10"/>
      <c r="AC45" s="10"/>
      <c r="AD45" s="11"/>
      <c r="AE45" s="95"/>
      <c r="AF45" s="95"/>
    </row>
    <row r="46" customFormat="false" ht="3" hidden="false" customHeight="true" outlineLevel="0" collapsed="false">
      <c r="A46" s="29"/>
      <c r="B46" s="29"/>
      <c r="C46" s="31"/>
      <c r="D46" s="31"/>
      <c r="E46" s="31"/>
      <c r="F46" s="31"/>
      <c r="G46" s="31"/>
      <c r="H46" s="33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2"/>
      <c r="AB46" s="10"/>
      <c r="AC46" s="10"/>
      <c r="AD46" s="11"/>
      <c r="AE46" s="95"/>
      <c r="AF46" s="95"/>
    </row>
    <row r="47" customFormat="false" ht="11.1" hidden="false" customHeight="true" outlineLevel="0" collapsed="false">
      <c r="A47" s="6" t="s">
        <v>53</v>
      </c>
      <c r="B47" s="6"/>
      <c r="C47" s="7"/>
      <c r="D47" s="7"/>
      <c r="E47" s="7"/>
      <c r="F47" s="7" t="n">
        <f aca="false">F8+F41</f>
        <v>14700.7814469372</v>
      </c>
      <c r="G47" s="7" t="n">
        <f aca="false">G8+G41</f>
        <v>35759</v>
      </c>
      <c r="H47" s="10" t="n">
        <f aca="false">H8+H41</f>
        <v>1962.38</v>
      </c>
      <c r="I47" s="7" t="n">
        <f aca="false">I8+I41</f>
        <v>37721.38</v>
      </c>
      <c r="J47" s="7" t="n">
        <f aca="false">J8+J41</f>
        <v>10501.6138618603</v>
      </c>
      <c r="K47" s="7" t="n">
        <f aca="false">K8+K41</f>
        <v>48219.2611167129</v>
      </c>
      <c r="L47" s="7" t="n">
        <f aca="false">L8+L41</f>
        <v>9831.03144693723</v>
      </c>
      <c r="M47" s="7" t="n">
        <f aca="false">M8+M41</f>
        <v>5840.06</v>
      </c>
      <c r="N47" s="7" t="n">
        <f aca="false">N8+N41</f>
        <v>78.25</v>
      </c>
      <c r="O47" s="7" t="n">
        <f aca="false">O8+O41</f>
        <v>1842.5655</v>
      </c>
      <c r="P47" s="7" t="n">
        <f aca="false">P8+P41</f>
        <v>3919.2445</v>
      </c>
      <c r="Q47" s="7" t="n">
        <f aca="false">Q8+Q41</f>
        <v>1409</v>
      </c>
      <c r="R47" s="7" t="n">
        <f aca="false">R8+R41</f>
        <v>884.1</v>
      </c>
      <c r="S47" s="7" t="n">
        <f aca="false">S8+S41</f>
        <v>6212.3445</v>
      </c>
      <c r="T47" s="7"/>
      <c r="U47" s="7" t="n">
        <f aca="false">U8+U41</f>
        <v>345.5</v>
      </c>
      <c r="V47" s="7" t="n">
        <f aca="false">V8+V41</f>
        <v>24372.97</v>
      </c>
      <c r="W47" s="7" t="n">
        <f aca="false">W39</f>
        <v>16814</v>
      </c>
      <c r="X47" s="7" t="n">
        <f aca="false">X8+X41</f>
        <v>32851.63</v>
      </c>
      <c r="Y47" s="7" t="n">
        <f aca="false">Y8+Y41</f>
        <v>670.582414923116</v>
      </c>
      <c r="Z47" s="7" t="n">
        <f aca="false">Z8+Z41</f>
        <v>33522.2124149231</v>
      </c>
      <c r="AA47" s="8" t="n">
        <f aca="false">AA8+AA41</f>
        <v>5.67</v>
      </c>
      <c r="AB47" s="10"/>
      <c r="AC47" s="10"/>
      <c r="AD47" s="11"/>
      <c r="AE47" s="95"/>
      <c r="AF47" s="95"/>
    </row>
    <row r="48" customFormat="false" ht="11.1" hidden="false" customHeight="true" outlineLevel="0" collapsed="false">
      <c r="A48" s="6" t="s">
        <v>54</v>
      </c>
      <c r="B48" s="6"/>
      <c r="C48" s="7"/>
      <c r="D48" s="7" t="n">
        <f aca="false">D8+D42</f>
        <v>29159</v>
      </c>
      <c r="E48" s="7" t="n">
        <f aca="false">E39</f>
        <v>206839</v>
      </c>
      <c r="F48" s="7" t="n">
        <f aca="false">F47*$D$2</f>
        <v>29159</v>
      </c>
      <c r="G48" s="7" t="n">
        <f aca="false">G47*$D$2</f>
        <v>70927.9765</v>
      </c>
      <c r="H48" s="10" t="n">
        <f aca="false">H47*$D$2</f>
        <v>3892.38073</v>
      </c>
      <c r="I48" s="7" t="n">
        <f aca="false">I47*$D$2</f>
        <v>74820.35723</v>
      </c>
      <c r="J48" s="7" t="n">
        <f aca="false">J47*$D$2</f>
        <v>20829.951095</v>
      </c>
      <c r="K48" s="7" t="n">
        <f aca="false">K47*$D$2</f>
        <v>95642.904425</v>
      </c>
      <c r="L48" s="7" t="n">
        <f aca="false">L47*$D$2</f>
        <v>19499.850875</v>
      </c>
      <c r="M48" s="7" t="n">
        <f aca="false">M47*$D$2</f>
        <v>11583.75901</v>
      </c>
      <c r="N48" s="7" t="n">
        <f aca="false">N47*$D$2</f>
        <v>155.208875</v>
      </c>
      <c r="O48" s="7" t="n">
        <f aca="false">O47*$D$2</f>
        <v>3654.72866925</v>
      </c>
      <c r="P48" s="7" t="n">
        <f aca="false">P47*$D$2</f>
        <v>7773.82146575</v>
      </c>
      <c r="Q48" s="7" t="n">
        <f aca="false">Q47*$D$2</f>
        <v>2794.7515</v>
      </c>
      <c r="R48" s="7" t="n">
        <f aca="false">R47*$D$2</f>
        <v>1753.61235</v>
      </c>
      <c r="S48" s="7" t="n">
        <f aca="false">S47*$D$2</f>
        <v>12322.18531575</v>
      </c>
      <c r="T48" s="7" t="n">
        <f aca="false">T47*$D$2</f>
        <v>0</v>
      </c>
      <c r="U48" s="7" t="n">
        <f aca="false">U47*$D$2</f>
        <v>685.29925</v>
      </c>
      <c r="V48" s="7" t="n">
        <f aca="false">V47*$D$2</f>
        <v>48343.785995</v>
      </c>
      <c r="W48" s="7" t="n">
        <f aca="false">W47*$D$2</f>
        <v>33350.569</v>
      </c>
      <c r="X48" s="7" t="n">
        <f aca="false">X47*$D$2</f>
        <v>65161.208105</v>
      </c>
      <c r="Y48" s="7" t="n">
        <f aca="false">Y47*$D$2</f>
        <v>1330.10022</v>
      </c>
      <c r="Z48" s="7" t="n">
        <f aca="false">Z47*$D$2</f>
        <v>66491.308325</v>
      </c>
      <c r="AA48" s="8"/>
      <c r="AB48" s="10"/>
      <c r="AC48" s="10"/>
      <c r="AD48" s="11"/>
      <c r="AE48" s="95"/>
      <c r="AF48" s="95"/>
    </row>
    <row r="49" customFormat="false" ht="3" hidden="false" customHeight="true" outlineLevel="0" collapsed="false">
      <c r="A49" s="29"/>
      <c r="B49" s="29"/>
      <c r="C49" s="31"/>
      <c r="D49" s="29"/>
      <c r="E49" s="31"/>
      <c r="F49" s="29"/>
      <c r="G49" s="29"/>
      <c r="H49" s="100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31"/>
      <c r="U49" s="29"/>
      <c r="V49" s="29"/>
      <c r="W49" s="31"/>
      <c r="X49" s="29"/>
      <c r="Y49" s="29"/>
      <c r="Z49" s="29"/>
      <c r="AA49" s="8"/>
      <c r="AB49" s="10"/>
      <c r="AC49" s="10"/>
      <c r="AD49" s="11"/>
      <c r="AE49" s="95"/>
      <c r="AF49" s="95"/>
    </row>
    <row r="50" customFormat="false" ht="14.1" hidden="false" customHeight="true" outlineLevel="0" collapsed="false">
      <c r="A50" s="38"/>
      <c r="B50" s="39"/>
      <c r="C50" s="7"/>
      <c r="D50" s="6"/>
      <c r="E50" s="7"/>
      <c r="F50" s="6"/>
      <c r="G50" s="6"/>
      <c r="H50" s="40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  <c r="U50" s="6"/>
      <c r="V50" s="6"/>
      <c r="W50" s="7"/>
      <c r="X50" s="6"/>
      <c r="Y50" s="6"/>
      <c r="Z50" s="0"/>
      <c r="AA50" s="8" t="n">
        <v>34790</v>
      </c>
      <c r="AB50" s="10" t="n">
        <v>56</v>
      </c>
      <c r="AC50" s="10" t="n">
        <v>32</v>
      </c>
      <c r="AD50" s="11" t="s">
        <v>66</v>
      </c>
      <c r="AE50" s="95"/>
      <c r="AF50" s="95"/>
    </row>
    <row r="51" customFormat="false" ht="11.1" hidden="false" customHeight="true" outlineLevel="0" collapsed="false">
      <c r="A51" s="6"/>
      <c r="B51" s="28"/>
      <c r="C51" s="7"/>
      <c r="D51" s="37"/>
      <c r="E51" s="7"/>
      <c r="F51" s="6"/>
      <c r="G51" s="6"/>
      <c r="H51" s="37"/>
      <c r="I51" s="40"/>
      <c r="J51" s="6"/>
      <c r="K51" s="41"/>
      <c r="L51" s="6"/>
      <c r="M51" s="6"/>
      <c r="N51" s="6"/>
      <c r="O51" s="6"/>
      <c r="P51" s="6"/>
      <c r="Q51" s="6"/>
      <c r="R51" s="6"/>
      <c r="S51" s="6"/>
      <c r="T51" s="7"/>
      <c r="U51" s="6"/>
      <c r="V51" s="6"/>
      <c r="W51" s="7"/>
      <c r="X51" s="6"/>
      <c r="Y51" s="6"/>
      <c r="Z51" s="6"/>
      <c r="AA51" s="8"/>
      <c r="AB51" s="10" t="n">
        <v>67</v>
      </c>
      <c r="AC51" s="10" t="n">
        <v>40</v>
      </c>
      <c r="AD51" s="11" t="s">
        <v>67</v>
      </c>
      <c r="AE51" s="95"/>
      <c r="AF51" s="95"/>
    </row>
    <row r="52" customFormat="false" ht="11.1" hidden="false" customHeight="true" outlineLevel="0" collapsed="false">
      <c r="B52" s="37"/>
      <c r="C52" s="7"/>
      <c r="D52" s="7"/>
      <c r="E52" s="7"/>
      <c r="F52" s="37"/>
      <c r="G52" s="37"/>
      <c r="H52" s="40"/>
      <c r="I52" s="37"/>
      <c r="J52" s="37"/>
      <c r="K52" s="37"/>
      <c r="L52" s="37"/>
      <c r="M52" s="35"/>
      <c r="N52" s="35"/>
      <c r="O52" s="35"/>
      <c r="P52" s="35"/>
      <c r="Q52" s="37"/>
      <c r="R52" s="37"/>
      <c r="S52" s="37"/>
      <c r="T52" s="7"/>
      <c r="U52" s="37"/>
      <c r="V52" s="37"/>
      <c r="W52" s="7"/>
      <c r="X52" s="37"/>
      <c r="Y52" s="37"/>
      <c r="Z52" s="37"/>
      <c r="AA52" s="8"/>
      <c r="AB52" s="10" t="n">
        <v>36</v>
      </c>
      <c r="AC52" s="10" t="n">
        <v>22</v>
      </c>
      <c r="AD52" s="11" t="s">
        <v>68</v>
      </c>
      <c r="AE52" s="102"/>
      <c r="AF52" s="102"/>
    </row>
    <row r="53" customFormat="false" ht="11.1" hidden="false" customHeight="true" outlineLevel="0" collapsed="false">
      <c r="A53" s="37"/>
      <c r="B53" s="42"/>
      <c r="C53" s="7"/>
      <c r="D53" s="7"/>
      <c r="E53" s="7"/>
      <c r="F53" s="37"/>
      <c r="G53" s="37"/>
      <c r="H53" s="40"/>
      <c r="I53" s="37"/>
      <c r="J53" s="37"/>
      <c r="K53" s="37"/>
      <c r="L53" s="37"/>
      <c r="M53" s="35"/>
      <c r="N53" s="35"/>
      <c r="O53" s="35"/>
      <c r="P53" s="35"/>
      <c r="Q53" s="37"/>
      <c r="R53" s="37"/>
      <c r="S53" s="37"/>
      <c r="T53" s="7"/>
      <c r="U53" s="37"/>
      <c r="V53" s="37"/>
      <c r="W53" s="7"/>
      <c r="X53" s="37"/>
      <c r="Y53" s="37"/>
      <c r="Z53" s="0"/>
      <c r="AA53" s="8" t="n">
        <v>35156</v>
      </c>
      <c r="AB53" s="10" t="n">
        <v>60</v>
      </c>
      <c r="AC53" s="10" t="n">
        <v>32</v>
      </c>
      <c r="AD53" s="11" t="s">
        <v>66</v>
      </c>
      <c r="AE53" s="102"/>
      <c r="AF53" s="102"/>
    </row>
    <row r="54" customFormat="false" ht="11.1" hidden="false" customHeight="true" outlineLevel="0" collapsed="false">
      <c r="A54" s="37"/>
      <c r="B54" s="37"/>
      <c r="C54" s="7"/>
      <c r="D54" s="37"/>
      <c r="E54" s="7"/>
      <c r="F54" s="37"/>
      <c r="G54" s="43"/>
      <c r="H54" s="40"/>
      <c r="I54" s="37"/>
      <c r="J54" s="37"/>
      <c r="K54" s="37"/>
      <c r="L54" s="37"/>
      <c r="M54" s="35"/>
      <c r="N54" s="35"/>
      <c r="O54" s="35"/>
      <c r="P54" s="37"/>
      <c r="Q54" s="37"/>
      <c r="R54" s="37"/>
      <c r="S54" s="7"/>
      <c r="T54" s="37"/>
      <c r="U54" s="37"/>
      <c r="V54" s="7"/>
      <c r="W54" s="37"/>
      <c r="X54" s="37"/>
      <c r="Y54" s="37"/>
      <c r="Z54" s="42"/>
      <c r="AA54" s="8" t="n">
        <v>76</v>
      </c>
      <c r="AB54" s="10" t="n">
        <v>42</v>
      </c>
      <c r="AC54" s="11" t="s">
        <v>67</v>
      </c>
      <c r="AD54" s="102"/>
      <c r="AE54" s="102"/>
    </row>
    <row r="55" customFormat="false" ht="11.1" hidden="false" customHeight="true" outlineLevel="0" collapsed="false">
      <c r="AA55" s="2" t="n">
        <v>41</v>
      </c>
      <c r="AB55" s="4" t="n">
        <v>21</v>
      </c>
      <c r="AC55" s="11" t="s">
        <v>68</v>
      </c>
    </row>
  </sheetData>
  <mergeCells count="2">
    <mergeCell ref="K2:V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S10" activeCellId="0" sqref="S10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48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false" outlineLevel="0" max="14" min="14" style="47" width="7.32"/>
    <col collapsed="false" customWidth="true" hidden="false" outlineLevel="0" max="15" min="15" style="47" width="6.49"/>
    <col collapsed="false" customWidth="true" hidden="fals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3" min="23" style="44" width="6.82"/>
    <col collapsed="false" customWidth="true" hidden="false" outlineLevel="0" max="25" min="24" style="44" width="7.82"/>
    <col collapsed="false" customWidth="true" hidden="false" outlineLevel="0" max="26" min="26" style="48" width="8.16"/>
    <col collapsed="false" customWidth="true" hidden="false" outlineLevel="0" max="27" min="27" style="46" width="4.32"/>
    <col collapsed="false" customWidth="true" hidden="false" outlineLevel="0" max="28" min="28" style="49" width="4.66"/>
    <col collapsed="false" customWidth="true" hidden="false" outlineLevel="0" max="29" min="29" style="50" width="4.66"/>
    <col collapsed="false" customWidth="true" hidden="false" outlineLevel="0" max="30" min="30" style="44" width="5.66"/>
    <col collapsed="false" customWidth="false" hidden="false" outlineLevel="0" max="257" min="31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5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1"/>
      <c r="Z1" s="55"/>
      <c r="AA1" s="53"/>
      <c r="AB1" s="56"/>
      <c r="AC1" s="57"/>
      <c r="AD1" s="84"/>
      <c r="AE1" s="84"/>
    </row>
    <row r="2" customFormat="false" ht="14.1" hidden="false" customHeight="true" outlineLevel="0" collapsed="false">
      <c r="A2" s="51" t="s">
        <v>1</v>
      </c>
      <c r="B2" s="51"/>
      <c r="C2" s="52"/>
      <c r="D2" s="58" t="n">
        <v>1.9835</v>
      </c>
      <c r="E2" s="52"/>
      <c r="F2" s="51"/>
      <c r="G2" s="51"/>
      <c r="H2" s="55"/>
      <c r="I2" s="51"/>
      <c r="J2" s="51"/>
      <c r="K2" s="59" t="s">
        <v>69</v>
      </c>
      <c r="L2" s="59"/>
      <c r="M2" s="59"/>
      <c r="N2" s="59"/>
      <c r="O2" s="59"/>
      <c r="P2" s="59"/>
      <c r="Q2" s="59"/>
      <c r="R2" s="59"/>
      <c r="S2" s="59"/>
      <c r="T2" s="59"/>
      <c r="U2" s="51"/>
      <c r="V2" s="52"/>
      <c r="W2" s="51"/>
      <c r="X2" s="51"/>
      <c r="Y2" s="51"/>
      <c r="Z2" s="55"/>
      <c r="AA2" s="53"/>
      <c r="AB2" s="56"/>
      <c r="AC2" s="57"/>
      <c r="AD2" s="84"/>
      <c r="AE2" s="84"/>
    </row>
    <row r="3" customFormat="false" ht="11.1" hidden="false" customHeight="true" outlineLevel="0" collapsed="false">
      <c r="A3" s="51"/>
      <c r="B3" s="51"/>
      <c r="C3" s="52"/>
      <c r="D3" s="60"/>
      <c r="E3" s="52"/>
      <c r="F3" s="51"/>
      <c r="G3" s="51"/>
      <c r="H3" s="55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1"/>
      <c r="Z3" s="55"/>
      <c r="AA3" s="53"/>
      <c r="AB3" s="56"/>
      <c r="AC3" s="57"/>
      <c r="AD3" s="84"/>
      <c r="AE3" s="84"/>
    </row>
    <row r="4" customFormat="false" ht="11.1" hidden="false" customHeight="true" outlineLevel="0" collapsed="false">
      <c r="A4" s="61" t="s">
        <v>3</v>
      </c>
      <c r="B4" s="61" t="s">
        <v>4</v>
      </c>
      <c r="C4" s="62" t="s">
        <v>4</v>
      </c>
      <c r="D4" s="61" t="s">
        <v>5</v>
      </c>
      <c r="E4" s="62" t="s">
        <v>6</v>
      </c>
      <c r="F4" s="61" t="s">
        <v>7</v>
      </c>
      <c r="G4" s="61" t="s">
        <v>8</v>
      </c>
      <c r="H4" s="103" t="s">
        <v>9</v>
      </c>
      <c r="I4" s="61" t="s">
        <v>10</v>
      </c>
      <c r="J4" s="61" t="s">
        <v>11</v>
      </c>
      <c r="K4" s="61" t="s">
        <v>12</v>
      </c>
      <c r="L4" s="61" t="s">
        <v>11</v>
      </c>
      <c r="M4" s="61" t="s">
        <v>13</v>
      </c>
      <c r="N4" s="61"/>
      <c r="O4" s="61"/>
      <c r="P4" s="61"/>
      <c r="Q4" s="61" t="s">
        <v>14</v>
      </c>
      <c r="R4" s="61" t="s">
        <v>15</v>
      </c>
      <c r="S4" s="61" t="s">
        <v>12</v>
      </c>
      <c r="T4" s="62" t="s">
        <v>16</v>
      </c>
      <c r="U4" s="61" t="s">
        <v>17</v>
      </c>
      <c r="V4" s="61" t="s">
        <v>18</v>
      </c>
      <c r="W4" s="62" t="s">
        <v>19</v>
      </c>
      <c r="X4" s="61" t="s">
        <v>10</v>
      </c>
      <c r="Y4" s="61" t="s">
        <v>11</v>
      </c>
      <c r="Z4" s="61" t="s">
        <v>12</v>
      </c>
      <c r="AA4" s="63" t="s">
        <v>20</v>
      </c>
      <c r="AB4" s="64" t="s">
        <v>21</v>
      </c>
      <c r="AC4" s="64" t="s">
        <v>22</v>
      </c>
      <c r="AD4" s="64" t="s">
        <v>3</v>
      </c>
      <c r="AE4" s="84"/>
      <c r="AF4" s="84"/>
    </row>
    <row r="5" customFormat="false" ht="11.1" hidden="false" customHeight="true" outlineLevel="0" collapsed="false">
      <c r="A5" s="65" t="s">
        <v>70</v>
      </c>
      <c r="B5" s="61" t="s">
        <v>24</v>
      </c>
      <c r="C5" s="62" t="s">
        <v>5</v>
      </c>
      <c r="D5" s="61" t="s">
        <v>25</v>
      </c>
      <c r="E5" s="62" t="s">
        <v>26</v>
      </c>
      <c r="F5" s="61" t="s">
        <v>27</v>
      </c>
      <c r="G5" s="61" t="s">
        <v>28</v>
      </c>
      <c r="H5" s="103" t="s">
        <v>29</v>
      </c>
      <c r="I5" s="61" t="s">
        <v>30</v>
      </c>
      <c r="J5" s="61" t="s">
        <v>30</v>
      </c>
      <c r="K5" s="61" t="s">
        <v>30</v>
      </c>
      <c r="L5" s="61" t="s">
        <v>31</v>
      </c>
      <c r="M5" s="61" t="s">
        <v>32</v>
      </c>
      <c r="N5" s="61" t="s">
        <v>33</v>
      </c>
      <c r="O5" s="61" t="s">
        <v>34</v>
      </c>
      <c r="P5" s="61" t="s">
        <v>35</v>
      </c>
      <c r="Q5" s="61" t="s">
        <v>36</v>
      </c>
      <c r="R5" s="61" t="s">
        <v>37</v>
      </c>
      <c r="S5" s="61" t="s">
        <v>16</v>
      </c>
      <c r="T5" s="62" t="s">
        <v>38</v>
      </c>
      <c r="U5" s="61" t="s">
        <v>39</v>
      </c>
      <c r="V5" s="61" t="s">
        <v>40</v>
      </c>
      <c r="W5" s="62" t="s">
        <v>41</v>
      </c>
      <c r="X5" s="61" t="s">
        <v>42</v>
      </c>
      <c r="Y5" s="61" t="s">
        <v>42</v>
      </c>
      <c r="Z5" s="61" t="s">
        <v>42</v>
      </c>
      <c r="AA5" s="66"/>
      <c r="AB5" s="64" t="s">
        <v>43</v>
      </c>
      <c r="AC5" s="64" t="s">
        <v>43</v>
      </c>
      <c r="AD5" s="67" t="s">
        <v>70</v>
      </c>
      <c r="AE5" s="84"/>
      <c r="AF5" s="84"/>
    </row>
    <row r="6" customFormat="false" ht="11.1" hidden="false" customHeight="true" outlineLevel="0" collapsed="false">
      <c r="A6" s="68"/>
      <c r="B6" s="68"/>
      <c r="C6" s="69"/>
      <c r="D6" s="68"/>
      <c r="E6" s="69"/>
      <c r="F6" s="68"/>
      <c r="G6" s="68"/>
      <c r="H6" s="104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9"/>
      <c r="U6" s="68"/>
      <c r="V6" s="68"/>
      <c r="W6" s="105"/>
      <c r="X6" s="68"/>
      <c r="Y6" s="68"/>
      <c r="Z6" s="68"/>
      <c r="AA6" s="53"/>
      <c r="AB6" s="57"/>
      <c r="AC6" s="57"/>
      <c r="AD6" s="57"/>
      <c r="AE6" s="85"/>
      <c r="AF6" s="85"/>
      <c r="AG6" s="86"/>
    </row>
    <row r="7" customFormat="false" ht="11.1" hidden="false" customHeight="true" outlineLevel="0" collapsed="false">
      <c r="A7" s="51" t="s">
        <v>44</v>
      </c>
      <c r="B7" s="51"/>
      <c r="C7" s="52"/>
      <c r="D7" s="52"/>
      <c r="E7" s="52"/>
      <c r="F7" s="52" t="n">
        <f aca="false">APR!F44</f>
        <v>15230.6528863121</v>
      </c>
      <c r="G7" s="52" t="n">
        <f aca="false">APR!G44</f>
        <v>26175</v>
      </c>
      <c r="H7" s="55" t="n">
        <f aca="false">APR!H44</f>
        <v>1697.1</v>
      </c>
      <c r="I7" s="52" t="n">
        <f aca="false">APR!I44</f>
        <v>27872.1</v>
      </c>
      <c r="J7" s="52" t="n">
        <f aca="false">APR!J44</f>
        <v>8153.45288631207</v>
      </c>
      <c r="K7" s="52" t="n">
        <f aca="false">APR!K44</f>
        <v>36025.5528863121</v>
      </c>
      <c r="L7" s="52" t="n">
        <f aca="false">APR!L44</f>
        <v>8153.45288631207</v>
      </c>
      <c r="M7" s="52" t="n">
        <f aca="false">APR!M44</f>
        <v>3401.3</v>
      </c>
      <c r="N7" s="52" t="n">
        <f aca="false">APR!N44</f>
        <v>11.87</v>
      </c>
      <c r="O7" s="52" t="n">
        <f aca="false">APR!O44</f>
        <v>1401.225</v>
      </c>
      <c r="P7" s="52" t="n">
        <f aca="false">APR!P44</f>
        <v>1988.205</v>
      </c>
      <c r="Q7" s="52" t="n">
        <f aca="false">APR!Q44</f>
        <v>365</v>
      </c>
      <c r="R7" s="52" t="n">
        <f aca="false">APR!R44</f>
        <v>324.1</v>
      </c>
      <c r="S7" s="52" t="n">
        <f aca="false">APR!S44</f>
        <v>2677.305</v>
      </c>
      <c r="T7" s="52" t="n">
        <f aca="false">APR!T44</f>
        <v>0</v>
      </c>
      <c r="U7" s="52" t="n">
        <f aca="false">APR!U44</f>
        <v>345.5</v>
      </c>
      <c r="V7" s="52" t="n">
        <f aca="false">APR!V44</f>
        <v>16359</v>
      </c>
      <c r="W7" s="52"/>
      <c r="X7" s="52" t="n">
        <f aca="false">APR!X44</f>
        <v>20794.9</v>
      </c>
      <c r="Y7" s="52" t="n">
        <f aca="false">APR!Y44</f>
        <v>0</v>
      </c>
      <c r="Z7" s="52" t="n">
        <f aca="false">APR!Z44</f>
        <v>20794.9</v>
      </c>
      <c r="AA7" s="53"/>
      <c r="AB7" s="56"/>
      <c r="AC7" s="56"/>
      <c r="AD7" s="57"/>
      <c r="AE7" s="85"/>
      <c r="AF7" s="86"/>
      <c r="AG7" s="86"/>
    </row>
    <row r="8" s="45" customFormat="true" ht="11.1" hidden="false" customHeight="true" outlineLevel="0" collapsed="false">
      <c r="A8" s="52" t="s">
        <v>45</v>
      </c>
      <c r="B8" s="71" t="n">
        <f aca="false">APR!B39</f>
        <v>6918.9</v>
      </c>
      <c r="C8" s="52" t="n">
        <f aca="false">APR!C39</f>
        <v>358839</v>
      </c>
      <c r="D8" s="52" t="n">
        <f aca="false">APR!D48</f>
        <v>29159</v>
      </c>
      <c r="E8" s="52" t="n">
        <f aca="false">APR!E48</f>
        <v>206839</v>
      </c>
      <c r="F8" s="52" t="n">
        <f aca="false">APR!F47</f>
        <v>14700.7814469372</v>
      </c>
      <c r="G8" s="52" t="n">
        <f aca="false">APR!G47</f>
        <v>35759</v>
      </c>
      <c r="H8" s="55" t="n">
        <f aca="false">APR!H47</f>
        <v>1962.38</v>
      </c>
      <c r="I8" s="52" t="n">
        <f aca="false">APR!I47</f>
        <v>37721.38</v>
      </c>
      <c r="J8" s="52" t="n">
        <f aca="false">APR!J47</f>
        <v>10501.6138618603</v>
      </c>
      <c r="K8" s="52" t="n">
        <f aca="false">APR!K47</f>
        <v>48219.2611167129</v>
      </c>
      <c r="L8" s="52" t="n">
        <f aca="false">APR!L47</f>
        <v>9831.03144693723</v>
      </c>
      <c r="M8" s="52" t="n">
        <f aca="false">APR!M47</f>
        <v>5840.06</v>
      </c>
      <c r="N8" s="52" t="n">
        <f aca="false">APR!N47</f>
        <v>78.25</v>
      </c>
      <c r="O8" s="52" t="n">
        <f aca="false">APR!O47</f>
        <v>1842.5655</v>
      </c>
      <c r="P8" s="52" t="n">
        <f aca="false">APR!P47</f>
        <v>3919.2445</v>
      </c>
      <c r="Q8" s="52" t="n">
        <f aca="false">APR!Q47</f>
        <v>1409</v>
      </c>
      <c r="R8" s="52" t="n">
        <f aca="false">APR!R47</f>
        <v>884.1</v>
      </c>
      <c r="S8" s="52" t="n">
        <f aca="false">APR!S47</f>
        <v>6212.3445</v>
      </c>
      <c r="T8" s="52" t="n">
        <f aca="false">APR!T47</f>
        <v>0</v>
      </c>
      <c r="U8" s="52" t="n">
        <f aca="false">APR!U47</f>
        <v>345.5</v>
      </c>
      <c r="V8" s="52" t="n">
        <f aca="false">APR!V47</f>
        <v>24372.97</v>
      </c>
      <c r="W8" s="52" t="n">
        <f aca="false">APR!W47</f>
        <v>16814</v>
      </c>
      <c r="X8" s="52" t="n">
        <f aca="false">APR!X47</f>
        <v>32851.63</v>
      </c>
      <c r="Y8" s="52" t="n">
        <f aca="false">APR!Y47</f>
        <v>670.582414923116</v>
      </c>
      <c r="Z8" s="52" t="n">
        <f aca="false">APR!Z47</f>
        <v>33522.2124149231</v>
      </c>
      <c r="AA8" s="53" t="n">
        <f aca="false">APR!AA47</f>
        <v>5.67</v>
      </c>
      <c r="AB8" s="56"/>
      <c r="AC8" s="56"/>
      <c r="AD8" s="57"/>
      <c r="AE8" s="87"/>
      <c r="AF8" s="85"/>
      <c r="AG8" s="87"/>
    </row>
    <row r="9" customFormat="false" ht="3" hidden="false" customHeight="true" outlineLevel="0" collapsed="false">
      <c r="A9" s="72"/>
      <c r="B9" s="73"/>
      <c r="C9" s="74"/>
      <c r="D9" s="72"/>
      <c r="E9" s="74"/>
      <c r="F9" s="72"/>
      <c r="G9" s="72"/>
      <c r="H9" s="106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4"/>
      <c r="U9" s="72"/>
      <c r="V9" s="72"/>
      <c r="W9" s="74"/>
      <c r="X9" s="72"/>
      <c r="Y9" s="72"/>
      <c r="Z9" s="72"/>
      <c r="AA9" s="75"/>
      <c r="AB9" s="76"/>
      <c r="AC9" s="76"/>
      <c r="AD9" s="77"/>
      <c r="AE9" s="85"/>
      <c r="AF9" s="85"/>
      <c r="AG9" s="86"/>
    </row>
    <row r="10" customFormat="false" ht="11.1" hidden="false" customHeight="true" outlineLevel="0" collapsed="false">
      <c r="A10" s="57" t="n">
        <v>1</v>
      </c>
      <c r="B10" s="71" t="n">
        <v>6918.97</v>
      </c>
      <c r="C10" s="52" t="n">
        <v>359139</v>
      </c>
      <c r="D10" s="56" t="n">
        <f aca="false">C10-C8</f>
        <v>300</v>
      </c>
      <c r="E10" s="52" t="n">
        <f aca="false">C10-152000</f>
        <v>207139</v>
      </c>
      <c r="F10" s="51" t="n">
        <f aca="false">D10/$D$2</f>
        <v>151.247794303</v>
      </c>
      <c r="G10" s="51" t="n">
        <v>1560</v>
      </c>
      <c r="H10" s="55" t="n">
        <v>49</v>
      </c>
      <c r="I10" s="51" t="n">
        <f aca="false">G10+H10</f>
        <v>1609</v>
      </c>
      <c r="J10" s="78" t="n">
        <f aca="false">IF(L10&gt;0,L10)</f>
        <v>197.747794303</v>
      </c>
      <c r="K10" s="51" t="n">
        <f aca="false">I10+J10</f>
        <v>1806.747794303</v>
      </c>
      <c r="L10" s="51" t="n">
        <f aca="false">F10-(I10-X10)</f>
        <v>197.747794303</v>
      </c>
      <c r="M10" s="51" t="n">
        <v>286</v>
      </c>
      <c r="N10" s="51" t="n">
        <v>5</v>
      </c>
      <c r="O10" s="51" t="n">
        <f aca="false">37.7+37.7*1.05</f>
        <v>77.285</v>
      </c>
      <c r="P10" s="6" t="n">
        <f aca="false">M10-(N10+O10)</f>
        <v>203.715</v>
      </c>
      <c r="Q10" s="51" t="n">
        <v>64</v>
      </c>
      <c r="R10" s="51" t="n">
        <v>57</v>
      </c>
      <c r="S10" s="51" t="n">
        <f aca="false">SUM(P10:R10)</f>
        <v>324.715</v>
      </c>
      <c r="T10" s="52"/>
      <c r="U10" s="51" t="n">
        <v>28.5</v>
      </c>
      <c r="V10" s="51" t="n">
        <v>1220</v>
      </c>
      <c r="W10" s="52" t="n">
        <f aca="false">W8</f>
        <v>16814</v>
      </c>
      <c r="X10" s="6" t="n">
        <f aca="false">N10+O10+S10+U10+V10</f>
        <v>1655.5</v>
      </c>
      <c r="Y10" s="51" t="n">
        <f aca="false">IF(L10&lt;0,L10*-1,0)</f>
        <v>0</v>
      </c>
      <c r="Z10" s="51" t="n">
        <f aca="false">X10+Y10</f>
        <v>1655.5</v>
      </c>
      <c r="AA10" s="53" t="n">
        <v>0</v>
      </c>
      <c r="AB10" s="56" t="n">
        <v>73</v>
      </c>
      <c r="AC10" s="56" t="n">
        <v>34</v>
      </c>
      <c r="AD10" s="57" t="n">
        <v>1</v>
      </c>
      <c r="AE10" s="86"/>
      <c r="AF10" s="87"/>
      <c r="AG10" s="86"/>
    </row>
    <row r="11" customFormat="false" ht="11.1" hidden="false" customHeight="true" outlineLevel="0" collapsed="false">
      <c r="A11" s="57" t="n">
        <f aca="false">A10+1</f>
        <v>2</v>
      </c>
      <c r="B11" s="71" t="n">
        <v>6919.03</v>
      </c>
      <c r="C11" s="52" t="n">
        <v>359396</v>
      </c>
      <c r="D11" s="56" t="n">
        <f aca="false">C11-C10</f>
        <v>257</v>
      </c>
      <c r="E11" s="52" t="n">
        <f aca="false">C11-152000</f>
        <v>207396</v>
      </c>
      <c r="F11" s="51" t="n">
        <f aca="false">D11/$D$2</f>
        <v>129.568943786236</v>
      </c>
      <c r="G11" s="51" t="n">
        <v>1700</v>
      </c>
      <c r="H11" s="55" t="n">
        <v>38</v>
      </c>
      <c r="I11" s="51" t="n">
        <f aca="false">G11+H11</f>
        <v>1738</v>
      </c>
      <c r="J11" s="78" t="n">
        <f aca="false">IF(L11&gt;0,L11,0)</f>
        <v>85.3689437862364</v>
      </c>
      <c r="K11" s="51" t="n">
        <f aca="false">I11+J11</f>
        <v>1823.36894378624</v>
      </c>
      <c r="L11" s="51" t="n">
        <f aca="false">F11-(I11-X11)</f>
        <v>85.3689437862364</v>
      </c>
      <c r="M11" s="51" t="n">
        <v>278</v>
      </c>
      <c r="N11" s="51" t="n">
        <v>5</v>
      </c>
      <c r="O11" s="51" t="n">
        <f aca="false">40.7+40.2*1.05</f>
        <v>82.91</v>
      </c>
      <c r="P11" s="6" t="n">
        <f aca="false">M11-(N11+O11)</f>
        <v>190.09</v>
      </c>
      <c r="Q11" s="51" t="n">
        <v>76</v>
      </c>
      <c r="R11" s="51" t="n">
        <v>64</v>
      </c>
      <c r="S11" s="51" t="n">
        <f aca="false">SUM(P11:R11)</f>
        <v>330.09</v>
      </c>
      <c r="T11" s="52"/>
      <c r="U11" s="51" t="n">
        <v>45.8</v>
      </c>
      <c r="V11" s="51" t="n">
        <v>1230</v>
      </c>
      <c r="W11" s="52" t="n">
        <f aca="false">W10</f>
        <v>16814</v>
      </c>
      <c r="X11" s="6" t="n">
        <f aca="false">N11+O11+S11+U11+V11</f>
        <v>1693.8</v>
      </c>
      <c r="Y11" s="51" t="n">
        <f aca="false">IF(L11&lt;0,L11*-1,0)</f>
        <v>0</v>
      </c>
      <c r="Z11" s="51" t="n">
        <f aca="false">X11+Y11</f>
        <v>1693.8</v>
      </c>
      <c r="AA11" s="53" t="n">
        <v>0</v>
      </c>
      <c r="AB11" s="56" t="n">
        <v>79</v>
      </c>
      <c r="AC11" s="56" t="n">
        <v>36</v>
      </c>
      <c r="AD11" s="57" t="n">
        <f aca="false">AD10+1</f>
        <v>2</v>
      </c>
      <c r="AE11" s="86"/>
      <c r="AF11" s="87"/>
      <c r="AG11" s="86"/>
    </row>
    <row r="12" customFormat="false" ht="11.1" hidden="false" customHeight="true" outlineLevel="0" collapsed="false">
      <c r="A12" s="57" t="n">
        <f aca="false">A11+1</f>
        <v>3</v>
      </c>
      <c r="B12" s="71" t="n">
        <v>6919.25</v>
      </c>
      <c r="C12" s="52" t="n">
        <v>360343</v>
      </c>
      <c r="D12" s="56" t="n">
        <f aca="false">C12-C11</f>
        <v>947</v>
      </c>
      <c r="E12" s="52" t="n">
        <f aca="false">C12-152000</f>
        <v>208343</v>
      </c>
      <c r="F12" s="51" t="n">
        <f aca="false">D12/$D$2</f>
        <v>477.438870683136</v>
      </c>
      <c r="G12" s="51" t="n">
        <v>2040</v>
      </c>
      <c r="H12" s="55" t="n">
        <v>44</v>
      </c>
      <c r="I12" s="51" t="n">
        <f aca="false">G12+H12</f>
        <v>2084</v>
      </c>
      <c r="J12" s="78" t="n">
        <f aca="false">IF(L12&gt;0,L12,0)</f>
        <v>114.838870683136</v>
      </c>
      <c r="K12" s="51" t="n">
        <f aca="false">I12+J12</f>
        <v>2198.83887068314</v>
      </c>
      <c r="L12" s="51" t="n">
        <f aca="false">F12-(I12-X12)</f>
        <v>114.838870683136</v>
      </c>
      <c r="M12" s="51" t="n">
        <v>295</v>
      </c>
      <c r="N12" s="51" t="n">
        <v>5</v>
      </c>
      <c r="O12" s="51" t="n">
        <f aca="false">41.6+41.2*1.05</f>
        <v>84.86</v>
      </c>
      <c r="P12" s="6" t="n">
        <f aca="false">M12-(N12+O12)</f>
        <v>205.14</v>
      </c>
      <c r="Q12" s="51" t="n">
        <v>76</v>
      </c>
      <c r="R12" s="51" t="n">
        <v>71</v>
      </c>
      <c r="S12" s="51" t="n">
        <f aca="false">SUM(P12:R12)</f>
        <v>352.14</v>
      </c>
      <c r="T12" s="52"/>
      <c r="U12" s="51" t="n">
        <v>69.4</v>
      </c>
      <c r="V12" s="51" t="n">
        <v>1210</v>
      </c>
      <c r="W12" s="52" t="n">
        <f aca="false">W10</f>
        <v>16814</v>
      </c>
      <c r="X12" s="6" t="n">
        <f aca="false">N12+O12+S12+U12+V12</f>
        <v>1721.4</v>
      </c>
      <c r="Y12" s="51" t="n">
        <f aca="false">IF(L12&lt;0,L12*-1,0)</f>
        <v>0</v>
      </c>
      <c r="Z12" s="51" t="n">
        <f aca="false">X12+Y12</f>
        <v>1721.4</v>
      </c>
      <c r="AA12" s="53" t="n">
        <v>0</v>
      </c>
      <c r="AB12" s="56" t="n">
        <v>81</v>
      </c>
      <c r="AC12" s="56" t="n">
        <v>40</v>
      </c>
      <c r="AD12" s="57" t="n">
        <f aca="false">AD11+1</f>
        <v>3</v>
      </c>
      <c r="AE12" s="86"/>
      <c r="AF12" s="87"/>
      <c r="AG12" s="86"/>
    </row>
    <row r="13" customFormat="false" ht="11.1" hidden="false" customHeight="true" outlineLevel="0" collapsed="false">
      <c r="A13" s="57" t="n">
        <f aca="false">A12+1</f>
        <v>4</v>
      </c>
      <c r="B13" s="71" t="n">
        <v>6919.65</v>
      </c>
      <c r="C13" s="52" t="n">
        <v>362066</v>
      </c>
      <c r="D13" s="56" t="n">
        <f aca="false">C13-C12</f>
        <v>1723</v>
      </c>
      <c r="E13" s="52" t="n">
        <f aca="false">C13-152000</f>
        <v>210066</v>
      </c>
      <c r="F13" s="51" t="n">
        <f aca="false">D13/$D$2</f>
        <v>868.666498613562</v>
      </c>
      <c r="G13" s="51" t="n">
        <v>2270</v>
      </c>
      <c r="H13" s="55" t="n">
        <v>40</v>
      </c>
      <c r="I13" s="51" t="n">
        <f aca="false">G13+H13</f>
        <v>2310</v>
      </c>
      <c r="J13" s="78" t="n">
        <f aca="false">IF(L13&gt;0,L13,0)</f>
        <v>214.766498613562</v>
      </c>
      <c r="K13" s="51" t="n">
        <f aca="false">I13+J13</f>
        <v>2524.76649861356</v>
      </c>
      <c r="L13" s="51" t="n">
        <f aca="false">F13-(I13-X13)</f>
        <v>214.766498613562</v>
      </c>
      <c r="M13" s="51" t="n">
        <v>286</v>
      </c>
      <c r="N13" s="51" t="n">
        <v>5</v>
      </c>
      <c r="O13" s="51" t="n">
        <f aca="false">30.9+30*1.05</f>
        <v>62.4</v>
      </c>
      <c r="P13" s="6" t="n">
        <f aca="false">M13-(N13+O13)</f>
        <v>218.6</v>
      </c>
      <c r="Q13" s="51" t="n">
        <v>108</v>
      </c>
      <c r="R13" s="51" t="n">
        <v>76</v>
      </c>
      <c r="S13" s="51" t="n">
        <f aca="false">SUM(P13:R13)</f>
        <v>402.6</v>
      </c>
      <c r="T13" s="52"/>
      <c r="U13" s="51" t="n">
        <v>86.1</v>
      </c>
      <c r="V13" s="51" t="n">
        <v>1100</v>
      </c>
      <c r="W13" s="52" t="n">
        <f aca="false">W11</f>
        <v>16814</v>
      </c>
      <c r="X13" s="6" t="n">
        <f aca="false">N13+O13+S13+U13+V13</f>
        <v>1656.1</v>
      </c>
      <c r="Y13" s="51" t="n">
        <f aca="false">IF(L13&lt;0,L13*-1,0)</f>
        <v>0</v>
      </c>
      <c r="Z13" s="51" t="n">
        <f aca="false">X13+Y13</f>
        <v>1656.1</v>
      </c>
      <c r="AA13" s="53" t="n">
        <v>0</v>
      </c>
      <c r="AB13" s="56" t="n">
        <v>81</v>
      </c>
      <c r="AC13" s="56" t="n">
        <v>41</v>
      </c>
      <c r="AD13" s="57" t="n">
        <f aca="false">AD12+1</f>
        <v>4</v>
      </c>
      <c r="AE13" s="86"/>
      <c r="AF13" s="87"/>
      <c r="AG13" s="86"/>
    </row>
    <row r="14" customFormat="false" ht="11.1" hidden="false" customHeight="true" outlineLevel="0" collapsed="false">
      <c r="A14" s="57" t="n">
        <f aca="false">A13+1</f>
        <v>5</v>
      </c>
      <c r="B14" s="71" t="n">
        <v>6920.1</v>
      </c>
      <c r="C14" s="52" t="n">
        <v>364007</v>
      </c>
      <c r="D14" s="56" t="n">
        <f aca="false">C14-C13</f>
        <v>1941</v>
      </c>
      <c r="E14" s="52" t="n">
        <f aca="false">C14-152000</f>
        <v>212007</v>
      </c>
      <c r="F14" s="51" t="n">
        <f aca="false">D14/$D$2</f>
        <v>978.573229140408</v>
      </c>
      <c r="G14" s="51" t="n">
        <v>2410</v>
      </c>
      <c r="H14" s="55" t="n">
        <v>31</v>
      </c>
      <c r="I14" s="51" t="n">
        <f aca="false">G14+H14</f>
        <v>2441</v>
      </c>
      <c r="J14" s="78" t="n">
        <f aca="false">IF(L14&gt;0,L14,0)</f>
        <v>152.673229140408</v>
      </c>
      <c r="K14" s="51" t="n">
        <f aca="false">I14+J14</f>
        <v>2593.67322914041</v>
      </c>
      <c r="L14" s="51" t="n">
        <f aca="false">F14-(I14-X14)</f>
        <v>152.673229140408</v>
      </c>
      <c r="M14" s="51" t="n">
        <v>293</v>
      </c>
      <c r="N14" s="51" t="n">
        <v>5</v>
      </c>
      <c r="O14" s="51" t="n">
        <f aca="false">30.4+30.4*1.05</f>
        <v>62.32</v>
      </c>
      <c r="P14" s="6" t="n">
        <f aca="false">M14-(N14+O14)</f>
        <v>225.68</v>
      </c>
      <c r="Q14" s="51" t="n">
        <v>138</v>
      </c>
      <c r="R14" s="51" t="n">
        <v>79</v>
      </c>
      <c r="S14" s="51" t="n">
        <f aca="false">SUM(P14:R14)</f>
        <v>442.68</v>
      </c>
      <c r="T14" s="52"/>
      <c r="U14" s="51" t="n">
        <v>130.1</v>
      </c>
      <c r="V14" s="51" t="n">
        <v>975</v>
      </c>
      <c r="W14" s="52" t="n">
        <f aca="false">W12</f>
        <v>16814</v>
      </c>
      <c r="X14" s="6" t="n">
        <f aca="false">N14+O14+S14+U14+V14</f>
        <v>1615.1</v>
      </c>
      <c r="Y14" s="51" t="n">
        <f aca="false">IF(L14&lt;0,L14*-1,0)</f>
        <v>0</v>
      </c>
      <c r="Z14" s="51" t="n">
        <f aca="false">X14+Y14</f>
        <v>1615.1</v>
      </c>
      <c r="AA14" s="53" t="n">
        <v>0</v>
      </c>
      <c r="AB14" s="56" t="n">
        <v>80</v>
      </c>
      <c r="AC14" s="56" t="n">
        <v>41</v>
      </c>
      <c r="AD14" s="57" t="n">
        <f aca="false">AD13+1</f>
        <v>5</v>
      </c>
      <c r="AE14" s="86"/>
      <c r="AF14" s="87"/>
      <c r="AG14" s="86"/>
    </row>
    <row r="15" customFormat="false" ht="11.1" hidden="false" customHeight="true" outlineLevel="0" collapsed="false">
      <c r="A15" s="57" t="n">
        <f aca="false">A14+1</f>
        <v>6</v>
      </c>
      <c r="B15" s="71" t="n">
        <v>6920.47</v>
      </c>
      <c r="C15" s="52" t="n">
        <v>365614</v>
      </c>
      <c r="D15" s="56" t="n">
        <f aca="false">C15-C14</f>
        <v>1607</v>
      </c>
      <c r="E15" s="52" t="n">
        <f aca="false">C15-152000</f>
        <v>213614</v>
      </c>
      <c r="F15" s="51" t="n">
        <f aca="false">D15/$D$2</f>
        <v>810.184018149735</v>
      </c>
      <c r="G15" s="51" t="n">
        <v>2320</v>
      </c>
      <c r="H15" s="55" t="n">
        <v>16</v>
      </c>
      <c r="I15" s="51" t="n">
        <f aca="false">G15+H15</f>
        <v>2336</v>
      </c>
      <c r="J15" s="78" t="n">
        <f aca="false">IF(L15&gt;0,L15,0)</f>
        <v>133.584018149735</v>
      </c>
      <c r="K15" s="51" t="n">
        <f aca="false">I15+J15</f>
        <v>2469.58401814974</v>
      </c>
      <c r="L15" s="51" t="n">
        <f aca="false">F15-(I15-X15)</f>
        <v>133.584018149735</v>
      </c>
      <c r="M15" s="51" t="n">
        <v>297</v>
      </c>
      <c r="N15" s="51" t="n">
        <v>5</v>
      </c>
      <c r="O15" s="51" t="n">
        <v>62.3</v>
      </c>
      <c r="P15" s="6" t="n">
        <f aca="false">M15-(N15+O15)</f>
        <v>229.7</v>
      </c>
      <c r="Q15" s="51" t="n">
        <v>139</v>
      </c>
      <c r="R15" s="51" t="n">
        <v>79</v>
      </c>
      <c r="S15" s="51" t="n">
        <f aca="false">SUM(P15:R15)</f>
        <v>447.7</v>
      </c>
      <c r="T15" s="52"/>
      <c r="U15" s="51" t="n">
        <v>175.4</v>
      </c>
      <c r="V15" s="51" t="n">
        <v>969</v>
      </c>
      <c r="W15" s="52" t="n">
        <f aca="false">W13</f>
        <v>16814</v>
      </c>
      <c r="X15" s="6" t="n">
        <f aca="false">N15+O15+S15+U15+V15</f>
        <v>1659.4</v>
      </c>
      <c r="Y15" s="51" t="n">
        <f aca="false">IF(L15&lt;0,L15*-1,0)</f>
        <v>0</v>
      </c>
      <c r="Z15" s="51" t="n">
        <f aca="false">X15+Y15</f>
        <v>1659.4</v>
      </c>
      <c r="AA15" s="53" t="n">
        <v>0</v>
      </c>
      <c r="AB15" s="56" t="n">
        <v>76</v>
      </c>
      <c r="AC15" s="56" t="n">
        <v>40</v>
      </c>
      <c r="AD15" s="57" t="n">
        <f aca="false">AD14+1</f>
        <v>6</v>
      </c>
      <c r="AE15" s="85"/>
      <c r="AF15" s="87"/>
      <c r="AG15" s="86"/>
    </row>
    <row r="16" customFormat="false" ht="11.1" hidden="false" customHeight="true" outlineLevel="0" collapsed="false">
      <c r="A16" s="57" t="n">
        <f aca="false">A15+1</f>
        <v>7</v>
      </c>
      <c r="B16" s="71" t="n">
        <v>6920.72</v>
      </c>
      <c r="C16" s="52" t="n">
        <v>366699</v>
      </c>
      <c r="D16" s="56" t="n">
        <f aca="false">C16-C15</f>
        <v>1085</v>
      </c>
      <c r="E16" s="52" t="n">
        <f aca="false">C16-152000</f>
        <v>214699</v>
      </c>
      <c r="F16" s="51" t="n">
        <f aca="false">D16/$D$2</f>
        <v>547.012856062516</v>
      </c>
      <c r="G16" s="51" t="n">
        <v>2060</v>
      </c>
      <c r="H16" s="55" t="n">
        <v>4.1</v>
      </c>
      <c r="I16" s="51" t="n">
        <f aca="false">G16+H16</f>
        <v>2064.1</v>
      </c>
      <c r="J16" s="78" t="n">
        <f aca="false">IF(L16&gt;0,L16,0)</f>
        <v>142.712856062516</v>
      </c>
      <c r="K16" s="51" t="n">
        <f aca="false">I16+J16</f>
        <v>2206.81285606252</v>
      </c>
      <c r="L16" s="51" t="n">
        <f aca="false">F16-(I16-X16)</f>
        <v>142.712856062516</v>
      </c>
      <c r="M16" s="51" t="n">
        <v>302</v>
      </c>
      <c r="N16" s="51" t="n">
        <v>5</v>
      </c>
      <c r="O16" s="51" t="n">
        <f aca="false">31.1+29.8*1.05</f>
        <v>62.39</v>
      </c>
      <c r="P16" s="6" t="n">
        <f aca="false">M16-(N16+O16)</f>
        <v>234.61</v>
      </c>
      <c r="Q16" s="51" t="n">
        <v>156</v>
      </c>
      <c r="R16" s="51" t="n">
        <v>79</v>
      </c>
      <c r="S16" s="51" t="n">
        <f aca="false">SUM(P16:R16)</f>
        <v>469.61</v>
      </c>
      <c r="T16" s="52"/>
      <c r="U16" s="51" t="n">
        <v>167.8</v>
      </c>
      <c r="V16" s="51" t="n">
        <v>955</v>
      </c>
      <c r="W16" s="52" t="n">
        <f aca="false">W14</f>
        <v>16814</v>
      </c>
      <c r="X16" s="6" t="n">
        <f aca="false">N16+O16+S16+U16+V16</f>
        <v>1659.8</v>
      </c>
      <c r="Y16" s="51" t="n">
        <f aca="false">IF(L16&lt;0,L16*-1,0)</f>
        <v>0</v>
      </c>
      <c r="Z16" s="51" t="n">
        <f aca="false">X16+Y16</f>
        <v>1659.8</v>
      </c>
      <c r="AA16" s="53" t="n">
        <v>0.04</v>
      </c>
      <c r="AB16" s="56" t="n">
        <v>74</v>
      </c>
      <c r="AC16" s="56" t="n">
        <v>38</v>
      </c>
      <c r="AD16" s="57" t="n">
        <f aca="false">AD15+1</f>
        <v>7</v>
      </c>
      <c r="AE16" s="85"/>
      <c r="AF16" s="87"/>
      <c r="AG16" s="86"/>
    </row>
    <row r="17" customFormat="false" ht="11.1" hidden="false" customHeight="true" outlineLevel="0" collapsed="false">
      <c r="A17" s="57" t="n">
        <f aca="false">A16+1</f>
        <v>8</v>
      </c>
      <c r="B17" s="71" t="n">
        <v>6921.15</v>
      </c>
      <c r="C17" s="52" t="n">
        <v>368572</v>
      </c>
      <c r="D17" s="56" t="n">
        <f aca="false">C17-C16</f>
        <v>1873</v>
      </c>
      <c r="E17" s="52" t="n">
        <f aca="false">C17-152000</f>
        <v>216572</v>
      </c>
      <c r="F17" s="51" t="n">
        <f aca="false">D17/$D$2</f>
        <v>944.290395765062</v>
      </c>
      <c r="G17" s="51" t="n">
        <v>2400</v>
      </c>
      <c r="H17" s="55" t="n">
        <v>3.5</v>
      </c>
      <c r="I17" s="51" t="n">
        <f aca="false">G17+H17</f>
        <v>2403.5</v>
      </c>
      <c r="J17" s="78" t="n">
        <f aca="false">IF(L17&gt;0,L17,0)</f>
        <v>188.190395765062</v>
      </c>
      <c r="K17" s="51" t="n">
        <f aca="false">I17+J17</f>
        <v>2591.69039576506</v>
      </c>
      <c r="L17" s="51" t="n">
        <f aca="false">F17-(I17-X17)</f>
        <v>188.190395765062</v>
      </c>
      <c r="M17" s="51" t="n">
        <v>303</v>
      </c>
      <c r="N17" s="51" t="n">
        <v>5</v>
      </c>
      <c r="O17" s="51" t="n">
        <f aca="false">34+35*1.05</f>
        <v>70.75</v>
      </c>
      <c r="P17" s="6" t="n">
        <f aca="false">M17-(N17+O17)</f>
        <v>227.25</v>
      </c>
      <c r="Q17" s="51" t="n">
        <v>184</v>
      </c>
      <c r="R17" s="51" t="n">
        <v>79</v>
      </c>
      <c r="S17" s="51" t="n">
        <f aca="false">SUM(P17:R17)</f>
        <v>490.25</v>
      </c>
      <c r="T17" s="52"/>
      <c r="U17" s="51" t="n">
        <v>192.4</v>
      </c>
      <c r="V17" s="51" t="n">
        <v>889</v>
      </c>
      <c r="W17" s="52" t="n">
        <f aca="false">W15</f>
        <v>16814</v>
      </c>
      <c r="X17" s="6" t="n">
        <f aca="false">N17+O17+S17+U17+V17</f>
        <v>1647.4</v>
      </c>
      <c r="Y17" s="51" t="n">
        <f aca="false">IF(L17&lt;0,L17*-1,0)</f>
        <v>0</v>
      </c>
      <c r="Z17" s="51" t="n">
        <f aca="false">X17+Y17</f>
        <v>1647.4</v>
      </c>
      <c r="AA17" s="53" t="n">
        <v>0.16</v>
      </c>
      <c r="AB17" s="56" t="n">
        <v>60</v>
      </c>
      <c r="AC17" s="56" t="n">
        <v>44</v>
      </c>
      <c r="AD17" s="57" t="n">
        <f aca="false">AD16+1</f>
        <v>8</v>
      </c>
      <c r="AE17" s="85"/>
      <c r="AF17" s="87"/>
      <c r="AG17" s="86"/>
    </row>
    <row r="18" customFormat="false" ht="11.1" hidden="false" customHeight="true" outlineLevel="0" collapsed="false">
      <c r="A18" s="57" t="n">
        <f aca="false">A17+1</f>
        <v>9</v>
      </c>
      <c r="B18" s="71" t="n">
        <v>6921.43</v>
      </c>
      <c r="C18" s="52" t="n">
        <v>369798</v>
      </c>
      <c r="D18" s="56" t="n">
        <f aca="false">C18-C17</f>
        <v>1226</v>
      </c>
      <c r="E18" s="52" t="n">
        <f aca="false">C18-152000</f>
        <v>217798</v>
      </c>
      <c r="F18" s="51" t="n">
        <f aca="false">D18/$D$2</f>
        <v>618.099319384926</v>
      </c>
      <c r="G18" s="51" t="n">
        <v>2100</v>
      </c>
      <c r="H18" s="55" t="n">
        <v>9.2</v>
      </c>
      <c r="I18" s="51" t="n">
        <f aca="false">G18+H18</f>
        <v>2109.2</v>
      </c>
      <c r="J18" s="78" t="n">
        <f aca="false">IF(L18&gt;0,L18,0)</f>
        <v>90.6993193849257</v>
      </c>
      <c r="K18" s="51" t="n">
        <f aca="false">I18+J18</f>
        <v>2199.89931938493</v>
      </c>
      <c r="L18" s="51" t="n">
        <f aca="false">F18-(I18-X18)</f>
        <v>90.6993193849257</v>
      </c>
      <c r="M18" s="51" t="n">
        <v>294</v>
      </c>
      <c r="N18" s="51" t="n">
        <v>5</v>
      </c>
      <c r="O18" s="51" t="n">
        <f aca="false">28.5+29.3*1.05</f>
        <v>59.265</v>
      </c>
      <c r="P18" s="6" t="n">
        <f aca="false">M18-(N18+O18)</f>
        <v>229.735</v>
      </c>
      <c r="Q18" s="51" t="n">
        <v>182</v>
      </c>
      <c r="R18" s="51" t="n">
        <v>79</v>
      </c>
      <c r="S18" s="51" t="n">
        <f aca="false">SUM(P18:R18)</f>
        <v>490.735</v>
      </c>
      <c r="T18" s="52"/>
      <c r="U18" s="51" t="n">
        <v>205.8</v>
      </c>
      <c r="V18" s="51" t="n">
        <v>821</v>
      </c>
      <c r="W18" s="52" t="n">
        <f aca="false">W16</f>
        <v>16814</v>
      </c>
      <c r="X18" s="6" t="n">
        <f aca="false">N18+O18+S18+U18+V18</f>
        <v>1581.8</v>
      </c>
      <c r="Y18" s="51" t="n">
        <f aca="false">IF(L18&lt;0,L18*-1,0)</f>
        <v>0</v>
      </c>
      <c r="Z18" s="51" t="n">
        <f aca="false">X18+Y18</f>
        <v>1581.8</v>
      </c>
      <c r="AA18" s="53" t="n">
        <v>0</v>
      </c>
      <c r="AB18" s="56" t="n">
        <v>72</v>
      </c>
      <c r="AC18" s="56" t="n">
        <v>36</v>
      </c>
      <c r="AD18" s="57" t="n">
        <f aca="false">AD17+1</f>
        <v>9</v>
      </c>
      <c r="AE18" s="85"/>
      <c r="AF18" s="87"/>
      <c r="AG18" s="86"/>
    </row>
    <row r="19" customFormat="false" ht="11.1" hidden="false" customHeight="true" outlineLevel="0" collapsed="false">
      <c r="A19" s="57" t="n">
        <f aca="false">A18+1</f>
        <v>10</v>
      </c>
      <c r="B19" s="71" t="n">
        <v>6921.55</v>
      </c>
      <c r="C19" s="52" t="n">
        <v>370323</v>
      </c>
      <c r="D19" s="56" t="n">
        <f aca="false">C19-C18</f>
        <v>525</v>
      </c>
      <c r="E19" s="52" t="n">
        <f aca="false">C19-152000</f>
        <v>218323</v>
      </c>
      <c r="F19" s="51" t="n">
        <f aca="false">D19/$D$2</f>
        <v>264.68364003025</v>
      </c>
      <c r="G19" s="51" t="n">
        <v>1800</v>
      </c>
      <c r="H19" s="55" t="n">
        <v>2.9</v>
      </c>
      <c r="I19" s="51" t="n">
        <f aca="false">G19+H19</f>
        <v>1802.9</v>
      </c>
      <c r="J19" s="78" t="n">
        <f aca="false">IF(L19&gt;0,L19,0)</f>
        <v>68.5836400302494</v>
      </c>
      <c r="K19" s="51" t="n">
        <f aca="false">I19+J19</f>
        <v>1871.48364003025</v>
      </c>
      <c r="L19" s="51" t="n">
        <f aca="false">F19-(I19-X19)</f>
        <v>68.5836400302494</v>
      </c>
      <c r="M19" s="51" t="n">
        <v>293</v>
      </c>
      <c r="N19" s="51" t="n">
        <v>5</v>
      </c>
      <c r="O19" s="51" t="n">
        <f aca="false">24.5+26.1*1.05</f>
        <v>51.905</v>
      </c>
      <c r="P19" s="6" t="n">
        <f aca="false">M19-(N19+O19)</f>
        <v>236.095</v>
      </c>
      <c r="Q19" s="51" t="n">
        <v>199</v>
      </c>
      <c r="R19" s="51" t="n">
        <v>79</v>
      </c>
      <c r="S19" s="51" t="n">
        <f aca="false">SUM(P19:R19)</f>
        <v>514.095</v>
      </c>
      <c r="T19" s="52"/>
      <c r="U19" s="51" t="n">
        <v>234.8</v>
      </c>
      <c r="V19" s="51" t="n">
        <v>801</v>
      </c>
      <c r="W19" s="52" t="n">
        <f aca="false">W17</f>
        <v>16814</v>
      </c>
      <c r="X19" s="6" t="n">
        <f aca="false">N19+O19+S19+U19+V19</f>
        <v>1606.8</v>
      </c>
      <c r="Y19" s="51" t="n">
        <f aca="false">IF(L19&lt;0,L19*-1,0)</f>
        <v>0</v>
      </c>
      <c r="Z19" s="51" t="n">
        <f aca="false">X19+Y19</f>
        <v>1606.8</v>
      </c>
      <c r="AA19" s="53" t="n">
        <v>0</v>
      </c>
      <c r="AB19" s="56" t="n">
        <v>79</v>
      </c>
      <c r="AC19" s="56" t="n">
        <v>40</v>
      </c>
      <c r="AD19" s="57" t="n">
        <f aca="false">AD18+1</f>
        <v>10</v>
      </c>
      <c r="AE19" s="85"/>
      <c r="AF19" s="87"/>
      <c r="AG19" s="86"/>
    </row>
    <row r="20" customFormat="false" ht="11.1" hidden="false" customHeight="true" outlineLevel="0" collapsed="false">
      <c r="A20" s="57" t="n">
        <f aca="false">A19+1</f>
        <v>11</v>
      </c>
      <c r="B20" s="71" t="n">
        <v>6921.77</v>
      </c>
      <c r="C20" s="52" t="n">
        <v>371286</v>
      </c>
      <c r="D20" s="56" t="n">
        <f aca="false">C20-C19</f>
        <v>963</v>
      </c>
      <c r="E20" s="52" t="n">
        <f aca="false">C20-152000</f>
        <v>219286</v>
      </c>
      <c r="F20" s="51" t="n">
        <f aca="false">D20/$D$2</f>
        <v>485.505419712629</v>
      </c>
      <c r="G20" s="51" t="n">
        <v>1970</v>
      </c>
      <c r="H20" s="55" t="n">
        <v>2.4</v>
      </c>
      <c r="I20" s="51" t="n">
        <f aca="false">G20+H20</f>
        <v>1972.4</v>
      </c>
      <c r="J20" s="78" t="n">
        <f aca="false">IF(L20&gt;0,L20,0)</f>
        <v>130.605419712629</v>
      </c>
      <c r="K20" s="51" t="n">
        <f aca="false">I20+J20</f>
        <v>2103.00541971263</v>
      </c>
      <c r="L20" s="51" t="n">
        <f aca="false">F20-(I20-X20)</f>
        <v>130.605419712629</v>
      </c>
      <c r="M20" s="51" t="n">
        <v>310</v>
      </c>
      <c r="N20" s="51" t="n">
        <v>5</v>
      </c>
      <c r="O20" s="51" t="n">
        <f aca="false">34.5+36*1.05</f>
        <v>72.3</v>
      </c>
      <c r="P20" s="6" t="n">
        <f aca="false">M20-(N20+O20)</f>
        <v>232.7</v>
      </c>
      <c r="Q20" s="51" t="n">
        <v>209</v>
      </c>
      <c r="R20" s="51" t="n">
        <v>79</v>
      </c>
      <c r="S20" s="51" t="n">
        <f aca="false">SUM(P20:R20)</f>
        <v>520.7</v>
      </c>
      <c r="T20" s="52"/>
      <c r="U20" s="51" t="n">
        <v>224.5</v>
      </c>
      <c r="V20" s="51" t="n">
        <v>795</v>
      </c>
      <c r="W20" s="52" t="n">
        <f aca="false">W18</f>
        <v>16814</v>
      </c>
      <c r="X20" s="6" t="n">
        <f aca="false">N20+O20+S20+U20+V20</f>
        <v>1617.5</v>
      </c>
      <c r="Y20" s="51" t="n">
        <f aca="false">IF(L20&lt;0,L20*-1,0)</f>
        <v>0</v>
      </c>
      <c r="Z20" s="51" t="n">
        <f aca="false">X20+Y20</f>
        <v>1617.5</v>
      </c>
      <c r="AA20" s="53" t="n">
        <v>0</v>
      </c>
      <c r="AB20" s="56" t="n">
        <v>66</v>
      </c>
      <c r="AC20" s="56" t="n">
        <v>50</v>
      </c>
      <c r="AD20" s="57" t="n">
        <f aca="false">AD19+1</f>
        <v>11</v>
      </c>
      <c r="AE20" s="85"/>
      <c r="AF20" s="87"/>
      <c r="AG20" s="86"/>
    </row>
    <row r="21" customFormat="false" ht="11.1" hidden="false" customHeight="true" outlineLevel="0" collapsed="false">
      <c r="A21" s="57" t="n">
        <f aca="false">A20+1</f>
        <v>12</v>
      </c>
      <c r="B21" s="71" t="n">
        <v>6921.95</v>
      </c>
      <c r="C21" s="52" t="n">
        <v>372075</v>
      </c>
      <c r="D21" s="56" t="n">
        <f aca="false">C21-C20</f>
        <v>789</v>
      </c>
      <c r="E21" s="52" t="n">
        <f aca="false">C21-152000</f>
        <v>220075</v>
      </c>
      <c r="F21" s="51" t="n">
        <f aca="false">D21/$D$2</f>
        <v>397.781699016889</v>
      </c>
      <c r="G21" s="51" t="n">
        <v>1800</v>
      </c>
      <c r="H21" s="55" t="n">
        <v>2</v>
      </c>
      <c r="I21" s="51" t="n">
        <f aca="false">G21+H21</f>
        <v>1802</v>
      </c>
      <c r="J21" s="78" t="n">
        <f aca="false">IF(L21&gt;0,L21,0)</f>
        <v>98.2816990168893</v>
      </c>
      <c r="K21" s="51" t="n">
        <f aca="false">I21+J21</f>
        <v>1900.28169901689</v>
      </c>
      <c r="L21" s="51" t="n">
        <f aca="false">F21-(I21-X21)</f>
        <v>98.2816990168893</v>
      </c>
      <c r="M21" s="51" t="n">
        <v>302</v>
      </c>
      <c r="N21" s="51" t="n">
        <v>5</v>
      </c>
      <c r="O21" s="51" t="n">
        <f aca="false">34.5+35.6*1.05</f>
        <v>71.88</v>
      </c>
      <c r="P21" s="6" t="n">
        <f aca="false">M21-(N21+O21)</f>
        <v>225.12</v>
      </c>
      <c r="Q21" s="51" t="n">
        <v>213</v>
      </c>
      <c r="R21" s="51" t="n">
        <v>79</v>
      </c>
      <c r="S21" s="51" t="n">
        <f aca="false">SUM(P21:R21)</f>
        <v>517.12</v>
      </c>
      <c r="T21" s="52"/>
      <c r="U21" s="51" t="n">
        <v>114.5</v>
      </c>
      <c r="V21" s="51" t="n">
        <v>794</v>
      </c>
      <c r="W21" s="52" t="n">
        <f aca="false">W19</f>
        <v>16814</v>
      </c>
      <c r="X21" s="6" t="n">
        <f aca="false">N21+O21+S21+U21+V21</f>
        <v>1502.5</v>
      </c>
      <c r="Y21" s="51" t="n">
        <f aca="false">IF(L21&lt;0,L21*-1,0)</f>
        <v>0</v>
      </c>
      <c r="Z21" s="51" t="n">
        <f aca="false">X21+Y21</f>
        <v>1502.5</v>
      </c>
      <c r="AA21" s="53" t="n">
        <v>0</v>
      </c>
      <c r="AB21" s="56" t="n">
        <v>52</v>
      </c>
      <c r="AC21" s="56" t="n">
        <v>24</v>
      </c>
      <c r="AD21" s="57" t="n">
        <f aca="false">AD20+1</f>
        <v>12</v>
      </c>
      <c r="AE21" s="85"/>
      <c r="AF21" s="87"/>
      <c r="AG21" s="86"/>
    </row>
    <row r="22" customFormat="false" ht="11.1" hidden="false" customHeight="true" outlineLevel="0" collapsed="false">
      <c r="A22" s="57" t="n">
        <f aca="false">A21+1</f>
        <v>13</v>
      </c>
      <c r="B22" s="71" t="n">
        <v>6921.88</v>
      </c>
      <c r="C22" s="52" t="n">
        <v>371768</v>
      </c>
      <c r="D22" s="56" t="n">
        <f aca="false">C22-C21</f>
        <v>-307</v>
      </c>
      <c r="E22" s="52" t="n">
        <f aca="false">C22-152000</f>
        <v>219768</v>
      </c>
      <c r="F22" s="51" t="n">
        <f aca="false">D22/$D$2</f>
        <v>-154.776909503403</v>
      </c>
      <c r="G22" s="51" t="n">
        <v>1410</v>
      </c>
      <c r="H22" s="55" t="n">
        <v>1.8</v>
      </c>
      <c r="I22" s="51" t="n">
        <f aca="false">G22+H22</f>
        <v>1411.8</v>
      </c>
      <c r="J22" s="78" t="n">
        <f aca="false">IF(L22&gt;0,L22,0)</f>
        <v>0</v>
      </c>
      <c r="K22" s="51" t="n">
        <f aca="false">I22+J22</f>
        <v>1411.8</v>
      </c>
      <c r="L22" s="51" t="n">
        <f aca="false">F22-(I22-X22)</f>
        <v>-33.376909503403</v>
      </c>
      <c r="M22" s="51" t="n">
        <v>290</v>
      </c>
      <c r="N22" s="51" t="n">
        <v>5</v>
      </c>
      <c r="O22" s="51" t="n">
        <f aca="false">23.5+25.7*1.05</f>
        <v>50.485</v>
      </c>
      <c r="P22" s="6" t="n">
        <f aca="false">M22-(N22+O22)</f>
        <v>234.515</v>
      </c>
      <c r="Q22" s="51" t="n">
        <v>213</v>
      </c>
      <c r="R22" s="51" t="n">
        <v>77</v>
      </c>
      <c r="S22" s="51" t="n">
        <f aca="false">SUM(P22:R22)</f>
        <v>524.515</v>
      </c>
      <c r="T22" s="52"/>
      <c r="U22" s="51" t="n">
        <v>156.2</v>
      </c>
      <c r="V22" s="51" t="n">
        <v>797</v>
      </c>
      <c r="W22" s="52" t="n">
        <f aca="false">W20</f>
        <v>16814</v>
      </c>
      <c r="X22" s="6" t="n">
        <f aca="false">N22+O22+S22+U22+V22</f>
        <v>1533.2</v>
      </c>
      <c r="Y22" s="51" t="n">
        <f aca="false">IF(L22&lt;0,L22*-1,0)</f>
        <v>33.376909503403</v>
      </c>
      <c r="Z22" s="51" t="n">
        <f aca="false">X22+Y22</f>
        <v>1566.5769095034</v>
      </c>
      <c r="AA22" s="53" t="n">
        <v>0</v>
      </c>
      <c r="AB22" s="56" t="n">
        <v>69</v>
      </c>
      <c r="AC22" s="56" t="n">
        <v>29</v>
      </c>
      <c r="AD22" s="57" t="n">
        <f aca="false">AD21+1</f>
        <v>13</v>
      </c>
      <c r="AE22" s="85"/>
      <c r="AF22" s="87"/>
      <c r="AG22" s="86"/>
    </row>
    <row r="23" customFormat="false" ht="11.1" hidden="false" customHeight="true" outlineLevel="0" collapsed="false">
      <c r="A23" s="57" t="n">
        <f aca="false">A22+1</f>
        <v>14</v>
      </c>
      <c r="B23" s="71" t="n">
        <v>6921.75</v>
      </c>
      <c r="C23" s="52" t="n">
        <v>371199</v>
      </c>
      <c r="D23" s="56" t="n">
        <f aca="false">C23-C22</f>
        <v>-569</v>
      </c>
      <c r="E23" s="52" t="n">
        <f aca="false">C23-152000</f>
        <v>219199</v>
      </c>
      <c r="F23" s="51" t="n">
        <f aca="false">D23/$D$2</f>
        <v>-286.866649861356</v>
      </c>
      <c r="G23" s="51" t="n">
        <v>1250</v>
      </c>
      <c r="H23" s="55" t="n">
        <v>1.6</v>
      </c>
      <c r="I23" s="51" t="n">
        <f aca="false">G23+H23</f>
        <v>1251.6</v>
      </c>
      <c r="J23" s="78" t="n">
        <f aca="false">IF(L23&gt;0,L23,0)</f>
        <v>63.433350138644</v>
      </c>
      <c r="K23" s="51" t="n">
        <f aca="false">I23+J23</f>
        <v>1315.03335013864</v>
      </c>
      <c r="L23" s="51" t="n">
        <f aca="false">F23-(I23-X23)</f>
        <v>63.433350138644</v>
      </c>
      <c r="M23" s="51" t="n">
        <v>298</v>
      </c>
      <c r="N23" s="51" t="n">
        <v>5</v>
      </c>
      <c r="O23" s="51" t="n">
        <f aca="false">24.6+25.3*1.05</f>
        <v>51.165</v>
      </c>
      <c r="P23" s="6" t="n">
        <f aca="false">M23-(N23+O23)</f>
        <v>241.835</v>
      </c>
      <c r="Q23" s="51" t="n">
        <v>212</v>
      </c>
      <c r="R23" s="51" t="n">
        <v>78</v>
      </c>
      <c r="S23" s="51" t="n">
        <f aca="false">SUM(P23:R23)</f>
        <v>531.835</v>
      </c>
      <c r="T23" s="52"/>
      <c r="U23" s="51" t="n">
        <v>216.9</v>
      </c>
      <c r="V23" s="51" t="n">
        <v>797</v>
      </c>
      <c r="W23" s="52" t="n">
        <f aca="false">W21</f>
        <v>16814</v>
      </c>
      <c r="X23" s="6" t="n">
        <f aca="false">N23+O23+S23+U23+V23</f>
        <v>1601.9</v>
      </c>
      <c r="Y23" s="51" t="n">
        <f aca="false">IF(L23&lt;0,L23*-1,0)</f>
        <v>0</v>
      </c>
      <c r="Z23" s="51" t="n">
        <f aca="false">X23+Y23</f>
        <v>1601.9</v>
      </c>
      <c r="AA23" s="53" t="n">
        <v>0</v>
      </c>
      <c r="AB23" s="56" t="n">
        <v>73</v>
      </c>
      <c r="AC23" s="56" t="n">
        <v>36</v>
      </c>
      <c r="AD23" s="57" t="n">
        <f aca="false">AD22+1</f>
        <v>14</v>
      </c>
      <c r="AE23" s="85"/>
      <c r="AF23" s="87"/>
      <c r="AG23" s="86"/>
    </row>
    <row r="24" customFormat="false" ht="11.1" hidden="false" customHeight="true" outlineLevel="0" collapsed="false">
      <c r="A24" s="57" t="n">
        <f aca="false">A23+1</f>
        <v>15</v>
      </c>
      <c r="B24" s="71" t="n">
        <v>6921.5</v>
      </c>
      <c r="C24" s="52" t="n">
        <v>370104</v>
      </c>
      <c r="D24" s="56" t="n">
        <f aca="false">C24-C23</f>
        <v>-1095</v>
      </c>
      <c r="E24" s="52" t="n">
        <f aca="false">C24-152000</f>
        <v>218104</v>
      </c>
      <c r="F24" s="51" t="n">
        <f aca="false">D24/$D$2</f>
        <v>-552.054449205949</v>
      </c>
      <c r="G24" s="51" t="n">
        <v>1100</v>
      </c>
      <c r="H24" s="55" t="n">
        <v>1.3</v>
      </c>
      <c r="I24" s="51" t="n">
        <f aca="false">G24+H24</f>
        <v>1101.3</v>
      </c>
      <c r="J24" s="78" t="n">
        <f aca="false">IF(L24&gt;0,L24,0)</f>
        <v>0</v>
      </c>
      <c r="K24" s="92" t="n">
        <f aca="false">I24+J24</f>
        <v>1101.3</v>
      </c>
      <c r="L24" s="51" t="n">
        <f aca="false">F24-(I24-X24)</f>
        <v>-6.45444920594889</v>
      </c>
      <c r="M24" s="51" t="n">
        <v>305</v>
      </c>
      <c r="N24" s="51" t="n">
        <v>5</v>
      </c>
      <c r="O24" s="51" t="n">
        <f aca="false">27.9+28.8*1.05</f>
        <v>58.14</v>
      </c>
      <c r="P24" s="6" t="n">
        <f aca="false">M24-(N24+O24)</f>
        <v>241.86</v>
      </c>
      <c r="Q24" s="51" t="n">
        <v>210</v>
      </c>
      <c r="R24" s="51" t="n">
        <v>79</v>
      </c>
      <c r="S24" s="51" t="n">
        <f aca="false">SUM(P24:R24)</f>
        <v>530.86</v>
      </c>
      <c r="T24" s="52"/>
      <c r="U24" s="51" t="n">
        <v>256.9</v>
      </c>
      <c r="V24" s="51" t="n">
        <v>796</v>
      </c>
      <c r="W24" s="52" t="n">
        <f aca="false">W22</f>
        <v>16814</v>
      </c>
      <c r="X24" s="6" t="n">
        <f aca="false">N24+O24+S24+U24+V24</f>
        <v>1646.9</v>
      </c>
      <c r="Y24" s="51" t="n">
        <f aca="false">IF(L24&lt;0,L24*-1,0)</f>
        <v>6.45444920594889</v>
      </c>
      <c r="Z24" s="51" t="n">
        <f aca="false">X24+Y24</f>
        <v>1653.35444920595</v>
      </c>
      <c r="AA24" s="53" t="n">
        <v>0</v>
      </c>
      <c r="AB24" s="56" t="n">
        <v>80</v>
      </c>
      <c r="AC24" s="56" t="n">
        <v>43</v>
      </c>
      <c r="AD24" s="57" t="n">
        <f aca="false">AD23+1</f>
        <v>15</v>
      </c>
      <c r="AE24" s="85"/>
      <c r="AF24" s="87"/>
      <c r="AG24" s="86"/>
    </row>
    <row r="25" customFormat="false" ht="11.1" hidden="false" customHeight="true" outlineLevel="0" collapsed="false">
      <c r="A25" s="57" t="n">
        <f aca="false">A24+1</f>
        <v>16</v>
      </c>
      <c r="B25" s="71" t="n">
        <v>6921.3</v>
      </c>
      <c r="C25" s="52" t="n">
        <v>369228</v>
      </c>
      <c r="D25" s="56" t="n">
        <f aca="false">C25-C24</f>
        <v>-876</v>
      </c>
      <c r="E25" s="52" t="n">
        <f aca="false">C25-152000</f>
        <v>217228</v>
      </c>
      <c r="F25" s="51" t="n">
        <f aca="false">D25/$D$2</f>
        <v>-441.643559364759</v>
      </c>
      <c r="G25" s="51" t="n">
        <v>1180</v>
      </c>
      <c r="H25" s="55" t="n">
        <v>1.1</v>
      </c>
      <c r="I25" s="51" t="n">
        <f aca="false">G25+H25</f>
        <v>1181.1</v>
      </c>
      <c r="J25" s="78" t="n">
        <f aca="false">IF(L25&gt;0,L25,0)</f>
        <v>22.9564406352407</v>
      </c>
      <c r="K25" s="51" t="n">
        <f aca="false">I25+J25</f>
        <v>1204.05644063524</v>
      </c>
      <c r="L25" s="51" t="n">
        <f aca="false">F25-(I25-X25)</f>
        <v>22.9564406352407</v>
      </c>
      <c r="M25" s="51" t="n">
        <v>315</v>
      </c>
      <c r="N25" s="51" t="n">
        <v>5</v>
      </c>
      <c r="O25" s="51" t="n">
        <f aca="false">27.3+29.4*1.05</f>
        <v>58.17</v>
      </c>
      <c r="P25" s="6" t="n">
        <f aca="false">M25-(N25+O25)</f>
        <v>251.83</v>
      </c>
      <c r="Q25" s="51" t="n">
        <v>210</v>
      </c>
      <c r="R25" s="51" t="n">
        <v>81</v>
      </c>
      <c r="S25" s="51" t="n">
        <f aca="false">SUM(P25:R25)</f>
        <v>542.83</v>
      </c>
      <c r="T25" s="52"/>
      <c r="U25" s="51" t="n">
        <v>248.7</v>
      </c>
      <c r="V25" s="51" t="n">
        <v>791</v>
      </c>
      <c r="W25" s="52" t="n">
        <f aca="false">W23</f>
        <v>16814</v>
      </c>
      <c r="X25" s="6" t="n">
        <f aca="false">N25+O25+S25+U25+V25</f>
        <v>1645.7</v>
      </c>
      <c r="Y25" s="51" t="n">
        <f aca="false">IF(L25&lt;0,L25*-1,0)</f>
        <v>0</v>
      </c>
      <c r="Z25" s="51" t="n">
        <f aca="false">X25+Y25</f>
        <v>1645.7</v>
      </c>
      <c r="AA25" s="53" t="n">
        <v>0</v>
      </c>
      <c r="AB25" s="56" t="n">
        <v>78</v>
      </c>
      <c r="AC25" s="56" t="n">
        <v>42</v>
      </c>
      <c r="AD25" s="57" t="n">
        <f aca="false">AD24+1</f>
        <v>16</v>
      </c>
      <c r="AE25" s="85"/>
      <c r="AF25" s="87"/>
      <c r="AG25" s="86"/>
    </row>
    <row r="26" customFormat="false" ht="11.1" hidden="false" customHeight="true" outlineLevel="0" collapsed="false">
      <c r="A26" s="57" t="n">
        <f aca="false">A25+1</f>
        <v>17</v>
      </c>
      <c r="B26" s="71" t="n">
        <v>6921.14</v>
      </c>
      <c r="C26" s="52" t="n">
        <v>368528</v>
      </c>
      <c r="D26" s="56" t="n">
        <f aca="false">C26-C25</f>
        <v>-700</v>
      </c>
      <c r="E26" s="52" t="n">
        <f aca="false">C26-152000</f>
        <v>216528</v>
      </c>
      <c r="F26" s="51" t="n">
        <f aca="false">D26/$D$2</f>
        <v>-352.911520040333</v>
      </c>
      <c r="G26" s="51" t="n">
        <v>1300</v>
      </c>
      <c r="H26" s="55" t="n">
        <v>0.95</v>
      </c>
      <c r="I26" s="51" t="n">
        <f aca="false">G26+H26</f>
        <v>1300.95</v>
      </c>
      <c r="J26" s="78" t="n">
        <f aca="false">IF(L26&gt;0,L26,0)</f>
        <v>0</v>
      </c>
      <c r="K26" s="92" t="n">
        <f aca="false">I26+J26</f>
        <v>1300.95</v>
      </c>
      <c r="L26" s="51" t="n">
        <f aca="false">F26-(I26-X26)</f>
        <v>-37.9615200403329</v>
      </c>
      <c r="M26" s="51" t="n">
        <v>322</v>
      </c>
      <c r="N26" s="51" t="n">
        <v>5</v>
      </c>
      <c r="O26" s="51" t="n">
        <f aca="false">36.1+35.9*1.05</f>
        <v>73.795</v>
      </c>
      <c r="P26" s="6" t="n">
        <f aca="false">M26-(N26+O26)</f>
        <v>243.205</v>
      </c>
      <c r="Q26" s="51" t="n">
        <v>211</v>
      </c>
      <c r="R26" s="51" t="n">
        <v>81</v>
      </c>
      <c r="S26" s="51" t="n">
        <f aca="false">SUM(P26:R26)</f>
        <v>535.205</v>
      </c>
      <c r="T26" s="52"/>
      <c r="U26" s="51" t="n">
        <v>212.9</v>
      </c>
      <c r="V26" s="51" t="n">
        <v>789</v>
      </c>
      <c r="W26" s="52" t="n">
        <f aca="false">W24</f>
        <v>16814</v>
      </c>
      <c r="X26" s="6" t="n">
        <f aca="false">N26+O26+S26+U26+V26</f>
        <v>1615.9</v>
      </c>
      <c r="Y26" s="51" t="n">
        <f aca="false">IF(L26&lt;0,L26*-1,0)</f>
        <v>37.9615200403329</v>
      </c>
      <c r="Z26" s="51" t="n">
        <f aca="false">X26+Y26</f>
        <v>1653.86152004033</v>
      </c>
      <c r="AA26" s="53" t="n">
        <v>0</v>
      </c>
      <c r="AB26" s="56" t="n">
        <v>60</v>
      </c>
      <c r="AC26" s="56" t="n">
        <v>34</v>
      </c>
      <c r="AD26" s="57" t="n">
        <f aca="false">AD25+1</f>
        <v>17</v>
      </c>
      <c r="AE26" s="85"/>
      <c r="AF26" s="87"/>
      <c r="AG26" s="86"/>
    </row>
    <row r="27" customFormat="false" ht="11.1" hidden="false" customHeight="true" outlineLevel="0" collapsed="false">
      <c r="A27" s="57" t="n">
        <f aca="false">A26+1</f>
        <v>18</v>
      </c>
      <c r="B27" s="71" t="n">
        <v>6920.92</v>
      </c>
      <c r="C27" s="52" t="n">
        <v>367567</v>
      </c>
      <c r="D27" s="56" t="n">
        <f aca="false">C27-C26</f>
        <v>-961</v>
      </c>
      <c r="E27" s="52" t="n">
        <f aca="false">C27-152000</f>
        <v>215567</v>
      </c>
      <c r="F27" s="51" t="n">
        <f aca="false">D27/$D$2</f>
        <v>-484.497101083943</v>
      </c>
      <c r="G27" s="51" t="n">
        <v>1060</v>
      </c>
      <c r="H27" s="55" t="n">
        <v>0.98</v>
      </c>
      <c r="I27" s="51" t="n">
        <f aca="false">G27+H27</f>
        <v>1060.98</v>
      </c>
      <c r="J27" s="78" t="n">
        <f aca="false">IF(L27&gt;0,L27,0)</f>
        <v>49.5228989160574</v>
      </c>
      <c r="K27" s="51" t="n">
        <f aca="false">I27+J27</f>
        <v>1110.50289891606</v>
      </c>
      <c r="L27" s="51" t="n">
        <f aca="false">F27-(I27-X27)</f>
        <v>49.5228989160574</v>
      </c>
      <c r="M27" s="51" t="n">
        <v>296</v>
      </c>
      <c r="N27" s="51" t="n">
        <v>5</v>
      </c>
      <c r="O27" s="51" t="n">
        <f aca="false">28.8+27.9*1.05</f>
        <v>58.095</v>
      </c>
      <c r="P27" s="6" t="n">
        <f aca="false">M27-(N27+O27)</f>
        <v>232.905</v>
      </c>
      <c r="Q27" s="51" t="n">
        <v>210</v>
      </c>
      <c r="R27" s="51" t="n">
        <v>80</v>
      </c>
      <c r="S27" s="51" t="n">
        <f aca="false">SUM(P27:R27)</f>
        <v>522.905</v>
      </c>
      <c r="T27" s="52"/>
      <c r="U27" s="51" t="n">
        <v>220</v>
      </c>
      <c r="V27" s="51" t="n">
        <v>789</v>
      </c>
      <c r="W27" s="52" t="n">
        <f aca="false">W25</f>
        <v>16814</v>
      </c>
      <c r="X27" s="6" t="n">
        <f aca="false">N27+O27+S27+U27+V27</f>
        <v>1595</v>
      </c>
      <c r="Y27" s="51" t="n">
        <f aca="false">IF(L27&lt;0,L27*-1,0)</f>
        <v>0</v>
      </c>
      <c r="Z27" s="51" t="n">
        <f aca="false">X27+Y27</f>
        <v>1595</v>
      </c>
      <c r="AA27" s="53" t="n">
        <v>0</v>
      </c>
      <c r="AB27" s="56" t="n">
        <v>63</v>
      </c>
      <c r="AC27" s="56" t="n">
        <v>28</v>
      </c>
      <c r="AD27" s="57" t="n">
        <f aca="false">AD26+1</f>
        <v>18</v>
      </c>
      <c r="AE27" s="85"/>
      <c r="AF27" s="87"/>
      <c r="AG27" s="86"/>
    </row>
    <row r="28" customFormat="false" ht="11.1" hidden="false" customHeight="true" outlineLevel="0" collapsed="false">
      <c r="A28" s="57" t="n">
        <f aca="false">A27+1</f>
        <v>19</v>
      </c>
      <c r="B28" s="71" t="n">
        <v>6920.59</v>
      </c>
      <c r="C28" s="91" t="n">
        <v>366135</v>
      </c>
      <c r="D28" s="56" t="n">
        <f aca="false">C28-C27</f>
        <v>-1432</v>
      </c>
      <c r="E28" s="52" t="n">
        <f aca="false">C28-152000</f>
        <v>214135</v>
      </c>
      <c r="F28" s="51" t="n">
        <f aca="false">D28/$D$2</f>
        <v>-721.956138139652</v>
      </c>
      <c r="G28" s="51" t="n">
        <v>908</v>
      </c>
      <c r="H28" s="55" t="n">
        <v>0.95</v>
      </c>
      <c r="I28" s="51" t="n">
        <f aca="false">G28+H28</f>
        <v>908.95</v>
      </c>
      <c r="J28" s="78" t="n">
        <f aca="false">IF(L28&gt;0,L28,0)</f>
        <v>0</v>
      </c>
      <c r="K28" s="51" t="n">
        <f aca="false">I28+J28</f>
        <v>908.95</v>
      </c>
      <c r="L28" s="51" t="n">
        <f aca="false">F28-(I28-X28)</f>
        <v>-22.7061381396521</v>
      </c>
      <c r="M28" s="51" t="n">
        <v>288</v>
      </c>
      <c r="N28" s="51" t="n">
        <v>5</v>
      </c>
      <c r="O28" s="51" t="n">
        <f aca="false">24.6+24*1.05</f>
        <v>49.8</v>
      </c>
      <c r="P28" s="6" t="n">
        <f aca="false">M28-(N28+O28)</f>
        <v>233.2</v>
      </c>
      <c r="Q28" s="51" t="n">
        <v>210</v>
      </c>
      <c r="R28" s="51" t="n">
        <v>80</v>
      </c>
      <c r="S28" s="51" t="n">
        <f aca="false">SUM(P28:R28)</f>
        <v>523.2</v>
      </c>
      <c r="T28" s="52"/>
      <c r="U28" s="51" t="n">
        <v>241.2</v>
      </c>
      <c r="V28" s="51" t="n">
        <v>789</v>
      </c>
      <c r="W28" s="52" t="n">
        <f aca="false">W26</f>
        <v>16814</v>
      </c>
      <c r="X28" s="6" t="n">
        <f aca="false">N28+O28+S28+U28+V28</f>
        <v>1608.2</v>
      </c>
      <c r="Y28" s="51" t="n">
        <f aca="false">IF(L28&lt;0,L28*-1,0)</f>
        <v>22.7061381396521</v>
      </c>
      <c r="Z28" s="51" t="n">
        <f aca="false">X28+Y28</f>
        <v>1630.90613813965</v>
      </c>
      <c r="AA28" s="53" t="n">
        <v>0</v>
      </c>
      <c r="AB28" s="56" t="n">
        <v>69</v>
      </c>
      <c r="AC28" s="56" t="n">
        <v>36</v>
      </c>
      <c r="AD28" s="57" t="n">
        <f aca="false">AD27+1</f>
        <v>19</v>
      </c>
      <c r="AE28" s="85"/>
      <c r="AF28" s="87"/>
      <c r="AG28" s="86"/>
    </row>
    <row r="29" customFormat="false" ht="11.1" hidden="false" customHeight="true" outlineLevel="0" collapsed="false">
      <c r="A29" s="57" t="n">
        <f aca="false">A28+1</f>
        <v>20</v>
      </c>
      <c r="B29" s="71" t="n">
        <v>6920.24</v>
      </c>
      <c r="C29" s="52" t="n">
        <v>364615</v>
      </c>
      <c r="D29" s="56" t="n">
        <f aca="false">C29-C28</f>
        <v>-1520</v>
      </c>
      <c r="E29" s="52" t="n">
        <f aca="false">C29-152000</f>
        <v>212615</v>
      </c>
      <c r="F29" s="51" t="n">
        <f aca="false">D29/$D$2</f>
        <v>-766.322157801865</v>
      </c>
      <c r="G29" s="51" t="n">
        <v>817</v>
      </c>
      <c r="H29" s="55" t="n">
        <v>0.86</v>
      </c>
      <c r="I29" s="51" t="n">
        <f aca="false">G29+H29</f>
        <v>817.86</v>
      </c>
      <c r="J29" s="78" t="n">
        <f aca="false">IF(L29&gt;0,L29,0)</f>
        <v>52.1178421981346</v>
      </c>
      <c r="K29" s="51" t="n">
        <f aca="false">I29+J29</f>
        <v>869.977842198135</v>
      </c>
      <c r="L29" s="51" t="n">
        <f aca="false">F29-(I29-X29)</f>
        <v>52.1178421981346</v>
      </c>
      <c r="M29" s="51" t="n">
        <v>300</v>
      </c>
      <c r="N29" s="51" t="n">
        <v>5</v>
      </c>
      <c r="O29" s="51" t="n">
        <f aca="false">25.4+25.6*1.05</f>
        <v>52.28</v>
      </c>
      <c r="P29" s="6" t="n">
        <f aca="false">M29-(N29+O29)</f>
        <v>242.72</v>
      </c>
      <c r="Q29" s="51" t="n">
        <v>209</v>
      </c>
      <c r="R29" s="51" t="n">
        <v>80</v>
      </c>
      <c r="S29" s="51" t="n">
        <f aca="false">SUM(P29:R29)</f>
        <v>531.72</v>
      </c>
      <c r="T29" s="52"/>
      <c r="U29" s="51" t="n">
        <v>257.3</v>
      </c>
      <c r="V29" s="51" t="n">
        <v>790</v>
      </c>
      <c r="W29" s="52" t="n">
        <f aca="false">W27</f>
        <v>16814</v>
      </c>
      <c r="X29" s="6" t="n">
        <f aca="false">N29+O29+S29+U29+V29</f>
        <v>1636.3</v>
      </c>
      <c r="Y29" s="51" t="n">
        <f aca="false">IF(L29&lt;0,L29*-1,0)</f>
        <v>0</v>
      </c>
      <c r="Z29" s="51" t="n">
        <f aca="false">X29+Y29</f>
        <v>1636.3</v>
      </c>
      <c r="AA29" s="53" t="n">
        <v>0</v>
      </c>
      <c r="AB29" s="56" t="n">
        <v>73</v>
      </c>
      <c r="AC29" s="56" t="n">
        <v>37</v>
      </c>
      <c r="AD29" s="57" t="n">
        <f aca="false">AD28+1</f>
        <v>20</v>
      </c>
      <c r="AE29" s="85"/>
      <c r="AF29" s="87"/>
      <c r="AG29" s="86"/>
    </row>
    <row r="30" customFormat="false" ht="11.1" hidden="false" customHeight="true" outlineLevel="0" collapsed="false">
      <c r="A30" s="57" t="n">
        <f aca="false">A29+1</f>
        <v>21</v>
      </c>
      <c r="B30" s="107" t="n">
        <v>6919.89</v>
      </c>
      <c r="C30" s="52" t="n">
        <v>363099</v>
      </c>
      <c r="D30" s="56" t="n">
        <f aca="false">C30-C29</f>
        <v>-1516</v>
      </c>
      <c r="E30" s="52" t="n">
        <f aca="false">C30-152000</f>
        <v>211099</v>
      </c>
      <c r="F30" s="51" t="n">
        <f aca="false">D30/$D$2</f>
        <v>-764.305520544492</v>
      </c>
      <c r="G30" s="51" t="n">
        <v>894</v>
      </c>
      <c r="H30" s="55" t="n">
        <v>0.75</v>
      </c>
      <c r="I30" s="51" t="n">
        <f aca="false">G30+H30</f>
        <v>894.75</v>
      </c>
      <c r="J30" s="78" t="n">
        <f aca="false">IF(L30&gt;0,L30,0)</f>
        <v>0</v>
      </c>
      <c r="K30" s="51" t="n">
        <f aca="false">I30+J30</f>
        <v>894.75</v>
      </c>
      <c r="L30" s="51" t="n">
        <f aca="false">F30-(I30-X30)</f>
        <v>-34.5555205444921</v>
      </c>
      <c r="M30" s="51" t="n">
        <v>303</v>
      </c>
      <c r="N30" s="51" t="n">
        <v>5</v>
      </c>
      <c r="O30" s="51" t="n">
        <f aca="false">24.2+23.9*1.05</f>
        <v>49.295</v>
      </c>
      <c r="P30" s="6" t="n">
        <f aca="false">M30-(N30+O30)</f>
        <v>248.705</v>
      </c>
      <c r="Q30" s="51" t="n">
        <v>209</v>
      </c>
      <c r="R30" s="51" t="n">
        <v>80</v>
      </c>
      <c r="S30" s="51" t="n">
        <f aca="false">SUM(P30:R30)</f>
        <v>537.705</v>
      </c>
      <c r="T30" s="52"/>
      <c r="U30" s="51" t="n">
        <v>242.5</v>
      </c>
      <c r="V30" s="51" t="n">
        <v>790</v>
      </c>
      <c r="W30" s="52" t="n">
        <f aca="false">W28</f>
        <v>16814</v>
      </c>
      <c r="X30" s="6" t="n">
        <f aca="false">N30+O30+S30+U30+V30</f>
        <v>1624.5</v>
      </c>
      <c r="Y30" s="51" t="n">
        <f aca="false">IF(L30&lt;0,L30*-1,0)</f>
        <v>34.5555205444921</v>
      </c>
      <c r="Z30" s="51" t="n">
        <f aca="false">X30+Y30</f>
        <v>1659.05552054449</v>
      </c>
      <c r="AA30" s="53" t="n">
        <v>0</v>
      </c>
      <c r="AB30" s="56" t="n">
        <v>78</v>
      </c>
      <c r="AC30" s="56" t="n">
        <v>39</v>
      </c>
      <c r="AD30" s="57" t="n">
        <f aca="false">AD29+1</f>
        <v>21</v>
      </c>
      <c r="AE30" s="85"/>
      <c r="AF30" s="87"/>
      <c r="AG30" s="86"/>
    </row>
    <row r="31" customFormat="false" ht="11.1" hidden="false" customHeight="true" outlineLevel="0" collapsed="false">
      <c r="A31" s="57" t="n">
        <f aca="false">A30+1</f>
        <v>22</v>
      </c>
      <c r="B31" s="71" t="n">
        <v>6919.72</v>
      </c>
      <c r="C31" s="52" t="n">
        <v>362367</v>
      </c>
      <c r="D31" s="56" t="n">
        <f aca="false">C31-C30</f>
        <v>-732</v>
      </c>
      <c r="E31" s="52" t="n">
        <f aca="false">C31-152000</f>
        <v>210367</v>
      </c>
      <c r="F31" s="51" t="n">
        <f aca="false">D31/$D$2</f>
        <v>-369.044618099319</v>
      </c>
      <c r="G31" s="51" t="n">
        <v>1110</v>
      </c>
      <c r="H31" s="55" t="n">
        <v>0.67</v>
      </c>
      <c r="I31" s="51" t="n">
        <f aca="false">G31+H31</f>
        <v>1110.67</v>
      </c>
      <c r="J31" s="78" t="n">
        <f aca="false">IF(L31&gt;0,L31,0)</f>
        <v>53.6853819006806</v>
      </c>
      <c r="K31" s="51" t="n">
        <f aca="false">I31+J31</f>
        <v>1164.35538190068</v>
      </c>
      <c r="L31" s="51" t="n">
        <f aca="false">F31-(I31-X31)</f>
        <v>53.6853819006806</v>
      </c>
      <c r="M31" s="51" t="n">
        <v>304</v>
      </c>
      <c r="N31" s="51" t="n">
        <v>5</v>
      </c>
      <c r="O31" s="51" t="n">
        <f aca="false">24.5+24.3*1.05</f>
        <v>50.015</v>
      </c>
      <c r="P31" s="6" t="n">
        <f aca="false">M31-(N31+O31)</f>
        <v>248.985</v>
      </c>
      <c r="Q31" s="51" t="n">
        <v>208</v>
      </c>
      <c r="R31" s="51" t="n">
        <v>80</v>
      </c>
      <c r="S31" s="92" t="n">
        <f aca="false">SUM(P31:R31)</f>
        <v>536.985</v>
      </c>
      <c r="T31" s="52"/>
      <c r="U31" s="51" t="n">
        <v>268.4</v>
      </c>
      <c r="V31" s="51" t="n">
        <v>673</v>
      </c>
      <c r="W31" s="52" t="n">
        <f aca="false">W29</f>
        <v>16814</v>
      </c>
      <c r="X31" s="6" t="n">
        <f aca="false">N31+O31+S31+U31+V31</f>
        <v>1533.4</v>
      </c>
      <c r="Y31" s="51" t="n">
        <f aca="false">IF(L31&lt;0,L31*-1,0)</f>
        <v>0</v>
      </c>
      <c r="Z31" s="51" t="n">
        <f aca="false">X31+Y31</f>
        <v>1533.4</v>
      </c>
      <c r="AA31" s="53" t="n">
        <v>0</v>
      </c>
      <c r="AB31" s="56" t="n">
        <v>85</v>
      </c>
      <c r="AC31" s="56" t="n">
        <v>44</v>
      </c>
      <c r="AD31" s="57" t="n">
        <f aca="false">AD30+1</f>
        <v>22</v>
      </c>
      <c r="AE31" s="85"/>
      <c r="AF31" s="87"/>
      <c r="AG31" s="86"/>
    </row>
    <row r="32" customFormat="false" ht="11.1" hidden="false" customHeight="true" outlineLevel="0" collapsed="false">
      <c r="A32" s="57" t="n">
        <f aca="false">A31+1</f>
        <v>23</v>
      </c>
      <c r="B32" s="71" t="n">
        <v>6919.8</v>
      </c>
      <c r="C32" s="52" t="n">
        <v>362712</v>
      </c>
      <c r="D32" s="56" t="n">
        <f aca="false">C32-C31</f>
        <v>345</v>
      </c>
      <c r="E32" s="52" t="n">
        <f aca="false">C32-152000</f>
        <v>210712</v>
      </c>
      <c r="F32" s="51" t="n">
        <f aca="false">D32/$D$2</f>
        <v>173.93496344845</v>
      </c>
      <c r="G32" s="51" t="n">
        <v>1490</v>
      </c>
      <c r="H32" s="55" t="n">
        <v>0.6</v>
      </c>
      <c r="I32" s="51" t="n">
        <f aca="false">G32+H32</f>
        <v>1490.6</v>
      </c>
      <c r="J32" s="78" t="n">
        <f aca="false">IF(L32&gt;0,L32,0)</f>
        <v>0</v>
      </c>
      <c r="K32" s="51" t="n">
        <f aca="false">I32+J32</f>
        <v>1490.6</v>
      </c>
      <c r="L32" s="51" t="n">
        <f aca="false">F32-(I32-X32)</f>
        <v>-4.76503655155034</v>
      </c>
      <c r="M32" s="51" t="n">
        <v>329</v>
      </c>
      <c r="N32" s="51" t="n">
        <v>5</v>
      </c>
      <c r="O32" s="51" t="n">
        <f aca="false">30.5+30.4*1.05</f>
        <v>62.42</v>
      </c>
      <c r="P32" s="6" t="n">
        <f aca="false">M32-(N32+O32)</f>
        <v>261.58</v>
      </c>
      <c r="Q32" s="51" t="n">
        <v>196</v>
      </c>
      <c r="R32" s="51" t="n">
        <v>82</v>
      </c>
      <c r="S32" s="51" t="n">
        <f aca="false">SUM(P32:R32)</f>
        <v>539.58</v>
      </c>
      <c r="T32" s="52"/>
      <c r="U32" s="51" t="n">
        <v>282.9</v>
      </c>
      <c r="V32" s="51" t="n">
        <v>422</v>
      </c>
      <c r="W32" s="52" t="n">
        <f aca="false">W30</f>
        <v>16814</v>
      </c>
      <c r="X32" s="6" t="n">
        <f aca="false">N32+O32+S32+U32+V32</f>
        <v>1311.9</v>
      </c>
      <c r="Y32" s="51" t="n">
        <f aca="false">IF(L32&lt;0,L32*-1,0)</f>
        <v>4.76503655155034</v>
      </c>
      <c r="Z32" s="51" t="n">
        <f aca="false">X32+Y32</f>
        <v>1316.66503655155</v>
      </c>
      <c r="AA32" s="53" t="n">
        <v>0</v>
      </c>
      <c r="AB32" s="56" t="n">
        <v>91</v>
      </c>
      <c r="AC32" s="56" t="n">
        <v>50</v>
      </c>
      <c r="AD32" s="57" t="n">
        <f aca="false">AD31+1</f>
        <v>23</v>
      </c>
      <c r="AE32" s="85"/>
      <c r="AF32" s="87"/>
      <c r="AG32" s="86"/>
    </row>
    <row r="33" customFormat="false" ht="11.1" hidden="false" customHeight="true" outlineLevel="0" collapsed="false">
      <c r="A33" s="57" t="n">
        <f aca="false">A32+1</f>
        <v>24</v>
      </c>
      <c r="B33" s="71" t="n">
        <v>6920.17</v>
      </c>
      <c r="C33" s="52" t="n">
        <v>364311</v>
      </c>
      <c r="D33" s="56" t="n">
        <f aca="false">C33-C32</f>
        <v>1599</v>
      </c>
      <c r="E33" s="52" t="n">
        <f aca="false">C33-152000</f>
        <v>212311</v>
      </c>
      <c r="F33" s="51" t="n">
        <f aca="false">D33/$D$2</f>
        <v>806.150743634989</v>
      </c>
      <c r="G33" s="51" t="n">
        <v>1960</v>
      </c>
      <c r="H33" s="55" t="n">
        <v>0.55</v>
      </c>
      <c r="I33" s="51" t="n">
        <f aca="false">G33+H33</f>
        <v>1960.55</v>
      </c>
      <c r="J33" s="78" t="n">
        <f aca="false">IF(L33&gt;0,L33,0)</f>
        <v>0</v>
      </c>
      <c r="K33" s="51" t="n">
        <f aca="false">I33+J33</f>
        <v>1960.55</v>
      </c>
      <c r="L33" s="51" t="n">
        <f aca="false">F33-(I33-X33)</f>
        <v>-12.0992563650113</v>
      </c>
      <c r="M33" s="51" t="n">
        <v>317</v>
      </c>
      <c r="N33" s="51" t="n">
        <v>0</v>
      </c>
      <c r="O33" s="51" t="n">
        <f aca="false">29.4+29.6*1.05</f>
        <v>60.48</v>
      </c>
      <c r="P33" s="6" t="n">
        <f aca="false">M33-(N33+O33)</f>
        <v>256.52</v>
      </c>
      <c r="Q33" s="51" t="n">
        <v>183</v>
      </c>
      <c r="R33" s="51" t="n">
        <v>84</v>
      </c>
      <c r="S33" s="51" t="n">
        <f aca="false">SUM(P33:R33)</f>
        <v>523.52</v>
      </c>
      <c r="T33" s="52"/>
      <c r="U33" s="51" t="n">
        <v>273.3</v>
      </c>
      <c r="V33" s="51" t="n">
        <v>285</v>
      </c>
      <c r="W33" s="52" t="n">
        <f aca="false">W31</f>
        <v>16814</v>
      </c>
      <c r="X33" s="6" t="n">
        <f aca="false">N33+O33+S33+U33+V33</f>
        <v>1142.3</v>
      </c>
      <c r="Y33" s="51" t="n">
        <f aca="false">IF(L33&lt;0,L33*-1,0)</f>
        <v>12.0992563650113</v>
      </c>
      <c r="Z33" s="51" t="n">
        <f aca="false">X33+Y33</f>
        <v>1154.39925636501</v>
      </c>
      <c r="AA33" s="53" t="n">
        <v>0</v>
      </c>
      <c r="AB33" s="56" t="n">
        <v>87</v>
      </c>
      <c r="AC33" s="56" t="n">
        <v>50</v>
      </c>
      <c r="AD33" s="57" t="n">
        <f aca="false">AD32+1</f>
        <v>24</v>
      </c>
      <c r="AE33" s="85"/>
      <c r="AF33" s="87"/>
      <c r="AG33" s="86"/>
    </row>
    <row r="34" customFormat="false" ht="11.1" hidden="false" customHeight="true" outlineLevel="0" collapsed="false">
      <c r="A34" s="57" t="n">
        <f aca="false">A33+1</f>
        <v>25</v>
      </c>
      <c r="B34" s="71" t="n">
        <v>6920.51</v>
      </c>
      <c r="C34" s="52" t="n">
        <v>365787</v>
      </c>
      <c r="D34" s="56" t="n">
        <f aca="false">C34-C33</f>
        <v>1476</v>
      </c>
      <c r="E34" s="52" t="n">
        <f aca="false">C34-152000</f>
        <v>213787</v>
      </c>
      <c r="F34" s="51" t="n">
        <f aca="false">D34/$D$2</f>
        <v>744.139147970759</v>
      </c>
      <c r="G34" s="51" t="n">
        <v>1890</v>
      </c>
      <c r="H34" s="55" t="n">
        <v>0.51</v>
      </c>
      <c r="I34" s="51" t="n">
        <f aca="false">G34+H34</f>
        <v>1890.51</v>
      </c>
      <c r="J34" s="78" t="n">
        <f aca="false">IF(L34&gt;0,L34,0)</f>
        <v>0</v>
      </c>
      <c r="K34" s="51" t="n">
        <f aca="false">I34+J34</f>
        <v>1890.51</v>
      </c>
      <c r="L34" s="51" t="n">
        <f aca="false">F34-(I34-X34)</f>
        <v>-1.77085202924138</v>
      </c>
      <c r="M34" s="51" t="n">
        <v>321</v>
      </c>
      <c r="N34" s="51" t="n">
        <v>0</v>
      </c>
      <c r="O34" s="51" t="n">
        <f aca="false">62.3*1.05</f>
        <v>65.415</v>
      </c>
      <c r="P34" s="6" t="n">
        <f aca="false">M34-(N34+O34)</f>
        <v>255.585</v>
      </c>
      <c r="Q34" s="51" t="n">
        <v>184</v>
      </c>
      <c r="R34" s="51" t="n">
        <v>84</v>
      </c>
      <c r="S34" s="51" t="n">
        <f aca="false">SUM(P34:R34)</f>
        <v>523.585</v>
      </c>
      <c r="T34" s="52"/>
      <c r="U34" s="51" t="n">
        <v>268.6</v>
      </c>
      <c r="V34" s="51" t="n">
        <v>287</v>
      </c>
      <c r="W34" s="52" t="n">
        <f aca="false">W32</f>
        <v>16814</v>
      </c>
      <c r="X34" s="6" t="n">
        <f aca="false">N34+O34+S34+U34+V34</f>
        <v>1144.6</v>
      </c>
      <c r="Y34" s="51" t="n">
        <f aca="false">IF(L34&lt;0,L34*-1,0)</f>
        <v>1.77085202924138</v>
      </c>
      <c r="Z34" s="51" t="n">
        <f aca="false">X34+Y34</f>
        <v>1146.37085202924</v>
      </c>
      <c r="AA34" s="53" t="n">
        <v>0</v>
      </c>
      <c r="AB34" s="56" t="n">
        <v>81</v>
      </c>
      <c r="AC34" s="56" t="n">
        <v>52</v>
      </c>
      <c r="AD34" s="57" t="n">
        <f aca="false">AD33+1</f>
        <v>25</v>
      </c>
      <c r="AE34" s="85"/>
      <c r="AF34" s="87"/>
      <c r="AG34" s="86"/>
    </row>
    <row r="35" customFormat="false" ht="11.1" hidden="false" customHeight="true" outlineLevel="0" collapsed="false">
      <c r="A35" s="57" t="n">
        <f aca="false">A34+1</f>
        <v>26</v>
      </c>
      <c r="B35" s="71" t="n">
        <v>6920.65</v>
      </c>
      <c r="C35" s="52" t="n">
        <v>366395</v>
      </c>
      <c r="D35" s="56" t="n">
        <f aca="false">C35-C34</f>
        <v>608</v>
      </c>
      <c r="E35" s="52" t="n">
        <f aca="false">C35-152000</f>
        <v>214395</v>
      </c>
      <c r="F35" s="51" t="n">
        <f aca="false">D35/$D$2</f>
        <v>306.528863120746</v>
      </c>
      <c r="G35" s="51" t="n">
        <v>1450</v>
      </c>
      <c r="H35" s="55" t="n">
        <v>0.54</v>
      </c>
      <c r="I35" s="51" t="n">
        <f aca="false">G35+H35</f>
        <v>1450.54</v>
      </c>
      <c r="J35" s="78" t="n">
        <f aca="false">IF(L35&gt;0,L35,0)</f>
        <v>10.2888631207462</v>
      </c>
      <c r="K35" s="51" t="n">
        <f aca="false">I35+J35</f>
        <v>1460.82886312075</v>
      </c>
      <c r="L35" s="51" t="n">
        <f aca="false">F35-(I35-X35)</f>
        <v>10.2888631207462</v>
      </c>
      <c r="M35" s="51" t="n">
        <v>324</v>
      </c>
      <c r="N35" s="51" t="n">
        <v>0</v>
      </c>
      <c r="O35" s="51" t="n">
        <f aca="false">58.2*1.05</f>
        <v>61.11</v>
      </c>
      <c r="P35" s="6" t="n">
        <f aca="false">M35-(N35+O35)</f>
        <v>262.89</v>
      </c>
      <c r="Q35" s="51" t="n">
        <v>184</v>
      </c>
      <c r="R35" s="51" t="n">
        <v>85</v>
      </c>
      <c r="S35" s="51" t="n">
        <f aca="false">SUM(P35:R35)</f>
        <v>531.89</v>
      </c>
      <c r="T35" s="52"/>
      <c r="U35" s="51" t="n">
        <v>262.3</v>
      </c>
      <c r="V35" s="51" t="n">
        <v>299</v>
      </c>
      <c r="W35" s="52" t="n">
        <f aca="false">W33</f>
        <v>16814</v>
      </c>
      <c r="X35" s="6" t="n">
        <f aca="false">N35+O35+S35+U35+V35</f>
        <v>1154.3</v>
      </c>
      <c r="Y35" s="51" t="n">
        <f aca="false">IF(L35&lt;0,L35*-1,0)</f>
        <v>0</v>
      </c>
      <c r="Z35" s="51" t="n">
        <f aca="false">X35+Y35</f>
        <v>1154.3</v>
      </c>
      <c r="AA35" s="53" t="n">
        <v>0</v>
      </c>
      <c r="AB35" s="56" t="n">
        <v>73</v>
      </c>
      <c r="AC35" s="56" t="n">
        <v>41</v>
      </c>
      <c r="AD35" s="57" t="n">
        <f aca="false">AD34+1</f>
        <v>26</v>
      </c>
      <c r="AE35" s="85"/>
      <c r="AF35" s="87"/>
      <c r="AG35" s="86"/>
    </row>
    <row r="36" customFormat="false" ht="11.1" hidden="false" customHeight="true" outlineLevel="0" collapsed="false">
      <c r="A36" s="57" t="n">
        <f aca="false">A35+1</f>
        <v>27</v>
      </c>
      <c r="B36" s="71" t="n">
        <v>6920.7</v>
      </c>
      <c r="C36" s="52" t="n">
        <v>366612</v>
      </c>
      <c r="D36" s="56" t="n">
        <f aca="false">C36-C35</f>
        <v>217</v>
      </c>
      <c r="E36" s="52" t="n">
        <f aca="false">C36-152000</f>
        <v>214612</v>
      </c>
      <c r="F36" s="51" t="n">
        <f aca="false">D36/$D$2</f>
        <v>109.402571212503</v>
      </c>
      <c r="G36" s="51" t="n">
        <v>1240</v>
      </c>
      <c r="H36" s="55" t="n">
        <v>0.54</v>
      </c>
      <c r="I36" s="51" t="n">
        <f aca="false">G36+H36</f>
        <v>1240.54</v>
      </c>
      <c r="J36" s="78" t="n">
        <f aca="false">IF(L36&gt;0,L36,0)</f>
        <v>0</v>
      </c>
      <c r="K36" s="51" t="n">
        <f aca="false">I36+J36</f>
        <v>1240.54</v>
      </c>
      <c r="L36" s="51" t="n">
        <f aca="false">F36-(I36-X36)</f>
        <v>-6.23742878749673</v>
      </c>
      <c r="M36" s="51" t="n">
        <v>314</v>
      </c>
      <c r="N36" s="51" t="n">
        <v>0</v>
      </c>
      <c r="O36" s="51" t="n">
        <f aca="false">24.4+26.7*1.05</f>
        <v>52.435</v>
      </c>
      <c r="P36" s="6" t="n">
        <f aca="false">M36-(N36+O36)</f>
        <v>261.565</v>
      </c>
      <c r="Q36" s="51" t="n">
        <v>185</v>
      </c>
      <c r="R36" s="51" t="n">
        <v>85</v>
      </c>
      <c r="S36" s="51" t="n">
        <f aca="false">SUM(P36:R36)</f>
        <v>531.565</v>
      </c>
      <c r="T36" s="52"/>
      <c r="U36" s="51" t="n">
        <v>256.9</v>
      </c>
      <c r="V36" s="51" t="n">
        <v>284</v>
      </c>
      <c r="W36" s="52" t="n">
        <f aca="false">W34</f>
        <v>16814</v>
      </c>
      <c r="X36" s="6" t="n">
        <f aca="false">N36+O36+S36+U36+V36</f>
        <v>1124.9</v>
      </c>
      <c r="Y36" s="51" t="n">
        <f aca="false">IF(L36&lt;0,L36*-1,0)</f>
        <v>6.23742878749673</v>
      </c>
      <c r="Z36" s="51" t="n">
        <f aca="false">X36+Y36</f>
        <v>1131.1374287875</v>
      </c>
      <c r="AA36" s="53" t="n">
        <v>0</v>
      </c>
      <c r="AB36" s="56" t="n">
        <v>82</v>
      </c>
      <c r="AC36" s="56" t="n">
        <v>41</v>
      </c>
      <c r="AD36" s="57" t="n">
        <f aca="false">AD35+1</f>
        <v>27</v>
      </c>
      <c r="AE36" s="85"/>
      <c r="AF36" s="87"/>
      <c r="AG36" s="86"/>
    </row>
    <row r="37" customFormat="false" ht="11.1" hidden="false" customHeight="true" outlineLevel="0" collapsed="false">
      <c r="A37" s="57" t="n">
        <v>28</v>
      </c>
      <c r="B37" s="71" t="n">
        <v>6920.8</v>
      </c>
      <c r="C37" s="52" t="n">
        <v>367046</v>
      </c>
      <c r="D37" s="56" t="n">
        <f aca="false">C37-C36</f>
        <v>434</v>
      </c>
      <c r="E37" s="52" t="n">
        <f aca="false">C37-152000</f>
        <v>215046</v>
      </c>
      <c r="F37" s="51" t="n">
        <f aca="false">D37/$D$2</f>
        <v>218.805142425006</v>
      </c>
      <c r="G37" s="51" t="n">
        <v>1290</v>
      </c>
      <c r="H37" s="55" t="n">
        <v>0.48</v>
      </c>
      <c r="I37" s="51" t="n">
        <f aca="false">G37+H37</f>
        <v>1290.48</v>
      </c>
      <c r="J37" s="78" t="n">
        <f aca="false">IF(L37&gt;0,L37,0)</f>
        <v>0</v>
      </c>
      <c r="K37" s="51" t="n">
        <f aca="false">I37+J37</f>
        <v>1290.48</v>
      </c>
      <c r="L37" s="51" t="n">
        <f aca="false">F37-(I37-X37)</f>
        <v>-85.9748575749939</v>
      </c>
      <c r="M37" s="51" t="n">
        <v>334</v>
      </c>
      <c r="N37" s="51" t="n">
        <v>0</v>
      </c>
      <c r="O37" s="51" t="n">
        <f aca="false">33.2+31.4*1.05</f>
        <v>66.17</v>
      </c>
      <c r="P37" s="6" t="n">
        <f aca="false">M37-(N37+O37)</f>
        <v>267.83</v>
      </c>
      <c r="Q37" s="51" t="n">
        <v>185</v>
      </c>
      <c r="R37" s="51" t="n">
        <v>85</v>
      </c>
      <c r="S37" s="51" t="n">
        <f aca="false">SUM(P37:R37)</f>
        <v>537.83</v>
      </c>
      <c r="T37" s="52"/>
      <c r="U37" s="51" t="n">
        <v>259.7</v>
      </c>
      <c r="V37" s="51" t="n">
        <v>122</v>
      </c>
      <c r="W37" s="52" t="n">
        <f aca="false">W35</f>
        <v>16814</v>
      </c>
      <c r="X37" s="6" t="n">
        <f aca="false">N37+O37+S37+U37+V37</f>
        <v>985.7</v>
      </c>
      <c r="Y37" s="51" t="n">
        <f aca="false">IF(L37&lt;0,L37*-1,0)</f>
        <v>85.9748575749939</v>
      </c>
      <c r="Z37" s="51" t="n">
        <f aca="false">X37+Y37</f>
        <v>1071.67485757499</v>
      </c>
      <c r="AA37" s="53" t="n">
        <v>0</v>
      </c>
      <c r="AB37" s="56" t="n">
        <v>85</v>
      </c>
      <c r="AC37" s="56" t="n">
        <v>43</v>
      </c>
      <c r="AD37" s="57" t="n">
        <v>28</v>
      </c>
      <c r="AE37" s="85"/>
      <c r="AF37" s="87"/>
      <c r="AG37" s="86"/>
    </row>
    <row r="38" customFormat="false" ht="11.1" hidden="false" customHeight="true" outlineLevel="0" collapsed="false">
      <c r="A38" s="57" t="n">
        <v>29</v>
      </c>
      <c r="B38" s="71" t="n">
        <v>6921.02</v>
      </c>
      <c r="C38" s="52" t="n">
        <v>368002</v>
      </c>
      <c r="D38" s="56" t="n">
        <f aca="false">C38-C37</f>
        <v>956</v>
      </c>
      <c r="E38" s="52" t="n">
        <f aca="false">C38-152000</f>
        <v>216002</v>
      </c>
      <c r="F38" s="51" t="n">
        <f aca="false">D38/$D$2</f>
        <v>481.976304512226</v>
      </c>
      <c r="G38" s="51" t="n">
        <v>1470</v>
      </c>
      <c r="H38" s="55" t="n">
        <v>0.37</v>
      </c>
      <c r="I38" s="51" t="n">
        <f aca="false">G38+H38</f>
        <v>1470.37</v>
      </c>
      <c r="J38" s="78" t="n">
        <f aca="false">IF(L38&gt;0,L38,0)</f>
        <v>0</v>
      </c>
      <c r="K38" s="51" t="n">
        <f aca="false">I38+J38</f>
        <v>1470.37</v>
      </c>
      <c r="L38" s="51" t="n">
        <f aca="false">F38-(I38-X38)</f>
        <v>-56.5936954877741</v>
      </c>
      <c r="M38" s="51" t="n">
        <v>338</v>
      </c>
      <c r="N38" s="51" t="n">
        <v>0</v>
      </c>
      <c r="O38" s="51" t="n">
        <f aca="false">34.3+34.6*1.05</f>
        <v>70.63</v>
      </c>
      <c r="P38" s="6" t="n">
        <f aca="false">M38-(N38+O38)</f>
        <v>267.37</v>
      </c>
      <c r="Q38" s="51" t="n">
        <v>186</v>
      </c>
      <c r="R38" s="51" t="n">
        <v>86</v>
      </c>
      <c r="S38" s="51" t="n">
        <f aca="false">SUM(P38:R38)</f>
        <v>539.37</v>
      </c>
      <c r="T38" s="52"/>
      <c r="U38" s="51" t="n">
        <v>237.8</v>
      </c>
      <c r="V38" s="51" t="n">
        <v>84</v>
      </c>
      <c r="W38" s="52" t="n">
        <f aca="false">W37-80-2</f>
        <v>16732</v>
      </c>
      <c r="X38" s="6" t="n">
        <f aca="false">N38+O38+S38+U38+V38</f>
        <v>931.8</v>
      </c>
      <c r="Y38" s="51" t="n">
        <f aca="false">IF(L38&lt;0,L38*-1,0)</f>
        <v>56.5936954877741</v>
      </c>
      <c r="Z38" s="51" t="n">
        <f aca="false">X38+Y38</f>
        <v>988.393695487774</v>
      </c>
      <c r="AA38" s="53" t="n">
        <v>0</v>
      </c>
      <c r="AB38" s="56" t="n">
        <v>93</v>
      </c>
      <c r="AC38" s="56" t="n">
        <v>51</v>
      </c>
      <c r="AD38" s="57" t="n">
        <v>29</v>
      </c>
      <c r="AE38" s="85"/>
      <c r="AF38" s="87"/>
      <c r="AG38" s="86"/>
    </row>
    <row r="39" customFormat="false" ht="11.1" hidden="false" customHeight="true" outlineLevel="0" collapsed="false">
      <c r="A39" s="57" t="n">
        <v>30</v>
      </c>
      <c r="B39" s="71" t="n">
        <v>6921.3</v>
      </c>
      <c r="C39" s="52" t="n">
        <v>369228</v>
      </c>
      <c r="D39" s="56" t="n">
        <f aca="false">C39-C38</f>
        <v>1226</v>
      </c>
      <c r="E39" s="52" t="n">
        <f aca="false">C39-152000</f>
        <v>217228</v>
      </c>
      <c r="F39" s="51" t="n">
        <f aca="false">D39/$D$2</f>
        <v>618.099319384926</v>
      </c>
      <c r="G39" s="51" t="n">
        <v>1480</v>
      </c>
      <c r="H39" s="55" t="n">
        <v>0.32</v>
      </c>
      <c r="I39" s="51" t="n">
        <f aca="false">G39+H39</f>
        <v>1480.32</v>
      </c>
      <c r="J39" s="78" t="n">
        <f aca="false">IF(L39&gt;0,L39,0)</f>
        <v>50.6793193849256</v>
      </c>
      <c r="K39" s="51" t="n">
        <f aca="false">I39+J39</f>
        <v>1530.99931938493</v>
      </c>
      <c r="L39" s="51" t="n">
        <f aca="false">F39-(I39-X39)</f>
        <v>50.6793193849256</v>
      </c>
      <c r="M39" s="51" t="n">
        <v>324</v>
      </c>
      <c r="N39" s="51" t="n">
        <v>0</v>
      </c>
      <c r="O39" s="51" t="n">
        <f aca="false">33.7+33.5*1.05</f>
        <v>68.875</v>
      </c>
      <c r="P39" s="6" t="n">
        <f aca="false">M39-(N39+O39)</f>
        <v>255.125</v>
      </c>
      <c r="Q39" s="51" t="n">
        <v>185</v>
      </c>
      <c r="R39" s="51" t="n">
        <v>82</v>
      </c>
      <c r="S39" s="51" t="n">
        <f aca="false">SUM(P39:R39)</f>
        <v>522.125</v>
      </c>
      <c r="T39" s="52"/>
      <c r="U39" s="51" t="n">
        <v>237.9</v>
      </c>
      <c r="V39" s="51" t="n">
        <v>84</v>
      </c>
      <c r="W39" s="52" t="n">
        <f aca="false">W38-80-2</f>
        <v>16650</v>
      </c>
      <c r="X39" s="6" t="n">
        <f aca="false">N39+O39+S39+U39+V39</f>
        <v>912.9</v>
      </c>
      <c r="Y39" s="51" t="n">
        <f aca="false">IF(L39&lt;0,L39*-1,0)</f>
        <v>0</v>
      </c>
      <c r="Z39" s="51" t="n">
        <f aca="false">X39+Y39</f>
        <v>912.9</v>
      </c>
      <c r="AA39" s="53" t="n">
        <v>0</v>
      </c>
      <c r="AB39" s="56" t="n">
        <v>91</v>
      </c>
      <c r="AC39" s="56" t="n">
        <v>51</v>
      </c>
      <c r="AD39" s="57" t="n">
        <v>30</v>
      </c>
      <c r="AE39" s="85"/>
      <c r="AF39" s="87"/>
      <c r="AG39" s="86"/>
    </row>
    <row r="40" customFormat="false" ht="11.1" hidden="false" customHeight="true" outlineLevel="0" collapsed="false">
      <c r="A40" s="57" t="n">
        <v>31</v>
      </c>
      <c r="B40" s="71" t="n">
        <v>6921.43</v>
      </c>
      <c r="C40" s="52" t="n">
        <v>369798</v>
      </c>
      <c r="D40" s="56" t="n">
        <f aca="false">C40-C39</f>
        <v>570</v>
      </c>
      <c r="E40" s="52" t="n">
        <f aca="false">C40-152000</f>
        <v>217798</v>
      </c>
      <c r="F40" s="51" t="n">
        <f aca="false">D40/$D$2</f>
        <v>287.370809175699</v>
      </c>
      <c r="G40" s="51" t="n">
        <v>1310</v>
      </c>
      <c r="H40" s="55" t="n">
        <v>0.25</v>
      </c>
      <c r="I40" s="51" t="n">
        <f aca="false">G40+H40</f>
        <v>1310.25</v>
      </c>
      <c r="J40" s="78" t="n">
        <f aca="false">IF(L40&gt;0,L40,0)</f>
        <v>0</v>
      </c>
      <c r="K40" s="51" t="n">
        <f aca="false">I40+J40</f>
        <v>1310.25</v>
      </c>
      <c r="L40" s="51" t="n">
        <f aca="false">F40-(I40-X40)</f>
        <v>-107.379190824301</v>
      </c>
      <c r="M40" s="51" t="n">
        <v>324</v>
      </c>
      <c r="N40" s="51" t="n">
        <v>0</v>
      </c>
      <c r="O40" s="51" t="n">
        <f aca="false">34.8+34.4*1.05</f>
        <v>70.92</v>
      </c>
      <c r="P40" s="6" t="n">
        <f aca="false">M40-(N40+O40)</f>
        <v>253.08</v>
      </c>
      <c r="Q40" s="51" t="n">
        <v>185</v>
      </c>
      <c r="R40" s="51" t="n">
        <v>81</v>
      </c>
      <c r="S40" s="51" t="n">
        <f aca="false">SUM(P40:R40)</f>
        <v>519.08</v>
      </c>
      <c r="T40" s="52"/>
      <c r="U40" s="51" t="n">
        <v>241.5</v>
      </c>
      <c r="V40" s="51" t="n">
        <v>84</v>
      </c>
      <c r="W40" s="52" t="n">
        <f aca="false">W39-80-2</f>
        <v>16568</v>
      </c>
      <c r="X40" s="6" t="n">
        <f aca="false">N40+O40+S40+U40+V40</f>
        <v>915.5</v>
      </c>
      <c r="Y40" s="51" t="n">
        <f aca="false">IF(L40&lt;0,L40*-1,0)</f>
        <v>107.379190824301</v>
      </c>
      <c r="Z40" s="51" t="n">
        <f aca="false">X40+Y40</f>
        <v>1022.8791908243</v>
      </c>
      <c r="AA40" s="53" t="n">
        <v>0</v>
      </c>
      <c r="AB40" s="56" t="n">
        <v>87</v>
      </c>
      <c r="AC40" s="56" t="n">
        <v>49</v>
      </c>
      <c r="AD40" s="57" t="n">
        <v>31</v>
      </c>
      <c r="AE40" s="85"/>
      <c r="AF40" s="87"/>
      <c r="AG40" s="86"/>
    </row>
    <row r="41" customFormat="false" ht="3" hidden="false" customHeight="true" outlineLevel="0" collapsed="false">
      <c r="A41" s="72"/>
      <c r="B41" s="72"/>
      <c r="C41" s="74"/>
      <c r="D41" s="72"/>
      <c r="E41" s="74"/>
      <c r="F41" s="72"/>
      <c r="G41" s="72"/>
      <c r="H41" s="106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4"/>
      <c r="U41" s="72"/>
      <c r="V41" s="72"/>
      <c r="W41" s="72"/>
      <c r="X41" s="72"/>
      <c r="Y41" s="72"/>
      <c r="Z41" s="72"/>
      <c r="AA41" s="75"/>
      <c r="AB41" s="76"/>
      <c r="AC41" s="76"/>
      <c r="AD41" s="77"/>
      <c r="AE41" s="85"/>
      <c r="AF41" s="85"/>
      <c r="AG41" s="86"/>
    </row>
    <row r="42" customFormat="false" ht="11.1" hidden="false" customHeight="true" outlineLevel="0" collapsed="false">
      <c r="A42" s="51" t="s">
        <v>46</v>
      </c>
      <c r="B42" s="51"/>
      <c r="C42" s="52"/>
      <c r="D42" s="52"/>
      <c r="E42" s="52"/>
      <c r="F42" s="52" t="n">
        <f aca="false">SUM(F10:F40)</f>
        <v>5525.08192588858</v>
      </c>
      <c r="G42" s="52" t="n">
        <f aca="false">SUM(G10:G40)</f>
        <v>49039</v>
      </c>
      <c r="H42" s="55" t="n">
        <f aca="false">SUM(H10:H40)</f>
        <v>257.22</v>
      </c>
      <c r="I42" s="52" t="n">
        <f aca="false">SUM(I10:I40)</f>
        <v>49296.22</v>
      </c>
      <c r="J42" s="52" t="n">
        <f aca="false">SUM(J10:J40)</f>
        <v>1920.73678094278</v>
      </c>
      <c r="K42" s="52" t="n">
        <f aca="false">SUM(K10:K40)</f>
        <v>51216.9567809428</v>
      </c>
      <c r="L42" s="52" t="n">
        <f aca="false">SUM(L10:L40)</f>
        <v>1510.86192588858</v>
      </c>
      <c r="M42" s="52" t="n">
        <f aca="false">SUM(M10:M40)</f>
        <v>9485</v>
      </c>
      <c r="N42" s="52" t="n">
        <f aca="false">SUM(N10:N40)</f>
        <v>115</v>
      </c>
      <c r="O42" s="52" t="n">
        <f aca="false">SUM(O10:O40)</f>
        <v>1950.26</v>
      </c>
      <c r="P42" s="52" t="n">
        <f aca="false">SUM(P10:P40)</f>
        <v>7419.74</v>
      </c>
      <c r="Q42" s="52" t="n">
        <f aca="false">SUM(Q10:Q40)</f>
        <v>5519</v>
      </c>
      <c r="R42" s="52" t="n">
        <f aca="false">SUM(R10:R40)</f>
        <v>2450</v>
      </c>
      <c r="S42" s="52" t="n">
        <f aca="false">SUM(S10:S40)</f>
        <v>15388.74</v>
      </c>
      <c r="T42" s="52"/>
      <c r="U42" s="52" t="n">
        <f aca="false">SUM(U10:U40)</f>
        <v>6317</v>
      </c>
      <c r="V42" s="52" t="n">
        <f aca="false">SUM(V10:V40)</f>
        <v>21511</v>
      </c>
      <c r="W42" s="52"/>
      <c r="X42" s="52" t="n">
        <f aca="false">SUM(X10:X40)</f>
        <v>45282</v>
      </c>
      <c r="Y42" s="52" t="n">
        <f aca="false">SUM(Y10:Y40)</f>
        <v>409.874855054197</v>
      </c>
      <c r="Z42" s="52" t="n">
        <f aca="false">SUM(Z10:Z40)</f>
        <v>45691.8748550542</v>
      </c>
      <c r="AA42" s="53" t="n">
        <f aca="false">SUM(AA10:AA40)</f>
        <v>0.2</v>
      </c>
      <c r="AB42" s="56" t="n">
        <f aca="false">AVERAGE(AB10:AB40)</f>
        <v>76.4838709677419</v>
      </c>
      <c r="AC42" s="56" t="n">
        <f aca="false">AVERAGE(AC10:AC40)</f>
        <v>40.6451612903226</v>
      </c>
      <c r="AD42" s="57" t="s">
        <v>71</v>
      </c>
      <c r="AE42" s="85"/>
      <c r="AF42" s="85"/>
      <c r="AG42" s="86"/>
    </row>
    <row r="43" customFormat="false" ht="11.1" hidden="false" customHeight="true" outlineLevel="0" collapsed="false">
      <c r="A43" s="51" t="s">
        <v>48</v>
      </c>
      <c r="B43" s="51"/>
      <c r="C43" s="52"/>
      <c r="D43" s="52" t="n">
        <f aca="false">SUM(D10:D40)</f>
        <v>10959</v>
      </c>
      <c r="E43" s="52"/>
      <c r="F43" s="52" t="n">
        <f aca="false">F42*$D$2</f>
        <v>10959</v>
      </c>
      <c r="G43" s="52" t="n">
        <f aca="false">G42*$D$2</f>
        <v>97268.8565</v>
      </c>
      <c r="H43" s="55" t="n">
        <f aca="false">H42*$D$2</f>
        <v>510.19587</v>
      </c>
      <c r="I43" s="52" t="n">
        <f aca="false">I42*$D$2</f>
        <v>97779.05237</v>
      </c>
      <c r="J43" s="52" t="n">
        <f aca="false">J42*$D$2</f>
        <v>3809.781405</v>
      </c>
      <c r="K43" s="52" t="n">
        <f aca="false">K42*$D$2</f>
        <v>101588.833775</v>
      </c>
      <c r="L43" s="52" t="n">
        <f aca="false">L42*$D$2</f>
        <v>2996.79463</v>
      </c>
      <c r="M43" s="52" t="n">
        <f aca="false">M42*$D$2</f>
        <v>18813.4975</v>
      </c>
      <c r="N43" s="52" t="n">
        <f aca="false">N42*$D$2</f>
        <v>228.1025</v>
      </c>
      <c r="O43" s="52" t="n">
        <f aca="false">O42*$D$2</f>
        <v>3868.34071</v>
      </c>
      <c r="P43" s="52" t="n">
        <f aca="false">P42*$D$2</f>
        <v>14717.05429</v>
      </c>
      <c r="Q43" s="52" t="n">
        <f aca="false">Q42*$D$2</f>
        <v>10946.9365</v>
      </c>
      <c r="R43" s="52" t="n">
        <f aca="false">R42*$D$2</f>
        <v>4859.575</v>
      </c>
      <c r="S43" s="52" t="n">
        <f aca="false">S42*$D$2</f>
        <v>30523.56579</v>
      </c>
      <c r="T43" s="52"/>
      <c r="U43" s="52" t="n">
        <f aca="false">U42*$D$2</f>
        <v>12529.7695</v>
      </c>
      <c r="V43" s="52" t="n">
        <f aca="false">V42*$D$2</f>
        <v>42667.0685</v>
      </c>
      <c r="W43" s="52"/>
      <c r="X43" s="108" t="n">
        <f aca="false">X42*$D$2</f>
        <v>89816.847</v>
      </c>
      <c r="Y43" s="52" t="n">
        <f aca="false">Y42*$D$2</f>
        <v>812.986775</v>
      </c>
      <c r="Z43" s="52" t="n">
        <f aca="false">Z42*$D$2</f>
        <v>90629.833775</v>
      </c>
      <c r="AA43" s="53"/>
      <c r="AB43" s="56" t="n">
        <f aca="false">MAX(AB10:AB40)</f>
        <v>93</v>
      </c>
      <c r="AC43" s="56" t="n">
        <f aca="false">MAX(AC10:AC40)</f>
        <v>52</v>
      </c>
      <c r="AD43" s="57" t="s">
        <v>49</v>
      </c>
      <c r="AE43" s="85"/>
      <c r="AF43" s="85"/>
      <c r="AG43" s="86"/>
    </row>
    <row r="44" customFormat="false" ht="3" hidden="false" customHeight="true" outlineLevel="0" collapsed="false">
      <c r="A44" s="72"/>
      <c r="B44" s="72"/>
      <c r="C44" s="74"/>
      <c r="D44" s="74"/>
      <c r="E44" s="74"/>
      <c r="F44" s="74"/>
      <c r="G44" s="74"/>
      <c r="H44" s="106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2"/>
      <c r="X44" s="74"/>
      <c r="Y44" s="74"/>
      <c r="Z44" s="74"/>
      <c r="AA44" s="53"/>
      <c r="AB44" s="56"/>
      <c r="AC44" s="56"/>
      <c r="AD44" s="57"/>
      <c r="AE44" s="85"/>
      <c r="AF44" s="85"/>
      <c r="AG44" s="86"/>
    </row>
    <row r="45" customFormat="false" ht="11.1" hidden="false" customHeight="true" outlineLevel="0" collapsed="false">
      <c r="A45" s="51" t="s">
        <v>50</v>
      </c>
      <c r="B45" s="51"/>
      <c r="C45" s="52"/>
      <c r="D45" s="52"/>
      <c r="E45" s="52"/>
      <c r="F45" s="52" t="n">
        <f aca="false">F7+F42</f>
        <v>20755.7348122007</v>
      </c>
      <c r="G45" s="52" t="n">
        <f aca="false">G7+G42</f>
        <v>75214</v>
      </c>
      <c r="H45" s="55" t="n">
        <f aca="false">H7+H42</f>
        <v>1954.32</v>
      </c>
      <c r="I45" s="52" t="n">
        <f aca="false">I7+I42</f>
        <v>77168.32</v>
      </c>
      <c r="J45" s="52" t="n">
        <f aca="false">J7+J42</f>
        <v>10074.1896672549</v>
      </c>
      <c r="K45" s="52" t="n">
        <f aca="false">K7+K42</f>
        <v>87242.5096672549</v>
      </c>
      <c r="L45" s="52" t="n">
        <f aca="false">L7+L42</f>
        <v>9664.31481220065</v>
      </c>
      <c r="M45" s="52" t="n">
        <f aca="false">M7+M42</f>
        <v>12886.3</v>
      </c>
      <c r="N45" s="52" t="n">
        <f aca="false">N7+N42</f>
        <v>126.87</v>
      </c>
      <c r="O45" s="52" t="n">
        <f aca="false">O7+O42</f>
        <v>3351.485</v>
      </c>
      <c r="P45" s="52" t="n">
        <f aca="false">P7+P42</f>
        <v>9407.945</v>
      </c>
      <c r="Q45" s="52" t="n">
        <f aca="false">Q7+Q42</f>
        <v>5884</v>
      </c>
      <c r="R45" s="52" t="n">
        <f aca="false">R7+R42</f>
        <v>2774.1</v>
      </c>
      <c r="S45" s="52" t="n">
        <f aca="false">S7+S42</f>
        <v>18066.045</v>
      </c>
      <c r="T45" s="52" t="n">
        <f aca="false">T7+T42</f>
        <v>0</v>
      </c>
      <c r="U45" s="52" t="n">
        <f aca="false">U7+U42</f>
        <v>6662.5</v>
      </c>
      <c r="V45" s="52" t="n">
        <f aca="false">V7+V42</f>
        <v>37870</v>
      </c>
      <c r="W45" s="52"/>
      <c r="X45" s="52" t="n">
        <f aca="false">X7+X42</f>
        <v>66076.9</v>
      </c>
      <c r="Y45" s="52" t="n">
        <f aca="false">Y7+Y42</f>
        <v>409.874855054197</v>
      </c>
      <c r="Z45" s="52" t="n">
        <f aca="false">Z7+Z42</f>
        <v>66486.7748550542</v>
      </c>
      <c r="AA45" s="53"/>
      <c r="AB45" s="56" t="n">
        <f aca="false">MIN(AB10:AB40)</f>
        <v>52</v>
      </c>
      <c r="AC45" s="56" t="n">
        <f aca="false">MIN(AC10:AC40)</f>
        <v>24</v>
      </c>
      <c r="AD45" s="57" t="s">
        <v>51</v>
      </c>
      <c r="AE45" s="85"/>
      <c r="AF45" s="85"/>
      <c r="AG45" s="86"/>
    </row>
    <row r="46" customFormat="false" ht="11.1" hidden="false" customHeight="true" outlineLevel="0" collapsed="false">
      <c r="A46" s="51" t="s">
        <v>52</v>
      </c>
      <c r="B46" s="51"/>
      <c r="C46" s="52"/>
      <c r="D46" s="52"/>
      <c r="E46" s="52"/>
      <c r="F46" s="52" t="n">
        <f aca="false">F45*$D$2</f>
        <v>41169</v>
      </c>
      <c r="G46" s="52" t="n">
        <f aca="false">G45*$D$2</f>
        <v>149186.969</v>
      </c>
      <c r="H46" s="55" t="n">
        <f aca="false">H45*$D$2</f>
        <v>3876.39372</v>
      </c>
      <c r="I46" s="52" t="n">
        <f aca="false">I45*$D$2</f>
        <v>153063.36272</v>
      </c>
      <c r="J46" s="52" t="n">
        <f aca="false">J45*$D$2</f>
        <v>19982.155205</v>
      </c>
      <c r="K46" s="52" t="n">
        <f aca="false">K45*$D$2</f>
        <v>173045.517925</v>
      </c>
      <c r="L46" s="52" t="n">
        <f aca="false">L45*$D$2</f>
        <v>19169.16843</v>
      </c>
      <c r="M46" s="52" t="n">
        <f aca="false">M45*$D$2</f>
        <v>25559.97605</v>
      </c>
      <c r="N46" s="52" t="n">
        <f aca="false">N45*$D$2</f>
        <v>251.646645</v>
      </c>
      <c r="O46" s="52" t="n">
        <f aca="false">O45*$D$2</f>
        <v>6647.6704975</v>
      </c>
      <c r="P46" s="52" t="n">
        <f aca="false">P45*$D$2</f>
        <v>18660.6589075</v>
      </c>
      <c r="Q46" s="52" t="n">
        <f aca="false">Q45*$D$2</f>
        <v>11670.914</v>
      </c>
      <c r="R46" s="52" t="n">
        <f aca="false">R45*$D$2</f>
        <v>5502.42735</v>
      </c>
      <c r="S46" s="52" t="n">
        <f aca="false">S45*$D$2</f>
        <v>35834.0002575</v>
      </c>
      <c r="T46" s="52" t="n">
        <f aca="false">T45*$D$2</f>
        <v>0</v>
      </c>
      <c r="U46" s="52" t="n">
        <f aca="false">U45*$D$2</f>
        <v>13215.06875</v>
      </c>
      <c r="V46" s="52" t="n">
        <f aca="false">V45*$D$2</f>
        <v>75115.145</v>
      </c>
      <c r="W46" s="52"/>
      <c r="X46" s="52" t="n">
        <f aca="false">X45*$D$2</f>
        <v>131063.53115</v>
      </c>
      <c r="Y46" s="52" t="n">
        <f aca="false">Y45*$D$2</f>
        <v>812.986775</v>
      </c>
      <c r="Z46" s="52" t="n">
        <f aca="false">Z45*$D$2</f>
        <v>131876.517925</v>
      </c>
      <c r="AA46" s="53"/>
      <c r="AB46" s="56"/>
      <c r="AC46" s="56"/>
      <c r="AD46" s="57"/>
      <c r="AE46" s="85"/>
      <c r="AF46" s="85"/>
      <c r="AG46" s="86"/>
    </row>
    <row r="47" customFormat="false" ht="3" hidden="false" customHeight="true" outlineLevel="0" collapsed="false">
      <c r="A47" s="72"/>
      <c r="B47" s="72"/>
      <c r="C47" s="74"/>
      <c r="D47" s="74"/>
      <c r="E47" s="74"/>
      <c r="F47" s="74"/>
      <c r="G47" s="74"/>
      <c r="H47" s="106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5"/>
      <c r="AB47" s="56"/>
      <c r="AC47" s="56"/>
      <c r="AD47" s="57"/>
      <c r="AE47" s="85"/>
      <c r="AF47" s="85"/>
      <c r="AG47" s="86"/>
    </row>
    <row r="48" customFormat="false" ht="11.1" hidden="false" customHeight="true" outlineLevel="0" collapsed="false">
      <c r="A48" s="51" t="s">
        <v>53</v>
      </c>
      <c r="B48" s="51"/>
      <c r="C48" s="52"/>
      <c r="D48" s="52"/>
      <c r="E48" s="52"/>
      <c r="F48" s="52" t="n">
        <f aca="false">F8+F42</f>
        <v>20225.8633728258</v>
      </c>
      <c r="G48" s="52" t="n">
        <f aca="false">G8+G42</f>
        <v>84798</v>
      </c>
      <c r="H48" s="55" t="n">
        <f aca="false">H8+H42</f>
        <v>2219.6</v>
      </c>
      <c r="I48" s="52" t="n">
        <f aca="false">I8+I42</f>
        <v>87017.6</v>
      </c>
      <c r="J48" s="52" t="n">
        <f aca="false">J8+J42</f>
        <v>12422.3506428031</v>
      </c>
      <c r="K48" s="52" t="n">
        <f aca="false">K8+K42</f>
        <v>99436.2178976557</v>
      </c>
      <c r="L48" s="52" t="n">
        <f aca="false">L8+L42</f>
        <v>11341.8933728258</v>
      </c>
      <c r="M48" s="52" t="n">
        <f aca="false">M8+M42</f>
        <v>15325.06</v>
      </c>
      <c r="N48" s="52" t="n">
        <f aca="false">N8+N42</f>
        <v>193.25</v>
      </c>
      <c r="O48" s="52" t="n">
        <f aca="false">O8+O42</f>
        <v>3792.8255</v>
      </c>
      <c r="P48" s="52" t="n">
        <f aca="false">P8+P42</f>
        <v>11338.9845</v>
      </c>
      <c r="Q48" s="52" t="n">
        <f aca="false">Q8+Q42</f>
        <v>6928</v>
      </c>
      <c r="R48" s="52" t="n">
        <f aca="false">R8+R42</f>
        <v>3334.1</v>
      </c>
      <c r="S48" s="52" t="n">
        <f aca="false">S8+S42</f>
        <v>21601.0845</v>
      </c>
      <c r="T48" s="52"/>
      <c r="U48" s="52" t="n">
        <f aca="false">U8+U42</f>
        <v>6662.5</v>
      </c>
      <c r="V48" s="52" t="n">
        <f aca="false">V8+V42</f>
        <v>45883.97</v>
      </c>
      <c r="W48" s="52" t="n">
        <f aca="false">W40</f>
        <v>16568</v>
      </c>
      <c r="X48" s="52" t="n">
        <f aca="false">X8+X42</f>
        <v>78133.63</v>
      </c>
      <c r="Y48" s="52" t="n">
        <f aca="false">Y8+Y42</f>
        <v>1080.45726997731</v>
      </c>
      <c r="Z48" s="52" t="n">
        <f aca="false">Z8+Z42</f>
        <v>79214.0872699773</v>
      </c>
      <c r="AA48" s="53" t="n">
        <f aca="false">AA8+AA42</f>
        <v>5.87</v>
      </c>
      <c r="AB48" s="56"/>
      <c r="AC48" s="56"/>
      <c r="AD48" s="57"/>
      <c r="AE48" s="85"/>
      <c r="AF48" s="85"/>
      <c r="AG48" s="86"/>
    </row>
    <row r="49" customFormat="false" ht="11.1" hidden="false" customHeight="true" outlineLevel="0" collapsed="false">
      <c r="A49" s="51" t="s">
        <v>54</v>
      </c>
      <c r="B49" s="51"/>
      <c r="C49" s="52"/>
      <c r="D49" s="52" t="n">
        <f aca="false">D8+D43</f>
        <v>40118</v>
      </c>
      <c r="E49" s="52" t="n">
        <f aca="false">E40</f>
        <v>217798</v>
      </c>
      <c r="F49" s="52" t="n">
        <f aca="false">F48*$D$2</f>
        <v>40118</v>
      </c>
      <c r="G49" s="52" t="n">
        <f aca="false">G48*$D$2</f>
        <v>168196.833</v>
      </c>
      <c r="H49" s="55" t="n">
        <f aca="false">H48*$D$2</f>
        <v>4402.5766</v>
      </c>
      <c r="I49" s="52" t="n">
        <f aca="false">I48*$D$2</f>
        <v>172599.4096</v>
      </c>
      <c r="J49" s="52" t="n">
        <f aca="false">J48*$D$2</f>
        <v>24639.7325</v>
      </c>
      <c r="K49" s="52" t="n">
        <f aca="false">K48*$D$2</f>
        <v>197231.7382</v>
      </c>
      <c r="L49" s="52" t="n">
        <f aca="false">L48*$D$2</f>
        <v>22496.645505</v>
      </c>
      <c r="M49" s="52" t="n">
        <f aca="false">M48*$D$2</f>
        <v>30397.25651</v>
      </c>
      <c r="N49" s="52" t="n">
        <f aca="false">N48*$D$2</f>
        <v>383.311375</v>
      </c>
      <c r="O49" s="52" t="n">
        <f aca="false">O48*$D$2</f>
        <v>7523.06937925</v>
      </c>
      <c r="P49" s="52" t="n">
        <f aca="false">P48*$D$2</f>
        <v>22490.87575575</v>
      </c>
      <c r="Q49" s="52" t="n">
        <f aca="false">Q48*$D$2</f>
        <v>13741.688</v>
      </c>
      <c r="R49" s="52" t="n">
        <f aca="false">R48*$D$2</f>
        <v>6613.18735</v>
      </c>
      <c r="S49" s="52" t="n">
        <f aca="false">S48*$D$2</f>
        <v>42845.75110575</v>
      </c>
      <c r="T49" s="52" t="n">
        <f aca="false">T48*$D$2</f>
        <v>0</v>
      </c>
      <c r="U49" s="52" t="n">
        <f aca="false">U48*$D$2</f>
        <v>13215.06875</v>
      </c>
      <c r="V49" s="52" t="n">
        <f aca="false">V48*$D$2</f>
        <v>91010.854495</v>
      </c>
      <c r="W49" s="52" t="n">
        <f aca="false">W48*$D$2</f>
        <v>32862.628</v>
      </c>
      <c r="X49" s="52" t="n">
        <f aca="false">X48*$D$2</f>
        <v>154978.055105</v>
      </c>
      <c r="Y49" s="52" t="n">
        <f aca="false">Y48*$D$2</f>
        <v>2143.086995</v>
      </c>
      <c r="Z49" s="52" t="n">
        <f aca="false">Z48*$D$2</f>
        <v>157121.1421</v>
      </c>
      <c r="AA49" s="53"/>
      <c r="AB49" s="56"/>
      <c r="AC49" s="56"/>
      <c r="AD49" s="57"/>
      <c r="AE49" s="85"/>
      <c r="AF49" s="85"/>
      <c r="AG49" s="86"/>
    </row>
    <row r="50" customFormat="false" ht="3" hidden="false" customHeight="true" outlineLevel="0" collapsed="false">
      <c r="A50" s="72"/>
      <c r="B50" s="72"/>
      <c r="C50" s="74"/>
      <c r="D50" s="72"/>
      <c r="E50" s="74"/>
      <c r="F50" s="72"/>
      <c r="G50" s="72"/>
      <c r="H50" s="106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4"/>
      <c r="U50" s="72"/>
      <c r="V50" s="72"/>
      <c r="W50" s="74"/>
      <c r="X50" s="72"/>
      <c r="Y50" s="72"/>
      <c r="Z50" s="72"/>
      <c r="AA50" s="53"/>
      <c r="AB50" s="56"/>
      <c r="AC50" s="56"/>
      <c r="AD50" s="57"/>
      <c r="AE50" s="85"/>
      <c r="AF50" s="85"/>
      <c r="AG50" s="86"/>
    </row>
    <row r="51" customFormat="false" ht="11.1" hidden="false" customHeight="true" outlineLevel="0" collapsed="false">
      <c r="A51" s="109"/>
      <c r="B51" s="81"/>
      <c r="C51" s="52"/>
      <c r="D51" s="51"/>
      <c r="E51" s="52"/>
      <c r="F51" s="51"/>
      <c r="G51" s="51"/>
      <c r="H51" s="55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2"/>
      <c r="U51" s="51"/>
      <c r="V51" s="51"/>
      <c r="W51" s="52"/>
      <c r="X51" s="51"/>
      <c r="Y51" s="51"/>
      <c r="Z51" s="51"/>
      <c r="AA51" s="53"/>
      <c r="AB51" s="56"/>
      <c r="AC51" s="56"/>
      <c r="AD51" s="57"/>
      <c r="AE51" s="84"/>
      <c r="AF51" s="84"/>
    </row>
    <row r="52" customFormat="false" ht="11.1" hidden="false" customHeight="true" outlineLevel="0" collapsed="false">
      <c r="A52" s="51"/>
      <c r="B52" s="71"/>
      <c r="C52" s="52"/>
      <c r="D52" s="79"/>
      <c r="E52" s="52"/>
      <c r="F52" s="51"/>
      <c r="G52" s="79"/>
      <c r="H52" s="55"/>
      <c r="I52" s="91"/>
      <c r="J52" s="51"/>
      <c r="K52" s="41"/>
      <c r="L52" s="51"/>
      <c r="M52" s="51"/>
      <c r="N52" s="52"/>
      <c r="O52" s="110"/>
      <c r="P52" s="51"/>
      <c r="Q52" s="51"/>
      <c r="R52" s="52"/>
      <c r="S52" s="110"/>
      <c r="T52" s="52"/>
      <c r="U52" s="51"/>
      <c r="V52" s="52"/>
      <c r="W52" s="108"/>
      <c r="X52" s="51"/>
      <c r="Y52" s="51"/>
      <c r="Z52" s="55"/>
      <c r="AA52" s="53"/>
      <c r="AB52" s="56"/>
      <c r="AC52" s="57"/>
      <c r="AD52" s="84"/>
      <c r="AE52" s="84"/>
    </row>
    <row r="53" customFormat="false" ht="11.1" hidden="false" customHeight="true" outlineLevel="0" collapsed="false">
      <c r="A53" s="79"/>
      <c r="B53" s="79"/>
      <c r="C53" s="52"/>
      <c r="D53" s="52"/>
      <c r="E53" s="52"/>
      <c r="F53" s="79"/>
      <c r="G53" s="79"/>
      <c r="H53" s="55"/>
      <c r="I53" s="52"/>
      <c r="J53" s="79"/>
      <c r="K53" s="79"/>
      <c r="L53" s="78"/>
      <c r="M53" s="0"/>
      <c r="N53" s="91"/>
      <c r="O53" s="78"/>
      <c r="P53" s="79"/>
      <c r="Q53" s="79"/>
      <c r="R53" s="91"/>
      <c r="S53" s="52"/>
      <c r="T53" s="111"/>
      <c r="U53" s="79"/>
      <c r="V53" s="52"/>
      <c r="W53" s="79"/>
      <c r="X53" s="79"/>
      <c r="Y53" s="79"/>
      <c r="Z53" s="55"/>
      <c r="AA53" s="53"/>
      <c r="AB53" s="56"/>
      <c r="AC53" s="57"/>
      <c r="AD53" s="89"/>
      <c r="AE53" s="89"/>
    </row>
    <row r="54" customFormat="false" ht="11.1" hidden="false" customHeight="true" outlineLevel="0" collapsed="false">
      <c r="A54" s="79"/>
      <c r="B54" s="55"/>
      <c r="C54" s="52"/>
      <c r="D54" s="52"/>
      <c r="E54" s="52"/>
      <c r="F54" s="79"/>
      <c r="G54" s="79"/>
      <c r="H54" s="55"/>
      <c r="I54" s="79"/>
      <c r="J54" s="79"/>
      <c r="K54" s="79"/>
      <c r="L54" s="79"/>
      <c r="M54" s="78"/>
      <c r="N54" s="78"/>
      <c r="O54" s="78"/>
      <c r="P54" s="79"/>
      <c r="Q54" s="79"/>
      <c r="R54" s="79"/>
      <c r="S54" s="52"/>
      <c r="T54" s="79"/>
      <c r="U54" s="52"/>
      <c r="V54" s="52"/>
      <c r="W54" s="79"/>
      <c r="X54" s="79"/>
      <c r="Y54" s="79"/>
      <c r="Z54" s="55"/>
      <c r="AA54" s="53"/>
      <c r="AB54" s="56"/>
      <c r="AC54" s="57"/>
      <c r="AD54" s="89"/>
      <c r="AE54" s="89"/>
    </row>
    <row r="55" customFormat="false" ht="11.1" hidden="false" customHeight="true" outlineLevel="0" collapsed="false">
      <c r="A55" s="79"/>
      <c r="B55" s="0"/>
      <c r="C55" s="52"/>
      <c r="D55" s="0"/>
      <c r="E55" s="52"/>
      <c r="F55" s="79"/>
      <c r="G55" s="112"/>
      <c r="H55" s="113"/>
      <c r="I55" s="114"/>
      <c r="J55" s="79"/>
      <c r="K55" s="79"/>
      <c r="L55" s="79"/>
      <c r="M55" s="78"/>
      <c r="N55" s="78"/>
      <c r="O55" s="78"/>
      <c r="P55" s="79"/>
      <c r="Q55" s="79"/>
      <c r="R55" s="79"/>
      <c r="S55" s="52"/>
      <c r="T55" s="79"/>
      <c r="U55" s="79"/>
      <c r="V55" s="52"/>
      <c r="W55" s="79"/>
      <c r="X55" s="79"/>
      <c r="Y55" s="79"/>
      <c r="Z55" s="55"/>
      <c r="AA55" s="53"/>
      <c r="AB55" s="56"/>
      <c r="AC55" s="57"/>
      <c r="AD55" s="89"/>
      <c r="AE55" s="89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S10" activeCellId="0" sqref="S10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66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2" width="6.82"/>
    <col collapsed="false" customWidth="true" hidden="false" outlineLevel="0" max="9" min="9" style="0" width="7.99"/>
    <col collapsed="false" customWidth="true" hidden="false" outlineLevel="0" max="10" min="10" style="0" width="6.66"/>
    <col collapsed="false" customWidth="true" hidden="false" outlineLevel="0" max="12" min="11" style="0" width="7.16"/>
    <col collapsed="false" customWidth="true" hidden="false" outlineLevel="0" max="13" min="13" style="3" width="6.16"/>
    <col collapsed="false" customWidth="true" hidden="false" outlineLevel="0" max="14" min="14" style="3" width="7.32"/>
    <col collapsed="false" customWidth="true" hidden="false" outlineLevel="0" max="15" min="15" style="3" width="6.49"/>
    <col collapsed="false" customWidth="true" hidden="fals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3" min="23" style="0" width="6.82"/>
    <col collapsed="false" customWidth="true" hidden="false" outlineLevel="0" max="25" min="24" style="0" width="7.82"/>
    <col collapsed="false" customWidth="true" hidden="false" outlineLevel="0" max="26" min="26" style="94" width="8.16"/>
    <col collapsed="false" customWidth="true" hidden="false" outlineLevel="0" max="27" min="27" style="2" width="4.66"/>
    <col collapsed="false" customWidth="true" hidden="false" outlineLevel="0" max="28" min="28" style="4" width="4.66"/>
    <col collapsed="false" customWidth="true" hidden="false" outlineLevel="0" max="29" min="29" style="5" width="4.66"/>
    <col collapsed="false" customWidth="true" hidden="false" outlineLevel="0" max="30" min="30" style="0" width="5.66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8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6"/>
      <c r="V1" s="7"/>
      <c r="W1" s="6"/>
      <c r="X1" s="6"/>
      <c r="Y1" s="6"/>
      <c r="Z1" s="42"/>
      <c r="AA1" s="8"/>
      <c r="AB1" s="10"/>
      <c r="AC1" s="11"/>
      <c r="AD1" s="95"/>
      <c r="AE1" s="95"/>
    </row>
    <row r="2" customFormat="false" ht="14.1" hidden="false" customHeight="true" outlineLevel="0" collapsed="false">
      <c r="A2" s="6" t="s">
        <v>1</v>
      </c>
      <c r="B2" s="6"/>
      <c r="C2" s="7"/>
      <c r="D2" s="12" t="n">
        <v>1.9835</v>
      </c>
      <c r="E2" s="7"/>
      <c r="F2" s="6"/>
      <c r="G2" s="6"/>
      <c r="H2" s="8"/>
      <c r="I2" s="6"/>
      <c r="J2" s="6"/>
      <c r="K2" s="96" t="s">
        <v>72</v>
      </c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6"/>
      <c r="X2" s="6"/>
      <c r="Y2" s="6"/>
      <c r="Z2" s="42"/>
      <c r="AA2" s="8"/>
      <c r="AB2" s="10"/>
      <c r="AC2" s="11"/>
      <c r="AD2" s="95"/>
      <c r="AE2" s="95"/>
    </row>
    <row r="3" customFormat="false" ht="11.1" hidden="false" customHeight="true" outlineLevel="0" collapsed="false">
      <c r="A3" s="6"/>
      <c r="B3" s="6"/>
      <c r="C3" s="7"/>
      <c r="D3" s="13"/>
      <c r="E3" s="7"/>
      <c r="F3" s="6"/>
      <c r="G3" s="6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6"/>
      <c r="V3" s="7"/>
      <c r="W3" s="6"/>
      <c r="X3" s="6"/>
      <c r="Y3" s="6"/>
      <c r="Z3" s="42"/>
      <c r="AA3" s="8"/>
      <c r="AB3" s="10"/>
      <c r="AC3" s="11"/>
      <c r="AD3" s="95"/>
      <c r="AE3" s="95"/>
    </row>
    <row r="4" customFormat="false" ht="11.1" hidden="false" customHeight="true" outlineLevel="0" collapsed="false">
      <c r="A4" s="14" t="s">
        <v>3</v>
      </c>
      <c r="B4" s="14" t="s">
        <v>4</v>
      </c>
      <c r="C4" s="15" t="s">
        <v>4</v>
      </c>
      <c r="D4" s="14" t="s">
        <v>5</v>
      </c>
      <c r="E4" s="15" t="s">
        <v>6</v>
      </c>
      <c r="F4" s="14" t="s">
        <v>7</v>
      </c>
      <c r="G4" s="14" t="s">
        <v>8</v>
      </c>
      <c r="H4" s="16" t="s">
        <v>9</v>
      </c>
      <c r="I4" s="14" t="s">
        <v>10</v>
      </c>
      <c r="J4" s="14" t="s">
        <v>11</v>
      </c>
      <c r="K4" s="14" t="s">
        <v>12</v>
      </c>
      <c r="L4" s="14" t="s">
        <v>11</v>
      </c>
      <c r="M4" s="17" t="s">
        <v>13</v>
      </c>
      <c r="N4" s="17"/>
      <c r="O4" s="17"/>
      <c r="P4" s="17"/>
      <c r="Q4" s="14" t="s">
        <v>14</v>
      </c>
      <c r="R4" s="14" t="s">
        <v>15</v>
      </c>
      <c r="S4" s="14" t="s">
        <v>12</v>
      </c>
      <c r="T4" s="15" t="s">
        <v>16</v>
      </c>
      <c r="U4" s="14" t="s">
        <v>17</v>
      </c>
      <c r="V4" s="14" t="s">
        <v>18</v>
      </c>
      <c r="W4" s="15" t="s">
        <v>19</v>
      </c>
      <c r="X4" s="14" t="s">
        <v>10</v>
      </c>
      <c r="Y4" s="14" t="s">
        <v>11</v>
      </c>
      <c r="Z4" s="14" t="s">
        <v>12</v>
      </c>
      <c r="AA4" s="16" t="s">
        <v>20</v>
      </c>
      <c r="AB4" s="18" t="s">
        <v>21</v>
      </c>
      <c r="AC4" s="18" t="s">
        <v>22</v>
      </c>
      <c r="AD4" s="18" t="s">
        <v>3</v>
      </c>
      <c r="AE4" s="95"/>
      <c r="AF4" s="95"/>
    </row>
    <row r="5" customFormat="false" ht="11.1" hidden="false" customHeight="true" outlineLevel="0" collapsed="false">
      <c r="A5" s="19" t="s">
        <v>73</v>
      </c>
      <c r="B5" s="14" t="s">
        <v>24</v>
      </c>
      <c r="C5" s="15" t="s">
        <v>5</v>
      </c>
      <c r="D5" s="14" t="s">
        <v>25</v>
      </c>
      <c r="E5" s="15" t="s">
        <v>26</v>
      </c>
      <c r="F5" s="14" t="s">
        <v>27</v>
      </c>
      <c r="G5" s="14" t="s">
        <v>28</v>
      </c>
      <c r="H5" s="16" t="s">
        <v>29</v>
      </c>
      <c r="I5" s="14" t="s">
        <v>30</v>
      </c>
      <c r="J5" s="14" t="s">
        <v>30</v>
      </c>
      <c r="K5" s="14" t="s">
        <v>30</v>
      </c>
      <c r="L5" s="14" t="s">
        <v>31</v>
      </c>
      <c r="M5" s="14" t="s">
        <v>32</v>
      </c>
      <c r="N5" s="14" t="s">
        <v>33</v>
      </c>
      <c r="O5" s="14" t="s">
        <v>34</v>
      </c>
      <c r="P5" s="14" t="s">
        <v>65</v>
      </c>
      <c r="Q5" s="14" t="s">
        <v>36</v>
      </c>
      <c r="R5" s="14" t="s">
        <v>37</v>
      </c>
      <c r="S5" s="14" t="s">
        <v>16</v>
      </c>
      <c r="T5" s="15" t="s">
        <v>38</v>
      </c>
      <c r="U5" s="14" t="s">
        <v>39</v>
      </c>
      <c r="V5" s="14" t="s">
        <v>40</v>
      </c>
      <c r="W5" s="15" t="s">
        <v>41</v>
      </c>
      <c r="X5" s="14" t="s">
        <v>42</v>
      </c>
      <c r="Y5" s="14" t="s">
        <v>42</v>
      </c>
      <c r="Z5" s="14" t="s">
        <v>42</v>
      </c>
      <c r="AA5" s="21"/>
      <c r="AB5" s="18" t="s">
        <v>43</v>
      </c>
      <c r="AC5" s="18" t="s">
        <v>43</v>
      </c>
      <c r="AD5" s="22" t="s">
        <v>73</v>
      </c>
      <c r="AE5" s="95"/>
      <c r="AF5" s="95"/>
    </row>
    <row r="6" customFormat="false" ht="11.1" hidden="false" customHeight="true" outlineLevel="0" collapsed="false">
      <c r="A6" s="23"/>
      <c r="B6" s="23"/>
      <c r="C6" s="24"/>
      <c r="D6" s="23"/>
      <c r="E6" s="24"/>
      <c r="F6" s="23"/>
      <c r="G6" s="23"/>
      <c r="H6" s="25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4"/>
      <c r="U6" s="23"/>
      <c r="V6" s="23"/>
      <c r="W6" s="24"/>
      <c r="X6" s="23"/>
      <c r="Y6" s="23"/>
      <c r="Z6" s="23"/>
      <c r="AA6" s="8"/>
      <c r="AB6" s="11"/>
      <c r="AC6" s="11"/>
      <c r="AD6" s="11"/>
      <c r="AG6" s="115"/>
    </row>
    <row r="7" customFormat="false" ht="11.1" hidden="false" customHeight="true" outlineLevel="0" collapsed="false">
      <c r="A7" s="6" t="s">
        <v>44</v>
      </c>
      <c r="B7" s="6"/>
      <c r="C7" s="7"/>
      <c r="D7" s="7"/>
      <c r="E7" s="7"/>
      <c r="F7" s="7" t="n">
        <f aca="false">MAY!F45</f>
        <v>20755.7348122007</v>
      </c>
      <c r="G7" s="7" t="n">
        <f aca="false">MAY!G45</f>
        <v>75214</v>
      </c>
      <c r="H7" s="8" t="n">
        <f aca="false">MAY!H45</f>
        <v>1954.32</v>
      </c>
      <c r="I7" s="7" t="n">
        <f aca="false">MAY!I45</f>
        <v>77168.32</v>
      </c>
      <c r="J7" s="7" t="n">
        <f aca="false">MAY!J45</f>
        <v>10074.1896672549</v>
      </c>
      <c r="K7" s="7" t="n">
        <f aca="false">MAY!K45</f>
        <v>87242.5096672549</v>
      </c>
      <c r="L7" s="7" t="n">
        <f aca="false">MAY!L45</f>
        <v>9664.31481220065</v>
      </c>
      <c r="M7" s="7" t="n">
        <f aca="false">MAY!M45</f>
        <v>12886.3</v>
      </c>
      <c r="N7" s="7" t="n">
        <f aca="false">MAY!N45</f>
        <v>126.87</v>
      </c>
      <c r="O7" s="7" t="n">
        <f aca="false">MAY!O45</f>
        <v>3351.485</v>
      </c>
      <c r="P7" s="7" t="n">
        <f aca="false">MAY!P45</f>
        <v>9407.945</v>
      </c>
      <c r="Q7" s="7" t="n">
        <f aca="false">MAY!Q45</f>
        <v>5884</v>
      </c>
      <c r="R7" s="7" t="n">
        <f aca="false">MAY!R45</f>
        <v>2774.1</v>
      </c>
      <c r="S7" s="7" t="n">
        <f aca="false">MAY!S45</f>
        <v>18066.045</v>
      </c>
      <c r="T7" s="7" t="n">
        <f aca="false">MAY!T45</f>
        <v>0</v>
      </c>
      <c r="U7" s="7" t="n">
        <f aca="false">MAY!U45</f>
        <v>6662.5</v>
      </c>
      <c r="V7" s="7" t="n">
        <f aca="false">MAY!V45</f>
        <v>37870</v>
      </c>
      <c r="W7" s="7"/>
      <c r="X7" s="7" t="n">
        <f aca="false">MAY!X45</f>
        <v>66076.9</v>
      </c>
      <c r="Y7" s="7" t="n">
        <f aca="false">MAY!Y45</f>
        <v>409.874855054197</v>
      </c>
      <c r="Z7" s="7" t="n">
        <f aca="false">MAY!Z45</f>
        <v>66486.7748550542</v>
      </c>
      <c r="AA7" s="8"/>
      <c r="AB7" s="10"/>
      <c r="AC7" s="10"/>
      <c r="AD7" s="11"/>
      <c r="AE7" s="99"/>
      <c r="AG7" s="116"/>
    </row>
    <row r="8" s="1" customFormat="true" ht="11.1" hidden="false" customHeight="true" outlineLevel="0" collapsed="false">
      <c r="A8" s="7" t="s">
        <v>45</v>
      </c>
      <c r="B8" s="28" t="n">
        <f aca="false">MAY!B40</f>
        <v>6921.43</v>
      </c>
      <c r="C8" s="7" t="n">
        <f aca="false">MAY!C40</f>
        <v>369798</v>
      </c>
      <c r="D8" s="7" t="n">
        <f aca="false">MAY!D49</f>
        <v>40118</v>
      </c>
      <c r="E8" s="7" t="n">
        <f aca="false">MAY!E49</f>
        <v>217798</v>
      </c>
      <c r="F8" s="7" t="n">
        <f aca="false">MAY!F48</f>
        <v>20225.8633728258</v>
      </c>
      <c r="G8" s="7" t="n">
        <f aca="false">MAY!G48</f>
        <v>84798</v>
      </c>
      <c r="H8" s="8" t="n">
        <f aca="false">MAY!H48</f>
        <v>2219.6</v>
      </c>
      <c r="I8" s="7" t="n">
        <f aca="false">MAY!I48</f>
        <v>87017.6</v>
      </c>
      <c r="J8" s="7" t="n">
        <f aca="false">MAY!J48</f>
        <v>12422.3506428031</v>
      </c>
      <c r="K8" s="7" t="n">
        <f aca="false">MAY!K48</f>
        <v>99436.2178976557</v>
      </c>
      <c r="L8" s="7" t="n">
        <f aca="false">MAY!L48</f>
        <v>11341.8933728258</v>
      </c>
      <c r="M8" s="7" t="n">
        <f aca="false">MAY!M48</f>
        <v>15325.06</v>
      </c>
      <c r="N8" s="7" t="n">
        <f aca="false">MAY!N48</f>
        <v>193.25</v>
      </c>
      <c r="O8" s="7" t="n">
        <f aca="false">MAY!O48</f>
        <v>3792.8255</v>
      </c>
      <c r="P8" s="7" t="n">
        <f aca="false">MAY!P48</f>
        <v>11338.9845</v>
      </c>
      <c r="Q8" s="7" t="n">
        <f aca="false">MAY!Q48</f>
        <v>6928</v>
      </c>
      <c r="R8" s="7" t="n">
        <f aca="false">MAY!R48</f>
        <v>3334.1</v>
      </c>
      <c r="S8" s="7" t="n">
        <f aca="false">MAY!S48</f>
        <v>21601.0845</v>
      </c>
      <c r="T8" s="7" t="n">
        <f aca="false">MAY!T48</f>
        <v>0</v>
      </c>
      <c r="U8" s="7" t="n">
        <f aca="false">MAY!U48</f>
        <v>6662.5</v>
      </c>
      <c r="V8" s="7" t="n">
        <f aca="false">MAY!V48</f>
        <v>45883.97</v>
      </c>
      <c r="W8" s="7" t="n">
        <f aca="false">MAY!W48</f>
        <v>16568</v>
      </c>
      <c r="X8" s="7" t="n">
        <f aca="false">MAY!X48</f>
        <v>78133.63</v>
      </c>
      <c r="Y8" s="7" t="n">
        <f aca="false">MAY!Y48</f>
        <v>1080.45726997731</v>
      </c>
      <c r="Z8" s="7" t="n">
        <f aca="false">MAY!Z48</f>
        <v>79214.0872699773</v>
      </c>
      <c r="AA8" s="8" t="n">
        <f aca="false">MAY!AA48</f>
        <v>5.87</v>
      </c>
      <c r="AB8" s="10"/>
      <c r="AC8" s="10"/>
      <c r="AD8" s="11"/>
      <c r="AE8" s="117"/>
      <c r="AF8" s="117"/>
    </row>
    <row r="9" customFormat="false" ht="3" hidden="false" customHeight="true" outlineLevel="0" collapsed="false">
      <c r="A9" s="29"/>
      <c r="B9" s="30"/>
      <c r="C9" s="31"/>
      <c r="D9" s="29"/>
      <c r="E9" s="31"/>
      <c r="F9" s="29"/>
      <c r="G9" s="29"/>
      <c r="H9" s="32"/>
      <c r="I9" s="29"/>
      <c r="J9" s="29"/>
      <c r="K9" s="29"/>
      <c r="L9" s="29"/>
      <c r="M9" s="29"/>
      <c r="N9" s="29"/>
      <c r="O9" s="29" t="n">
        <v>0</v>
      </c>
      <c r="P9" s="29"/>
      <c r="Q9" s="29"/>
      <c r="R9" s="29" t="n">
        <v>0</v>
      </c>
      <c r="S9" s="29"/>
      <c r="T9" s="31"/>
      <c r="U9" s="29"/>
      <c r="V9" s="29"/>
      <c r="W9" s="31"/>
      <c r="X9" s="29"/>
      <c r="Y9" s="29"/>
      <c r="Z9" s="29"/>
      <c r="AA9" s="32"/>
      <c r="AB9" s="33"/>
      <c r="AC9" s="33"/>
      <c r="AD9" s="34"/>
      <c r="AE9" s="95"/>
      <c r="AF9" s="95"/>
    </row>
    <row r="10" customFormat="false" ht="11.1" hidden="false" customHeight="true" outlineLevel="0" collapsed="false">
      <c r="A10" s="11" t="n">
        <v>1</v>
      </c>
      <c r="B10" s="28" t="n">
        <v>6921.51</v>
      </c>
      <c r="C10" s="7" t="n">
        <v>370148</v>
      </c>
      <c r="D10" s="10" t="n">
        <f aca="false">C10-C8</f>
        <v>350</v>
      </c>
      <c r="E10" s="7" t="n">
        <f aca="false">C10-152000</f>
        <v>218148</v>
      </c>
      <c r="F10" s="6" t="n">
        <f aca="false">D10/$D$2</f>
        <v>176.455760020166</v>
      </c>
      <c r="G10" s="6" t="n">
        <v>1150</v>
      </c>
      <c r="H10" s="8" t="n">
        <v>0.15</v>
      </c>
      <c r="I10" s="6" t="n">
        <f aca="false">G10+H10</f>
        <v>1150.15</v>
      </c>
      <c r="J10" s="101" t="n">
        <f aca="false">IF(L10&gt;0,L10,0)</f>
        <v>0</v>
      </c>
      <c r="K10" s="6" t="n">
        <f aca="false">I10+J10</f>
        <v>1150.15</v>
      </c>
      <c r="L10" s="6" t="n">
        <f aca="false">F10-(I10-X10)</f>
        <v>-82.0942399798337</v>
      </c>
      <c r="M10" s="6" t="n">
        <v>327</v>
      </c>
      <c r="N10" s="6" t="n">
        <v>0</v>
      </c>
      <c r="O10" s="51" t="n">
        <f aca="false">36.5+36.5*1.05</f>
        <v>74.825</v>
      </c>
      <c r="P10" s="6" t="n">
        <f aca="false">M10-(N10+O10)</f>
        <v>252.175</v>
      </c>
      <c r="Q10" s="6" t="n">
        <v>186</v>
      </c>
      <c r="R10" s="6" t="n">
        <v>81</v>
      </c>
      <c r="S10" s="6" t="n">
        <f aca="false">SUM(P10:R10)</f>
        <v>519.175</v>
      </c>
      <c r="T10" s="7"/>
      <c r="U10" s="6" t="n">
        <v>212.6</v>
      </c>
      <c r="V10" s="6" t="n">
        <v>85</v>
      </c>
      <c r="W10" s="7" t="n">
        <f aca="false">W8-80</f>
        <v>16488</v>
      </c>
      <c r="X10" s="6" t="n">
        <f aca="false">N10+O10+S10+U10+V10</f>
        <v>891.6</v>
      </c>
      <c r="Y10" s="6" t="n">
        <f aca="false">IF(L10&lt;0,L10*-1,0)</f>
        <v>82.0942399798337</v>
      </c>
      <c r="Z10" s="6" t="n">
        <f aca="false">X10+Y10</f>
        <v>973.694239979834</v>
      </c>
      <c r="AA10" s="8" t="n">
        <v>0</v>
      </c>
      <c r="AB10" s="10" t="n">
        <v>86</v>
      </c>
      <c r="AC10" s="10" t="n">
        <v>50</v>
      </c>
      <c r="AD10" s="11" t="n">
        <v>1</v>
      </c>
      <c r="AE10" s="10"/>
      <c r="AF10" s="10"/>
      <c r="AG10" s="118"/>
      <c r="AH10" s="6"/>
    </row>
    <row r="11" customFormat="false" ht="11.1" hidden="false" customHeight="true" outlineLevel="0" collapsed="false">
      <c r="A11" s="11" t="n">
        <f aca="false">A10+1</f>
        <v>2</v>
      </c>
      <c r="B11" s="28" t="n">
        <v>6921.53</v>
      </c>
      <c r="C11" s="7" t="n">
        <v>370236</v>
      </c>
      <c r="D11" s="10" t="n">
        <f aca="false">C11-C10</f>
        <v>88</v>
      </c>
      <c r="E11" s="7" t="n">
        <f aca="false">C11-152000</f>
        <v>218236</v>
      </c>
      <c r="F11" s="6" t="n">
        <f aca="false">D11/$D$2</f>
        <v>44.3660196622133</v>
      </c>
      <c r="G11" s="6" t="n">
        <v>1030</v>
      </c>
      <c r="H11" s="8" t="n">
        <v>0.1</v>
      </c>
      <c r="I11" s="6" t="n">
        <f aca="false">G11+H11</f>
        <v>1030.1</v>
      </c>
      <c r="J11" s="101" t="n">
        <f aca="false">IF(L11&gt;0,L11,0)</f>
        <v>0</v>
      </c>
      <c r="K11" s="6" t="n">
        <f aca="false">I11+J11</f>
        <v>1030.1</v>
      </c>
      <c r="L11" s="6" t="n">
        <f aca="false">F11-(I11-X11)</f>
        <v>-98.0339803377866</v>
      </c>
      <c r="M11" s="6" t="n">
        <v>334</v>
      </c>
      <c r="N11" s="6" t="n">
        <v>0</v>
      </c>
      <c r="O11" s="51" t="n">
        <f aca="false">41.7+40.7*1.05</f>
        <v>84.435</v>
      </c>
      <c r="P11" s="6" t="n">
        <f aca="false">M11-(N11+O11)</f>
        <v>249.565</v>
      </c>
      <c r="Q11" s="6" t="n">
        <v>186</v>
      </c>
      <c r="R11" s="6" t="n">
        <v>81</v>
      </c>
      <c r="S11" s="6" t="n">
        <f aca="false">SUM(P11:R11)</f>
        <v>516.565</v>
      </c>
      <c r="T11" s="52"/>
      <c r="U11" s="6" t="n">
        <v>201.7</v>
      </c>
      <c r="V11" s="6" t="n">
        <v>85</v>
      </c>
      <c r="W11" s="7" t="n">
        <f aca="false">W10-80</f>
        <v>16408</v>
      </c>
      <c r="X11" s="6" t="n">
        <f aca="false">N11+O11+S11+U11+V11</f>
        <v>887.7</v>
      </c>
      <c r="Y11" s="6" t="n">
        <f aca="false">IF(L11&lt;0,L11*-1,0)</f>
        <v>98.0339803377866</v>
      </c>
      <c r="Z11" s="6" t="n">
        <f aca="false">X11+Y11</f>
        <v>985.733980337787</v>
      </c>
      <c r="AA11" s="8" t="n">
        <v>0</v>
      </c>
      <c r="AB11" s="10" t="n">
        <v>86</v>
      </c>
      <c r="AC11" s="10" t="n">
        <v>53</v>
      </c>
      <c r="AD11" s="11" t="n">
        <f aca="false">AD10+1</f>
        <v>2</v>
      </c>
      <c r="AE11" s="10"/>
      <c r="AF11" s="10"/>
      <c r="AH11" s="6"/>
    </row>
    <row r="12" customFormat="false" ht="11.1" hidden="false" customHeight="true" outlineLevel="0" collapsed="false">
      <c r="A12" s="11" t="n">
        <f aca="false">A11+1</f>
        <v>3</v>
      </c>
      <c r="B12" s="28" t="n">
        <v>6921.53</v>
      </c>
      <c r="C12" s="7" t="n">
        <v>370236</v>
      </c>
      <c r="D12" s="10" t="n">
        <f aca="false">C12-C11</f>
        <v>0</v>
      </c>
      <c r="E12" s="7" t="n">
        <f aca="false">C12-152000</f>
        <v>218236</v>
      </c>
      <c r="F12" s="6" t="n">
        <f aca="false">D12/$D$2</f>
        <v>0</v>
      </c>
      <c r="G12" s="6" t="n">
        <v>930</v>
      </c>
      <c r="H12" s="8" t="n">
        <v>0.1</v>
      </c>
      <c r="I12" s="6" t="n">
        <f aca="false">G12+H12</f>
        <v>930.1</v>
      </c>
      <c r="J12" s="101" t="n">
        <f aca="false">IF(L12&gt;0,L12,0)</f>
        <v>0</v>
      </c>
      <c r="K12" s="6" t="n">
        <f aca="false">I12+J12</f>
        <v>930.1</v>
      </c>
      <c r="L12" s="6" t="n">
        <f aca="false">F12-(I12-X12)</f>
        <v>-55</v>
      </c>
      <c r="M12" s="6" t="n">
        <v>339</v>
      </c>
      <c r="N12" s="6" t="n">
        <v>0</v>
      </c>
      <c r="O12" s="6" t="n">
        <f aca="false">43.4+40.9*1.05</f>
        <v>86.345</v>
      </c>
      <c r="P12" s="6" t="n">
        <f aca="false">M12-(N12+O12)</f>
        <v>252.655</v>
      </c>
      <c r="Q12" s="6" t="n">
        <v>187</v>
      </c>
      <c r="R12" s="6" t="n">
        <v>81</v>
      </c>
      <c r="S12" s="6" t="n">
        <f aca="false">SUM(P12:R12)</f>
        <v>520.655</v>
      </c>
      <c r="T12" s="52"/>
      <c r="U12" s="6" t="n">
        <v>183.1</v>
      </c>
      <c r="V12" s="6" t="n">
        <v>85</v>
      </c>
      <c r="W12" s="7" t="n">
        <f aca="false">W11-80</f>
        <v>16328</v>
      </c>
      <c r="X12" s="6" t="n">
        <f aca="false">N12+O12+S12+U12+V12</f>
        <v>875.1</v>
      </c>
      <c r="Y12" s="6" t="n">
        <f aca="false">IF(L12&lt;0,L12*-1,0)</f>
        <v>55</v>
      </c>
      <c r="Z12" s="6" t="n">
        <f aca="false">X12+Y12</f>
        <v>930.1</v>
      </c>
      <c r="AA12" s="8" t="n">
        <v>0</v>
      </c>
      <c r="AB12" s="10" t="n">
        <v>88</v>
      </c>
      <c r="AC12" s="10" t="n">
        <v>50</v>
      </c>
      <c r="AD12" s="11" t="n">
        <f aca="false">AD11+1</f>
        <v>3</v>
      </c>
      <c r="AE12" s="10"/>
      <c r="AF12" s="10"/>
      <c r="AH12" s="6"/>
    </row>
    <row r="13" customFormat="false" ht="11.1" hidden="false" customHeight="true" outlineLevel="0" collapsed="false">
      <c r="A13" s="11" t="n">
        <f aca="false">A12+1</f>
        <v>4</v>
      </c>
      <c r="B13" s="28" t="n">
        <v>6921.5</v>
      </c>
      <c r="C13" s="7" t="n">
        <v>370104</v>
      </c>
      <c r="D13" s="10" t="n">
        <f aca="false">C13-C12</f>
        <v>-132</v>
      </c>
      <c r="E13" s="7" t="n">
        <f aca="false">C13-152000</f>
        <v>218104</v>
      </c>
      <c r="F13" s="6" t="n">
        <f aca="false">D13/$D$2</f>
        <v>-66.5490294933199</v>
      </c>
      <c r="G13" s="6" t="n">
        <v>835</v>
      </c>
      <c r="H13" s="8" t="n">
        <v>0.07</v>
      </c>
      <c r="I13" s="6" t="n">
        <f aca="false">G13+H13</f>
        <v>835.07</v>
      </c>
      <c r="J13" s="101" t="n">
        <f aca="false">IF(L13&gt;0,L13,0)</f>
        <v>0</v>
      </c>
      <c r="K13" s="6" t="n">
        <f aca="false">I13+J13</f>
        <v>835.07</v>
      </c>
      <c r="L13" s="6" t="n">
        <f aca="false">F13-(I13-X13)</f>
        <v>-58.21902949332</v>
      </c>
      <c r="M13" s="6" t="n">
        <v>325</v>
      </c>
      <c r="N13" s="6" t="n">
        <v>0</v>
      </c>
      <c r="O13" s="6" t="n">
        <f aca="false">40.2+39.1*1.05</f>
        <v>81.255</v>
      </c>
      <c r="P13" s="6" t="n">
        <f aca="false">M13-(N13+O13)</f>
        <v>243.745</v>
      </c>
      <c r="Q13" s="6" t="n">
        <v>187</v>
      </c>
      <c r="R13" s="6" t="n">
        <v>81</v>
      </c>
      <c r="S13" s="6" t="n">
        <f aca="false">SUM(P13:R13)</f>
        <v>511.745</v>
      </c>
      <c r="T13" s="52"/>
      <c r="U13" s="6" t="n">
        <v>165.4</v>
      </c>
      <c r="V13" s="6" t="n">
        <v>85</v>
      </c>
      <c r="W13" s="7" t="n">
        <f aca="false">W12-80</f>
        <v>16248</v>
      </c>
      <c r="X13" s="6" t="n">
        <f aca="false">N13+O13+S13+U13+V13</f>
        <v>843.4</v>
      </c>
      <c r="Y13" s="6" t="n">
        <f aca="false">IF(L13&lt;0,L13*-1,0)</f>
        <v>58.21902949332</v>
      </c>
      <c r="Z13" s="6" t="n">
        <f aca="false">X13+Y13</f>
        <v>901.61902949332</v>
      </c>
      <c r="AA13" s="8" t="n">
        <v>0</v>
      </c>
      <c r="AB13" s="10" t="n">
        <v>92</v>
      </c>
      <c r="AC13" s="10" t="n">
        <v>50</v>
      </c>
      <c r="AD13" s="11" t="n">
        <f aca="false">AD12+1</f>
        <v>4</v>
      </c>
      <c r="AE13" s="10"/>
      <c r="AF13" s="10"/>
      <c r="AH13" s="6"/>
    </row>
    <row r="14" customFormat="false" ht="11.1" hidden="false" customHeight="true" outlineLevel="0" collapsed="false">
      <c r="A14" s="11" t="n">
        <f aca="false">A13+1</f>
        <v>5</v>
      </c>
      <c r="B14" s="28" t="n">
        <v>6921.43</v>
      </c>
      <c r="C14" s="7" t="n">
        <v>369798</v>
      </c>
      <c r="D14" s="10" t="n">
        <f aca="false">C14-C13</f>
        <v>-306</v>
      </c>
      <c r="E14" s="7" t="n">
        <f aca="false">C14-152000</f>
        <v>217798</v>
      </c>
      <c r="F14" s="6" t="n">
        <f aca="false">D14/$D$2</f>
        <v>-154.27275018906</v>
      </c>
      <c r="G14" s="6" t="n">
        <v>734</v>
      </c>
      <c r="H14" s="8" t="n">
        <v>0.03</v>
      </c>
      <c r="I14" s="6" t="n">
        <f aca="false">G14+H14</f>
        <v>734.03</v>
      </c>
      <c r="J14" s="101" t="n">
        <f aca="false">IF(L14&gt;0,L14,0)</f>
        <v>0</v>
      </c>
      <c r="K14" s="6" t="n">
        <f aca="false">I14+J14</f>
        <v>734.03</v>
      </c>
      <c r="L14" s="6" t="n">
        <f aca="false">F14-(I14-X14)</f>
        <v>-47.1027501890597</v>
      </c>
      <c r="M14" s="6" t="n">
        <v>310</v>
      </c>
      <c r="N14" s="6" t="n">
        <v>0</v>
      </c>
      <c r="O14" s="6" t="n">
        <f aca="false">37.7+36.7*1.05</f>
        <v>76.235</v>
      </c>
      <c r="P14" s="6" t="n">
        <f aca="false">M14-(N14+O14)</f>
        <v>233.765</v>
      </c>
      <c r="Q14" s="6" t="n">
        <v>187</v>
      </c>
      <c r="R14" s="6" t="n">
        <v>81</v>
      </c>
      <c r="S14" s="6" t="n">
        <f aca="false">SUM(P14:R14)</f>
        <v>501.765</v>
      </c>
      <c r="T14" s="52"/>
      <c r="U14" s="6" t="n">
        <v>178.2</v>
      </c>
      <c r="V14" s="6" t="n">
        <v>85</v>
      </c>
      <c r="W14" s="7" t="n">
        <f aca="false">W13-80</f>
        <v>16168</v>
      </c>
      <c r="X14" s="6" t="n">
        <f aca="false">N14+O14+S14+U14+V14</f>
        <v>841.2</v>
      </c>
      <c r="Y14" s="6" t="n">
        <f aca="false">IF(L14&lt;0,L14*-1,0)</f>
        <v>47.1027501890597</v>
      </c>
      <c r="Z14" s="6" t="n">
        <f aca="false">X14+Y14</f>
        <v>888.30275018906</v>
      </c>
      <c r="AA14" s="8" t="n">
        <v>0</v>
      </c>
      <c r="AB14" s="10" t="n">
        <v>88</v>
      </c>
      <c r="AC14" s="10" t="n">
        <v>52</v>
      </c>
      <c r="AD14" s="11" t="n">
        <v>5</v>
      </c>
      <c r="AE14" s="10"/>
      <c r="AF14" s="10"/>
      <c r="AH14" s="6"/>
    </row>
    <row r="15" customFormat="false" ht="11.1" hidden="false" customHeight="true" outlineLevel="0" collapsed="false">
      <c r="A15" s="11" t="n">
        <f aca="false">A14+1</f>
        <v>6</v>
      </c>
      <c r="B15" s="28" t="n">
        <v>6921.35</v>
      </c>
      <c r="C15" s="7" t="n">
        <v>369447</v>
      </c>
      <c r="D15" s="10" t="n">
        <f aca="false">C15-C14</f>
        <v>-351</v>
      </c>
      <c r="E15" s="7" t="n">
        <f aca="false">C15-152000</f>
        <v>217447</v>
      </c>
      <c r="F15" s="6" t="n">
        <f aca="false">D15/$D$2</f>
        <v>-176.95991933451</v>
      </c>
      <c r="G15" s="6" t="n">
        <v>673</v>
      </c>
      <c r="H15" s="8" t="n">
        <v>0</v>
      </c>
      <c r="I15" s="6" t="n">
        <f aca="false">G15+H15</f>
        <v>673</v>
      </c>
      <c r="J15" s="101" t="n">
        <f aca="false">IF(L15&gt;0,L15,0)</f>
        <v>0</v>
      </c>
      <c r="K15" s="6" t="n">
        <f aca="false">I15+J15</f>
        <v>673</v>
      </c>
      <c r="L15" s="6" t="n">
        <f aca="false">F15-(I15-X15)</f>
        <v>-34.5599193345097</v>
      </c>
      <c r="M15" s="6" t="n">
        <v>302</v>
      </c>
      <c r="N15" s="6" t="n">
        <v>0</v>
      </c>
      <c r="O15" s="6" t="n">
        <f aca="false">34.9+33.7*1.05</f>
        <v>70.285</v>
      </c>
      <c r="P15" s="6" t="n">
        <f aca="false">M15-(N15+O15)</f>
        <v>231.715</v>
      </c>
      <c r="Q15" s="6" t="n">
        <v>187</v>
      </c>
      <c r="R15" s="6" t="n">
        <v>81</v>
      </c>
      <c r="S15" s="6" t="n">
        <f aca="false">SUM(P15:R15)</f>
        <v>499.715</v>
      </c>
      <c r="T15" s="52"/>
      <c r="U15" s="6" t="n">
        <v>160.4</v>
      </c>
      <c r="V15" s="6" t="n">
        <v>85</v>
      </c>
      <c r="W15" s="7" t="n">
        <f aca="false">W14-80</f>
        <v>16088</v>
      </c>
      <c r="X15" s="6" t="n">
        <f aca="false">N15+O15+S15+U15+V15</f>
        <v>815.4</v>
      </c>
      <c r="Y15" s="6" t="n">
        <f aca="false">IF(L15&lt;0,L15*-1,0)</f>
        <v>34.5599193345097</v>
      </c>
      <c r="Z15" s="6" t="n">
        <f aca="false">X15+Y15</f>
        <v>849.95991933451</v>
      </c>
      <c r="AA15" s="8" t="n">
        <v>0</v>
      </c>
      <c r="AB15" s="10" t="n">
        <v>90</v>
      </c>
      <c r="AC15" s="10" t="n">
        <v>53</v>
      </c>
      <c r="AD15" s="11" t="n">
        <f aca="false">AD14+1</f>
        <v>6</v>
      </c>
      <c r="AE15" s="10"/>
      <c r="AF15" s="10"/>
      <c r="AH15" s="6"/>
    </row>
    <row r="16" customFormat="false" ht="11.1" hidden="false" customHeight="true" outlineLevel="0" collapsed="false">
      <c r="A16" s="11" t="n">
        <f aca="false">A15+1</f>
        <v>7</v>
      </c>
      <c r="B16" s="28" t="n">
        <v>6921.21</v>
      </c>
      <c r="C16" s="7" t="n">
        <v>368834</v>
      </c>
      <c r="D16" s="10" t="n">
        <f aca="false">C16-C15</f>
        <v>-613</v>
      </c>
      <c r="E16" s="7" t="n">
        <f aca="false">C16-152000</f>
        <v>216834</v>
      </c>
      <c r="F16" s="6" t="n">
        <f aca="false">D16/$D$2</f>
        <v>-309.049659692463</v>
      </c>
      <c r="G16" s="6" t="n">
        <v>639</v>
      </c>
      <c r="H16" s="8" t="n">
        <v>0</v>
      </c>
      <c r="I16" s="6" t="n">
        <f aca="false">G16+H16</f>
        <v>639</v>
      </c>
      <c r="J16" s="101" t="n">
        <f aca="false">IF(L16&gt;0,L16,0)</f>
        <v>0</v>
      </c>
      <c r="K16" s="6" t="n">
        <f aca="false">I16+J16</f>
        <v>639</v>
      </c>
      <c r="L16" s="6" t="n">
        <f aca="false">F16-(I16-X16)</f>
        <v>-99.2496596924628</v>
      </c>
      <c r="M16" s="6" t="n">
        <v>326</v>
      </c>
      <c r="N16" s="6" t="n">
        <v>0</v>
      </c>
      <c r="O16" s="6" t="n">
        <f aca="false">41.7+41.4*1.05</f>
        <v>85.17</v>
      </c>
      <c r="P16" s="6" t="n">
        <f aca="false">M16-(N16+O16)</f>
        <v>240.83</v>
      </c>
      <c r="Q16" s="6" t="n">
        <v>187</v>
      </c>
      <c r="R16" s="6" t="n">
        <v>81</v>
      </c>
      <c r="S16" s="6" t="n">
        <f aca="false">SUM(P16:R16)</f>
        <v>508.83</v>
      </c>
      <c r="T16" s="52"/>
      <c r="U16" s="6" t="n">
        <v>168.8</v>
      </c>
      <c r="V16" s="6" t="n">
        <v>86</v>
      </c>
      <c r="W16" s="7" t="n">
        <f aca="false">W15-80</f>
        <v>16008</v>
      </c>
      <c r="X16" s="6" t="n">
        <f aca="false">N16+O16+S16+U16+V16</f>
        <v>848.8</v>
      </c>
      <c r="Y16" s="6" t="n">
        <f aca="false">IF(L16&lt;0,L16*-1,0)</f>
        <v>99.2496596924628</v>
      </c>
      <c r="Z16" s="6" t="n">
        <f aca="false">X16+Y16</f>
        <v>948.049659692463</v>
      </c>
      <c r="AA16" s="8" t="n">
        <v>0</v>
      </c>
      <c r="AB16" s="10" t="n">
        <v>92</v>
      </c>
      <c r="AC16" s="10" t="n">
        <v>52</v>
      </c>
      <c r="AD16" s="11" t="n">
        <f aca="false">AD15+1</f>
        <v>7</v>
      </c>
      <c r="AE16" s="10"/>
      <c r="AF16" s="10"/>
      <c r="AH16" s="6"/>
    </row>
    <row r="17" customFormat="false" ht="11.1" hidden="false" customHeight="true" outlineLevel="0" collapsed="false">
      <c r="A17" s="11" t="n">
        <f aca="false">A16+1</f>
        <v>8</v>
      </c>
      <c r="B17" s="28" t="n">
        <v>6921.09</v>
      </c>
      <c r="C17" s="7" t="n">
        <v>368309</v>
      </c>
      <c r="D17" s="10" t="n">
        <f aca="false">C17-C16</f>
        <v>-525</v>
      </c>
      <c r="E17" s="7" t="n">
        <f aca="false">C17-152000</f>
        <v>216309</v>
      </c>
      <c r="F17" s="6" t="n">
        <f aca="false">D17/$D$2</f>
        <v>-264.68364003025</v>
      </c>
      <c r="G17" s="6" t="n">
        <v>584</v>
      </c>
      <c r="H17" s="8" t="n">
        <v>0</v>
      </c>
      <c r="I17" s="6" t="n">
        <f aca="false">G17+H17</f>
        <v>584</v>
      </c>
      <c r="J17" s="101" t="n">
        <f aca="false">IF(L17&gt;0,L17,0)</f>
        <v>0</v>
      </c>
      <c r="K17" s="6" t="n">
        <f aca="false">I17+J17</f>
        <v>584</v>
      </c>
      <c r="L17" s="6" t="n">
        <f aca="false">F17-(I17-X17)</f>
        <v>-18.5836400302495</v>
      </c>
      <c r="M17" s="6" t="n">
        <v>328</v>
      </c>
      <c r="N17" s="6" t="n">
        <v>0</v>
      </c>
      <c r="O17" s="6" t="n">
        <f aca="false">44.8+41.5*1.05</f>
        <v>88.375</v>
      </c>
      <c r="P17" s="6" t="n">
        <f aca="false">M17-(N17+O17)</f>
        <v>239.625</v>
      </c>
      <c r="Q17" s="6" t="n">
        <v>186</v>
      </c>
      <c r="R17" s="6" t="n">
        <v>81</v>
      </c>
      <c r="S17" s="6" t="n">
        <f aca="false">SUM(P17:R17)</f>
        <v>506.625</v>
      </c>
      <c r="T17" s="52"/>
      <c r="U17" s="6" t="n">
        <v>149.1</v>
      </c>
      <c r="V17" s="6" t="n">
        <v>86</v>
      </c>
      <c r="W17" s="7" t="n">
        <f aca="false">W16-80</f>
        <v>15928</v>
      </c>
      <c r="X17" s="6" t="n">
        <f aca="false">N17+O17+S17+U17+V17</f>
        <v>830.1</v>
      </c>
      <c r="Y17" s="6" t="n">
        <f aca="false">IF(L17&lt;0,L17*-1,0)</f>
        <v>18.5836400302495</v>
      </c>
      <c r="Z17" s="6" t="n">
        <f aca="false">X17+Y17</f>
        <v>848.68364003025</v>
      </c>
      <c r="AA17" s="8" t="n">
        <v>0.09</v>
      </c>
      <c r="AB17" s="10" t="n">
        <v>83</v>
      </c>
      <c r="AC17" s="10" t="n">
        <v>60</v>
      </c>
      <c r="AD17" s="11" t="n">
        <f aca="false">AD16+1</f>
        <v>8</v>
      </c>
      <c r="AE17" s="10"/>
      <c r="AF17" s="10"/>
      <c r="AH17" s="6"/>
    </row>
    <row r="18" customFormat="false" ht="11.1" hidden="false" customHeight="true" outlineLevel="0" collapsed="false">
      <c r="A18" s="11" t="n">
        <f aca="false">A17+1</f>
        <v>9</v>
      </c>
      <c r="B18" s="28" t="n">
        <v>6920.96</v>
      </c>
      <c r="C18" s="7" t="n">
        <v>367741</v>
      </c>
      <c r="D18" s="10" t="n">
        <f aca="false">C18-C17</f>
        <v>-568</v>
      </c>
      <c r="E18" s="7" t="n">
        <f aca="false">C18-152000</f>
        <v>215741</v>
      </c>
      <c r="F18" s="6" t="n">
        <f aca="false">D18/$D$2</f>
        <v>-286.362490547013</v>
      </c>
      <c r="G18" s="6" t="n">
        <v>604</v>
      </c>
      <c r="H18" s="8" t="n">
        <v>0</v>
      </c>
      <c r="I18" s="6" t="n">
        <f aca="false">G18+H18</f>
        <v>604</v>
      </c>
      <c r="J18" s="101" t="n">
        <f aca="false">IF(L18&gt;0,L18,0)</f>
        <v>0</v>
      </c>
      <c r="K18" s="6" t="n">
        <f aca="false">I18+J18</f>
        <v>604</v>
      </c>
      <c r="L18" s="6" t="n">
        <f aca="false">F18-(I18-X18)</f>
        <v>-75.9624905470129</v>
      </c>
      <c r="M18" s="6" t="n">
        <v>316</v>
      </c>
      <c r="N18" s="6" t="n">
        <v>0</v>
      </c>
      <c r="O18" s="6" t="n">
        <f aca="false">37.4+34.3*1.05</f>
        <v>73.415</v>
      </c>
      <c r="P18" s="6" t="n">
        <f aca="false">M18-(N18+O18)</f>
        <v>242.585</v>
      </c>
      <c r="Q18" s="6" t="n">
        <v>183</v>
      </c>
      <c r="R18" s="6" t="n">
        <v>81</v>
      </c>
      <c r="S18" s="6" t="n">
        <f aca="false">SUM(P18:R18)</f>
        <v>506.585</v>
      </c>
      <c r="T18" s="52"/>
      <c r="U18" s="6" t="n">
        <v>149.4</v>
      </c>
      <c r="V18" s="6" t="n">
        <v>85</v>
      </c>
      <c r="W18" s="7" t="n">
        <f aca="false">W17-80</f>
        <v>15848</v>
      </c>
      <c r="X18" s="6" t="n">
        <f aca="false">N18+O18+S18+U18+V18</f>
        <v>814.4</v>
      </c>
      <c r="Y18" s="6" t="n">
        <f aca="false">IF(L18&lt;0,L18*-1,0)</f>
        <v>75.9624905470129</v>
      </c>
      <c r="Z18" s="6" t="n">
        <f aca="false">X18+Y18</f>
        <v>890.362490547013</v>
      </c>
      <c r="AA18" s="8" t="n">
        <v>0</v>
      </c>
      <c r="AB18" s="10" t="n">
        <v>81</v>
      </c>
      <c r="AC18" s="10" t="n">
        <v>52</v>
      </c>
      <c r="AD18" s="11" t="n">
        <f aca="false">AD17+1</f>
        <v>9</v>
      </c>
      <c r="AE18" s="10"/>
      <c r="AF18" s="10"/>
      <c r="AH18" s="6"/>
    </row>
    <row r="19" customFormat="false" ht="11.1" hidden="false" customHeight="true" outlineLevel="0" collapsed="false">
      <c r="A19" s="11" t="n">
        <f aca="false">A18+1</f>
        <v>10</v>
      </c>
      <c r="B19" s="28" t="n">
        <v>6920.8</v>
      </c>
      <c r="C19" s="7" t="n">
        <v>367046</v>
      </c>
      <c r="D19" s="10" t="n">
        <f aca="false">C19-C18</f>
        <v>-695</v>
      </c>
      <c r="E19" s="7" t="n">
        <f aca="false">C19-152000</f>
        <v>215046</v>
      </c>
      <c r="F19" s="6" t="n">
        <f aca="false">D19/$D$2</f>
        <v>-350.390723468616</v>
      </c>
      <c r="G19" s="6" t="n">
        <v>537</v>
      </c>
      <c r="H19" s="8" t="n">
        <v>0</v>
      </c>
      <c r="I19" s="6" t="n">
        <f aca="false">G19+H19</f>
        <v>537</v>
      </c>
      <c r="J19" s="101" t="n">
        <f aca="false">IF(L19&gt;0,L19,0)</f>
        <v>0</v>
      </c>
      <c r="K19" s="6" t="n">
        <f aca="false">I19+J19</f>
        <v>537</v>
      </c>
      <c r="L19" s="6" t="n">
        <f aca="false">F19-(I19-X19)</f>
        <v>-75.5107234686161</v>
      </c>
      <c r="M19" s="6" t="n">
        <v>302</v>
      </c>
      <c r="N19" s="6" t="n">
        <v>0</v>
      </c>
      <c r="O19" s="6" t="n">
        <f aca="false">31.9+31.3*1.05</f>
        <v>64.765</v>
      </c>
      <c r="P19" s="6" t="n">
        <f aca="false">M19-(N19+O19)</f>
        <v>237.235</v>
      </c>
      <c r="Q19" s="6" t="n">
        <v>183</v>
      </c>
      <c r="R19" s="6" t="n">
        <v>81</v>
      </c>
      <c r="S19" s="6" t="n">
        <f aca="false">SUM(P19:R19)</f>
        <v>501.235</v>
      </c>
      <c r="T19" s="52"/>
      <c r="U19" s="6" t="n">
        <v>160.88</v>
      </c>
      <c r="V19" s="6" t="n">
        <v>85</v>
      </c>
      <c r="W19" s="7" t="n">
        <f aca="false">W18-80</f>
        <v>15768</v>
      </c>
      <c r="X19" s="6" t="n">
        <f aca="false">N19+O19+S19+U19+V19</f>
        <v>811.88</v>
      </c>
      <c r="Y19" s="6" t="n">
        <f aca="false">IF(L19&lt;0,L19*-1,0)</f>
        <v>75.5107234686161</v>
      </c>
      <c r="Z19" s="6" t="n">
        <f aca="false">X19+Y19</f>
        <v>887.390723468616</v>
      </c>
      <c r="AA19" s="8" t="n">
        <v>0</v>
      </c>
      <c r="AB19" s="10" t="n">
        <v>77</v>
      </c>
      <c r="AC19" s="10" t="n">
        <v>46</v>
      </c>
      <c r="AD19" s="11" t="n">
        <f aca="false">AD18+1</f>
        <v>10</v>
      </c>
      <c r="AE19" s="10"/>
      <c r="AF19" s="10"/>
      <c r="AH19" s="6"/>
    </row>
    <row r="20" customFormat="false" ht="11.1" hidden="false" customHeight="true" outlineLevel="0" collapsed="false">
      <c r="A20" s="11" t="n">
        <f aca="false">A19+1</f>
        <v>11</v>
      </c>
      <c r="B20" s="28" t="n">
        <v>6920.6</v>
      </c>
      <c r="C20" s="7" t="n">
        <v>366178</v>
      </c>
      <c r="D20" s="10" t="n">
        <f aca="false">C20-C19</f>
        <v>-868</v>
      </c>
      <c r="E20" s="7" t="n">
        <f aca="false">C20-152000</f>
        <v>214178</v>
      </c>
      <c r="F20" s="6" t="n">
        <f aca="false">D20/$D$2</f>
        <v>-437.610284850013</v>
      </c>
      <c r="G20" s="6" t="n">
        <v>450</v>
      </c>
      <c r="H20" s="8" t="n">
        <v>0</v>
      </c>
      <c r="I20" s="6" t="n">
        <f aca="false">G20+H20</f>
        <v>450</v>
      </c>
      <c r="J20" s="101" t="n">
        <f aca="false">IF(L20&gt;0,L20,0)</f>
        <v>0</v>
      </c>
      <c r="K20" s="6" t="n">
        <f aca="false">I20+J20</f>
        <v>450</v>
      </c>
      <c r="L20" s="6" t="n">
        <f aca="false">F20-(I20-X20)</f>
        <v>-70.3102848500126</v>
      </c>
      <c r="M20" s="6" t="n">
        <v>298</v>
      </c>
      <c r="N20" s="6" t="n">
        <v>0</v>
      </c>
      <c r="O20" s="6" t="n">
        <f aca="false">28.9+28.9*1.05</f>
        <v>59.245</v>
      </c>
      <c r="P20" s="6" t="n">
        <f aca="false">M20-(N20+O20)</f>
        <v>238.755</v>
      </c>
      <c r="Q20" s="6" t="n">
        <v>183</v>
      </c>
      <c r="R20" s="6" t="n">
        <v>81</v>
      </c>
      <c r="S20" s="6" t="n">
        <f aca="false">SUM(P20:R20)</f>
        <v>502.755</v>
      </c>
      <c r="T20" s="52"/>
      <c r="U20" s="6" t="n">
        <v>170.3</v>
      </c>
      <c r="V20" s="6" t="n">
        <v>85</v>
      </c>
      <c r="W20" s="7" t="n">
        <f aca="false">W19-80</f>
        <v>15688</v>
      </c>
      <c r="X20" s="6" t="n">
        <f aca="false">N20+O20+S20+U20+V20</f>
        <v>817.3</v>
      </c>
      <c r="Y20" s="6" t="n">
        <f aca="false">IF(L20&lt;0,L20*-1,0)</f>
        <v>70.3102848500126</v>
      </c>
      <c r="Z20" s="6" t="n">
        <f aca="false">X20+Y20</f>
        <v>887.610284850013</v>
      </c>
      <c r="AA20" s="8" t="n">
        <v>0</v>
      </c>
      <c r="AB20" s="10" t="n">
        <v>79</v>
      </c>
      <c r="AC20" s="10" t="n">
        <v>41</v>
      </c>
      <c r="AD20" s="11" t="n">
        <f aca="false">AD19+1</f>
        <v>11</v>
      </c>
      <c r="AE20" s="10"/>
      <c r="AF20" s="10"/>
      <c r="AH20" s="6"/>
    </row>
    <row r="21" customFormat="false" ht="11.1" hidden="false" customHeight="true" outlineLevel="0" collapsed="false">
      <c r="A21" s="11" t="n">
        <f aca="false">A20+1</f>
        <v>12</v>
      </c>
      <c r="B21" s="28" t="n">
        <v>6920.35</v>
      </c>
      <c r="C21" s="7" t="n">
        <v>365093</v>
      </c>
      <c r="D21" s="10" t="n">
        <f aca="false">C21-C20</f>
        <v>-1085</v>
      </c>
      <c r="E21" s="7" t="n">
        <f aca="false">C21-152000</f>
        <v>213093</v>
      </c>
      <c r="F21" s="6" t="n">
        <f aca="false">D21/$D$2</f>
        <v>-547.012856062516</v>
      </c>
      <c r="G21" s="6" t="n">
        <v>408</v>
      </c>
      <c r="H21" s="8" t="n">
        <v>0</v>
      </c>
      <c r="I21" s="6" t="n">
        <f aca="false">G21+H21</f>
        <v>408</v>
      </c>
      <c r="J21" s="101" t="n">
        <f aca="false">IF(L21&gt;0,L21,0)</f>
        <v>0</v>
      </c>
      <c r="K21" s="6" t="n">
        <f aca="false">I21+J21</f>
        <v>408</v>
      </c>
      <c r="L21" s="6" t="n">
        <f aca="false">F21-(I21-X21)</f>
        <v>-119.312856062516</v>
      </c>
      <c r="M21" s="6" t="n">
        <v>309</v>
      </c>
      <c r="N21" s="6" t="n">
        <v>0</v>
      </c>
      <c r="O21" s="6" t="n">
        <f aca="false">31+31.2*1.05</f>
        <v>63.76</v>
      </c>
      <c r="P21" s="6" t="n">
        <f aca="false">M21-(N21+O21)</f>
        <v>245.24</v>
      </c>
      <c r="Q21" s="6" t="n">
        <v>186</v>
      </c>
      <c r="R21" s="6" t="n">
        <v>81</v>
      </c>
      <c r="S21" s="6" t="n">
        <f aca="false">SUM(P21:R21)</f>
        <v>512.24</v>
      </c>
      <c r="T21" s="52"/>
      <c r="U21" s="6" t="n">
        <v>174.7</v>
      </c>
      <c r="V21" s="6" t="n">
        <v>85</v>
      </c>
      <c r="W21" s="7" t="n">
        <f aca="false">W20-80</f>
        <v>15608</v>
      </c>
      <c r="X21" s="6" t="n">
        <f aca="false">N21+O21+S21+U21+V21</f>
        <v>835.7</v>
      </c>
      <c r="Y21" s="6" t="n">
        <f aca="false">IF(L21&lt;0,L21*-1,0)</f>
        <v>119.312856062516</v>
      </c>
      <c r="Z21" s="6" t="n">
        <f aca="false">X21+Y21</f>
        <v>955.012856062516</v>
      </c>
      <c r="AA21" s="8" t="n">
        <v>0</v>
      </c>
      <c r="AB21" s="10" t="n">
        <v>86</v>
      </c>
      <c r="AC21" s="10" t="n">
        <v>43</v>
      </c>
      <c r="AD21" s="11" t="n">
        <f aca="false">AD20+1</f>
        <v>12</v>
      </c>
      <c r="AE21" s="10"/>
      <c r="AF21" s="10"/>
      <c r="AH21" s="6"/>
    </row>
    <row r="22" customFormat="false" ht="11.1" hidden="false" customHeight="true" outlineLevel="0" collapsed="false">
      <c r="A22" s="11" t="n">
        <f aca="false">A21+1</f>
        <v>13</v>
      </c>
      <c r="B22" s="28" t="n">
        <v>6920.1</v>
      </c>
      <c r="C22" s="7" t="n">
        <v>364007</v>
      </c>
      <c r="D22" s="10" t="n">
        <f aca="false">C22-C21</f>
        <v>-1086</v>
      </c>
      <c r="E22" s="7" t="n">
        <f aca="false">C22-152000</f>
        <v>212007</v>
      </c>
      <c r="F22" s="6" t="n">
        <f aca="false">D22/$D$2</f>
        <v>-547.517015376859</v>
      </c>
      <c r="G22" s="6" t="n">
        <v>369</v>
      </c>
      <c r="H22" s="8" t="n">
        <v>0</v>
      </c>
      <c r="I22" s="6" t="n">
        <f aca="false">G22+H22</f>
        <v>369</v>
      </c>
      <c r="J22" s="101" t="n">
        <f aca="false">IF(L22&gt;0,L22,0)</f>
        <v>0</v>
      </c>
      <c r="K22" s="6" t="n">
        <f aca="false">I22+J22</f>
        <v>369</v>
      </c>
      <c r="L22" s="6" t="n">
        <f aca="false">F22-(I22-X22)</f>
        <v>-55.917015376859</v>
      </c>
      <c r="M22" s="6" t="n">
        <v>312</v>
      </c>
      <c r="N22" s="6" t="n">
        <v>0</v>
      </c>
      <c r="O22" s="6" t="n">
        <f aca="false">33.4+32.9*1.05</f>
        <v>67.945</v>
      </c>
      <c r="P22" s="6" t="n">
        <f aca="false">M22-(N22+O22)</f>
        <v>244.055</v>
      </c>
      <c r="Q22" s="6" t="n">
        <v>186</v>
      </c>
      <c r="R22" s="6" t="n">
        <v>80</v>
      </c>
      <c r="S22" s="6" t="n">
        <f aca="false">SUM(P22:R22)</f>
        <v>510.055</v>
      </c>
      <c r="T22" s="52"/>
      <c r="U22" s="6" t="n">
        <v>197.6</v>
      </c>
      <c r="V22" s="6" t="n">
        <v>85</v>
      </c>
      <c r="W22" s="7" t="n">
        <f aca="false">W21-80</f>
        <v>15528</v>
      </c>
      <c r="X22" s="6" t="n">
        <f aca="false">N22+O22+S22+U22+V22</f>
        <v>860.6</v>
      </c>
      <c r="Y22" s="6" t="n">
        <f aca="false">IF(L22&lt;0,L22*-1,0)</f>
        <v>55.917015376859</v>
      </c>
      <c r="Z22" s="6" t="n">
        <f aca="false">X22+Y22</f>
        <v>916.517015376859</v>
      </c>
      <c r="AA22" s="8" t="n">
        <v>0</v>
      </c>
      <c r="AB22" s="10" t="n">
        <v>80</v>
      </c>
      <c r="AC22" s="10" t="n">
        <v>44</v>
      </c>
      <c r="AD22" s="11" t="n">
        <f aca="false">AD21+1</f>
        <v>13</v>
      </c>
      <c r="AE22" s="10"/>
      <c r="AF22" s="10"/>
      <c r="AH22" s="6"/>
    </row>
    <row r="23" customFormat="false" ht="11.1" hidden="false" customHeight="true" outlineLevel="0" collapsed="false">
      <c r="A23" s="11" t="n">
        <f aca="false">A22+1</f>
        <v>14</v>
      </c>
      <c r="B23" s="28" t="n">
        <v>6919.84</v>
      </c>
      <c r="C23" s="7" t="n">
        <v>362884</v>
      </c>
      <c r="D23" s="10" t="n">
        <f aca="false">C23-C22</f>
        <v>-1123</v>
      </c>
      <c r="E23" s="7" t="n">
        <f aca="false">C23-152000</f>
        <v>210884</v>
      </c>
      <c r="F23" s="6" t="n">
        <f aca="false">D23/$D$2</f>
        <v>-566.170910007562</v>
      </c>
      <c r="G23" s="6" t="n">
        <v>357</v>
      </c>
      <c r="H23" s="8" t="n">
        <v>0</v>
      </c>
      <c r="I23" s="6" t="n">
        <f aca="false">G23+H23</f>
        <v>357</v>
      </c>
      <c r="J23" s="101" t="n">
        <f aca="false">IF(L23&gt;0,L23,0)</f>
        <v>0</v>
      </c>
      <c r="K23" s="6" t="n">
        <f aca="false">I23+J23</f>
        <v>357</v>
      </c>
      <c r="L23" s="6" t="n">
        <f aca="false">F23-(I23-X23)</f>
        <v>-83.5709100075624</v>
      </c>
      <c r="M23" s="6" t="n">
        <v>298</v>
      </c>
      <c r="N23" s="6" t="n">
        <v>0</v>
      </c>
      <c r="O23" s="6" t="n">
        <f aca="false">34.4+33.7*1.05</f>
        <v>69.785</v>
      </c>
      <c r="P23" s="6" t="n">
        <f aca="false">M23-(N23+O23)</f>
        <v>228.215</v>
      </c>
      <c r="Q23" s="6" t="n">
        <v>185</v>
      </c>
      <c r="R23" s="6" t="n">
        <v>80</v>
      </c>
      <c r="S23" s="6" t="n">
        <f aca="false">SUM(P23:R23)</f>
        <v>493.215</v>
      </c>
      <c r="T23" s="52"/>
      <c r="U23" s="6" t="n">
        <v>192.6</v>
      </c>
      <c r="V23" s="6" t="n">
        <v>84</v>
      </c>
      <c r="W23" s="7" t="n">
        <f aca="false">W22-80</f>
        <v>15448</v>
      </c>
      <c r="X23" s="6" t="n">
        <f aca="false">N23+O23+S23+U23+V23</f>
        <v>839.6</v>
      </c>
      <c r="Y23" s="6" t="n">
        <f aca="false">IF(L23&lt;0,L23*-1,0)</f>
        <v>83.5709100075624</v>
      </c>
      <c r="Z23" s="6" t="n">
        <f aca="false">X23+Y23</f>
        <v>923.170910007562</v>
      </c>
      <c r="AA23" s="8" t="n">
        <v>0</v>
      </c>
      <c r="AB23" s="10" t="n">
        <v>84</v>
      </c>
      <c r="AC23" s="10" t="n">
        <v>50</v>
      </c>
      <c r="AD23" s="11" t="n">
        <f aca="false">AD22+1</f>
        <v>14</v>
      </c>
      <c r="AE23" s="10"/>
      <c r="AF23" s="10"/>
      <c r="AH23" s="6"/>
    </row>
    <row r="24" customFormat="false" ht="11.1" hidden="false" customHeight="true" outlineLevel="0" collapsed="false">
      <c r="A24" s="11" t="n">
        <f aca="false">A23+1</f>
        <v>15</v>
      </c>
      <c r="B24" s="28" t="n">
        <v>6919.57</v>
      </c>
      <c r="C24" s="7" t="n">
        <v>361721</v>
      </c>
      <c r="D24" s="10" t="n">
        <f aca="false">C24-C23</f>
        <v>-1163</v>
      </c>
      <c r="E24" s="7" t="n">
        <f aca="false">C24-152000</f>
        <v>209721</v>
      </c>
      <c r="F24" s="6" t="n">
        <f aca="false">D24/$D$2</f>
        <v>-586.337282581296</v>
      </c>
      <c r="G24" s="6" t="n">
        <v>327</v>
      </c>
      <c r="H24" s="8" t="n">
        <v>0</v>
      </c>
      <c r="I24" s="6" t="n">
        <f aca="false">G24+H24</f>
        <v>327</v>
      </c>
      <c r="J24" s="101" t="n">
        <f aca="false">IF(L24&gt;0,L24,0)</f>
        <v>0</v>
      </c>
      <c r="K24" s="6" t="n">
        <f aca="false">I24+J24</f>
        <v>327</v>
      </c>
      <c r="L24" s="6" t="n">
        <f aca="false">F24-(I24-X24)</f>
        <v>-36.7372825812956</v>
      </c>
      <c r="M24" s="6" t="n">
        <v>303</v>
      </c>
      <c r="N24" s="6" t="n">
        <v>0</v>
      </c>
      <c r="O24" s="6" t="n">
        <f aca="false">32.4+28.5*1.05</f>
        <v>62.325</v>
      </c>
      <c r="P24" s="6" t="n">
        <f aca="false">M24-(N24+O24)</f>
        <v>240.675</v>
      </c>
      <c r="Q24" s="6" t="n">
        <v>184</v>
      </c>
      <c r="R24" s="6" t="n">
        <v>80</v>
      </c>
      <c r="S24" s="6" t="n">
        <f aca="false">SUM(P24:R24)</f>
        <v>504.675</v>
      </c>
      <c r="T24" s="52"/>
      <c r="U24" s="6" t="n">
        <v>225.6</v>
      </c>
      <c r="V24" s="6" t="n">
        <v>84</v>
      </c>
      <c r="W24" s="7" t="n">
        <f aca="false">W23-80</f>
        <v>15368</v>
      </c>
      <c r="X24" s="6" t="n">
        <f aca="false">N24+O24+S24+U24+V24</f>
        <v>876.6</v>
      </c>
      <c r="Y24" s="6" t="n">
        <f aca="false">IF(L24&lt;0,L24*-1,0)</f>
        <v>36.7372825812956</v>
      </c>
      <c r="Z24" s="6" t="n">
        <f aca="false">X24+Y24</f>
        <v>913.337282581296</v>
      </c>
      <c r="AA24" s="8" t="n">
        <v>0</v>
      </c>
      <c r="AB24" s="10" t="n">
        <v>90</v>
      </c>
      <c r="AC24" s="10" t="n">
        <v>54</v>
      </c>
      <c r="AD24" s="11" t="n">
        <f aca="false">AD23+1</f>
        <v>15</v>
      </c>
      <c r="AE24" s="10"/>
      <c r="AF24" s="10"/>
      <c r="AH24" s="6"/>
    </row>
    <row r="25" customFormat="false" ht="11.1" hidden="false" customHeight="true" outlineLevel="0" collapsed="false">
      <c r="A25" s="11" t="n">
        <f aca="false">A24+1</f>
        <v>16</v>
      </c>
      <c r="B25" s="28" t="n">
        <v>6919.27</v>
      </c>
      <c r="C25" s="7" t="n">
        <v>360430</v>
      </c>
      <c r="D25" s="10" t="n">
        <f aca="false">C25-C24</f>
        <v>-1291</v>
      </c>
      <c r="E25" s="7" t="n">
        <f aca="false">C25-152000</f>
        <v>208430</v>
      </c>
      <c r="F25" s="6" t="n">
        <f aca="false">D25/$D$2</f>
        <v>-650.869674817242</v>
      </c>
      <c r="G25" s="6" t="n">
        <v>302</v>
      </c>
      <c r="H25" s="8" t="n">
        <v>0</v>
      </c>
      <c r="I25" s="6" t="n">
        <f aca="false">G25+H25</f>
        <v>302</v>
      </c>
      <c r="J25" s="101" t="n">
        <f aca="false">IF(L25&gt;0,L25,0)</f>
        <v>0</v>
      </c>
      <c r="K25" s="6" t="n">
        <f aca="false">I25+J25</f>
        <v>302</v>
      </c>
      <c r="L25" s="6" t="n">
        <f aca="false">F25-(I25-X25)</f>
        <v>-58.6696748172421</v>
      </c>
      <c r="M25" s="6" t="n">
        <v>321</v>
      </c>
      <c r="N25" s="6" t="n">
        <v>0</v>
      </c>
      <c r="O25" s="6" t="n">
        <f aca="false">36.9+37.3*1.05</f>
        <v>76.065</v>
      </c>
      <c r="P25" s="6" t="n">
        <f aca="false">M25-(N25+O25)</f>
        <v>244.935</v>
      </c>
      <c r="Q25" s="6" t="n">
        <v>183</v>
      </c>
      <c r="R25" s="6" t="n">
        <v>79</v>
      </c>
      <c r="S25" s="6" t="n">
        <f aca="false">SUM(P25:R25)</f>
        <v>506.935</v>
      </c>
      <c r="T25" s="52"/>
      <c r="U25" s="6" t="n">
        <v>227.2</v>
      </c>
      <c r="V25" s="6" t="n">
        <v>84</v>
      </c>
      <c r="W25" s="7" t="n">
        <f aca="false">W24-80</f>
        <v>15288</v>
      </c>
      <c r="X25" s="6" t="n">
        <f aca="false">N25+O25+S25+U25+V25</f>
        <v>894.2</v>
      </c>
      <c r="Y25" s="6" t="n">
        <f aca="false">IF(L25&lt;0,L25*-1,0)</f>
        <v>58.6696748172421</v>
      </c>
      <c r="Z25" s="6" t="n">
        <f aca="false">X25+Y25</f>
        <v>952.869674817242</v>
      </c>
      <c r="AA25" s="8" t="n">
        <v>0</v>
      </c>
      <c r="AB25" s="10" t="n">
        <v>87</v>
      </c>
      <c r="AC25" s="10" t="n">
        <v>53</v>
      </c>
      <c r="AD25" s="11" t="n">
        <f aca="false">AD24+1</f>
        <v>16</v>
      </c>
      <c r="AE25" s="10"/>
      <c r="AF25" s="10"/>
      <c r="AH25" s="6"/>
    </row>
    <row r="26" customFormat="false" ht="11.1" hidden="false" customHeight="true" outlineLevel="0" collapsed="false">
      <c r="A26" s="11" t="n">
        <f aca="false">A25+1</f>
        <v>17</v>
      </c>
      <c r="B26" s="28" t="n">
        <v>6918.95</v>
      </c>
      <c r="C26" s="7" t="n">
        <v>359053</v>
      </c>
      <c r="D26" s="10" t="n">
        <f aca="false">C26-C25</f>
        <v>-1377</v>
      </c>
      <c r="E26" s="7" t="n">
        <f aca="false">C26-152000</f>
        <v>207053</v>
      </c>
      <c r="F26" s="6" t="n">
        <f aca="false">D26/$D$2</f>
        <v>-694.227375850769</v>
      </c>
      <c r="G26" s="6" t="n">
        <v>271</v>
      </c>
      <c r="H26" s="8" t="n">
        <v>0.01</v>
      </c>
      <c r="I26" s="6" t="n">
        <f aca="false">G26+H26</f>
        <v>271.01</v>
      </c>
      <c r="J26" s="101" t="n">
        <f aca="false">IF(L26&gt;0,L26,0)</f>
        <v>0</v>
      </c>
      <c r="K26" s="6" t="n">
        <f aca="false">I26+J26</f>
        <v>271.01</v>
      </c>
      <c r="L26" s="6" t="n">
        <f aca="false">F26-(I26-X26)</f>
        <v>-51.5373758507687</v>
      </c>
      <c r="M26" s="6" t="n">
        <v>326</v>
      </c>
      <c r="N26" s="6" t="n">
        <v>0</v>
      </c>
      <c r="O26" s="6" t="n">
        <f aca="false">35.8+35.6*1.05</f>
        <v>73.18</v>
      </c>
      <c r="P26" s="6" t="n">
        <f aca="false">M26-(N26+O26)</f>
        <v>252.82</v>
      </c>
      <c r="Q26" s="6" t="n">
        <v>185</v>
      </c>
      <c r="R26" s="6" t="n">
        <v>80</v>
      </c>
      <c r="S26" s="6" t="n">
        <f aca="false">SUM(P26:R26)</f>
        <v>517.82</v>
      </c>
      <c r="T26" s="52"/>
      <c r="U26" s="6" t="n">
        <v>238.7</v>
      </c>
      <c r="V26" s="6" t="n">
        <v>84</v>
      </c>
      <c r="W26" s="7" t="n">
        <f aca="false">W25-80</f>
        <v>15208</v>
      </c>
      <c r="X26" s="6" t="n">
        <f aca="false">N26+O26+S26+U26+V26</f>
        <v>913.7</v>
      </c>
      <c r="Y26" s="6" t="n">
        <f aca="false">IF(L26&lt;0,L26*-1,0)</f>
        <v>51.5373758507687</v>
      </c>
      <c r="Z26" s="6" t="n">
        <f aca="false">X26+Y26</f>
        <v>965.237375850769</v>
      </c>
      <c r="AA26" s="8" t="n">
        <v>0</v>
      </c>
      <c r="AB26" s="10" t="n">
        <v>82</v>
      </c>
      <c r="AC26" s="10" t="n">
        <v>45</v>
      </c>
      <c r="AD26" s="11" t="n">
        <f aca="false">AD25+1</f>
        <v>17</v>
      </c>
      <c r="AE26" s="10"/>
      <c r="AF26" s="10"/>
      <c r="AH26" s="6"/>
    </row>
    <row r="27" customFormat="false" ht="11.1" hidden="false" customHeight="true" outlineLevel="0" collapsed="false">
      <c r="A27" s="11" t="n">
        <f aca="false">A26+1</f>
        <v>18</v>
      </c>
      <c r="B27" s="28" t="n">
        <v>6918.64</v>
      </c>
      <c r="C27" s="7" t="n">
        <v>357728</v>
      </c>
      <c r="D27" s="10" t="n">
        <f aca="false">C27-C26</f>
        <v>-1325</v>
      </c>
      <c r="E27" s="7" t="n">
        <f aca="false">C27-152000</f>
        <v>205728</v>
      </c>
      <c r="F27" s="6" t="n">
        <f aca="false">D27/$D$2</f>
        <v>-668.011091504915</v>
      </c>
      <c r="G27" s="6" t="n">
        <v>248</v>
      </c>
      <c r="H27" s="8" t="n">
        <v>0.06</v>
      </c>
      <c r="I27" s="6" t="n">
        <f aca="false">G27+H27</f>
        <v>248.06</v>
      </c>
      <c r="J27" s="101" t="n">
        <f aca="false">IF(L27&gt;0,L27,0)</f>
        <v>0</v>
      </c>
      <c r="K27" s="6" t="n">
        <f aca="false">I27+J27</f>
        <v>248.06</v>
      </c>
      <c r="L27" s="6" t="n">
        <f aca="false">F27-(I27-X27)</f>
        <v>-8.07109150491544</v>
      </c>
      <c r="M27" s="6" t="n">
        <v>331</v>
      </c>
      <c r="N27" s="6" t="n">
        <v>0</v>
      </c>
      <c r="O27" s="6" t="n">
        <f aca="false">34.2+33.5*1.05</f>
        <v>69.375</v>
      </c>
      <c r="P27" s="6" t="n">
        <f aca="false">M27-(N27+O27)</f>
        <v>261.625</v>
      </c>
      <c r="Q27" s="6" t="n">
        <v>184</v>
      </c>
      <c r="R27" s="6" t="n">
        <v>81</v>
      </c>
      <c r="S27" s="6" t="n">
        <f aca="false">SUM(P27:R27)</f>
        <v>526.625</v>
      </c>
      <c r="T27" s="52"/>
      <c r="U27" s="6" t="n">
        <v>228</v>
      </c>
      <c r="V27" s="6" t="n">
        <v>84</v>
      </c>
      <c r="W27" s="7" t="n">
        <f aca="false">W26-80</f>
        <v>15128</v>
      </c>
      <c r="X27" s="6" t="n">
        <f aca="false">N27+O27+S27+U27+V27</f>
        <v>908</v>
      </c>
      <c r="Y27" s="6" t="n">
        <f aca="false">IF(L27&lt;0,L27*-1,0)</f>
        <v>8.07109150491544</v>
      </c>
      <c r="Z27" s="6" t="n">
        <f aca="false">X27+Y27</f>
        <v>916.071091504915</v>
      </c>
      <c r="AA27" s="8" t="n">
        <v>0.08</v>
      </c>
      <c r="AB27" s="10" t="n">
        <v>80</v>
      </c>
      <c r="AC27" s="10" t="n">
        <v>53</v>
      </c>
      <c r="AD27" s="11" t="n">
        <f aca="false">AD26+1</f>
        <v>18</v>
      </c>
      <c r="AE27" s="10"/>
      <c r="AF27" s="10"/>
      <c r="AH27" s="6"/>
    </row>
    <row r="28" customFormat="false" ht="11.1" hidden="false" customHeight="true" outlineLevel="0" collapsed="false">
      <c r="A28" s="11" t="n">
        <f aca="false">A27+1</f>
        <v>19</v>
      </c>
      <c r="B28" s="28" t="n">
        <v>6918.34</v>
      </c>
      <c r="C28" s="7" t="n">
        <v>356447</v>
      </c>
      <c r="D28" s="10" t="n">
        <f aca="false">C28-C27</f>
        <v>-1281</v>
      </c>
      <c r="E28" s="7" t="n">
        <f aca="false">C28-152000</f>
        <v>204447</v>
      </c>
      <c r="F28" s="6" t="n">
        <f aca="false">D28/$D$2</f>
        <v>-645.828081673809</v>
      </c>
      <c r="G28" s="6" t="n">
        <v>247</v>
      </c>
      <c r="H28" s="8" t="n">
        <v>0.07</v>
      </c>
      <c r="I28" s="6" t="n">
        <f aca="false">G28+H28</f>
        <v>247.07</v>
      </c>
      <c r="J28" s="101" t="n">
        <f aca="false">IF(L28&gt;0,L28,0)</f>
        <v>28.1019183261911</v>
      </c>
      <c r="K28" s="6" t="n">
        <f aca="false">I28+J28</f>
        <v>275.171918326191</v>
      </c>
      <c r="L28" s="6" t="n">
        <f aca="false">F28-(I28-X28)</f>
        <v>28.1019183261911</v>
      </c>
      <c r="M28" s="6" t="n">
        <v>328</v>
      </c>
      <c r="N28" s="6" t="n">
        <v>0</v>
      </c>
      <c r="O28" s="6" t="n">
        <f aca="false">38.9+37.7*1.05</f>
        <v>78.485</v>
      </c>
      <c r="P28" s="6" t="n">
        <f aca="false">M28-(N28+O28)</f>
        <v>249.515</v>
      </c>
      <c r="Q28" s="6" t="n">
        <v>185</v>
      </c>
      <c r="R28" s="6" t="n">
        <v>81</v>
      </c>
      <c r="S28" s="6" t="n">
        <f aca="false">SUM(P28:R28)</f>
        <v>515.515</v>
      </c>
      <c r="T28" s="52"/>
      <c r="U28" s="6" t="n">
        <v>243</v>
      </c>
      <c r="V28" s="6" t="n">
        <v>84</v>
      </c>
      <c r="W28" s="7" t="n">
        <f aca="false">W27-80</f>
        <v>15048</v>
      </c>
      <c r="X28" s="6" t="n">
        <f aca="false">N28+O28+S28+U28+V28</f>
        <v>921</v>
      </c>
      <c r="Y28" s="6" t="n">
        <f aca="false">IF(L28&lt;0,L28*-1,0)</f>
        <v>0</v>
      </c>
      <c r="Z28" s="6" t="n">
        <f aca="false">X28+Y28</f>
        <v>921</v>
      </c>
      <c r="AA28" s="8" t="n">
        <v>0</v>
      </c>
      <c r="AB28" s="10" t="n">
        <v>82</v>
      </c>
      <c r="AC28" s="10" t="n">
        <v>50</v>
      </c>
      <c r="AD28" s="11" t="n">
        <f aca="false">AD27+1</f>
        <v>19</v>
      </c>
      <c r="AE28" s="10"/>
      <c r="AF28" s="10"/>
      <c r="AH28" s="6"/>
    </row>
    <row r="29" customFormat="false" ht="11.1" hidden="false" customHeight="true" outlineLevel="0" collapsed="false">
      <c r="A29" s="11" t="n">
        <f aca="false">A28+1</f>
        <v>20</v>
      </c>
      <c r="B29" s="28" t="n">
        <v>6917.92</v>
      </c>
      <c r="C29" s="7" t="n">
        <v>354697</v>
      </c>
      <c r="D29" s="10" t="n">
        <f aca="false">C29-C28</f>
        <v>-1750</v>
      </c>
      <c r="E29" s="7" t="n">
        <f aca="false">C29-152000</f>
        <v>202697</v>
      </c>
      <c r="F29" s="6" t="n">
        <f aca="false">D29/$D$2</f>
        <v>-882.278800100832</v>
      </c>
      <c r="G29" s="6" t="n">
        <v>228</v>
      </c>
      <c r="H29" s="8" t="n">
        <v>0.09</v>
      </c>
      <c r="I29" s="6" t="n">
        <f aca="false">G29+H29</f>
        <v>228.09</v>
      </c>
      <c r="J29" s="101" t="n">
        <f aca="false">IF(L29&gt;0,L29,0)</f>
        <v>0</v>
      </c>
      <c r="K29" s="6" t="n">
        <f aca="false">I29+J29</f>
        <v>228.09</v>
      </c>
      <c r="L29" s="6" t="n">
        <f aca="false">F29-(I29-X29)</f>
        <v>-166.568800100832</v>
      </c>
      <c r="M29" s="6" t="n">
        <v>331</v>
      </c>
      <c r="N29" s="6" t="n">
        <v>0</v>
      </c>
      <c r="O29" s="119" t="n">
        <f aca="false">39.1+38.9*1.05</f>
        <v>79.945</v>
      </c>
      <c r="P29" s="6" t="n">
        <f aca="false">M29-(N29+O29)</f>
        <v>251.055</v>
      </c>
      <c r="Q29" s="6" t="n">
        <v>172</v>
      </c>
      <c r="R29" s="6" t="n">
        <v>81</v>
      </c>
      <c r="S29" s="6" t="n">
        <f aca="false">SUM(P29:R29)</f>
        <v>504.055</v>
      </c>
      <c r="T29" s="52"/>
      <c r="U29" s="6" t="n">
        <v>275.8</v>
      </c>
      <c r="V29" s="6" t="n">
        <v>84</v>
      </c>
      <c r="W29" s="7" t="n">
        <f aca="false">W28-80</f>
        <v>14968</v>
      </c>
      <c r="X29" s="6" t="n">
        <f aca="false">N29+O29+S29+U29+V29</f>
        <v>943.8</v>
      </c>
      <c r="Y29" s="6" t="n">
        <f aca="false">IF(L29&lt;0,L29*-1,0)</f>
        <v>166.568800100832</v>
      </c>
      <c r="Z29" s="6" t="n">
        <f aca="false">X29+Y29</f>
        <v>1110.36880010083</v>
      </c>
      <c r="AA29" s="8" t="n">
        <v>0</v>
      </c>
      <c r="AB29" s="10" t="n">
        <v>82</v>
      </c>
      <c r="AC29" s="10" t="n">
        <v>52</v>
      </c>
      <c r="AD29" s="11" t="n">
        <f aca="false">AD28+1</f>
        <v>20</v>
      </c>
      <c r="AE29" s="10"/>
      <c r="AF29" s="10"/>
      <c r="AH29" s="6"/>
    </row>
    <row r="30" customFormat="false" ht="11.1" hidden="false" customHeight="true" outlineLevel="0" collapsed="false">
      <c r="A30" s="11" t="n">
        <f aca="false">A29+1</f>
        <v>21</v>
      </c>
      <c r="B30" s="28" t="n">
        <v>6917.56</v>
      </c>
      <c r="C30" s="7" t="n">
        <v>353128</v>
      </c>
      <c r="D30" s="10" t="n">
        <f aca="false">C30-C29</f>
        <v>-1569</v>
      </c>
      <c r="E30" s="7" t="n">
        <f aca="false">C30-152000</f>
        <v>201128</v>
      </c>
      <c r="F30" s="6" t="n">
        <f aca="false">D30/$D$2</f>
        <v>-791.025964204689</v>
      </c>
      <c r="G30" s="6" t="n">
        <v>208</v>
      </c>
      <c r="H30" s="8" t="n">
        <v>0.13</v>
      </c>
      <c r="I30" s="6" t="n">
        <f aca="false">G30+H30</f>
        <v>208.13</v>
      </c>
      <c r="J30" s="101" t="n">
        <f aca="false">IF(L30&gt;0,L30,0)</f>
        <v>0</v>
      </c>
      <c r="K30" s="6" t="n">
        <f aca="false">I30+J30</f>
        <v>208.13</v>
      </c>
      <c r="L30" s="6" t="n">
        <f aca="false">F30-(I30-X30)</f>
        <v>-68.8559642046887</v>
      </c>
      <c r="M30" s="6" t="n">
        <v>325</v>
      </c>
      <c r="N30" s="6" t="n">
        <v>0</v>
      </c>
      <c r="O30" s="6" t="n">
        <f aca="false">34.2+34.4*1.05</f>
        <v>70.32</v>
      </c>
      <c r="P30" s="6" t="n">
        <f aca="false">M30-(N30+O30)</f>
        <v>254.68</v>
      </c>
      <c r="Q30" s="6" t="n">
        <v>164</v>
      </c>
      <c r="R30" s="6" t="n">
        <v>80</v>
      </c>
      <c r="S30" s="6" t="n">
        <f aca="false">SUM(P30:R30)</f>
        <v>498.68</v>
      </c>
      <c r="T30" s="52"/>
      <c r="U30" s="6" t="n">
        <v>277.3</v>
      </c>
      <c r="V30" s="6" t="n">
        <v>84</v>
      </c>
      <c r="W30" s="7" t="n">
        <f aca="false">W29-80</f>
        <v>14888</v>
      </c>
      <c r="X30" s="6" t="n">
        <f aca="false">N30+O30+S30+U30+V30</f>
        <v>930.3</v>
      </c>
      <c r="Y30" s="6" t="n">
        <f aca="false">IF(L30&lt;0,L30*-1,0)</f>
        <v>68.8559642046887</v>
      </c>
      <c r="Z30" s="6" t="n">
        <f aca="false">X30+Y30</f>
        <v>999.155964204689</v>
      </c>
      <c r="AA30" s="8" t="n">
        <v>0</v>
      </c>
      <c r="AB30" s="10" t="n">
        <v>88</v>
      </c>
      <c r="AC30" s="10" t="n">
        <v>53</v>
      </c>
      <c r="AD30" s="11" t="n">
        <f aca="false">AD29+1</f>
        <v>21</v>
      </c>
      <c r="AE30" s="10"/>
      <c r="AF30" s="10"/>
      <c r="AH30" s="6"/>
    </row>
    <row r="31" customFormat="false" ht="11.1" hidden="false" customHeight="true" outlineLevel="0" collapsed="false">
      <c r="A31" s="11" t="n">
        <f aca="false">A30+1</f>
        <v>22</v>
      </c>
      <c r="B31" s="28" t="n">
        <v>6917.16</v>
      </c>
      <c r="C31" s="7" t="n">
        <v>351432</v>
      </c>
      <c r="D31" s="10" t="n">
        <f aca="false">C31-C30</f>
        <v>-1696</v>
      </c>
      <c r="E31" s="7" t="n">
        <f aca="false">C31-152000</f>
        <v>199432</v>
      </c>
      <c r="F31" s="6" t="n">
        <f aca="false">D31/$D$2</f>
        <v>-855.054197126292</v>
      </c>
      <c r="G31" s="6" t="n">
        <v>199</v>
      </c>
      <c r="H31" s="8" t="n">
        <v>0.26</v>
      </c>
      <c r="I31" s="6" t="n">
        <f aca="false">G31+H31</f>
        <v>199.26</v>
      </c>
      <c r="J31" s="101" t="n">
        <f aca="false">IF(L31&gt;0,L31,0)</f>
        <v>0</v>
      </c>
      <c r="K31" s="6" t="n">
        <f aca="false">I31+J31</f>
        <v>199.26</v>
      </c>
      <c r="L31" s="6" t="n">
        <f aca="false">F31-(I31-X31)</f>
        <v>-116.514197126292</v>
      </c>
      <c r="M31" s="6" t="n">
        <v>329</v>
      </c>
      <c r="N31" s="6" t="n">
        <v>0</v>
      </c>
      <c r="O31" s="6" t="n">
        <f aca="false">36.4+35.8*1.05</f>
        <v>73.99</v>
      </c>
      <c r="P31" s="6" t="n">
        <f aca="false">M31-(N31+O31)</f>
        <v>255.01</v>
      </c>
      <c r="Q31" s="6" t="n">
        <v>162</v>
      </c>
      <c r="R31" s="6" t="n">
        <v>80</v>
      </c>
      <c r="S31" s="6" t="n">
        <f aca="false">SUM(P31:R31)</f>
        <v>497.01</v>
      </c>
      <c r="T31" s="52"/>
      <c r="U31" s="6" t="n">
        <v>283.8</v>
      </c>
      <c r="V31" s="6" t="n">
        <v>83</v>
      </c>
      <c r="W31" s="7" t="n">
        <f aca="false">W30-80</f>
        <v>14808</v>
      </c>
      <c r="X31" s="6" t="n">
        <f aca="false">N31+O31+S31+U31+V31</f>
        <v>937.8</v>
      </c>
      <c r="Y31" s="6" t="n">
        <f aca="false">IF(L31&lt;0,L31*-1,0)</f>
        <v>116.514197126292</v>
      </c>
      <c r="Z31" s="6" t="n">
        <f aca="false">X31+Y31</f>
        <v>1054.31419712629</v>
      </c>
      <c r="AA31" s="8" t="n">
        <v>0</v>
      </c>
      <c r="AB31" s="10" t="n">
        <v>86</v>
      </c>
      <c r="AC31" s="10" t="n">
        <v>55</v>
      </c>
      <c r="AD31" s="11" t="n">
        <f aca="false">AD30+1</f>
        <v>22</v>
      </c>
      <c r="AE31" s="10"/>
      <c r="AF31" s="10"/>
      <c r="AH31" s="6"/>
    </row>
    <row r="32" customFormat="false" ht="11.1" hidden="false" customHeight="true" outlineLevel="0" collapsed="false">
      <c r="A32" s="11" t="n">
        <f aca="false">A31+1</f>
        <v>23</v>
      </c>
      <c r="B32" s="28" t="n">
        <v>6916.84</v>
      </c>
      <c r="C32" s="7" t="n">
        <v>350081</v>
      </c>
      <c r="D32" s="10" t="n">
        <f aca="false">C32-C31</f>
        <v>-1351</v>
      </c>
      <c r="E32" s="7" t="n">
        <f aca="false">C32-152000</f>
        <v>198081</v>
      </c>
      <c r="F32" s="6" t="n">
        <f aca="false">D32/$D$2</f>
        <v>-681.119233677842</v>
      </c>
      <c r="G32" s="6" t="n">
        <v>192</v>
      </c>
      <c r="H32" s="8" t="n">
        <v>0.25</v>
      </c>
      <c r="I32" s="6" t="n">
        <f aca="false">G32+H32</f>
        <v>192.25</v>
      </c>
      <c r="J32" s="101" t="n">
        <f aca="false">IF(L32&gt;0,L32,0)</f>
        <v>69.9307663221578</v>
      </c>
      <c r="K32" s="6" t="n">
        <f aca="false">I32+J32</f>
        <v>262.180766322158</v>
      </c>
      <c r="L32" s="6" t="n">
        <f aca="false">F32-(I32-X32)</f>
        <v>69.9307663221578</v>
      </c>
      <c r="M32" s="6" t="n">
        <v>325</v>
      </c>
      <c r="N32" s="6" t="n">
        <v>1</v>
      </c>
      <c r="O32" s="6" t="n">
        <f aca="false">36.1+36.4*1.05</f>
        <v>74.32</v>
      </c>
      <c r="P32" s="6" t="n">
        <f aca="false">M32-(N32+O32)</f>
        <v>249.68</v>
      </c>
      <c r="Q32" s="6" t="n">
        <v>150</v>
      </c>
      <c r="R32" s="6" t="n">
        <v>80</v>
      </c>
      <c r="S32" s="6" t="n">
        <f aca="false">SUM(P32:R32)</f>
        <v>479.68</v>
      </c>
      <c r="T32" s="52"/>
      <c r="U32" s="6" t="n">
        <v>305.3</v>
      </c>
      <c r="V32" s="6" t="n">
        <v>83</v>
      </c>
      <c r="W32" s="7" t="n">
        <f aca="false">W31-80</f>
        <v>14728</v>
      </c>
      <c r="X32" s="6" t="n">
        <f aca="false">N32+O32+S32+U32+V32</f>
        <v>943.3</v>
      </c>
      <c r="Y32" s="6" t="n">
        <f aca="false">IF(L32&lt;0,L32*-1,0)</f>
        <v>0</v>
      </c>
      <c r="Z32" s="6" t="n">
        <f aca="false">X32+Y32</f>
        <v>943.3</v>
      </c>
      <c r="AA32" s="8" t="n">
        <v>0.02</v>
      </c>
      <c r="AB32" s="10" t="n">
        <v>80</v>
      </c>
      <c r="AC32" s="10" t="n">
        <v>56</v>
      </c>
      <c r="AD32" s="11" t="n">
        <f aca="false">AD31+1</f>
        <v>23</v>
      </c>
      <c r="AE32" s="10"/>
      <c r="AF32" s="10"/>
      <c r="AH32" s="6"/>
    </row>
    <row r="33" customFormat="false" ht="11.1" hidden="false" customHeight="true" outlineLevel="0" collapsed="false">
      <c r="A33" s="11" t="n">
        <f aca="false">A32+1</f>
        <v>24</v>
      </c>
      <c r="B33" s="28" t="n">
        <v>6916.51</v>
      </c>
      <c r="C33" s="7" t="n">
        <v>348692</v>
      </c>
      <c r="D33" s="10" t="n">
        <f aca="false">C33-C32</f>
        <v>-1389</v>
      </c>
      <c r="E33" s="7" t="n">
        <f aca="false">C33-152000</f>
        <v>196692</v>
      </c>
      <c r="F33" s="6" t="n">
        <f aca="false">D33/$D$2</f>
        <v>-700.277287622889</v>
      </c>
      <c r="G33" s="6" t="n">
        <v>193</v>
      </c>
      <c r="H33" s="8" t="n">
        <v>0.18</v>
      </c>
      <c r="I33" s="6" t="n">
        <f aca="false">G33+H33</f>
        <v>193.18</v>
      </c>
      <c r="J33" s="101" t="n">
        <f aca="false">IF(L33&gt;0,L33,0)</f>
        <v>34.3427123771111</v>
      </c>
      <c r="K33" s="6" t="n">
        <f aca="false">I33+J33</f>
        <v>227.522712377111</v>
      </c>
      <c r="L33" s="6" t="n">
        <f aca="false">F33-(I33-X33)</f>
        <v>34.3427123771111</v>
      </c>
      <c r="M33" s="6" t="n">
        <v>331</v>
      </c>
      <c r="N33" s="6" t="n">
        <v>1</v>
      </c>
      <c r="O33" s="6" t="n">
        <f aca="false">29.8+29.6*1.05</f>
        <v>60.88</v>
      </c>
      <c r="P33" s="6" t="n">
        <f aca="false">M33-(N33+O33)</f>
        <v>269.12</v>
      </c>
      <c r="Q33" s="6" t="n">
        <v>142</v>
      </c>
      <c r="R33" s="6" t="n">
        <v>80</v>
      </c>
      <c r="S33" s="6" t="n">
        <f aca="false">SUM(P33:R33)</f>
        <v>491.12</v>
      </c>
      <c r="T33" s="52"/>
      <c r="U33" s="6" t="n">
        <v>291.8</v>
      </c>
      <c r="V33" s="6" t="n">
        <v>83</v>
      </c>
      <c r="W33" s="7" t="n">
        <f aca="false">W32-80</f>
        <v>14648</v>
      </c>
      <c r="X33" s="6" t="n">
        <f aca="false">N33+O33+S33+U33+V33</f>
        <v>927.8</v>
      </c>
      <c r="Y33" s="6" t="n">
        <f aca="false">IF(L33&lt;0,L33*-1,0)</f>
        <v>0</v>
      </c>
      <c r="Z33" s="6" t="n">
        <f aca="false">X33+Y33</f>
        <v>927.8</v>
      </c>
      <c r="AA33" s="8" t="n">
        <v>0</v>
      </c>
      <c r="AB33" s="10" t="n">
        <v>85</v>
      </c>
      <c r="AC33" s="10" t="n">
        <v>54</v>
      </c>
      <c r="AD33" s="11" t="n">
        <f aca="false">AD32+1</f>
        <v>24</v>
      </c>
      <c r="AE33" s="10"/>
      <c r="AF33" s="10"/>
      <c r="AH33" s="6"/>
    </row>
    <row r="34" customFormat="false" ht="11.1" hidden="false" customHeight="true" outlineLevel="0" collapsed="false">
      <c r="A34" s="11" t="n">
        <f aca="false">A33+1</f>
        <v>25</v>
      </c>
      <c r="B34" s="28" t="n">
        <v>6916.11</v>
      </c>
      <c r="C34" s="7" t="n">
        <v>347009</v>
      </c>
      <c r="D34" s="10" t="n">
        <f aca="false">C34-C33</f>
        <v>-1683</v>
      </c>
      <c r="E34" s="7" t="n">
        <f aca="false">C34-152000</f>
        <v>195009</v>
      </c>
      <c r="F34" s="6" t="n">
        <f aca="false">D34/$D$2</f>
        <v>-848.500126039829</v>
      </c>
      <c r="G34" s="6" t="n">
        <v>198</v>
      </c>
      <c r="H34" s="8" t="n">
        <v>0.12</v>
      </c>
      <c r="I34" s="6" t="n">
        <f aca="false">G34+H34</f>
        <v>198.12</v>
      </c>
      <c r="J34" s="101" t="n">
        <f aca="false">IF(L34&gt;0,L34,0)</f>
        <v>0</v>
      </c>
      <c r="K34" s="6" t="n">
        <f aca="false">I34+J34</f>
        <v>198.12</v>
      </c>
      <c r="L34" s="6" t="n">
        <f aca="false">F34-(I34-X34)</f>
        <v>-137.320126039829</v>
      </c>
      <c r="M34" s="6" t="n">
        <v>317</v>
      </c>
      <c r="N34" s="6" t="n">
        <v>1</v>
      </c>
      <c r="O34" s="6" t="n">
        <f aca="false">28.2+27*1.05</f>
        <v>56.55</v>
      </c>
      <c r="P34" s="6" t="n">
        <f aca="false">M34-(N34+O34)</f>
        <v>259.45</v>
      </c>
      <c r="Q34" s="6" t="n">
        <v>144</v>
      </c>
      <c r="R34" s="6" t="n">
        <v>80</v>
      </c>
      <c r="S34" s="6" t="n">
        <f aca="false">SUM(P34:R34)</f>
        <v>483.45</v>
      </c>
      <c r="T34" s="52"/>
      <c r="U34" s="6" t="n">
        <v>285.3</v>
      </c>
      <c r="V34" s="6" t="n">
        <v>83</v>
      </c>
      <c r="W34" s="7" t="n">
        <f aca="false">W33-80</f>
        <v>14568</v>
      </c>
      <c r="X34" s="6" t="n">
        <f aca="false">N34+O34+S34+U34+V34</f>
        <v>909.3</v>
      </c>
      <c r="Y34" s="6" t="n">
        <f aca="false">IF(L34&lt;0,L34*-1,0)</f>
        <v>137.320126039829</v>
      </c>
      <c r="Z34" s="6" t="n">
        <f aca="false">X34+Y34</f>
        <v>1046.62012603983</v>
      </c>
      <c r="AA34" s="8" t="n">
        <v>0</v>
      </c>
      <c r="AB34" s="10" t="n">
        <v>89</v>
      </c>
      <c r="AC34" s="10" t="n">
        <v>52</v>
      </c>
      <c r="AD34" s="11" t="n">
        <f aca="false">AD33+1</f>
        <v>25</v>
      </c>
      <c r="AE34" s="10"/>
      <c r="AF34" s="10"/>
      <c r="AH34" s="6"/>
    </row>
    <row r="35" customFormat="false" ht="11.1" hidden="false" customHeight="true" outlineLevel="0" collapsed="false">
      <c r="A35" s="11" t="n">
        <f aca="false">A34+1</f>
        <v>26</v>
      </c>
      <c r="B35" s="28" t="n">
        <v>6915.73</v>
      </c>
      <c r="C35" s="7" t="n">
        <v>345420</v>
      </c>
      <c r="D35" s="10" t="n">
        <f aca="false">C35-C34</f>
        <v>-1589</v>
      </c>
      <c r="E35" s="7" t="n">
        <f aca="false">C35-152000</f>
        <v>193420</v>
      </c>
      <c r="F35" s="6" t="n">
        <f aca="false">D35/$D$2</f>
        <v>-801.109150491555</v>
      </c>
      <c r="G35" s="6" t="n">
        <v>180</v>
      </c>
      <c r="H35" s="8" t="n">
        <v>0.07</v>
      </c>
      <c r="I35" s="6" t="n">
        <f aca="false">G35+H35</f>
        <v>180.07</v>
      </c>
      <c r="J35" s="101" t="n">
        <f aca="false">IF(L35&gt;0,L35,0)</f>
        <v>0</v>
      </c>
      <c r="K35" s="6" t="n">
        <f aca="false">I35+J35</f>
        <v>180.07</v>
      </c>
      <c r="L35" s="6" t="n">
        <f aca="false">F35-(I35-X35)</f>
        <v>-35.3791504915553</v>
      </c>
      <c r="M35" s="6" t="n">
        <v>345</v>
      </c>
      <c r="N35" s="6" t="n">
        <v>1</v>
      </c>
      <c r="O35" s="120" t="n">
        <f aca="false">36.5+36.1*1.05</f>
        <v>74.405</v>
      </c>
      <c r="P35" s="6" t="n">
        <f aca="false">M35-(N35+O35)</f>
        <v>269.595</v>
      </c>
      <c r="Q35" s="6" t="n">
        <v>146</v>
      </c>
      <c r="R35" s="6" t="n">
        <v>80</v>
      </c>
      <c r="S35" s="6" t="n">
        <f aca="false">SUM(P35:R35)</f>
        <v>495.595</v>
      </c>
      <c r="T35" s="52"/>
      <c r="U35" s="121" t="n">
        <v>292.8</v>
      </c>
      <c r="V35" s="6" t="n">
        <v>82</v>
      </c>
      <c r="W35" s="7" t="n">
        <f aca="false">W34-80</f>
        <v>14488</v>
      </c>
      <c r="X35" s="6" t="n">
        <f aca="false">N35+O35+S35+U35+V35</f>
        <v>945.8</v>
      </c>
      <c r="Y35" s="6" t="n">
        <f aca="false">IF(L35&lt;0,L35*-1,0)</f>
        <v>35.3791504915553</v>
      </c>
      <c r="Z35" s="6" t="n">
        <f aca="false">X35+Y35</f>
        <v>981.179150491555</v>
      </c>
      <c r="AA35" s="8" t="n">
        <v>0</v>
      </c>
      <c r="AB35" s="10" t="n">
        <v>86</v>
      </c>
      <c r="AC35" s="10" t="n">
        <v>59</v>
      </c>
      <c r="AD35" s="11" t="n">
        <f aca="false">AD34+1</f>
        <v>26</v>
      </c>
      <c r="AE35" s="10"/>
      <c r="AF35" s="10"/>
      <c r="AH35" s="3"/>
    </row>
    <row r="36" customFormat="false" ht="11.1" hidden="false" customHeight="true" outlineLevel="0" collapsed="false">
      <c r="A36" s="11" t="n">
        <f aca="false">A35+1</f>
        <v>27</v>
      </c>
      <c r="B36" s="28" t="n">
        <v>6915.33</v>
      </c>
      <c r="C36" s="7" t="n">
        <v>343750</v>
      </c>
      <c r="D36" s="10" t="n">
        <f aca="false">C36-C35</f>
        <v>-1670</v>
      </c>
      <c r="E36" s="7" t="n">
        <f aca="false">C36-152000</f>
        <v>191750</v>
      </c>
      <c r="F36" s="6" t="n">
        <f aca="false">D36/$D$2</f>
        <v>-841.946054953365</v>
      </c>
      <c r="G36" s="6" t="n">
        <v>169</v>
      </c>
      <c r="H36" s="8" t="n">
        <v>0.04</v>
      </c>
      <c r="I36" s="6" t="n">
        <f aca="false">G36+H36</f>
        <v>169.04</v>
      </c>
      <c r="J36" s="101" t="n">
        <f aca="false">IF(L36&gt;0,L36,0)</f>
        <v>0</v>
      </c>
      <c r="K36" s="6" t="n">
        <f aca="false">I36+J36</f>
        <v>169.04</v>
      </c>
      <c r="L36" s="6" t="n">
        <f aca="false">F36-(I36-X36)</f>
        <v>-18.8860549533651</v>
      </c>
      <c r="M36" s="6" t="n">
        <v>376</v>
      </c>
      <c r="N36" s="6" t="n">
        <v>1</v>
      </c>
      <c r="O36" s="6" t="n">
        <f aca="false">45.6+44.9*1.05</f>
        <v>92.745</v>
      </c>
      <c r="P36" s="6" t="n">
        <f aca="false">M36-(N36+O36)</f>
        <v>282.255</v>
      </c>
      <c r="Q36" s="6" t="n">
        <v>145</v>
      </c>
      <c r="R36" s="6" t="n">
        <v>83</v>
      </c>
      <c r="S36" s="6" t="n">
        <f aca="false">SUM(P36:R36)</f>
        <v>510.255</v>
      </c>
      <c r="T36" s="52"/>
      <c r="U36" s="6" t="n">
        <v>306.1</v>
      </c>
      <c r="V36" s="6" t="n">
        <v>82</v>
      </c>
      <c r="W36" s="7" t="n">
        <f aca="false">W35-80</f>
        <v>14408</v>
      </c>
      <c r="X36" s="6" t="n">
        <f aca="false">N36+O36+S36+U36+V36</f>
        <v>992.1</v>
      </c>
      <c r="Y36" s="6" t="n">
        <f aca="false">IF(L36&lt;0,L36*-1,0)</f>
        <v>18.8860549533651</v>
      </c>
      <c r="Z36" s="6" t="n">
        <f aca="false">X36+Y36</f>
        <v>1010.98605495337</v>
      </c>
      <c r="AA36" s="8" t="n">
        <v>0</v>
      </c>
      <c r="AB36" s="10" t="n">
        <v>85</v>
      </c>
      <c r="AC36" s="10" t="n">
        <v>52</v>
      </c>
      <c r="AD36" s="11" t="n">
        <f aca="false">AD35+1</f>
        <v>27</v>
      </c>
      <c r="AE36" s="10"/>
      <c r="AF36" s="10"/>
      <c r="AH36" s="6"/>
    </row>
    <row r="37" customFormat="false" ht="11.1" hidden="false" customHeight="true" outlineLevel="0" collapsed="false">
      <c r="A37" s="11" t="n">
        <f aca="false">A36+1</f>
        <v>28</v>
      </c>
      <c r="B37" s="28" t="n">
        <v>6914.94</v>
      </c>
      <c r="C37" s="7" t="n">
        <v>342124</v>
      </c>
      <c r="D37" s="10" t="n">
        <f aca="false">C37-C36</f>
        <v>-1626</v>
      </c>
      <c r="E37" s="7" t="n">
        <f aca="false">C37-152000</f>
        <v>190124</v>
      </c>
      <c r="F37" s="6" t="n">
        <f aca="false">D37/$D$2</f>
        <v>-819.763045122259</v>
      </c>
      <c r="G37" s="6" t="n">
        <v>169</v>
      </c>
      <c r="H37" s="8" t="n">
        <v>0.01</v>
      </c>
      <c r="I37" s="6" t="n">
        <f aca="false">G37+H37</f>
        <v>169.01</v>
      </c>
      <c r="J37" s="101" t="n">
        <f aca="false">IF(L37&gt;0,L37,0)</f>
        <v>0</v>
      </c>
      <c r="K37" s="6" t="n">
        <f aca="false">I37+J37</f>
        <v>169.01</v>
      </c>
      <c r="L37" s="6" t="n">
        <f aca="false">F37-(I37-X37)</f>
        <v>-3.37304512225865</v>
      </c>
      <c r="M37" s="6" t="n">
        <v>368</v>
      </c>
      <c r="N37" s="6" t="n">
        <v>1</v>
      </c>
      <c r="O37" s="6" t="n">
        <f aca="false">42.7+41.8*1.05</f>
        <v>86.59</v>
      </c>
      <c r="P37" s="6" t="n">
        <f aca="false">M37-(N37+O37)</f>
        <v>280.41</v>
      </c>
      <c r="Q37" s="6" t="n">
        <v>145</v>
      </c>
      <c r="R37" s="6" t="n">
        <v>84</v>
      </c>
      <c r="S37" s="6" t="n">
        <f aca="false">SUM(P37:R37)</f>
        <v>509.41</v>
      </c>
      <c r="T37" s="52"/>
      <c r="U37" s="6" t="n">
        <v>306.4</v>
      </c>
      <c r="V37" s="6" t="n">
        <v>82</v>
      </c>
      <c r="W37" s="7" t="n">
        <f aca="false">W36-80</f>
        <v>14328</v>
      </c>
      <c r="X37" s="6" t="n">
        <f aca="false">N37+O37+S37+U37+V37</f>
        <v>985.4</v>
      </c>
      <c r="Y37" s="6" t="n">
        <f aca="false">IF(L37&lt;0,L37*-1,0)</f>
        <v>3.37304512225865</v>
      </c>
      <c r="Z37" s="6" t="n">
        <f aca="false">X37+Y37</f>
        <v>988.773045122259</v>
      </c>
      <c r="AA37" s="8" t="n">
        <v>0</v>
      </c>
      <c r="AB37" s="10" t="n">
        <v>81</v>
      </c>
      <c r="AC37" s="10" t="n">
        <v>52</v>
      </c>
      <c r="AD37" s="11" t="n">
        <f aca="false">AD36+1</f>
        <v>28</v>
      </c>
      <c r="AE37" s="10"/>
      <c r="AF37" s="10"/>
      <c r="AH37" s="6"/>
    </row>
    <row r="38" customFormat="false" ht="11.1" hidden="false" customHeight="true" outlineLevel="0" collapsed="false">
      <c r="A38" s="11" t="n">
        <f aca="false">A37+1</f>
        <v>29</v>
      </c>
      <c r="B38" s="28" t="n">
        <v>6914.53</v>
      </c>
      <c r="C38" s="7" t="n">
        <v>340426</v>
      </c>
      <c r="D38" s="10" t="n">
        <f aca="false">C38-C37</f>
        <v>-1698</v>
      </c>
      <c r="E38" s="7" t="n">
        <f aca="false">C38-152000</f>
        <v>188426</v>
      </c>
      <c r="F38" s="6" t="n">
        <f aca="false">D38/$D$2</f>
        <v>-856.062515754979</v>
      </c>
      <c r="G38" s="6" t="n">
        <v>155</v>
      </c>
      <c r="H38" s="8" t="n">
        <v>0</v>
      </c>
      <c r="I38" s="6" t="n">
        <f aca="false">G38+H38</f>
        <v>155</v>
      </c>
      <c r="J38" s="101" t="n">
        <f aca="false">IF(L38&gt;0,L38,0)</f>
        <v>0</v>
      </c>
      <c r="K38" s="6" t="n">
        <f aca="false">I38+J38</f>
        <v>155</v>
      </c>
      <c r="L38" s="6" t="n">
        <f aca="false">F38-(I38-X38)</f>
        <v>-18.8625157549785</v>
      </c>
      <c r="M38" s="6" t="n">
        <v>379</v>
      </c>
      <c r="N38" s="6" t="n">
        <v>1</v>
      </c>
      <c r="O38" s="6" t="n">
        <f aca="false">46.7+46.5*1.05</f>
        <v>95.525</v>
      </c>
      <c r="P38" s="6" t="n">
        <f aca="false">M38-(N38+O38)</f>
        <v>282.475</v>
      </c>
      <c r="Q38" s="6" t="n">
        <v>145</v>
      </c>
      <c r="R38" s="6" t="n">
        <v>83</v>
      </c>
      <c r="S38" s="6" t="n">
        <f aca="false">SUM(P38:R38)</f>
        <v>510.475</v>
      </c>
      <c r="T38" s="52"/>
      <c r="U38" s="6" t="n">
        <v>303.2</v>
      </c>
      <c r="V38" s="6" t="n">
        <v>82</v>
      </c>
      <c r="W38" s="7" t="n">
        <f aca="false">W37-80</f>
        <v>14248</v>
      </c>
      <c r="X38" s="6" t="n">
        <f aca="false">N38+O38+S38+U38+V38</f>
        <v>992.2</v>
      </c>
      <c r="Y38" s="6" t="n">
        <f aca="false">IF(L38&lt;0,L38*-1,0)</f>
        <v>18.8625157549785</v>
      </c>
      <c r="Z38" s="6" t="n">
        <f aca="false">X38+Y38</f>
        <v>1011.06251575498</v>
      </c>
      <c r="AA38" s="8" t="n">
        <v>0.02</v>
      </c>
      <c r="AB38" s="10" t="n">
        <v>86</v>
      </c>
      <c r="AC38" s="10" t="n">
        <v>54</v>
      </c>
      <c r="AD38" s="11" t="n">
        <f aca="false">AD37+1</f>
        <v>29</v>
      </c>
      <c r="AE38" s="10"/>
      <c r="AF38" s="10"/>
      <c r="AH38" s="6"/>
    </row>
    <row r="39" customFormat="false" ht="11.1" hidden="false" customHeight="true" outlineLevel="0" collapsed="false">
      <c r="A39" s="11" t="n">
        <v>30</v>
      </c>
      <c r="B39" s="28" t="n">
        <v>6914.1</v>
      </c>
      <c r="C39" s="7" t="n">
        <v>338645</v>
      </c>
      <c r="D39" s="10" t="n">
        <f aca="false">C39-C38</f>
        <v>-1781</v>
      </c>
      <c r="E39" s="7" t="n">
        <f aca="false">C39-152000</f>
        <v>186645</v>
      </c>
      <c r="F39" s="6" t="n">
        <f aca="false">D39/$D$2</f>
        <v>-897.907738845475</v>
      </c>
      <c r="G39" s="6" t="n">
        <v>147</v>
      </c>
      <c r="H39" s="8" t="n">
        <v>0</v>
      </c>
      <c r="I39" s="6" t="n">
        <f aca="false">G39+H39</f>
        <v>147</v>
      </c>
      <c r="J39" s="101" t="n">
        <f aca="false">IF(L39&gt;0,L39,0)</f>
        <v>0</v>
      </c>
      <c r="K39" s="6" t="n">
        <f aca="false">I39+J39</f>
        <v>147</v>
      </c>
      <c r="L39" s="6" t="n">
        <f aca="false">F39-(I39-X39)</f>
        <v>-53.6077388454752</v>
      </c>
      <c r="M39" s="6" t="n">
        <v>383</v>
      </c>
      <c r="N39" s="6" t="n">
        <v>1</v>
      </c>
      <c r="O39" s="6" t="n">
        <f aca="false">45+43.9*1.05</f>
        <v>91.095</v>
      </c>
      <c r="P39" s="6" t="n">
        <f aca="false">M39-(N39+O39)</f>
        <v>290.905</v>
      </c>
      <c r="Q39" s="6" t="n">
        <v>144</v>
      </c>
      <c r="R39" s="6" t="n">
        <v>83</v>
      </c>
      <c r="S39" s="6" t="n">
        <f aca="false">SUM(P39:R39)</f>
        <v>517.905</v>
      </c>
      <c r="T39" s="52"/>
      <c r="U39" s="6" t="n">
        <v>300.3</v>
      </c>
      <c r="V39" s="6" t="n">
        <v>81</v>
      </c>
      <c r="W39" s="7" t="n">
        <f aca="false">W38-80</f>
        <v>14168</v>
      </c>
      <c r="X39" s="6" t="n">
        <f aca="false">N39+O39+S39+U39+V39</f>
        <v>991.3</v>
      </c>
      <c r="Y39" s="6" t="n">
        <f aca="false">IF(L39&lt;0,L39*-1,0)</f>
        <v>53.6077388454752</v>
      </c>
      <c r="Z39" s="6" t="n">
        <f aca="false">X39+Y39</f>
        <v>1044.90773884548</v>
      </c>
      <c r="AA39" s="8" t="n">
        <v>0.2</v>
      </c>
      <c r="AB39" s="10" t="n">
        <v>88</v>
      </c>
      <c r="AC39" s="10" t="n">
        <v>52</v>
      </c>
      <c r="AD39" s="11" t="n">
        <v>30</v>
      </c>
      <c r="AE39" s="10"/>
      <c r="AF39" s="10"/>
      <c r="AH39" s="6"/>
    </row>
    <row r="40" customFormat="false" ht="3" hidden="false" customHeight="true" outlineLevel="0" collapsed="false">
      <c r="A40" s="29"/>
      <c r="B40" s="29"/>
      <c r="C40" s="31"/>
      <c r="D40" s="29"/>
      <c r="E40" s="31"/>
      <c r="F40" s="29"/>
      <c r="G40" s="29"/>
      <c r="H40" s="32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31"/>
      <c r="U40" s="29"/>
      <c r="V40" s="29"/>
      <c r="W40" s="29"/>
      <c r="X40" s="29"/>
      <c r="Y40" s="29"/>
      <c r="Z40" s="29"/>
      <c r="AA40" s="32"/>
      <c r="AB40" s="33"/>
      <c r="AC40" s="33"/>
      <c r="AD40" s="34"/>
      <c r="AE40" s="95"/>
      <c r="AF40" s="95"/>
    </row>
    <row r="41" customFormat="false" ht="11.1" hidden="false" customHeight="true" outlineLevel="0" collapsed="false">
      <c r="A41" s="6" t="s">
        <v>46</v>
      </c>
      <c r="B41" s="6"/>
      <c r="C41" s="7"/>
      <c r="D41" s="7"/>
      <c r="E41" s="7"/>
      <c r="F41" s="7" t="n">
        <f aca="false">SUM(F10:F39)</f>
        <v>-15706.0751197378</v>
      </c>
      <c r="G41" s="7" t="n">
        <f aca="false">SUM(G10:G39)</f>
        <v>12733</v>
      </c>
      <c r="H41" s="8" t="n">
        <f aca="false">SUM(H10:H39)</f>
        <v>1.74</v>
      </c>
      <c r="I41" s="7" t="n">
        <f aca="false">SUM(I10:I39)</f>
        <v>12734.74</v>
      </c>
      <c r="J41" s="7" t="n">
        <f aca="false">SUM(J10:J39)</f>
        <v>132.37539702546</v>
      </c>
      <c r="K41" s="7" t="n">
        <f aca="false">SUM(K10:K39)</f>
        <v>12867.1153970255</v>
      </c>
      <c r="L41" s="7" t="n">
        <f aca="false">SUM(L10:L39)</f>
        <v>-1615.43511973784</v>
      </c>
      <c r="M41" s="7" t="n">
        <f aca="false">SUM(M10:M39)</f>
        <v>9844</v>
      </c>
      <c r="N41" s="7" t="n">
        <f aca="false">SUM(N10:N39)</f>
        <v>8</v>
      </c>
      <c r="O41" s="7" t="n">
        <f aca="false">SUM(O10:O39)</f>
        <v>2261.635</v>
      </c>
      <c r="P41" s="7" t="n">
        <f aca="false">SUM(P10:P39)</f>
        <v>7574.365</v>
      </c>
      <c r="Q41" s="7" t="n">
        <f aca="false">SUM(Q10:Q39)</f>
        <v>5179</v>
      </c>
      <c r="R41" s="7" t="n">
        <f aca="false">SUM(R10:R39)</f>
        <v>2427</v>
      </c>
      <c r="S41" s="7" t="n">
        <f aca="false">SUM(S10:S39)</f>
        <v>15180.365</v>
      </c>
      <c r="T41" s="7"/>
      <c r="U41" s="7" t="n">
        <f aca="false">SUM(U10:U39)</f>
        <v>6855.38</v>
      </c>
      <c r="V41" s="7" t="n">
        <f aca="false">SUM(V10:V39)</f>
        <v>2520</v>
      </c>
      <c r="W41" s="7"/>
      <c r="X41" s="7" t="n">
        <f aca="false">SUM(X10:X39)</f>
        <v>26825.38</v>
      </c>
      <c r="Y41" s="7" t="n">
        <f aca="false">SUM(Y10:Y39)</f>
        <v>1747.8105167633</v>
      </c>
      <c r="Z41" s="7" t="n">
        <f aca="false">SUM(Z10:Z39)</f>
        <v>28573.1905167633</v>
      </c>
      <c r="AA41" s="8" t="n">
        <f aca="false">SUM(AA10:AA39)</f>
        <v>0.41</v>
      </c>
      <c r="AB41" s="10" t="n">
        <f aca="false">AVERAGE(AB10:AB39)</f>
        <v>84.9666666666667</v>
      </c>
      <c r="AC41" s="10" t="n">
        <f aca="false">AVERAGE(AC10:AC39)</f>
        <v>51.4</v>
      </c>
      <c r="AD41" s="11" t="s">
        <v>71</v>
      </c>
      <c r="AE41" s="95"/>
      <c r="AF41" s="95"/>
    </row>
    <row r="42" customFormat="false" ht="11.1" hidden="false" customHeight="true" outlineLevel="0" collapsed="false">
      <c r="A42" s="6" t="s">
        <v>48</v>
      </c>
      <c r="B42" s="6"/>
      <c r="C42" s="7"/>
      <c r="D42" s="7" t="n">
        <f aca="false">SUM(D10:D39)</f>
        <v>-31153</v>
      </c>
      <c r="E42" s="7"/>
      <c r="F42" s="7" t="n">
        <f aca="false">F41*$D$2</f>
        <v>-31153</v>
      </c>
      <c r="G42" s="7" t="n">
        <f aca="false">G41*$D$2</f>
        <v>25255.9055</v>
      </c>
      <c r="H42" s="8" t="n">
        <f aca="false">H41*$D$2</f>
        <v>3.45129</v>
      </c>
      <c r="I42" s="7" t="n">
        <f aca="false">I41*$D$2</f>
        <v>25259.35679</v>
      </c>
      <c r="J42" s="7" t="n">
        <f aca="false">J41*$D$2</f>
        <v>262.5666</v>
      </c>
      <c r="K42" s="7" t="n">
        <f aca="false">K41*$D$2</f>
        <v>25521.92339</v>
      </c>
      <c r="L42" s="7" t="n">
        <f aca="false">L41*$D$2</f>
        <v>-3204.21556</v>
      </c>
      <c r="M42" s="7" t="n">
        <f aca="false">M41*$D$2</f>
        <v>19525.574</v>
      </c>
      <c r="N42" s="7" t="n">
        <f aca="false">N41*$D$2</f>
        <v>15.868</v>
      </c>
      <c r="O42" s="7" t="n">
        <f aca="false">O41*$D$2</f>
        <v>4485.9530225</v>
      </c>
      <c r="P42" s="7" t="n">
        <f aca="false">P41*$D$2</f>
        <v>15023.7529775</v>
      </c>
      <c r="Q42" s="7" t="n">
        <f aca="false">Q41*$D$2</f>
        <v>10272.5465</v>
      </c>
      <c r="R42" s="7" t="n">
        <f aca="false">R41*$D$2</f>
        <v>4813.9545</v>
      </c>
      <c r="S42" s="7" t="n">
        <f aca="false">S41*$D$2</f>
        <v>30110.2539775</v>
      </c>
      <c r="T42" s="7"/>
      <c r="U42" s="7" t="n">
        <f aca="false">U41*$D$2</f>
        <v>13597.64623</v>
      </c>
      <c r="V42" s="7" t="n">
        <f aca="false">V41*$D$2</f>
        <v>4998.42</v>
      </c>
      <c r="W42" s="7"/>
      <c r="X42" s="7" t="n">
        <f aca="false">X41*$D$2</f>
        <v>53208.14123</v>
      </c>
      <c r="Y42" s="7" t="n">
        <f aca="false">Y41*$D$2</f>
        <v>3466.78216</v>
      </c>
      <c r="Z42" s="7" t="n">
        <f aca="false">Z41*$D$2</f>
        <v>56674.92339</v>
      </c>
      <c r="AA42" s="8"/>
      <c r="AB42" s="10" t="n">
        <f aca="false">MAX(AB10:AB39)</f>
        <v>92</v>
      </c>
      <c r="AC42" s="10" t="n">
        <f aca="false">MAX(AC10:AC39)</f>
        <v>60</v>
      </c>
      <c r="AD42" s="11" t="s">
        <v>49</v>
      </c>
      <c r="AE42" s="95"/>
      <c r="AF42" s="95"/>
    </row>
    <row r="43" customFormat="false" ht="3" hidden="false" customHeight="true" outlineLevel="0" collapsed="false">
      <c r="A43" s="29"/>
      <c r="B43" s="29"/>
      <c r="C43" s="31"/>
      <c r="D43" s="31"/>
      <c r="E43" s="31"/>
      <c r="F43" s="31"/>
      <c r="G43" s="31"/>
      <c r="H43" s="32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29"/>
      <c r="X43" s="31"/>
      <c r="Y43" s="31"/>
      <c r="Z43" s="31"/>
      <c r="AA43" s="8"/>
      <c r="AB43" s="10"/>
      <c r="AC43" s="10"/>
      <c r="AD43" s="11"/>
      <c r="AE43" s="95"/>
      <c r="AF43" s="95"/>
    </row>
    <row r="44" customFormat="false" ht="11.1" hidden="false" customHeight="true" outlineLevel="0" collapsed="false">
      <c r="A44" s="6" t="s">
        <v>50</v>
      </c>
      <c r="B44" s="6"/>
      <c r="C44" s="7"/>
      <c r="D44" s="7"/>
      <c r="E44" s="7"/>
      <c r="F44" s="7" t="n">
        <f aca="false">F7+F41</f>
        <v>5049.65969246282</v>
      </c>
      <c r="G44" s="7" t="n">
        <f aca="false">G7+G41</f>
        <v>87947</v>
      </c>
      <c r="H44" s="8" t="n">
        <f aca="false">H7+H41</f>
        <v>1956.06</v>
      </c>
      <c r="I44" s="7" t="n">
        <f aca="false">I7+I41</f>
        <v>89903.06</v>
      </c>
      <c r="J44" s="7" t="n">
        <f aca="false">J7+J41</f>
        <v>10206.5650642803</v>
      </c>
      <c r="K44" s="7" t="n">
        <f aca="false">K7+K41</f>
        <v>100109.62506428</v>
      </c>
      <c r="L44" s="7" t="n">
        <f aca="false">L7+L41</f>
        <v>8048.87969246282</v>
      </c>
      <c r="M44" s="7" t="n">
        <f aca="false">M7+M41</f>
        <v>22730.3</v>
      </c>
      <c r="N44" s="7" t="n">
        <f aca="false">N7+N41</f>
        <v>134.87</v>
      </c>
      <c r="O44" s="7" t="n">
        <f aca="false">O7+O41</f>
        <v>5613.12</v>
      </c>
      <c r="P44" s="7" t="n">
        <f aca="false">P7+P41</f>
        <v>16982.31</v>
      </c>
      <c r="Q44" s="7" t="n">
        <f aca="false">Q7+Q41</f>
        <v>11063</v>
      </c>
      <c r="R44" s="7" t="n">
        <f aca="false">R7+R41</f>
        <v>5201.1</v>
      </c>
      <c r="S44" s="7" t="n">
        <f aca="false">S7+S41</f>
        <v>33246.41</v>
      </c>
      <c r="T44" s="7" t="n">
        <f aca="false">T39</f>
        <v>0</v>
      </c>
      <c r="U44" s="7" t="n">
        <f aca="false">U7+U41</f>
        <v>13517.88</v>
      </c>
      <c r="V44" s="7" t="n">
        <f aca="false">V7+V41</f>
        <v>40390</v>
      </c>
      <c r="W44" s="7"/>
      <c r="X44" s="7" t="n">
        <f aca="false">X7+X41</f>
        <v>92902.28</v>
      </c>
      <c r="Y44" s="7" t="n">
        <f aca="false">Y7+Y41</f>
        <v>2157.68537181749</v>
      </c>
      <c r="Z44" s="7" t="n">
        <f aca="false">Z7+Z41</f>
        <v>95059.9653718175</v>
      </c>
      <c r="AA44" s="8"/>
      <c r="AB44" s="10" t="n">
        <f aca="false">MIN(AB10:AB39)</f>
        <v>77</v>
      </c>
      <c r="AC44" s="10" t="n">
        <f aca="false">MIN(AC10:AC39)</f>
        <v>41</v>
      </c>
      <c r="AD44" s="11" t="s">
        <v>51</v>
      </c>
      <c r="AE44" s="95"/>
      <c r="AF44" s="95"/>
    </row>
    <row r="45" customFormat="false" ht="11.1" hidden="false" customHeight="true" outlineLevel="0" collapsed="false">
      <c r="A45" s="6" t="s">
        <v>52</v>
      </c>
      <c r="B45" s="6"/>
      <c r="C45" s="7"/>
      <c r="D45" s="7"/>
      <c r="E45" s="7"/>
      <c r="F45" s="7" t="n">
        <f aca="false">F44*$D$2</f>
        <v>10016</v>
      </c>
      <c r="G45" s="7" t="n">
        <f aca="false">G44*$D$2</f>
        <v>174442.8745</v>
      </c>
      <c r="H45" s="8" t="n">
        <f aca="false">H44*$D$2</f>
        <v>3879.84501</v>
      </c>
      <c r="I45" s="7" t="n">
        <f aca="false">I44*$D$2</f>
        <v>178322.71951</v>
      </c>
      <c r="J45" s="7" t="n">
        <f aca="false">J44*$D$2</f>
        <v>20244.721805</v>
      </c>
      <c r="K45" s="7" t="n">
        <f aca="false">K44*$D$2</f>
        <v>198567.441315</v>
      </c>
      <c r="L45" s="7" t="n">
        <f aca="false">L44*$D$2</f>
        <v>15964.95287</v>
      </c>
      <c r="M45" s="7" t="n">
        <f aca="false">M44*$D$2</f>
        <v>45085.55005</v>
      </c>
      <c r="N45" s="7" t="n">
        <f aca="false">N44*$D$2</f>
        <v>267.514645</v>
      </c>
      <c r="O45" s="7" t="n">
        <f aca="false">O44*$D$2</f>
        <v>11133.62352</v>
      </c>
      <c r="P45" s="7" t="n">
        <f aca="false">P44*$D$2</f>
        <v>33684.411885</v>
      </c>
      <c r="Q45" s="7" t="n">
        <f aca="false">Q44*$D$2</f>
        <v>21943.4605</v>
      </c>
      <c r="R45" s="7" t="n">
        <f aca="false">R44*$D$2</f>
        <v>10316.38185</v>
      </c>
      <c r="S45" s="7" t="n">
        <f aca="false">S44*$D$2</f>
        <v>65944.254235</v>
      </c>
      <c r="T45" s="7" t="n">
        <f aca="false">T44*$D$2</f>
        <v>0</v>
      </c>
      <c r="U45" s="7" t="n">
        <f aca="false">U44*$D$2</f>
        <v>26812.71498</v>
      </c>
      <c r="V45" s="7" t="n">
        <f aca="false">V44*$D$2</f>
        <v>80113.565</v>
      </c>
      <c r="W45" s="7"/>
      <c r="X45" s="7" t="n">
        <f aca="false">X44*$D$2</f>
        <v>184271.67238</v>
      </c>
      <c r="Y45" s="7" t="n">
        <f aca="false">Y44*$D$2</f>
        <v>4279.768935</v>
      </c>
      <c r="Z45" s="7" t="n">
        <f aca="false">Z44*$D$2</f>
        <v>188551.441315</v>
      </c>
      <c r="AA45" s="8"/>
      <c r="AB45" s="10"/>
      <c r="AC45" s="10"/>
      <c r="AD45" s="11"/>
      <c r="AE45" s="95"/>
      <c r="AF45" s="95"/>
    </row>
    <row r="46" customFormat="false" ht="3" hidden="false" customHeight="true" outlineLevel="0" collapsed="false">
      <c r="A46" s="29"/>
      <c r="B46" s="29"/>
      <c r="C46" s="31"/>
      <c r="D46" s="31"/>
      <c r="E46" s="31"/>
      <c r="F46" s="31"/>
      <c r="G46" s="31"/>
      <c r="H46" s="32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2"/>
      <c r="AB46" s="10"/>
      <c r="AC46" s="10"/>
      <c r="AD46" s="11"/>
      <c r="AE46" s="95"/>
      <c r="AF46" s="95"/>
    </row>
    <row r="47" customFormat="false" ht="11.1" hidden="false" customHeight="true" outlineLevel="0" collapsed="false">
      <c r="A47" s="6" t="s">
        <v>53</v>
      </c>
      <c r="B47" s="6"/>
      <c r="C47" s="7"/>
      <c r="D47" s="7"/>
      <c r="E47" s="7"/>
      <c r="F47" s="7" t="n">
        <f aca="false">F8+F41</f>
        <v>4519.78825308798</v>
      </c>
      <c r="G47" s="7" t="n">
        <f aca="false">G8+G41</f>
        <v>97531</v>
      </c>
      <c r="H47" s="8" t="n">
        <f aca="false">H8+H41</f>
        <v>2221.34</v>
      </c>
      <c r="I47" s="7" t="n">
        <f aca="false">I8+I41</f>
        <v>99752.34</v>
      </c>
      <c r="J47" s="7" t="n">
        <f aca="false">J8+J41</f>
        <v>12554.7260398286</v>
      </c>
      <c r="K47" s="7" t="n">
        <f aca="false">K8+K41</f>
        <v>112303.333294681</v>
      </c>
      <c r="L47" s="7" t="n">
        <f aca="false">L8+L41</f>
        <v>9726.45825308798</v>
      </c>
      <c r="M47" s="7" t="n">
        <f aca="false">M8+M41</f>
        <v>25169.06</v>
      </c>
      <c r="N47" s="7" t="n">
        <f aca="false">N8+N41</f>
        <v>201.25</v>
      </c>
      <c r="O47" s="7" t="n">
        <f aca="false">O8+O41</f>
        <v>6054.4605</v>
      </c>
      <c r="P47" s="7" t="n">
        <f aca="false">P8+P41</f>
        <v>18913.3495</v>
      </c>
      <c r="Q47" s="7" t="n">
        <f aca="false">Q8+Q41</f>
        <v>12107</v>
      </c>
      <c r="R47" s="7" t="n">
        <f aca="false">R8+R41</f>
        <v>5761.1</v>
      </c>
      <c r="S47" s="7" t="n">
        <f aca="false">S8+S41</f>
        <v>36781.4495</v>
      </c>
      <c r="T47" s="7" t="n">
        <f aca="false">T39</f>
        <v>0</v>
      </c>
      <c r="U47" s="7" t="n">
        <f aca="false">U8+U41</f>
        <v>13517.88</v>
      </c>
      <c r="V47" s="7" t="n">
        <f aca="false">V8+V41</f>
        <v>48403.97</v>
      </c>
      <c r="W47" s="7" t="n">
        <f aca="false">W39</f>
        <v>14168</v>
      </c>
      <c r="X47" s="7" t="n">
        <f aca="false">X8+X41</f>
        <v>104959.01</v>
      </c>
      <c r="Y47" s="7" t="n">
        <f aca="false">Y8+Y41</f>
        <v>2828.26778674061</v>
      </c>
      <c r="Z47" s="7" t="n">
        <f aca="false">Z8+Z41</f>
        <v>107787.277786741</v>
      </c>
      <c r="AA47" s="8" t="n">
        <f aca="false">AA8+AA41</f>
        <v>6.28</v>
      </c>
      <c r="AB47" s="10"/>
      <c r="AC47" s="10"/>
      <c r="AD47" s="11"/>
      <c r="AE47" s="95"/>
      <c r="AF47" s="95"/>
    </row>
    <row r="48" customFormat="false" ht="11.1" hidden="false" customHeight="true" outlineLevel="0" collapsed="false">
      <c r="A48" s="6" t="s">
        <v>54</v>
      </c>
      <c r="B48" s="6"/>
      <c r="C48" s="7"/>
      <c r="D48" s="7" t="n">
        <f aca="false">D8+D42</f>
        <v>8965</v>
      </c>
      <c r="E48" s="7" t="n">
        <f aca="false">E39</f>
        <v>186645</v>
      </c>
      <c r="F48" s="7" t="n">
        <f aca="false">F47*$D$2</f>
        <v>8965</v>
      </c>
      <c r="G48" s="7" t="n">
        <f aca="false">G47*$D$2</f>
        <v>193452.7385</v>
      </c>
      <c r="H48" s="8" t="n">
        <f aca="false">H47*$D$2</f>
        <v>4406.02789</v>
      </c>
      <c r="I48" s="7" t="n">
        <f aca="false">I47*$D$2</f>
        <v>197858.76639</v>
      </c>
      <c r="J48" s="7" t="n">
        <f aca="false">J47*$D$2</f>
        <v>24902.2991</v>
      </c>
      <c r="K48" s="7" t="n">
        <f aca="false">K47*$D$2</f>
        <v>222753.66159</v>
      </c>
      <c r="L48" s="7" t="n">
        <f aca="false">L47*$D$2</f>
        <v>19292.429945</v>
      </c>
      <c r="M48" s="7" t="n">
        <f aca="false">M47*$D$2</f>
        <v>49922.83051</v>
      </c>
      <c r="N48" s="7" t="n">
        <f aca="false">N47*$D$2</f>
        <v>399.179375</v>
      </c>
      <c r="O48" s="7" t="n">
        <f aca="false">O47*$D$2</f>
        <v>12009.02240175</v>
      </c>
      <c r="P48" s="7" t="n">
        <f aca="false">P47*$D$2</f>
        <v>37514.62873325</v>
      </c>
      <c r="Q48" s="7" t="n">
        <f aca="false">Q47*$D$2</f>
        <v>24014.2345</v>
      </c>
      <c r="R48" s="7" t="n">
        <f aca="false">R47*$D$2</f>
        <v>11427.14185</v>
      </c>
      <c r="S48" s="7" t="n">
        <f aca="false">S47*$D$2</f>
        <v>72956.00508325</v>
      </c>
      <c r="T48" s="7" t="n">
        <f aca="false">T47*$D$2</f>
        <v>0</v>
      </c>
      <c r="U48" s="7" t="n">
        <f aca="false">U47*$D$2</f>
        <v>26812.71498</v>
      </c>
      <c r="V48" s="7" t="n">
        <f aca="false">V47*$D$2</f>
        <v>96009.274495</v>
      </c>
      <c r="W48" s="7" t="n">
        <f aca="false">W47*$D$2</f>
        <v>28102.228</v>
      </c>
      <c r="X48" s="7" t="n">
        <f aca="false">X47*$D$2</f>
        <v>208186.196335</v>
      </c>
      <c r="Y48" s="7" t="n">
        <f aca="false">Y47*$D$2</f>
        <v>5609.869155</v>
      </c>
      <c r="Z48" s="7" t="n">
        <f aca="false">Z47*$D$2</f>
        <v>213796.06549</v>
      </c>
      <c r="AA48" s="8"/>
      <c r="AB48" s="10"/>
      <c r="AC48" s="10"/>
      <c r="AD48" s="11"/>
      <c r="AE48" s="95"/>
      <c r="AF48" s="95"/>
    </row>
    <row r="49" customFormat="false" ht="3" hidden="false" customHeight="true" outlineLevel="0" collapsed="false">
      <c r="A49" s="29"/>
      <c r="B49" s="29"/>
      <c r="C49" s="31"/>
      <c r="D49" s="29"/>
      <c r="E49" s="31"/>
      <c r="F49" s="29"/>
      <c r="G49" s="29"/>
      <c r="H49" s="32"/>
      <c r="I49" s="29"/>
      <c r="J49" s="29"/>
      <c r="K49" s="122"/>
      <c r="L49" s="29"/>
      <c r="M49" s="29"/>
      <c r="N49" s="29"/>
      <c r="O49" s="29"/>
      <c r="P49" s="29"/>
      <c r="Q49" s="29"/>
      <c r="R49" s="29"/>
      <c r="S49" s="29"/>
      <c r="T49" s="31"/>
      <c r="U49" s="29"/>
      <c r="V49" s="29"/>
      <c r="W49" s="31"/>
      <c r="X49" s="29"/>
      <c r="Y49" s="29"/>
      <c r="Z49" s="29"/>
      <c r="AA49" s="8"/>
      <c r="AB49" s="10"/>
      <c r="AC49" s="10"/>
      <c r="AD49" s="11"/>
      <c r="AE49" s="95"/>
      <c r="AF49" s="95"/>
    </row>
    <row r="50" customFormat="false" ht="14.1" hidden="false" customHeight="true" outlineLevel="0" collapsed="false">
      <c r="A50" s="38"/>
      <c r="B50" s="39"/>
      <c r="C50" s="7"/>
      <c r="D50" s="6"/>
      <c r="E50" s="7"/>
      <c r="F50" s="6"/>
      <c r="G50" s="123"/>
      <c r="H50" s="8"/>
      <c r="I50" s="6"/>
      <c r="J50" s="6"/>
      <c r="K50" s="124"/>
      <c r="L50" s="6"/>
      <c r="M50" s="6"/>
      <c r="N50" s="6"/>
      <c r="O50" s="6"/>
      <c r="P50" s="6"/>
      <c r="Q50" s="6"/>
      <c r="R50" s="6"/>
      <c r="S50" s="6"/>
      <c r="T50" s="7"/>
      <c r="U50" s="6"/>
      <c r="V50" s="6"/>
      <c r="W50" s="7"/>
      <c r="X50" s="6"/>
      <c r="Y50" s="6"/>
      <c r="Z50" s="6"/>
      <c r="AA50" s="8"/>
      <c r="AB50" s="10"/>
      <c r="AC50" s="10"/>
      <c r="AD50" s="11"/>
      <c r="AE50" s="95"/>
      <c r="AF50" s="95"/>
    </row>
    <row r="51" customFormat="false" ht="11.1" hidden="false" customHeight="true" outlineLevel="0" collapsed="false">
      <c r="A51" s="6"/>
      <c r="B51" s="28"/>
      <c r="C51" s="7"/>
      <c r="D51" s="37"/>
      <c r="E51" s="7"/>
      <c r="F51" s="6"/>
      <c r="G51" s="6"/>
      <c r="H51" s="8"/>
      <c r="I51" s="40"/>
      <c r="J51" s="6"/>
      <c r="K51" s="41"/>
      <c r="L51" s="6"/>
      <c r="M51" s="6"/>
      <c r="N51" s="6"/>
      <c r="O51" s="6"/>
      <c r="P51" s="6"/>
      <c r="Q51" s="6"/>
      <c r="R51" s="6"/>
      <c r="S51" s="6"/>
      <c r="T51" s="7"/>
      <c r="U51" s="6"/>
      <c r="V51" s="6"/>
      <c r="W51" s="7"/>
      <c r="X51" s="6"/>
      <c r="Y51" s="6"/>
      <c r="Z51" s="6"/>
      <c r="AA51" s="8"/>
      <c r="AB51" s="10"/>
      <c r="AC51" s="10"/>
      <c r="AD51" s="11"/>
      <c r="AE51" s="95"/>
      <c r="AF51" s="95"/>
    </row>
    <row r="52" customFormat="false" ht="11.1" hidden="false" customHeight="true" outlineLevel="0" collapsed="false">
      <c r="B52" s="37"/>
      <c r="C52" s="7"/>
      <c r="D52" s="7"/>
      <c r="E52" s="7"/>
      <c r="F52" s="37"/>
      <c r="G52" s="123"/>
      <c r="H52" s="8"/>
      <c r="I52" s="37"/>
      <c r="J52" s="37"/>
      <c r="K52" s="125"/>
      <c r="L52" s="37"/>
      <c r="M52" s="35"/>
      <c r="N52" s="35"/>
      <c r="O52" s="35"/>
      <c r="P52" s="37"/>
      <c r="Q52" s="37"/>
      <c r="R52" s="6"/>
      <c r="S52" s="7"/>
      <c r="T52" s="37"/>
      <c r="U52" s="37"/>
      <c r="V52" s="7"/>
      <c r="W52" s="37"/>
      <c r="X52" s="37"/>
      <c r="Y52" s="37"/>
      <c r="Z52" s="42"/>
      <c r="AA52" s="8"/>
      <c r="AB52" s="10"/>
      <c r="AC52" s="11"/>
      <c r="AD52" s="102"/>
      <c r="AE52" s="102"/>
    </row>
    <row r="53" customFormat="false" ht="11.1" hidden="false" customHeight="true" outlineLevel="0" collapsed="false">
      <c r="A53" s="37"/>
      <c r="B53" s="42"/>
      <c r="C53" s="7"/>
      <c r="D53" s="7"/>
      <c r="E53" s="7"/>
      <c r="F53" s="37"/>
      <c r="G53" s="123"/>
      <c r="H53" s="8"/>
      <c r="I53" s="37"/>
      <c r="J53" s="37"/>
      <c r="K53" s="125"/>
      <c r="L53" s="37"/>
      <c r="M53" s="35"/>
      <c r="N53" s="35"/>
      <c r="O53" s="35"/>
      <c r="P53" s="37"/>
      <c r="Q53" s="37"/>
      <c r="R53" s="37"/>
      <c r="S53" s="7"/>
      <c r="T53" s="37"/>
      <c r="U53" s="37"/>
      <c r="V53" s="7"/>
      <c r="W53" s="37"/>
      <c r="X53" s="37"/>
      <c r="Y53" s="37"/>
      <c r="Z53" s="42"/>
      <c r="AA53" s="8"/>
      <c r="AB53" s="10"/>
      <c r="AC53" s="11"/>
      <c r="AD53" s="102"/>
      <c r="AE53" s="102"/>
    </row>
    <row r="54" customFormat="false" ht="11.1" hidden="false" customHeight="true" outlineLevel="0" collapsed="false">
      <c r="A54" s="37"/>
      <c r="B54" s="37"/>
      <c r="C54" s="7"/>
      <c r="D54" s="37"/>
      <c r="E54" s="7"/>
      <c r="F54" s="37"/>
      <c r="G54" s="6"/>
      <c r="H54" s="8"/>
      <c r="I54" s="37"/>
      <c r="J54" s="37"/>
      <c r="K54" s="41"/>
      <c r="L54" s="37"/>
      <c r="M54" s="35"/>
      <c r="N54" s="35"/>
      <c r="O54" s="35"/>
      <c r="P54" s="37"/>
      <c r="Q54" s="37"/>
      <c r="R54" s="37"/>
      <c r="S54" s="7"/>
      <c r="T54" s="37"/>
      <c r="U54" s="37"/>
      <c r="V54" s="7"/>
      <c r="W54" s="37"/>
      <c r="X54" s="37"/>
      <c r="Y54" s="37"/>
      <c r="Z54" s="42"/>
      <c r="AA54" s="8"/>
      <c r="AB54" s="10"/>
      <c r="AC54" s="11"/>
      <c r="AD54" s="102"/>
      <c r="AE54" s="102"/>
    </row>
    <row r="55" customFormat="false" ht="11.1" hidden="false" customHeight="true" outlineLevel="0" collapsed="false">
      <c r="R55" s="37"/>
      <c r="S55" s="7"/>
    </row>
  </sheetData>
  <mergeCells count="2">
    <mergeCell ref="K2:V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J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E10" activePane="bottomRight" state="frozen"/>
      <selection pane="topLeft" activeCell="A1" activeCellId="0" sqref="A1"/>
      <selection pane="topRight" activeCell="E1" activeCellId="0" sqref="E1"/>
      <selection pane="bottomLeft" activeCell="A10" activeCellId="0" sqref="A10"/>
      <selection pane="bottomRight" activeCell="S10" activeCellId="0" sqref="S10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46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false" outlineLevel="0" max="14" min="14" style="47" width="7.32"/>
    <col collapsed="false" customWidth="true" hidden="false" outlineLevel="0" max="15" min="15" style="47" width="6.49"/>
    <col collapsed="false" customWidth="true" hidden="fals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3" min="23" style="44" width="6.82"/>
    <col collapsed="false" customWidth="true" hidden="false" outlineLevel="0" max="25" min="24" style="44" width="7.82"/>
    <col collapsed="false" customWidth="true" hidden="false" outlineLevel="0" max="26" min="26" style="48" width="8.16"/>
    <col collapsed="false" customWidth="true" hidden="false" outlineLevel="0" max="28" min="27" style="49" width="4.66"/>
    <col collapsed="false" customWidth="true" hidden="false" outlineLevel="0" max="29" min="29" style="50" width="4.66"/>
    <col collapsed="false" customWidth="true" hidden="false" outlineLevel="0" max="30" min="30" style="44" width="5.66"/>
    <col collapsed="false" customWidth="false" hidden="false" outlineLevel="0" max="257" min="31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3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1"/>
      <c r="Z1" s="55"/>
      <c r="AA1" s="56"/>
      <c r="AB1" s="56"/>
      <c r="AC1" s="57"/>
      <c r="AD1" s="84"/>
      <c r="AE1" s="84"/>
    </row>
    <row r="2" customFormat="false" ht="14.1" hidden="false" customHeight="true" outlineLevel="0" collapsed="false">
      <c r="A2" s="51" t="s">
        <v>1</v>
      </c>
      <c r="B2" s="51"/>
      <c r="C2" s="52"/>
      <c r="D2" s="58" t="n">
        <v>1.9835</v>
      </c>
      <c r="E2" s="52"/>
      <c r="F2" s="51"/>
      <c r="G2" s="51"/>
      <c r="H2" s="53"/>
      <c r="I2" s="51"/>
      <c r="J2" s="51"/>
      <c r="K2" s="59" t="s">
        <v>74</v>
      </c>
      <c r="L2" s="59"/>
      <c r="M2" s="59"/>
      <c r="N2" s="59"/>
      <c r="O2" s="59"/>
      <c r="P2" s="59"/>
      <c r="Q2" s="59"/>
      <c r="R2" s="59"/>
      <c r="S2" s="59"/>
      <c r="T2" s="59"/>
      <c r="U2" s="51"/>
      <c r="V2" s="52"/>
      <c r="W2" s="51"/>
      <c r="X2" s="51"/>
      <c r="Y2" s="51"/>
      <c r="Z2" s="55"/>
      <c r="AA2" s="56"/>
      <c r="AB2" s="56"/>
      <c r="AC2" s="57"/>
      <c r="AD2" s="84"/>
      <c r="AE2" s="84"/>
    </row>
    <row r="3" customFormat="false" ht="11.1" hidden="false" customHeight="true" outlineLevel="0" collapsed="false">
      <c r="A3" s="51"/>
      <c r="B3" s="51"/>
      <c r="C3" s="52"/>
      <c r="D3" s="60"/>
      <c r="E3" s="52"/>
      <c r="F3" s="51"/>
      <c r="G3" s="51"/>
      <c r="H3" s="53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1"/>
      <c r="Z3" s="55"/>
      <c r="AA3" s="56"/>
      <c r="AB3" s="56"/>
      <c r="AC3" s="57"/>
      <c r="AD3" s="84"/>
      <c r="AE3" s="84"/>
    </row>
    <row r="4" customFormat="false" ht="11.1" hidden="false" customHeight="true" outlineLevel="0" collapsed="false">
      <c r="A4" s="61" t="s">
        <v>3</v>
      </c>
      <c r="B4" s="61" t="s">
        <v>4</v>
      </c>
      <c r="C4" s="62" t="s">
        <v>4</v>
      </c>
      <c r="D4" s="61" t="s">
        <v>5</v>
      </c>
      <c r="E4" s="62" t="s">
        <v>6</v>
      </c>
      <c r="F4" s="61" t="s">
        <v>7</v>
      </c>
      <c r="G4" s="61" t="s">
        <v>8</v>
      </c>
      <c r="H4" s="63" t="s">
        <v>9</v>
      </c>
      <c r="I4" s="61" t="s">
        <v>10</v>
      </c>
      <c r="J4" s="61" t="s">
        <v>11</v>
      </c>
      <c r="K4" s="61" t="s">
        <v>12</v>
      </c>
      <c r="L4" s="61" t="s">
        <v>11</v>
      </c>
      <c r="M4" s="61" t="s">
        <v>13</v>
      </c>
      <c r="N4" s="61"/>
      <c r="O4" s="61"/>
      <c r="P4" s="61"/>
      <c r="Q4" s="61" t="s">
        <v>14</v>
      </c>
      <c r="R4" s="61" t="s">
        <v>15</v>
      </c>
      <c r="S4" s="61" t="s">
        <v>12</v>
      </c>
      <c r="T4" s="62" t="s">
        <v>16</v>
      </c>
      <c r="U4" s="61" t="s">
        <v>17</v>
      </c>
      <c r="V4" s="61" t="s">
        <v>18</v>
      </c>
      <c r="W4" s="62" t="s">
        <v>19</v>
      </c>
      <c r="X4" s="61" t="s">
        <v>10</v>
      </c>
      <c r="Y4" s="61" t="s">
        <v>11</v>
      </c>
      <c r="Z4" s="61" t="s">
        <v>12</v>
      </c>
      <c r="AA4" s="103" t="s">
        <v>20</v>
      </c>
      <c r="AB4" s="64" t="s">
        <v>21</v>
      </c>
      <c r="AC4" s="64" t="s">
        <v>22</v>
      </c>
      <c r="AD4" s="64" t="s">
        <v>3</v>
      </c>
      <c r="AE4" s="84"/>
      <c r="AF4" s="84"/>
    </row>
    <row r="5" customFormat="false" ht="11.1" hidden="false" customHeight="true" outlineLevel="0" collapsed="false">
      <c r="A5" s="65" t="s">
        <v>75</v>
      </c>
      <c r="B5" s="61" t="s">
        <v>24</v>
      </c>
      <c r="C5" s="62" t="s">
        <v>5</v>
      </c>
      <c r="D5" s="61" t="s">
        <v>25</v>
      </c>
      <c r="E5" s="62" t="s">
        <v>26</v>
      </c>
      <c r="F5" s="61" t="s">
        <v>27</v>
      </c>
      <c r="G5" s="61" t="s">
        <v>28</v>
      </c>
      <c r="H5" s="63" t="s">
        <v>29</v>
      </c>
      <c r="I5" s="61" t="s">
        <v>30</v>
      </c>
      <c r="J5" s="61" t="s">
        <v>30</v>
      </c>
      <c r="K5" s="61" t="s">
        <v>30</v>
      </c>
      <c r="L5" s="61" t="s">
        <v>31</v>
      </c>
      <c r="M5" s="61" t="s">
        <v>32</v>
      </c>
      <c r="N5" s="61" t="s">
        <v>33</v>
      </c>
      <c r="O5" s="61" t="s">
        <v>34</v>
      </c>
      <c r="P5" s="61" t="s">
        <v>35</v>
      </c>
      <c r="Q5" s="61" t="s">
        <v>36</v>
      </c>
      <c r="R5" s="61" t="s">
        <v>37</v>
      </c>
      <c r="S5" s="61" t="s">
        <v>16</v>
      </c>
      <c r="T5" s="62" t="s">
        <v>38</v>
      </c>
      <c r="U5" s="61" t="s">
        <v>39</v>
      </c>
      <c r="V5" s="61" t="s">
        <v>40</v>
      </c>
      <c r="W5" s="62" t="s">
        <v>41</v>
      </c>
      <c r="X5" s="61" t="s">
        <v>42</v>
      </c>
      <c r="Y5" s="61" t="s">
        <v>42</v>
      </c>
      <c r="Z5" s="61" t="s">
        <v>42</v>
      </c>
      <c r="AA5" s="126"/>
      <c r="AB5" s="64" t="s">
        <v>43</v>
      </c>
      <c r="AC5" s="64" t="s">
        <v>43</v>
      </c>
      <c r="AD5" s="67" t="s">
        <v>75</v>
      </c>
      <c r="AE5" s="84"/>
      <c r="AF5" s="84"/>
    </row>
    <row r="6" customFormat="false" ht="11.1" hidden="false" customHeight="true" outlineLevel="0" collapsed="false">
      <c r="A6" s="68"/>
      <c r="B6" s="68"/>
      <c r="C6" s="69"/>
      <c r="D6" s="68"/>
      <c r="E6" s="69"/>
      <c r="F6" s="68"/>
      <c r="G6" s="68"/>
      <c r="H6" s="70"/>
      <c r="I6" s="68"/>
      <c r="J6" s="68"/>
      <c r="K6" s="68"/>
      <c r="L6" s="68"/>
      <c r="M6" s="68"/>
      <c r="N6" s="68"/>
      <c r="O6" s="68"/>
      <c r="P6" s="68"/>
      <c r="Q6" s="68"/>
      <c r="R6" s="127" t="s">
        <v>76</v>
      </c>
      <c r="S6" s="68"/>
      <c r="T6" s="105" t="n">
        <f aca="false">(2300+3400)/1.9835</f>
        <v>2873.70809175699</v>
      </c>
      <c r="U6" s="68"/>
      <c r="V6" s="68"/>
      <c r="W6" s="69"/>
      <c r="X6" s="68"/>
      <c r="Y6" s="68"/>
      <c r="Z6" s="68"/>
      <c r="AA6" s="55"/>
      <c r="AB6" s="57"/>
      <c r="AC6" s="57"/>
      <c r="AD6" s="57"/>
      <c r="AE6" s="85"/>
      <c r="AF6" s="85"/>
      <c r="AG6" s="86"/>
    </row>
    <row r="7" customFormat="false" ht="11.1" hidden="false" customHeight="true" outlineLevel="0" collapsed="false">
      <c r="A7" s="51" t="s">
        <v>44</v>
      </c>
      <c r="B7" s="51"/>
      <c r="C7" s="52"/>
      <c r="D7" s="52"/>
      <c r="E7" s="52"/>
      <c r="F7" s="52" t="n">
        <f aca="false">JUN!F44</f>
        <v>5049.65969246282</v>
      </c>
      <c r="G7" s="52" t="n">
        <f aca="false">JUN!G44</f>
        <v>87947</v>
      </c>
      <c r="H7" s="53" t="n">
        <f aca="false">JUN!H44</f>
        <v>1956.06</v>
      </c>
      <c r="I7" s="52" t="n">
        <f aca="false">JUN!I44</f>
        <v>89903.06</v>
      </c>
      <c r="J7" s="52" t="n">
        <f aca="false">JUN!J44</f>
        <v>10206.5650642803</v>
      </c>
      <c r="K7" s="52" t="n">
        <f aca="false">JUN!K44</f>
        <v>100109.62506428</v>
      </c>
      <c r="L7" s="52" t="n">
        <f aca="false">JUN!L44</f>
        <v>8048.87969246282</v>
      </c>
      <c r="M7" s="52" t="n">
        <f aca="false">JUN!M44</f>
        <v>22730.3</v>
      </c>
      <c r="N7" s="52" t="n">
        <f aca="false">JUN!N44</f>
        <v>134.87</v>
      </c>
      <c r="O7" s="52" t="n">
        <f aca="false">JUN!O44</f>
        <v>5613.12</v>
      </c>
      <c r="P7" s="52" t="n">
        <f aca="false">JUN!P44</f>
        <v>16982.31</v>
      </c>
      <c r="Q7" s="52" t="n">
        <f aca="false">JUN!Q44</f>
        <v>11063</v>
      </c>
      <c r="R7" s="52" t="n">
        <f aca="false">JUN!R44</f>
        <v>5201.1</v>
      </c>
      <c r="S7" s="52" t="n">
        <f aca="false">JUN!S44</f>
        <v>33246.41</v>
      </c>
      <c r="T7" s="52" t="n">
        <f aca="false">JUN!T44</f>
        <v>0</v>
      </c>
      <c r="U7" s="52" t="n">
        <f aca="false">JUN!U44</f>
        <v>13517.88</v>
      </c>
      <c r="V7" s="52" t="n">
        <f aca="false">JUN!V44</f>
        <v>40390</v>
      </c>
      <c r="W7" s="52"/>
      <c r="X7" s="52" t="n">
        <f aca="false">JUN!X44</f>
        <v>92902.28</v>
      </c>
      <c r="Y7" s="52" t="n">
        <f aca="false">JUN!Y44</f>
        <v>2157.68537181749</v>
      </c>
      <c r="Z7" s="52" t="n">
        <f aca="false">JUN!Z44</f>
        <v>95059.9653718175</v>
      </c>
      <c r="AA7" s="55"/>
      <c r="AB7" s="56"/>
      <c r="AC7" s="56"/>
      <c r="AD7" s="57"/>
      <c r="AE7" s="85"/>
      <c r="AF7" s="86"/>
      <c r="AG7" s="86"/>
    </row>
    <row r="8" s="45" customFormat="true" ht="11.1" hidden="false" customHeight="true" outlineLevel="0" collapsed="false">
      <c r="A8" s="52" t="s">
        <v>45</v>
      </c>
      <c r="B8" s="71" t="n">
        <f aca="false">JUN!B39</f>
        <v>6914.1</v>
      </c>
      <c r="C8" s="52" t="n">
        <f aca="false">JUN!C39</f>
        <v>338645</v>
      </c>
      <c r="D8" s="52" t="n">
        <f aca="false">JUN!D48</f>
        <v>8965</v>
      </c>
      <c r="E8" s="52" t="n">
        <f aca="false">JUN!E48</f>
        <v>186645</v>
      </c>
      <c r="F8" s="52" t="n">
        <f aca="false">JUN!F47</f>
        <v>4519.78825308798</v>
      </c>
      <c r="G8" s="52" t="n">
        <f aca="false">JUN!G47</f>
        <v>97531</v>
      </c>
      <c r="H8" s="53" t="n">
        <f aca="false">JUN!H47</f>
        <v>2221.34</v>
      </c>
      <c r="I8" s="52" t="n">
        <f aca="false">JUN!I47</f>
        <v>99752.34</v>
      </c>
      <c r="J8" s="52" t="n">
        <f aca="false">JUN!J47</f>
        <v>12554.7260398286</v>
      </c>
      <c r="K8" s="52" t="n">
        <f aca="false">JUN!K47</f>
        <v>112303.333294681</v>
      </c>
      <c r="L8" s="52" t="n">
        <f aca="false">JUN!L47</f>
        <v>9726.45825308798</v>
      </c>
      <c r="M8" s="52" t="n">
        <f aca="false">JUN!M47</f>
        <v>25169.06</v>
      </c>
      <c r="N8" s="52" t="n">
        <f aca="false">JUN!N47</f>
        <v>201.25</v>
      </c>
      <c r="O8" s="52" t="n">
        <f aca="false">JUN!O47</f>
        <v>6054.4605</v>
      </c>
      <c r="P8" s="52" t="n">
        <f aca="false">JUN!P47</f>
        <v>18913.3495</v>
      </c>
      <c r="Q8" s="52" t="n">
        <f aca="false">JUN!Q47</f>
        <v>12107</v>
      </c>
      <c r="R8" s="52" t="n">
        <f aca="false">JUN!R47</f>
        <v>5761.1</v>
      </c>
      <c r="S8" s="52" t="n">
        <f aca="false">JUN!S47</f>
        <v>36781.4495</v>
      </c>
      <c r="T8" s="52" t="n">
        <f aca="false">JUN!T47</f>
        <v>0</v>
      </c>
      <c r="U8" s="52" t="n">
        <f aca="false">JUN!U47</f>
        <v>13517.88</v>
      </c>
      <c r="V8" s="52" t="n">
        <f aca="false">JUN!V47</f>
        <v>48403.97</v>
      </c>
      <c r="W8" s="52" t="n">
        <f aca="false">JUN!W47</f>
        <v>14168</v>
      </c>
      <c r="X8" s="52" t="n">
        <f aca="false">JUN!X47</f>
        <v>104959.01</v>
      </c>
      <c r="Y8" s="52" t="n">
        <f aca="false">JUN!Y47</f>
        <v>2828.26778674061</v>
      </c>
      <c r="Z8" s="52" t="n">
        <f aca="false">JUN!Z47</f>
        <v>107787.277786741</v>
      </c>
      <c r="AA8" s="78" t="n">
        <f aca="false">JUN!AA47</f>
        <v>6.28</v>
      </c>
      <c r="AB8" s="56"/>
      <c r="AC8" s="56"/>
      <c r="AD8" s="57"/>
      <c r="AE8" s="87"/>
      <c r="AF8" s="85"/>
      <c r="AG8" s="87"/>
    </row>
    <row r="9" customFormat="false" ht="3" hidden="false" customHeight="true" outlineLevel="0" collapsed="false">
      <c r="A9" s="72"/>
      <c r="B9" s="73"/>
      <c r="C9" s="74"/>
      <c r="D9" s="72"/>
      <c r="E9" s="74"/>
      <c r="F9" s="72"/>
      <c r="G9" s="72"/>
      <c r="H9" s="75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4"/>
      <c r="U9" s="72"/>
      <c r="V9" s="72"/>
      <c r="W9" s="74"/>
      <c r="X9" s="72"/>
      <c r="Y9" s="72"/>
      <c r="Z9" s="72"/>
      <c r="AA9" s="106"/>
      <c r="AB9" s="76"/>
      <c r="AC9" s="76"/>
      <c r="AD9" s="77"/>
      <c r="AE9" s="85"/>
      <c r="AF9" s="85"/>
      <c r="AG9" s="86"/>
    </row>
    <row r="10" customFormat="false" ht="11.1" hidden="false" customHeight="true" outlineLevel="0" collapsed="false">
      <c r="A10" s="57" t="n">
        <v>1</v>
      </c>
      <c r="B10" s="71" t="n">
        <v>6913.68</v>
      </c>
      <c r="C10" s="52" t="n">
        <v>336916</v>
      </c>
      <c r="D10" s="56" t="n">
        <f aca="false">C10-C8</f>
        <v>-1729</v>
      </c>
      <c r="E10" s="52" t="n">
        <f aca="false">C10-152000</f>
        <v>184916</v>
      </c>
      <c r="F10" s="51" t="n">
        <f aca="false">D10/$D$2</f>
        <v>-871.691454499622</v>
      </c>
      <c r="G10" s="51" t="n">
        <v>163</v>
      </c>
      <c r="H10" s="53" t="n">
        <v>0</v>
      </c>
      <c r="I10" s="51" t="n">
        <f aca="false">G10+H10</f>
        <v>163</v>
      </c>
      <c r="J10" s="78" t="n">
        <f aca="false">IF(L10&gt;0,L10,0)</f>
        <v>0</v>
      </c>
      <c r="K10" s="51" t="n">
        <f aca="false">I10+J10</f>
        <v>163</v>
      </c>
      <c r="L10" s="51" t="n">
        <f aca="false">F10-(I10-X10)</f>
        <v>-85.8914544996219</v>
      </c>
      <c r="M10" s="51" t="n">
        <v>358</v>
      </c>
      <c r="N10" s="51" t="n">
        <v>1</v>
      </c>
      <c r="O10" s="51" t="n">
        <f aca="false">45.1+45.7*1.05</f>
        <v>93.085</v>
      </c>
      <c r="P10" s="6" t="n">
        <f aca="false">M10-(N10+O10)</f>
        <v>263.915</v>
      </c>
      <c r="Q10" s="51" t="n">
        <v>144</v>
      </c>
      <c r="R10" s="51" t="n">
        <v>83</v>
      </c>
      <c r="S10" s="51" t="n">
        <f aca="false">SUM(P10:R10)</f>
        <v>490.915</v>
      </c>
      <c r="T10" s="52" t="n">
        <f aca="false">(I10-S10)+T6</f>
        <v>2545.79309175699</v>
      </c>
      <c r="U10" s="51" t="n">
        <v>282.8</v>
      </c>
      <c r="V10" s="51" t="n">
        <v>81</v>
      </c>
      <c r="W10" s="52" t="n">
        <f aca="false">W8-V10</f>
        <v>14087</v>
      </c>
      <c r="X10" s="6" t="n">
        <f aca="false">N10+O10+S10+U10+V10</f>
        <v>948.8</v>
      </c>
      <c r="Y10" s="51" t="n">
        <f aca="false">IF(L10&lt;0,L10*-1,0)</f>
        <v>85.8914544996219</v>
      </c>
      <c r="Z10" s="51" t="n">
        <f aca="false">X10+Y10</f>
        <v>1034.69145449962</v>
      </c>
      <c r="AA10" s="55" t="n">
        <v>0</v>
      </c>
      <c r="AB10" s="128" t="n">
        <v>88</v>
      </c>
      <c r="AC10" s="128" t="n">
        <v>51</v>
      </c>
      <c r="AD10" s="57" t="n">
        <v>1</v>
      </c>
      <c r="AE10" s="86"/>
      <c r="AF10" s="87"/>
      <c r="AG10" s="86"/>
    </row>
    <row r="11" customFormat="false" ht="11.1" hidden="false" customHeight="true" outlineLevel="0" collapsed="false">
      <c r="A11" s="57" t="n">
        <f aca="false">A10+1</f>
        <v>2</v>
      </c>
      <c r="B11" s="71" t="n">
        <v>6913.3</v>
      </c>
      <c r="C11" s="52" t="n">
        <v>335354</v>
      </c>
      <c r="D11" s="56" t="n">
        <f aca="false">C11-C10</f>
        <v>-1562</v>
      </c>
      <c r="E11" s="52" t="n">
        <f aca="false">C11-152000</f>
        <v>183354</v>
      </c>
      <c r="F11" s="51" t="n">
        <f aca="false">D11/$D$2</f>
        <v>-787.496849004285</v>
      </c>
      <c r="G11" s="51" t="n">
        <v>140</v>
      </c>
      <c r="H11" s="53" t="n">
        <v>0</v>
      </c>
      <c r="I11" s="51" t="n">
        <f aca="false">G11+H11</f>
        <v>140</v>
      </c>
      <c r="J11" s="78" t="n">
        <f aca="false">IF(L11&gt;0,L11,0)</f>
        <v>5.80315099571465</v>
      </c>
      <c r="K11" s="51" t="n">
        <f aca="false">I11+J11</f>
        <v>145.803150995715</v>
      </c>
      <c r="L11" s="51" t="n">
        <f aca="false">F11-(I11-X11)</f>
        <v>5.80315099571465</v>
      </c>
      <c r="M11" s="51" t="n">
        <v>355</v>
      </c>
      <c r="N11" s="51" t="n">
        <v>1</v>
      </c>
      <c r="O11" s="51" t="n">
        <f aca="false">40.3+37.9*1.05</f>
        <v>80.095</v>
      </c>
      <c r="P11" s="6" t="n">
        <f aca="false">M11-(N11+O11)</f>
        <v>273.905</v>
      </c>
      <c r="Q11" s="51" t="n">
        <v>144</v>
      </c>
      <c r="R11" s="51" t="n">
        <v>83</v>
      </c>
      <c r="S11" s="51" t="n">
        <f aca="false">SUM(P11:R11)</f>
        <v>500.905</v>
      </c>
      <c r="T11" s="52" t="n">
        <f aca="false">(I11-S11)+T10</f>
        <v>2184.88809175699</v>
      </c>
      <c r="U11" s="51" t="n">
        <v>270.3</v>
      </c>
      <c r="V11" s="51" t="n">
        <v>81</v>
      </c>
      <c r="W11" s="52" t="n">
        <f aca="false">W10-V11</f>
        <v>14006</v>
      </c>
      <c r="X11" s="6" t="n">
        <f aca="false">N11+O11+S11+U11+V11</f>
        <v>933.3</v>
      </c>
      <c r="Y11" s="51" t="n">
        <f aca="false">IF(L11&lt;0,L11*-1,0)</f>
        <v>0</v>
      </c>
      <c r="Z11" s="51" t="n">
        <f aca="false">X11+Y11</f>
        <v>933.3</v>
      </c>
      <c r="AA11" s="55" t="n">
        <v>0</v>
      </c>
      <c r="AB11" s="56" t="n">
        <v>88</v>
      </c>
      <c r="AC11" s="56" t="n">
        <v>52</v>
      </c>
      <c r="AD11" s="57" t="n">
        <f aca="false">AD10+1</f>
        <v>2</v>
      </c>
      <c r="AE11" s="86"/>
      <c r="AF11" s="87"/>
      <c r="AG11" s="86"/>
    </row>
    <row r="12" customFormat="false" ht="11.1" hidden="false" customHeight="true" outlineLevel="0" collapsed="false">
      <c r="A12" s="57" t="n">
        <f aca="false">A11+1</f>
        <v>3</v>
      </c>
      <c r="B12" s="71" t="n">
        <v>6912.88</v>
      </c>
      <c r="C12" s="52" t="n">
        <v>333632</v>
      </c>
      <c r="D12" s="56" t="n">
        <f aca="false">C12-C11</f>
        <v>-1722</v>
      </c>
      <c r="E12" s="52" t="n">
        <f aca="false">C12-152000</f>
        <v>181632</v>
      </c>
      <c r="F12" s="51" t="n">
        <f aca="false">D12/$D$2</f>
        <v>-868.162339299218</v>
      </c>
      <c r="G12" s="51" t="n">
        <v>133</v>
      </c>
      <c r="H12" s="53" t="n">
        <v>0</v>
      </c>
      <c r="I12" s="51" t="n">
        <f aca="false">G12+H12</f>
        <v>133</v>
      </c>
      <c r="J12" s="78" t="n">
        <f aca="false">IF(L12&gt;0,L12,0)</f>
        <v>0</v>
      </c>
      <c r="K12" s="51" t="n">
        <f aca="false">I12+J12</f>
        <v>133</v>
      </c>
      <c r="L12" s="51" t="n">
        <f aca="false">F12-(I12-X12)</f>
        <v>-52.2623392992185</v>
      </c>
      <c r="M12" s="51" t="n">
        <v>359</v>
      </c>
      <c r="N12" s="51" t="n">
        <v>1</v>
      </c>
      <c r="O12" s="51" t="n">
        <f aca="false">42.5+42*1.05</f>
        <v>86.6</v>
      </c>
      <c r="P12" s="6" t="n">
        <f aca="false">M12-(N12+O12)</f>
        <v>271.4</v>
      </c>
      <c r="Q12" s="51" t="n">
        <v>144</v>
      </c>
      <c r="R12" s="51" t="n">
        <v>83</v>
      </c>
      <c r="S12" s="51" t="n">
        <f aca="false">SUM(P12:R12)</f>
        <v>498.4</v>
      </c>
      <c r="T12" s="52" t="n">
        <f aca="false">(I12-S12)+T11</f>
        <v>1819.48809175699</v>
      </c>
      <c r="U12" s="51" t="n">
        <v>281.9</v>
      </c>
      <c r="V12" s="51" t="n">
        <v>81</v>
      </c>
      <c r="W12" s="52" t="n">
        <f aca="false">W11-V12</f>
        <v>13925</v>
      </c>
      <c r="X12" s="6" t="n">
        <f aca="false">N12+O12+S12+U12+V12</f>
        <v>948.9</v>
      </c>
      <c r="Y12" s="51" t="n">
        <f aca="false">IF(L12&lt;0,L12*-1,0)</f>
        <v>52.2623392992185</v>
      </c>
      <c r="Z12" s="51" t="n">
        <f aca="false">X12+Y12</f>
        <v>1001.16233929922</v>
      </c>
      <c r="AA12" s="55" t="n">
        <v>0</v>
      </c>
      <c r="AB12" s="56" t="n">
        <v>87</v>
      </c>
      <c r="AC12" s="56" t="n">
        <v>54</v>
      </c>
      <c r="AD12" s="57" t="n">
        <f aca="false">AD11+1</f>
        <v>3</v>
      </c>
      <c r="AE12" s="86"/>
      <c r="AF12" s="87"/>
      <c r="AG12" s="86"/>
    </row>
    <row r="13" customFormat="false" ht="11.1" hidden="false" customHeight="true" outlineLevel="0" collapsed="false">
      <c r="A13" s="57" t="n">
        <f aca="false">A12+1</f>
        <v>4</v>
      </c>
      <c r="B13" s="71" t="n">
        <v>6912.43</v>
      </c>
      <c r="C13" s="52" t="n">
        <v>331797</v>
      </c>
      <c r="D13" s="56" t="n">
        <f aca="false">C13-C12</f>
        <v>-1835</v>
      </c>
      <c r="E13" s="52" t="n">
        <f aca="false">C13-152000</f>
        <v>179797</v>
      </c>
      <c r="F13" s="51" t="n">
        <f aca="false">D13/$D$2</f>
        <v>-925.132341820015</v>
      </c>
      <c r="G13" s="51" t="n">
        <v>120</v>
      </c>
      <c r="H13" s="53" t="n">
        <v>0</v>
      </c>
      <c r="I13" s="51" t="n">
        <f aca="false">G13+H13</f>
        <v>120</v>
      </c>
      <c r="J13" s="78" t="n">
        <f aca="false">IF(L13&gt;0,L13,0)</f>
        <v>0</v>
      </c>
      <c r="K13" s="51" t="n">
        <f aca="false">I13+J13</f>
        <v>120</v>
      </c>
      <c r="L13" s="51" t="n">
        <f aca="false">F13-(I13-X13)</f>
        <v>-90.6323418200151</v>
      </c>
      <c r="M13" s="51" t="n">
        <v>362</v>
      </c>
      <c r="N13" s="51" t="n">
        <v>1</v>
      </c>
      <c r="O13" s="51" t="n">
        <f aca="false">46.8+47.2*1.05</f>
        <v>96.36</v>
      </c>
      <c r="P13" s="6" t="n">
        <f aca="false">M13-(N13+O13)</f>
        <v>264.64</v>
      </c>
      <c r="Q13" s="51" t="n">
        <v>144</v>
      </c>
      <c r="R13" s="51" t="n">
        <v>84</v>
      </c>
      <c r="S13" s="51" t="n">
        <f aca="false">SUM(P13:R13)</f>
        <v>492.64</v>
      </c>
      <c r="T13" s="52" t="n">
        <f aca="false">(I13-S13)+T12</f>
        <v>1446.848091757</v>
      </c>
      <c r="U13" s="51" t="n">
        <v>283.5</v>
      </c>
      <c r="V13" s="51" t="n">
        <v>81</v>
      </c>
      <c r="W13" s="52" t="n">
        <f aca="false">W12-V13</f>
        <v>13844</v>
      </c>
      <c r="X13" s="6" t="n">
        <f aca="false">N13+O13+S13+U13+V13</f>
        <v>954.5</v>
      </c>
      <c r="Y13" s="51" t="n">
        <f aca="false">IF(L13&lt;0,L13*-1,0)</f>
        <v>90.6323418200151</v>
      </c>
      <c r="Z13" s="51" t="n">
        <f aca="false">X13+Y13</f>
        <v>1045.13234182002</v>
      </c>
      <c r="AA13" s="55" t="n">
        <v>0</v>
      </c>
      <c r="AB13" s="56" t="n">
        <v>86</v>
      </c>
      <c r="AC13" s="56" t="n">
        <v>50</v>
      </c>
      <c r="AD13" s="57" t="n">
        <f aca="false">AD12+1</f>
        <v>4</v>
      </c>
      <c r="AE13" s="86"/>
      <c r="AF13" s="87"/>
      <c r="AG13" s="86"/>
    </row>
    <row r="14" customFormat="false" ht="11.1" hidden="false" customHeight="true" outlineLevel="0" collapsed="false">
      <c r="A14" s="57" t="n">
        <f aca="false">A13+1</f>
        <v>5</v>
      </c>
      <c r="B14" s="71" t="n">
        <v>6911.99</v>
      </c>
      <c r="C14" s="52" t="n">
        <v>330004</v>
      </c>
      <c r="D14" s="56" t="n">
        <f aca="false">C14-C13</f>
        <v>-1793</v>
      </c>
      <c r="E14" s="52" t="n">
        <f aca="false">C14-152000</f>
        <v>178004</v>
      </c>
      <c r="F14" s="51" t="n">
        <f aca="false">D14/$D$2</f>
        <v>-903.957650617595</v>
      </c>
      <c r="G14" s="51" t="n">
        <v>114</v>
      </c>
      <c r="H14" s="53" t="n">
        <v>0</v>
      </c>
      <c r="I14" s="51" t="n">
        <f aca="false">G14+H14</f>
        <v>114</v>
      </c>
      <c r="J14" s="78" t="n">
        <f aca="false">IF(L14&gt;0,L14,0)</f>
        <v>0</v>
      </c>
      <c r="K14" s="51" t="n">
        <f aca="false">I14+J14</f>
        <v>114</v>
      </c>
      <c r="L14" s="51" t="n">
        <f aca="false">F14-(I14-X14)</f>
        <v>-78.6576506175952</v>
      </c>
      <c r="M14" s="51" t="n">
        <v>343</v>
      </c>
      <c r="N14" s="51" t="n">
        <v>1</v>
      </c>
      <c r="O14" s="51" t="n">
        <f aca="false">36.9+36.8*1.05</f>
        <v>75.54</v>
      </c>
      <c r="P14" s="6" t="n">
        <f aca="false">M14-(N14+O14)</f>
        <v>266.46</v>
      </c>
      <c r="Q14" s="51" t="n">
        <v>144</v>
      </c>
      <c r="R14" s="51" t="n">
        <v>83</v>
      </c>
      <c r="S14" s="51" t="n">
        <f aca="false">SUM(P14:R14)</f>
        <v>493.46</v>
      </c>
      <c r="T14" s="52" t="n">
        <f aca="false">(I14-S14)+T13</f>
        <v>1067.388091757</v>
      </c>
      <c r="U14" s="51" t="n">
        <v>288.3</v>
      </c>
      <c r="V14" s="51" t="n">
        <v>81</v>
      </c>
      <c r="W14" s="52" t="n">
        <f aca="false">W13-V14</f>
        <v>13763</v>
      </c>
      <c r="X14" s="6" t="n">
        <f aca="false">N14+O14+S14+U14+V14</f>
        <v>939.3</v>
      </c>
      <c r="Y14" s="51" t="n">
        <f aca="false">IF(L14&lt;0,L14*-1,0)</f>
        <v>78.6576506175952</v>
      </c>
      <c r="Z14" s="51" t="n">
        <f aca="false">X14+Y14</f>
        <v>1017.9576506176</v>
      </c>
      <c r="AA14" s="55" t="n">
        <v>0</v>
      </c>
      <c r="AB14" s="56" t="n">
        <v>88</v>
      </c>
      <c r="AC14" s="56" t="n">
        <v>51</v>
      </c>
      <c r="AD14" s="57" t="n">
        <f aca="false">AD13+1</f>
        <v>5</v>
      </c>
      <c r="AE14" s="86"/>
      <c r="AF14" s="87"/>
      <c r="AG14" s="86"/>
    </row>
    <row r="15" customFormat="false" ht="11.1" hidden="false" customHeight="true" outlineLevel="0" collapsed="false">
      <c r="A15" s="57" t="n">
        <f aca="false">A14+1</f>
        <v>6</v>
      </c>
      <c r="B15" s="71" t="n">
        <v>6911.58</v>
      </c>
      <c r="C15" s="52" t="n">
        <v>328345</v>
      </c>
      <c r="D15" s="56" t="n">
        <f aca="false">C15-C14</f>
        <v>-1659</v>
      </c>
      <c r="E15" s="52" t="n">
        <f aca="false">C15-152000</f>
        <v>176345</v>
      </c>
      <c r="F15" s="51" t="n">
        <f aca="false">D15/$D$2</f>
        <v>-836.400302495589</v>
      </c>
      <c r="G15" s="51" t="n">
        <v>109</v>
      </c>
      <c r="H15" s="53" t="n">
        <v>0</v>
      </c>
      <c r="I15" s="51" t="n">
        <f aca="false">G15+H15</f>
        <v>109</v>
      </c>
      <c r="J15" s="78" t="n">
        <f aca="false">IF(L15&gt;0,L15,0)</f>
        <v>0</v>
      </c>
      <c r="K15" s="51" t="n">
        <f aca="false">I15+J15</f>
        <v>109</v>
      </c>
      <c r="L15" s="51" t="n">
        <f aca="false">F15-(I15-X15)</f>
        <v>-10.1003024955886</v>
      </c>
      <c r="M15" s="51" t="n">
        <v>343</v>
      </c>
      <c r="N15" s="51" t="n">
        <v>1</v>
      </c>
      <c r="O15" s="51" t="n">
        <f aca="false">35.5+35.8*1.05</f>
        <v>73.09</v>
      </c>
      <c r="P15" s="6" t="n">
        <f aca="false">M15-(N15+O15)</f>
        <v>268.91</v>
      </c>
      <c r="Q15" s="51" t="n">
        <v>143</v>
      </c>
      <c r="R15" s="51" t="n">
        <v>83</v>
      </c>
      <c r="S15" s="51" t="n">
        <f aca="false">SUM(P15:R15)</f>
        <v>494.91</v>
      </c>
      <c r="T15" s="52" t="n">
        <f aca="false">(I15-S15)+T14</f>
        <v>681.478091756995</v>
      </c>
      <c r="U15" s="51" t="n">
        <v>285.3</v>
      </c>
      <c r="V15" s="51" t="n">
        <v>81</v>
      </c>
      <c r="W15" s="52" t="n">
        <f aca="false">W14-V15</f>
        <v>13682</v>
      </c>
      <c r="X15" s="6" t="n">
        <f aca="false">N15+O15+S15+U15+V15</f>
        <v>935.3</v>
      </c>
      <c r="Y15" s="51" t="n">
        <f aca="false">IF(L15&lt;0,L15*-1,0)</f>
        <v>10.1003024955886</v>
      </c>
      <c r="Z15" s="51" t="n">
        <f aca="false">X15+Y15</f>
        <v>945.400302495589</v>
      </c>
      <c r="AA15" s="55" t="n">
        <v>0</v>
      </c>
      <c r="AB15" s="56" t="n">
        <v>88</v>
      </c>
      <c r="AC15" s="56" t="n">
        <v>50</v>
      </c>
      <c r="AD15" s="57" t="n">
        <f aca="false">AD14+1</f>
        <v>6</v>
      </c>
      <c r="AE15" s="85"/>
      <c r="AF15" s="87"/>
      <c r="AG15" s="86"/>
    </row>
    <row r="16" customFormat="false" ht="11.1" hidden="false" customHeight="true" outlineLevel="0" collapsed="false">
      <c r="A16" s="57" t="n">
        <f aca="false">A15+1</f>
        <v>7</v>
      </c>
      <c r="B16" s="71" t="n">
        <v>6911.12</v>
      </c>
      <c r="C16" s="52" t="n">
        <v>326485</v>
      </c>
      <c r="D16" s="56" t="n">
        <f aca="false">C16-C15</f>
        <v>-1860</v>
      </c>
      <c r="E16" s="52" t="n">
        <f aca="false">C16-152000</f>
        <v>174485</v>
      </c>
      <c r="F16" s="51" t="n">
        <f aca="false">D16/$D$2</f>
        <v>-937.736324678598</v>
      </c>
      <c r="G16" s="51" t="n">
        <v>107</v>
      </c>
      <c r="H16" s="53" t="n">
        <v>0</v>
      </c>
      <c r="I16" s="51" t="n">
        <f aca="false">G16+H16</f>
        <v>107</v>
      </c>
      <c r="J16" s="78" t="n">
        <f aca="false">IF(L16&gt;0,L16,0)</f>
        <v>0</v>
      </c>
      <c r="K16" s="51" t="n">
        <f aca="false">I16+J16</f>
        <v>107</v>
      </c>
      <c r="L16" s="51" t="n">
        <f aca="false">F16-(I16-X16)</f>
        <v>-99.7363246785984</v>
      </c>
      <c r="M16" s="51" t="n">
        <v>356</v>
      </c>
      <c r="N16" s="51" t="n">
        <v>1</v>
      </c>
      <c r="O16" s="51" t="n">
        <f aca="false">43.5+41.2*1.05</f>
        <v>86.76</v>
      </c>
      <c r="P16" s="6" t="n">
        <f aca="false">M16-(N16+O16)</f>
        <v>268.24</v>
      </c>
      <c r="Q16" s="51" t="n">
        <v>144</v>
      </c>
      <c r="R16" s="51" t="n">
        <v>82</v>
      </c>
      <c r="S16" s="51" t="n">
        <f aca="false">SUM(P16:R16)</f>
        <v>494.24</v>
      </c>
      <c r="T16" s="52" t="n">
        <f aca="false">(I16-S16)+T15</f>
        <v>294.238091756995</v>
      </c>
      <c r="U16" s="51" t="n">
        <v>282</v>
      </c>
      <c r="V16" s="51" t="n">
        <v>81</v>
      </c>
      <c r="W16" s="52" t="n">
        <f aca="false">W15-V16</f>
        <v>13601</v>
      </c>
      <c r="X16" s="6" t="n">
        <f aca="false">N16+O16+S16+U16+V16</f>
        <v>945</v>
      </c>
      <c r="Y16" s="51" t="n">
        <f aca="false">IF(L16&lt;0,L16*-1,0)</f>
        <v>99.7363246785984</v>
      </c>
      <c r="Z16" s="51" t="n">
        <f aca="false">X16+Y16</f>
        <v>1044.7363246786</v>
      </c>
      <c r="AA16" s="55" t="n">
        <v>0</v>
      </c>
      <c r="AB16" s="128" t="n">
        <v>88</v>
      </c>
      <c r="AC16" s="128" t="n">
        <v>51</v>
      </c>
      <c r="AD16" s="57" t="n">
        <f aca="false">AD15+1</f>
        <v>7</v>
      </c>
      <c r="AE16" s="85"/>
      <c r="AF16" s="87"/>
      <c r="AG16" s="86"/>
    </row>
    <row r="17" customFormat="false" ht="11.1" hidden="false" customHeight="true" outlineLevel="0" collapsed="false">
      <c r="A17" s="57" t="n">
        <f aca="false">A16+1</f>
        <v>8</v>
      </c>
      <c r="B17" s="71" t="n">
        <v>6910.82</v>
      </c>
      <c r="C17" s="52" t="n">
        <v>325277</v>
      </c>
      <c r="D17" s="56" t="n">
        <f aca="false">C17-C16</f>
        <v>-1208</v>
      </c>
      <c r="E17" s="52" t="n">
        <f aca="false">C17-152000</f>
        <v>173277</v>
      </c>
      <c r="F17" s="51" t="n">
        <f aca="false">D17/$D$2</f>
        <v>-609.024451726746</v>
      </c>
      <c r="G17" s="51" t="n">
        <v>136</v>
      </c>
      <c r="H17" s="53" t="n">
        <v>0</v>
      </c>
      <c r="I17" s="51" t="n">
        <f aca="false">G17+H17</f>
        <v>136</v>
      </c>
      <c r="J17" s="78" t="n">
        <f aca="false">IF(L17&gt;0,L17,0)</f>
        <v>151.875548273254</v>
      </c>
      <c r="K17" s="51" t="n">
        <f aca="false">I17+J17</f>
        <v>287.875548273254</v>
      </c>
      <c r="L17" s="51" t="n">
        <f aca="false">F17-(I17-X17)</f>
        <v>151.875548273254</v>
      </c>
      <c r="M17" s="51" t="n">
        <v>340</v>
      </c>
      <c r="N17" s="51" t="n">
        <v>1</v>
      </c>
      <c r="O17" s="51" t="n">
        <f aca="false">35.8+35.5*1.05</f>
        <v>73.075</v>
      </c>
      <c r="P17" s="6" t="n">
        <f aca="false">M17-(N17+O17)</f>
        <v>265.925</v>
      </c>
      <c r="Q17" s="51" t="n">
        <v>144</v>
      </c>
      <c r="R17" s="51" t="n">
        <v>82</v>
      </c>
      <c r="S17" s="51" t="n">
        <f aca="false">SUM(P17:R17)</f>
        <v>491.925</v>
      </c>
      <c r="T17" s="52" t="n">
        <f aca="false">(I17-S17)+T16</f>
        <v>-61.686908243005</v>
      </c>
      <c r="U17" s="51" t="n">
        <v>250.9</v>
      </c>
      <c r="V17" s="51" t="n">
        <v>80</v>
      </c>
      <c r="W17" s="52" t="n">
        <f aca="false">W16-V17</f>
        <v>13521</v>
      </c>
      <c r="X17" s="6" t="n">
        <f aca="false">N17+O17+S17+U17+V17</f>
        <v>896.9</v>
      </c>
      <c r="Y17" s="51" t="n">
        <f aca="false">IF(L17&lt;0,L17*-1,0)</f>
        <v>0</v>
      </c>
      <c r="Z17" s="51" t="n">
        <f aca="false">X17+Y17</f>
        <v>896.9</v>
      </c>
      <c r="AA17" s="55" t="n">
        <v>0.31</v>
      </c>
      <c r="AB17" s="56" t="n">
        <v>84</v>
      </c>
      <c r="AC17" s="56" t="n">
        <v>56</v>
      </c>
      <c r="AD17" s="57" t="n">
        <f aca="false">AD16+1</f>
        <v>8</v>
      </c>
      <c r="AE17" s="85"/>
      <c r="AF17" s="87"/>
      <c r="AG17" s="86"/>
    </row>
    <row r="18" customFormat="false" ht="11.1" hidden="false" customHeight="true" outlineLevel="0" collapsed="false">
      <c r="A18" s="57" t="n">
        <f aca="false">A17+1</f>
        <v>9</v>
      </c>
      <c r="B18" s="71" t="n">
        <v>6910.48</v>
      </c>
      <c r="C18" s="52" t="n">
        <v>323913</v>
      </c>
      <c r="D18" s="56" t="n">
        <f aca="false">C18-C17</f>
        <v>-1364</v>
      </c>
      <c r="E18" s="52" t="n">
        <f aca="false">C18-152000</f>
        <v>171913</v>
      </c>
      <c r="F18" s="51" t="n">
        <f aca="false">D18/$D$2</f>
        <v>-687.673304764305</v>
      </c>
      <c r="G18" s="51" t="n">
        <v>197</v>
      </c>
      <c r="H18" s="53" t="n">
        <v>0.12</v>
      </c>
      <c r="I18" s="51" t="n">
        <f aca="false">G18+H18</f>
        <v>197.12</v>
      </c>
      <c r="J18" s="78" t="n">
        <f aca="false">IF(L18&gt;0,L18,0)</f>
        <v>0</v>
      </c>
      <c r="K18" s="51" t="n">
        <f aca="false">I18+J18</f>
        <v>197.12</v>
      </c>
      <c r="L18" s="51" t="n">
        <f aca="false">F18-(I18-X18)</f>
        <v>-78.5933047643055</v>
      </c>
      <c r="M18" s="51" t="n">
        <v>309</v>
      </c>
      <c r="N18" s="51" t="n">
        <v>1</v>
      </c>
      <c r="O18" s="51" t="n">
        <f aca="false">28.7+28.4*1.05</f>
        <v>58.52</v>
      </c>
      <c r="P18" s="6" t="n">
        <f aca="false">M18-(N18+O18)</f>
        <v>249.48</v>
      </c>
      <c r="Q18" s="51" t="n">
        <v>144</v>
      </c>
      <c r="R18" s="51" t="n">
        <v>83</v>
      </c>
      <c r="S18" s="51" t="n">
        <f aca="false">SUM(P18:R18)</f>
        <v>476.48</v>
      </c>
      <c r="T18" s="52" t="n">
        <f aca="false">(I18-S18)+T17</f>
        <v>-341.046908243005</v>
      </c>
      <c r="U18" s="51" t="n">
        <v>190.2</v>
      </c>
      <c r="V18" s="51" t="n">
        <v>80</v>
      </c>
      <c r="W18" s="52" t="n">
        <f aca="false">W17-V18</f>
        <v>13441</v>
      </c>
      <c r="X18" s="6" t="n">
        <f aca="false">N18+O18+S18+U18+V18</f>
        <v>806.2</v>
      </c>
      <c r="Y18" s="51" t="n">
        <f aca="false">IF(L18&lt;0,L18*-1,0)</f>
        <v>78.5933047643055</v>
      </c>
      <c r="Z18" s="51" t="n">
        <f aca="false">X18+Y18</f>
        <v>884.793304764306</v>
      </c>
      <c r="AA18" s="55" t="n">
        <v>0</v>
      </c>
      <c r="AB18" s="79" t="n">
        <v>84</v>
      </c>
      <c r="AC18" s="56" t="n">
        <v>52</v>
      </c>
      <c r="AD18" s="57" t="n">
        <f aca="false">AD17+1</f>
        <v>9</v>
      </c>
      <c r="AE18" s="85"/>
      <c r="AF18" s="87"/>
      <c r="AG18" s="86"/>
    </row>
    <row r="19" customFormat="false" ht="11.1" hidden="false" customHeight="true" outlineLevel="0" collapsed="false">
      <c r="A19" s="57" t="n">
        <f aca="false">A18+1</f>
        <v>10</v>
      </c>
      <c r="B19" s="71" t="n">
        <v>6910.15</v>
      </c>
      <c r="C19" s="52" t="n">
        <v>322588</v>
      </c>
      <c r="D19" s="56" t="n">
        <f aca="false">C19-C18</f>
        <v>-1325</v>
      </c>
      <c r="E19" s="52" t="n">
        <f aca="false">C19-152000</f>
        <v>170588</v>
      </c>
      <c r="F19" s="51" t="n">
        <f aca="false">D19/$D$2</f>
        <v>-668.011091504915</v>
      </c>
      <c r="G19" s="51" t="n">
        <v>193</v>
      </c>
      <c r="H19" s="53" t="n">
        <v>0.1</v>
      </c>
      <c r="I19" s="51" t="n">
        <f aca="false">G19+H19</f>
        <v>193.1</v>
      </c>
      <c r="J19" s="78" t="n">
        <f aca="false">IF(L19&gt;0,L19,0)</f>
        <v>0</v>
      </c>
      <c r="K19" s="51" t="n">
        <f aca="false">I19+J19</f>
        <v>193.1</v>
      </c>
      <c r="L19" s="51" t="n">
        <f aca="false">F19-(I19-X19)</f>
        <v>-27.1110915049155</v>
      </c>
      <c r="M19" s="51" t="n">
        <v>310</v>
      </c>
      <c r="N19" s="51" t="n">
        <v>1</v>
      </c>
      <c r="O19" s="51" t="n">
        <f aca="false">29.8+29.5*1.05</f>
        <v>60.775</v>
      </c>
      <c r="P19" s="6" t="n">
        <f aca="false">M19-(N19+O19)</f>
        <v>248.225</v>
      </c>
      <c r="Q19" s="51" t="n">
        <v>144</v>
      </c>
      <c r="R19" s="51" t="n">
        <v>81</v>
      </c>
      <c r="S19" s="51" t="n">
        <f aca="false">SUM(P19:R19)</f>
        <v>473.225</v>
      </c>
      <c r="T19" s="52" t="n">
        <f aca="false">(I19-S19)+T18</f>
        <v>-621.171908243005</v>
      </c>
      <c r="U19" s="51" t="n">
        <v>219</v>
      </c>
      <c r="V19" s="51" t="n">
        <v>80</v>
      </c>
      <c r="W19" s="52" t="n">
        <f aca="false">W18-V19</f>
        <v>13361</v>
      </c>
      <c r="X19" s="6" t="n">
        <f aca="false">N19+O19+S19+U19+V19</f>
        <v>834</v>
      </c>
      <c r="Y19" s="51" t="n">
        <f aca="false">IF(L19&lt;0,L19*-1,0)</f>
        <v>27.1110915049155</v>
      </c>
      <c r="Z19" s="51" t="n">
        <f aca="false">X19+Y19</f>
        <v>861.111091504916</v>
      </c>
      <c r="AA19" s="55" t="n">
        <v>0</v>
      </c>
      <c r="AB19" s="56" t="n">
        <v>85</v>
      </c>
      <c r="AC19" s="56" t="n">
        <v>52</v>
      </c>
      <c r="AD19" s="57" t="n">
        <f aca="false">AD18+1</f>
        <v>10</v>
      </c>
      <c r="AE19" s="85"/>
      <c r="AF19" s="87"/>
      <c r="AG19" s="86"/>
    </row>
    <row r="20" customFormat="false" ht="11.1" hidden="false" customHeight="true" outlineLevel="0" collapsed="false">
      <c r="A20" s="57" t="n">
        <f aca="false">A19+1</f>
        <v>11</v>
      </c>
      <c r="B20" s="71" t="n">
        <v>6909.8</v>
      </c>
      <c r="C20" s="52" t="n">
        <v>321190</v>
      </c>
      <c r="D20" s="56" t="n">
        <f aca="false">C20-C19</f>
        <v>-1398</v>
      </c>
      <c r="E20" s="52" t="n">
        <f aca="false">C20-152000</f>
        <v>169190</v>
      </c>
      <c r="F20" s="51" t="n">
        <f aca="false">D20/$D$2</f>
        <v>-704.814721451979</v>
      </c>
      <c r="G20" s="51" t="n">
        <v>169</v>
      </c>
      <c r="H20" s="53" t="n">
        <v>0.01</v>
      </c>
      <c r="I20" s="51" t="n">
        <f aca="false">G20+H20</f>
        <v>169.01</v>
      </c>
      <c r="J20" s="78" t="n">
        <f aca="false">IF(L20&gt;0,L20,0)</f>
        <v>0</v>
      </c>
      <c r="K20" s="51" t="n">
        <f aca="false">I20+J20</f>
        <v>169.01</v>
      </c>
      <c r="L20" s="51" t="n">
        <f aca="false">F20-(I20-X20)</f>
        <v>-42.6247214519788</v>
      </c>
      <c r="M20" s="51" t="n">
        <v>298</v>
      </c>
      <c r="N20" s="51" t="n">
        <v>1</v>
      </c>
      <c r="O20" s="51" t="n">
        <f aca="false">29.5+29.7*1.05</f>
        <v>60.685</v>
      </c>
      <c r="P20" s="6" t="n">
        <f aca="false">M20-(N20+O20)</f>
        <v>236.315</v>
      </c>
      <c r="Q20" s="51" t="n">
        <v>144</v>
      </c>
      <c r="R20" s="51" t="n">
        <v>79</v>
      </c>
      <c r="S20" s="51" t="n">
        <f aca="false">SUM(P20:R20)</f>
        <v>459.315</v>
      </c>
      <c r="T20" s="52" t="n">
        <f aca="false">(I20-S20)+T19</f>
        <v>-911.476908243005</v>
      </c>
      <c r="U20" s="51" t="n">
        <v>230.2</v>
      </c>
      <c r="V20" s="51" t="n">
        <v>80</v>
      </c>
      <c r="W20" s="52" t="n">
        <f aca="false">W19-V20</f>
        <v>13281</v>
      </c>
      <c r="X20" s="6" t="n">
        <f aca="false">N20+O20+S20+U20+V20</f>
        <v>831.2</v>
      </c>
      <c r="Y20" s="51" t="n">
        <f aca="false">IF(L20&lt;0,L20*-1,0)</f>
        <v>42.6247214519788</v>
      </c>
      <c r="Z20" s="51" t="n">
        <f aca="false">X20+Y20</f>
        <v>873.824721451979</v>
      </c>
      <c r="AA20" s="55" t="n">
        <v>0</v>
      </c>
      <c r="AB20" s="56" t="n">
        <v>87</v>
      </c>
      <c r="AC20" s="56" t="n">
        <v>55</v>
      </c>
      <c r="AD20" s="57" t="n">
        <f aca="false">AD19+1</f>
        <v>11</v>
      </c>
      <c r="AE20" s="85"/>
      <c r="AF20" s="87"/>
      <c r="AG20" s="86"/>
      <c r="AH20" s="129"/>
      <c r="AI20" s="129"/>
      <c r="AJ20" s="129"/>
    </row>
    <row r="21" customFormat="false" ht="11.1" hidden="false" customHeight="true" outlineLevel="0" collapsed="false">
      <c r="A21" s="57" t="n">
        <f aca="false">A20+1</f>
        <v>12</v>
      </c>
      <c r="B21" s="71" t="n">
        <v>6909.48</v>
      </c>
      <c r="C21" s="52" t="n">
        <v>319916</v>
      </c>
      <c r="D21" s="56" t="n">
        <f aca="false">C21-C20</f>
        <v>-1274</v>
      </c>
      <c r="E21" s="52" t="n">
        <f aca="false">C21-152000</f>
        <v>167916</v>
      </c>
      <c r="F21" s="51" t="n">
        <f aca="false">D21/$D$2</f>
        <v>-642.298966473406</v>
      </c>
      <c r="G21" s="51" t="n">
        <v>159</v>
      </c>
      <c r="H21" s="53" t="n">
        <v>0</v>
      </c>
      <c r="I21" s="51" t="n">
        <f aca="false">G21+H21</f>
        <v>159</v>
      </c>
      <c r="J21" s="78" t="n">
        <f aca="false">IF(L21&gt;0,L21,0)</f>
        <v>11.4010335265945</v>
      </c>
      <c r="K21" s="51" t="n">
        <f aca="false">I21+J21</f>
        <v>170.401033526594</v>
      </c>
      <c r="L21" s="51" t="n">
        <f aca="false">F21-(I21-X21)</f>
        <v>11.4010335265945</v>
      </c>
      <c r="M21" s="51" t="n">
        <v>287</v>
      </c>
      <c r="N21" s="51" t="n">
        <v>0</v>
      </c>
      <c r="O21" s="51" t="n">
        <f aca="false">22.7+23.3*1.05</f>
        <v>47.165</v>
      </c>
      <c r="P21" s="6" t="n">
        <f aca="false">M21-(N21+O21)</f>
        <v>239.835</v>
      </c>
      <c r="Q21" s="51" t="n">
        <v>144</v>
      </c>
      <c r="R21" s="51" t="n">
        <v>78</v>
      </c>
      <c r="S21" s="51" t="n">
        <f aca="false">SUM(P21:R21)</f>
        <v>461.835</v>
      </c>
      <c r="T21" s="52" t="n">
        <f aca="false">(I21-S21)+T20</f>
        <v>-1214.31190824301</v>
      </c>
      <c r="U21" s="51" t="n">
        <v>222.7</v>
      </c>
      <c r="V21" s="51" t="n">
        <v>81</v>
      </c>
      <c r="W21" s="52" t="n">
        <f aca="false">W20-V21</f>
        <v>13200</v>
      </c>
      <c r="X21" s="6" t="n">
        <f aca="false">N21+O21+S21+U21+V21</f>
        <v>812.7</v>
      </c>
      <c r="Y21" s="51" t="n">
        <f aca="false">IF(L21&lt;0,L21*-1,0)</f>
        <v>0</v>
      </c>
      <c r="Z21" s="51" t="n">
        <f aca="false">X21+Y21</f>
        <v>812.7</v>
      </c>
      <c r="AA21" s="55" t="n">
        <v>0</v>
      </c>
      <c r="AB21" s="56" t="n">
        <v>88</v>
      </c>
      <c r="AC21" s="56" t="n">
        <v>57</v>
      </c>
      <c r="AD21" s="57" t="n">
        <f aca="false">AD20+1</f>
        <v>12</v>
      </c>
      <c r="AE21" s="85"/>
      <c r="AF21" s="85"/>
      <c r="AG21" s="85"/>
    </row>
    <row r="22" customFormat="false" ht="11.1" hidden="false" customHeight="true" outlineLevel="0" collapsed="false">
      <c r="A22" s="57" t="n">
        <f aca="false">A21+1</f>
        <v>13</v>
      </c>
      <c r="B22" s="71" t="n">
        <v>6909.13</v>
      </c>
      <c r="C22" s="52" t="n">
        <v>318523</v>
      </c>
      <c r="D22" s="56" t="n">
        <f aca="false">C22-C21</f>
        <v>-1393</v>
      </c>
      <c r="E22" s="52" t="n">
        <f aca="false">C22-152000</f>
        <v>166523</v>
      </c>
      <c r="F22" s="51" t="n">
        <f aca="false">D22/$D$2</f>
        <v>-702.293924880262</v>
      </c>
      <c r="G22" s="51" t="n">
        <v>152</v>
      </c>
      <c r="H22" s="53" t="n">
        <v>0</v>
      </c>
      <c r="I22" s="51" t="n">
        <f aca="false">G22+H22</f>
        <v>152</v>
      </c>
      <c r="J22" s="78" t="n">
        <f aca="false">IF(L22&gt;0,L22,0)</f>
        <v>0</v>
      </c>
      <c r="K22" s="51" t="n">
        <f aca="false">I22+J22</f>
        <v>152</v>
      </c>
      <c r="L22" s="51" t="n">
        <f aca="false">F22-(I22-X22)</f>
        <v>-70.7939248802621</v>
      </c>
      <c r="M22" s="51" t="n">
        <v>286</v>
      </c>
      <c r="N22" s="51" t="n">
        <v>0</v>
      </c>
      <c r="O22" s="51" t="n">
        <f aca="false">18+19.9*1.05</f>
        <v>38.895</v>
      </c>
      <c r="P22" s="6" t="n">
        <f aca="false">M22-(N22+O22)</f>
        <v>247.105</v>
      </c>
      <c r="Q22" s="51" t="n">
        <v>144</v>
      </c>
      <c r="R22" s="51" t="n">
        <v>79</v>
      </c>
      <c r="S22" s="51" t="n">
        <f aca="false">SUM(P22:R22)</f>
        <v>470.105</v>
      </c>
      <c r="T22" s="52" t="n">
        <f aca="false">(I22-S22)+T21</f>
        <v>-1532.41690824301</v>
      </c>
      <c r="U22" s="51" t="n">
        <v>193.5</v>
      </c>
      <c r="V22" s="51" t="n">
        <v>81</v>
      </c>
      <c r="W22" s="52" t="n">
        <f aca="false">W21-V22</f>
        <v>13119</v>
      </c>
      <c r="X22" s="6" t="n">
        <f aca="false">N22+O22+S22+U22+V22</f>
        <v>783.5</v>
      </c>
      <c r="Y22" s="51" t="n">
        <f aca="false">IF(L22&lt;0,L22*-1,0)</f>
        <v>70.7939248802621</v>
      </c>
      <c r="Z22" s="51" t="n">
        <f aca="false">X22+Y22</f>
        <v>854.293924880262</v>
      </c>
      <c r="AA22" s="55" t="n">
        <v>0</v>
      </c>
      <c r="AB22" s="56" t="n">
        <v>89</v>
      </c>
      <c r="AC22" s="56" t="n">
        <v>59</v>
      </c>
      <c r="AD22" s="57" t="n">
        <f aca="false">AD21+1</f>
        <v>13</v>
      </c>
      <c r="AE22" s="85"/>
      <c r="AF22" s="85"/>
      <c r="AG22" s="85"/>
    </row>
    <row r="23" customFormat="false" ht="11.1" hidden="false" customHeight="true" outlineLevel="0" collapsed="false">
      <c r="A23" s="57" t="n">
        <f aca="false">A22+1</f>
        <v>14</v>
      </c>
      <c r="B23" s="71" t="n">
        <v>6908.84</v>
      </c>
      <c r="C23" s="52" t="n">
        <v>317373</v>
      </c>
      <c r="D23" s="56" t="n">
        <f aca="false">C23-C22</f>
        <v>-1150</v>
      </c>
      <c r="E23" s="52" t="n">
        <f aca="false">C23-152000</f>
        <v>165373</v>
      </c>
      <c r="F23" s="51" t="n">
        <f aca="false">D23/$D$2</f>
        <v>-579.783211494832</v>
      </c>
      <c r="G23" s="51" t="n">
        <v>155</v>
      </c>
      <c r="H23" s="53" t="n">
        <v>0</v>
      </c>
      <c r="I23" s="51" t="n">
        <f aca="false">G23+H23</f>
        <v>155</v>
      </c>
      <c r="J23" s="78" t="n">
        <f aca="false">IF(L23&gt;0,L23,0)</f>
        <v>52.1167885051676</v>
      </c>
      <c r="K23" s="51" t="n">
        <f aca="false">I23+J23</f>
        <v>207.116788505168</v>
      </c>
      <c r="L23" s="51" t="n">
        <f aca="false">F23-(I23-X23)</f>
        <v>52.1167885051676</v>
      </c>
      <c r="M23" s="51" t="n">
        <v>279</v>
      </c>
      <c r="N23" s="51" t="n">
        <v>0</v>
      </c>
      <c r="O23" s="51" t="n">
        <f aca="false">18.7+18.8*1.05</f>
        <v>38.44</v>
      </c>
      <c r="P23" s="6" t="n">
        <f aca="false">M23-(N23+O23)</f>
        <v>240.56</v>
      </c>
      <c r="Q23" s="51" t="n">
        <v>143</v>
      </c>
      <c r="R23" s="51" t="n">
        <v>78</v>
      </c>
      <c r="S23" s="51" t="n">
        <f aca="false">SUM(P23:R23)</f>
        <v>461.56</v>
      </c>
      <c r="T23" s="52" t="n">
        <f aca="false">(I23-S23)+T22</f>
        <v>-1838.97690824301</v>
      </c>
      <c r="U23" s="51" t="n">
        <v>206.9</v>
      </c>
      <c r="V23" s="51" t="n">
        <v>80</v>
      </c>
      <c r="W23" s="52" t="n">
        <f aca="false">W22-V23</f>
        <v>13039</v>
      </c>
      <c r="X23" s="6" t="n">
        <f aca="false">N23+O23+S23+U23+V23</f>
        <v>786.9</v>
      </c>
      <c r="Y23" s="51" t="n">
        <f aca="false">IF(L23&lt;0,L23*-1,0)</f>
        <v>0</v>
      </c>
      <c r="Z23" s="51" t="n">
        <f aca="false">X23+Y23</f>
        <v>786.9</v>
      </c>
      <c r="AA23" s="55" t="n">
        <v>0</v>
      </c>
      <c r="AB23" s="56" t="n">
        <v>86</v>
      </c>
      <c r="AC23" s="56" t="n">
        <v>57</v>
      </c>
      <c r="AD23" s="57" t="n">
        <f aca="false">AD22+1</f>
        <v>14</v>
      </c>
      <c r="AE23" s="85"/>
      <c r="AF23" s="85"/>
      <c r="AG23" s="85"/>
    </row>
    <row r="24" customFormat="false" ht="11.1" hidden="false" customHeight="true" outlineLevel="0" collapsed="false">
      <c r="A24" s="57" t="n">
        <f aca="false">A23+1</f>
        <v>15</v>
      </c>
      <c r="B24" s="71" t="n">
        <v>6908.52</v>
      </c>
      <c r="C24" s="52" t="n">
        <v>316110</v>
      </c>
      <c r="D24" s="56" t="n">
        <f aca="false">C24-C23</f>
        <v>-1263</v>
      </c>
      <c r="E24" s="52" t="n">
        <f aca="false">C24-152000</f>
        <v>164110</v>
      </c>
      <c r="F24" s="51" t="n">
        <f aca="false">D24/$D$2</f>
        <v>-636.753214015629</v>
      </c>
      <c r="G24" s="51" t="n">
        <v>174</v>
      </c>
      <c r="H24" s="53" t="n">
        <v>0.02</v>
      </c>
      <c r="I24" s="51" t="n">
        <f aca="false">G24+H24</f>
        <v>174.02</v>
      </c>
      <c r="J24" s="78" t="n">
        <f aca="false">IF(L24&gt;0,L24,0)</f>
        <v>0</v>
      </c>
      <c r="K24" s="51" t="n">
        <f aca="false">I24+J24</f>
        <v>174.02</v>
      </c>
      <c r="L24" s="51" t="n">
        <f aca="false">F24-(I24-X24)</f>
        <v>-7.1732140156289</v>
      </c>
      <c r="M24" s="51" t="n">
        <v>310</v>
      </c>
      <c r="N24" s="51" t="n">
        <v>0</v>
      </c>
      <c r="O24" s="51" t="n">
        <f aca="false">27.2+27.9*1.05</f>
        <v>56.495</v>
      </c>
      <c r="P24" s="6" t="n">
        <f aca="false">M24-(N24+O24)</f>
        <v>253.505</v>
      </c>
      <c r="Q24" s="51" t="n">
        <v>143</v>
      </c>
      <c r="R24" s="51" t="n">
        <v>78</v>
      </c>
      <c r="S24" s="51" t="n">
        <f aca="false">SUM(P24:R24)</f>
        <v>474.505</v>
      </c>
      <c r="T24" s="52" t="n">
        <f aca="false">(I24-S24)+T23</f>
        <v>-2139.461908243</v>
      </c>
      <c r="U24" s="51" t="n">
        <v>192.6</v>
      </c>
      <c r="V24" s="51" t="n">
        <v>80</v>
      </c>
      <c r="W24" s="52" t="n">
        <f aca="false">W23-V24</f>
        <v>12959</v>
      </c>
      <c r="X24" s="6" t="n">
        <f aca="false">N24+O24+S24+U24+V24</f>
        <v>803.6</v>
      </c>
      <c r="Y24" s="51" t="n">
        <f aca="false">IF(L24&lt;0,L24*-1,0)</f>
        <v>7.1732140156289</v>
      </c>
      <c r="Z24" s="51" t="n">
        <f aca="false">X24+Y24</f>
        <v>810.773214015629</v>
      </c>
      <c r="AA24" s="55" t="n">
        <v>0.33</v>
      </c>
      <c r="AB24" s="79" t="n">
        <v>86</v>
      </c>
      <c r="AC24" s="56" t="n">
        <v>58</v>
      </c>
      <c r="AD24" s="57" t="n">
        <f aca="false">AD23+1</f>
        <v>15</v>
      </c>
      <c r="AE24" s="85"/>
      <c r="AF24" s="85"/>
      <c r="AG24" s="85"/>
    </row>
    <row r="25" customFormat="false" ht="11.1" hidden="false" customHeight="true" outlineLevel="0" collapsed="false">
      <c r="A25" s="57" t="n">
        <f aca="false">A24+1</f>
        <v>16</v>
      </c>
      <c r="B25" s="71" t="n">
        <v>6908.22</v>
      </c>
      <c r="C25" s="52" t="n">
        <v>314925</v>
      </c>
      <c r="D25" s="56" t="n">
        <f aca="false">C25-C24</f>
        <v>-1185</v>
      </c>
      <c r="E25" s="52" t="n">
        <f aca="false">C25-152000</f>
        <v>162925</v>
      </c>
      <c r="F25" s="51" t="n">
        <f aca="false">D25/$D$2</f>
        <v>-597.428787496849</v>
      </c>
      <c r="G25" s="51" t="n">
        <v>195</v>
      </c>
      <c r="H25" s="53" t="n">
        <v>0.24</v>
      </c>
      <c r="I25" s="51" t="n">
        <f aca="false">G25+H25</f>
        <v>195.24</v>
      </c>
      <c r="J25" s="78" t="n">
        <f aca="false">IF(L25&gt;0,L25,0)</f>
        <v>0</v>
      </c>
      <c r="K25" s="51" t="n">
        <f aca="false">I25+J25</f>
        <v>195.24</v>
      </c>
      <c r="L25" s="51" t="n">
        <f aca="false">F25-(I25-X25)</f>
        <v>-16.0687874968489</v>
      </c>
      <c r="M25" s="51" t="n">
        <v>310</v>
      </c>
      <c r="N25" s="51" t="n">
        <v>0</v>
      </c>
      <c r="O25" s="51" t="n">
        <f aca="false">32.2+31.3*1.05</f>
        <v>65.065</v>
      </c>
      <c r="P25" s="6" t="n">
        <f aca="false">M25-(N25+O25)</f>
        <v>244.935</v>
      </c>
      <c r="Q25" s="51" t="n">
        <v>144</v>
      </c>
      <c r="R25" s="51" t="n">
        <v>78</v>
      </c>
      <c r="S25" s="51" t="n">
        <f aca="false">SUM(P25:R25)</f>
        <v>466.935</v>
      </c>
      <c r="T25" s="52" t="n">
        <f aca="false">(I25-S25)+T24</f>
        <v>-2411.156908243</v>
      </c>
      <c r="U25" s="51" t="n">
        <v>164.6</v>
      </c>
      <c r="V25" s="51" t="n">
        <v>80</v>
      </c>
      <c r="W25" s="52" t="n">
        <f aca="false">W24-V25</f>
        <v>12879</v>
      </c>
      <c r="X25" s="6" t="n">
        <f aca="false">N25+O25+S25+U25+V25</f>
        <v>776.6</v>
      </c>
      <c r="Y25" s="51" t="n">
        <f aca="false">IF(L25&lt;0,L25*-1,0)</f>
        <v>16.0687874968489</v>
      </c>
      <c r="Z25" s="51" t="n">
        <f aca="false">X25+Y25</f>
        <v>792.668787496849</v>
      </c>
      <c r="AA25" s="55" t="n">
        <v>0.12</v>
      </c>
      <c r="AB25" s="79" t="n">
        <v>86</v>
      </c>
      <c r="AC25" s="56" t="n">
        <v>58</v>
      </c>
      <c r="AD25" s="57" t="n">
        <f aca="false">AD24+1</f>
        <v>16</v>
      </c>
      <c r="AE25" s="85"/>
      <c r="AF25" s="85"/>
      <c r="AG25" s="85"/>
    </row>
    <row r="26" customFormat="false" ht="11.1" hidden="false" customHeight="true" outlineLevel="0" collapsed="false">
      <c r="A26" s="57" t="n">
        <f aca="false">A25+1</f>
        <v>17</v>
      </c>
      <c r="B26" s="71" t="n">
        <v>6907.9</v>
      </c>
      <c r="C26" s="52" t="n">
        <v>313664</v>
      </c>
      <c r="D26" s="56" t="n">
        <f aca="false">C26-C25</f>
        <v>-1261</v>
      </c>
      <c r="E26" s="52" t="n">
        <f aca="false">C26-152000</f>
        <v>161664</v>
      </c>
      <c r="F26" s="51" t="n">
        <f aca="false">D26/$D$2</f>
        <v>-635.744895386942</v>
      </c>
      <c r="G26" s="51" t="n">
        <v>209</v>
      </c>
      <c r="H26" s="53" t="n">
        <v>0.11</v>
      </c>
      <c r="I26" s="51" t="n">
        <f aca="false">G26+H26</f>
        <v>209.11</v>
      </c>
      <c r="J26" s="78" t="n">
        <f aca="false">IF(L26&gt;0,L26,0)</f>
        <v>0</v>
      </c>
      <c r="K26" s="51" t="n">
        <f aca="false">I26+J26</f>
        <v>209.11</v>
      </c>
      <c r="L26" s="51" t="n">
        <f aca="false">F26-(I26-X26)</f>
        <v>-93.3548953869423</v>
      </c>
      <c r="M26" s="51" t="n">
        <v>300</v>
      </c>
      <c r="N26" s="51" t="n">
        <v>0</v>
      </c>
      <c r="O26" s="51" t="n">
        <f aca="false">33.2+32.5*1.05</f>
        <v>67.325</v>
      </c>
      <c r="P26" s="6" t="n">
        <f aca="false">M26-(N26+O26)</f>
        <v>232.675</v>
      </c>
      <c r="Q26" s="51" t="n">
        <v>143</v>
      </c>
      <c r="R26" s="51" t="n">
        <v>78</v>
      </c>
      <c r="S26" s="51" t="n">
        <f aca="false">SUM(P26:R26)</f>
        <v>453.675</v>
      </c>
      <c r="T26" s="52" t="n">
        <f aca="false">(I26-S26)+T25</f>
        <v>-2655.721908243</v>
      </c>
      <c r="U26" s="51" t="n">
        <v>150.5</v>
      </c>
      <c r="V26" s="51" t="n">
        <v>80</v>
      </c>
      <c r="W26" s="52" t="n">
        <f aca="false">W25-V26</f>
        <v>12799</v>
      </c>
      <c r="X26" s="6" t="n">
        <f aca="false">N26+O26+S26+U26+V26</f>
        <v>751.5</v>
      </c>
      <c r="Y26" s="51" t="n">
        <f aca="false">IF(L26&lt;0,L26*-1,0)</f>
        <v>93.3548953869423</v>
      </c>
      <c r="Z26" s="51" t="n">
        <f aca="false">X26+Y26</f>
        <v>844.854895386942</v>
      </c>
      <c r="AA26" s="55" t="n">
        <v>0</v>
      </c>
      <c r="AB26" s="79" t="n">
        <v>85</v>
      </c>
      <c r="AC26" s="56" t="n">
        <v>57</v>
      </c>
      <c r="AD26" s="57" t="n">
        <f aca="false">AD25+1</f>
        <v>17</v>
      </c>
      <c r="AE26" s="85"/>
      <c r="AF26" s="85"/>
      <c r="AG26" s="85"/>
    </row>
    <row r="27" customFormat="false" ht="11.1" hidden="false" customHeight="true" outlineLevel="0" collapsed="false">
      <c r="A27" s="57" t="n">
        <f aca="false">A26+1</f>
        <v>18</v>
      </c>
      <c r="B27" s="71" t="n">
        <v>6907.59</v>
      </c>
      <c r="C27" s="52" t="n">
        <v>312449</v>
      </c>
      <c r="D27" s="56" t="n">
        <f aca="false">C27-C26</f>
        <v>-1215</v>
      </c>
      <c r="E27" s="52" t="n">
        <f aca="false">C27-152000</f>
        <v>160449</v>
      </c>
      <c r="F27" s="51" t="n">
        <f aca="false">D27/$D$2</f>
        <v>-612.553566927149</v>
      </c>
      <c r="G27" s="51" t="n">
        <v>186</v>
      </c>
      <c r="H27" s="53" t="n">
        <v>0.01</v>
      </c>
      <c r="I27" s="51" t="n">
        <f aca="false">G27+H27</f>
        <v>186.01</v>
      </c>
      <c r="J27" s="78" t="n">
        <f aca="false">IF(L27&gt;0,L27,0)</f>
        <v>0</v>
      </c>
      <c r="K27" s="51" t="n">
        <f aca="false">I27+J27</f>
        <v>186.01</v>
      </c>
      <c r="L27" s="51" t="n">
        <f aca="false">F27-(I27-X27)</f>
        <v>-63.5635669271489</v>
      </c>
      <c r="M27" s="51" t="n">
        <v>286</v>
      </c>
      <c r="N27" s="51" t="n">
        <v>0</v>
      </c>
      <c r="O27" s="51" t="n">
        <f aca="false">27.9+28*1.05</f>
        <v>57.3</v>
      </c>
      <c r="P27" s="6" t="n">
        <f aca="false">M27-(N27+O27)</f>
        <v>228.7</v>
      </c>
      <c r="Q27" s="51" t="n">
        <v>145</v>
      </c>
      <c r="R27" s="51" t="n">
        <v>77</v>
      </c>
      <c r="S27" s="51" t="n">
        <f aca="false">SUM(P27:R27)</f>
        <v>450.7</v>
      </c>
      <c r="T27" s="52" t="n">
        <f aca="false">(I27-S27)+T26</f>
        <v>-2920.41190824301</v>
      </c>
      <c r="U27" s="51" t="n">
        <v>147</v>
      </c>
      <c r="V27" s="51" t="n">
        <v>80</v>
      </c>
      <c r="W27" s="52" t="n">
        <f aca="false">W26-V27</f>
        <v>12719</v>
      </c>
      <c r="X27" s="6" t="n">
        <f aca="false">N27+O27+S27+U27+V27</f>
        <v>735</v>
      </c>
      <c r="Y27" s="51" t="n">
        <f aca="false">IF(L27&lt;0,L27*-1,0)</f>
        <v>63.5635669271489</v>
      </c>
      <c r="Z27" s="51" t="n">
        <f aca="false">X27+Y27</f>
        <v>798.563566927149</v>
      </c>
      <c r="AA27" s="55" t="n">
        <v>0</v>
      </c>
      <c r="AB27" s="79" t="n">
        <v>88</v>
      </c>
      <c r="AC27" s="56" t="n">
        <v>58</v>
      </c>
      <c r="AD27" s="57" t="n">
        <f aca="false">AD26+1</f>
        <v>18</v>
      </c>
      <c r="AE27" s="85"/>
      <c r="AF27" s="85"/>
      <c r="AG27" s="85"/>
    </row>
    <row r="28" customFormat="false" ht="11.1" hidden="false" customHeight="true" outlineLevel="0" collapsed="false">
      <c r="A28" s="57" t="n">
        <f aca="false">A27+1</f>
        <v>19</v>
      </c>
      <c r="B28" s="71" t="n">
        <v>6907.27</v>
      </c>
      <c r="C28" s="91" t="n">
        <v>311196</v>
      </c>
      <c r="D28" s="56" t="n">
        <f aca="false">C28-C27</f>
        <v>-1253</v>
      </c>
      <c r="E28" s="52" t="n">
        <f aca="false">C28-152000</f>
        <v>159196</v>
      </c>
      <c r="F28" s="51" t="n">
        <f aca="false">D28/$D$2</f>
        <v>-631.711620872196</v>
      </c>
      <c r="G28" s="51" t="n">
        <v>155</v>
      </c>
      <c r="H28" s="53" t="n">
        <v>0</v>
      </c>
      <c r="I28" s="51" t="n">
        <f aca="false">G28+H28</f>
        <v>155</v>
      </c>
      <c r="J28" s="78" t="n">
        <f aca="false">IF(L28&gt;0,L28,0)</f>
        <v>0</v>
      </c>
      <c r="K28" s="51" t="n">
        <f aca="false">I28+J28</f>
        <v>155</v>
      </c>
      <c r="L28" s="51" t="n">
        <f aca="false">F28-(I28-X28)</f>
        <v>-50.9116208721956</v>
      </c>
      <c r="M28" s="51" t="n">
        <v>287</v>
      </c>
      <c r="N28" s="51" t="n">
        <v>0</v>
      </c>
      <c r="O28" s="51" t="n">
        <f aca="false">28.6+28.7*1.05</f>
        <v>58.735</v>
      </c>
      <c r="P28" s="6" t="n">
        <f aca="false">M28-(N28+O28)</f>
        <v>228.265</v>
      </c>
      <c r="Q28" s="51" t="n">
        <v>145</v>
      </c>
      <c r="R28" s="51" t="n">
        <v>77</v>
      </c>
      <c r="S28" s="51" t="n">
        <f aca="false">SUM(P28:R28)</f>
        <v>450.265</v>
      </c>
      <c r="T28" s="52" t="n">
        <f aca="false">(I28-S28)+T27</f>
        <v>-3215.676908243</v>
      </c>
      <c r="U28" s="51" t="n">
        <v>146.8</v>
      </c>
      <c r="V28" s="51" t="n">
        <v>80</v>
      </c>
      <c r="W28" s="52" t="n">
        <f aca="false">W27-V28</f>
        <v>12639</v>
      </c>
      <c r="X28" s="6" t="n">
        <f aca="false">N28+O28+S28+U28+V28</f>
        <v>735.8</v>
      </c>
      <c r="Y28" s="51" t="n">
        <f aca="false">IF(L28&lt;0,L28*-1,0)</f>
        <v>50.9116208721956</v>
      </c>
      <c r="Z28" s="51" t="n">
        <f aca="false">X28+Y28</f>
        <v>786.711620872196</v>
      </c>
      <c r="AA28" s="55" t="n">
        <v>0</v>
      </c>
      <c r="AB28" s="79" t="n">
        <v>87</v>
      </c>
      <c r="AC28" s="56" t="n">
        <v>55</v>
      </c>
      <c r="AD28" s="57" t="n">
        <f aca="false">AD27+1</f>
        <v>19</v>
      </c>
      <c r="AE28" s="85"/>
      <c r="AF28" s="85"/>
      <c r="AG28" s="85"/>
    </row>
    <row r="29" customFormat="false" ht="11.1" hidden="false" customHeight="true" outlineLevel="0" collapsed="false">
      <c r="A29" s="57" t="n">
        <f aca="false">A28+1</f>
        <v>20</v>
      </c>
      <c r="B29" s="71" t="n">
        <v>6906.97</v>
      </c>
      <c r="C29" s="52" t="n">
        <v>310021</v>
      </c>
      <c r="D29" s="56" t="n">
        <f aca="false">C29-C28</f>
        <v>-1175</v>
      </c>
      <c r="E29" s="52" t="n">
        <f aca="false">C29-152000</f>
        <v>158021</v>
      </c>
      <c r="F29" s="51" t="n">
        <f aca="false">D29/$D$2</f>
        <v>-592.387194353416</v>
      </c>
      <c r="G29" s="51" t="n">
        <v>142</v>
      </c>
      <c r="H29" s="53" t="n">
        <v>0</v>
      </c>
      <c r="I29" s="51" t="n">
        <f aca="false">G29+H29</f>
        <v>142</v>
      </c>
      <c r="J29" s="78" t="n">
        <f aca="false">IF(L29&gt;0,L29,0)</f>
        <v>9.21280564658434</v>
      </c>
      <c r="K29" s="51" t="n">
        <f aca="false">I29+J29</f>
        <v>151.212805646584</v>
      </c>
      <c r="L29" s="51" t="n">
        <f aca="false">F29-(I29-X29)</f>
        <v>9.21280564658434</v>
      </c>
      <c r="M29" s="51" t="n">
        <v>295</v>
      </c>
      <c r="N29" s="51" t="n">
        <v>0</v>
      </c>
      <c r="O29" s="51" t="n">
        <f aca="false">30.7+30.1*1.05</f>
        <v>62.305</v>
      </c>
      <c r="P29" s="6" t="n">
        <f aca="false">M29-(N29+O29)</f>
        <v>232.695</v>
      </c>
      <c r="Q29" s="51" t="n">
        <v>145</v>
      </c>
      <c r="R29" s="51" t="n">
        <v>77</v>
      </c>
      <c r="S29" s="51" t="n">
        <f aca="false">SUM(P29:R29)</f>
        <v>454.695</v>
      </c>
      <c r="T29" s="52" t="n">
        <f aca="false">(I29-S29)+T28</f>
        <v>-3528.37190824301</v>
      </c>
      <c r="U29" s="51" t="n">
        <v>146.6</v>
      </c>
      <c r="V29" s="51" t="n">
        <v>80</v>
      </c>
      <c r="W29" s="52" t="n">
        <f aca="false">W28-V29</f>
        <v>12559</v>
      </c>
      <c r="X29" s="6" t="n">
        <f aca="false">N29+O29+S29+U29+V29</f>
        <v>743.6</v>
      </c>
      <c r="Y29" s="51" t="n">
        <f aca="false">IF(L29&lt;0,L29*-1,0)</f>
        <v>0</v>
      </c>
      <c r="Z29" s="51" t="n">
        <f aca="false">X29+Y29</f>
        <v>743.6</v>
      </c>
      <c r="AA29" s="55" t="n">
        <v>0</v>
      </c>
      <c r="AB29" s="79" t="n">
        <v>90</v>
      </c>
      <c r="AC29" s="56" t="n">
        <v>53</v>
      </c>
      <c r="AD29" s="57" t="n">
        <f aca="false">AD28+1</f>
        <v>20</v>
      </c>
      <c r="AE29" s="85"/>
      <c r="AF29" s="85"/>
      <c r="AG29" s="85"/>
    </row>
    <row r="30" customFormat="false" ht="11.1" hidden="false" customHeight="true" outlineLevel="0" collapsed="false">
      <c r="A30" s="57" t="n">
        <f aca="false">A29+1</f>
        <v>21</v>
      </c>
      <c r="B30" s="71" t="n">
        <v>6906.62</v>
      </c>
      <c r="C30" s="52" t="n">
        <v>308661</v>
      </c>
      <c r="D30" s="56" t="n">
        <f aca="false">C30-C29</f>
        <v>-1360</v>
      </c>
      <c r="E30" s="52" t="n">
        <f aca="false">C30-152000</f>
        <v>156661</v>
      </c>
      <c r="F30" s="51" t="n">
        <f aca="false">D30/$D$2</f>
        <v>-685.656667506932</v>
      </c>
      <c r="G30" s="51" t="n">
        <v>134</v>
      </c>
      <c r="H30" s="53" t="n">
        <v>0</v>
      </c>
      <c r="I30" s="51" t="n">
        <f aca="false">G30+H30</f>
        <v>134</v>
      </c>
      <c r="J30" s="78" t="n">
        <f aca="false">IF(L30&gt;0,L30,0)</f>
        <v>0</v>
      </c>
      <c r="K30" s="51" t="n">
        <f aca="false">I30+J30</f>
        <v>134</v>
      </c>
      <c r="L30" s="51" t="n">
        <f aca="false">F30-(I30-X30)</f>
        <v>-75.6566675069322</v>
      </c>
      <c r="M30" s="51" t="n">
        <v>296</v>
      </c>
      <c r="N30" s="51" t="n">
        <v>0</v>
      </c>
      <c r="O30" s="51" t="n">
        <f aca="false">29.1+33.5*1.05</f>
        <v>64.275</v>
      </c>
      <c r="P30" s="6" t="n">
        <f aca="false">M30-(N30+O30)</f>
        <v>231.725</v>
      </c>
      <c r="Q30" s="51" t="n">
        <v>145</v>
      </c>
      <c r="R30" s="51" t="n">
        <v>76</v>
      </c>
      <c r="S30" s="51" t="n">
        <f aca="false">SUM(P30:R30)</f>
        <v>452.725</v>
      </c>
      <c r="T30" s="52" t="n">
        <f aca="false">(I30-S30)+T29</f>
        <v>-3847.09690824301</v>
      </c>
      <c r="U30" s="51" t="n">
        <v>147</v>
      </c>
      <c r="V30" s="51" t="n">
        <v>80</v>
      </c>
      <c r="W30" s="52" t="n">
        <f aca="false">W29-V30</f>
        <v>12479</v>
      </c>
      <c r="X30" s="6" t="n">
        <f aca="false">N30+O30+S30+U30+V30</f>
        <v>744</v>
      </c>
      <c r="Y30" s="51" t="n">
        <f aca="false">IF(L30&lt;0,L30*-1,0)</f>
        <v>75.6566675069322</v>
      </c>
      <c r="Z30" s="51" t="n">
        <f aca="false">X30+Y30</f>
        <v>819.656667506932</v>
      </c>
      <c r="AA30" s="55" t="n">
        <v>0</v>
      </c>
      <c r="AB30" s="56" t="n">
        <v>90</v>
      </c>
      <c r="AC30" s="56" t="n">
        <v>57</v>
      </c>
      <c r="AD30" s="57" t="n">
        <f aca="false">AD29+1</f>
        <v>21</v>
      </c>
      <c r="AE30" s="85"/>
      <c r="AF30" s="85"/>
      <c r="AG30" s="85"/>
    </row>
    <row r="31" customFormat="false" ht="11.1" hidden="false" customHeight="true" outlineLevel="0" collapsed="false">
      <c r="A31" s="57" t="n">
        <f aca="false">A30+1</f>
        <v>22</v>
      </c>
      <c r="B31" s="71" t="n">
        <v>6906.26</v>
      </c>
      <c r="C31" s="52" t="n">
        <v>307262</v>
      </c>
      <c r="D31" s="56" t="n">
        <f aca="false">C31-C30</f>
        <v>-1399</v>
      </c>
      <c r="E31" s="52" t="n">
        <f aca="false">C31-152000</f>
        <v>155262</v>
      </c>
      <c r="F31" s="51" t="n">
        <f aca="false">D31/$D$2</f>
        <v>-705.318880766322</v>
      </c>
      <c r="G31" s="51" t="n">
        <v>122</v>
      </c>
      <c r="H31" s="53" t="n">
        <v>0</v>
      </c>
      <c r="I31" s="51" t="n">
        <f aca="false">G31+H31</f>
        <v>122</v>
      </c>
      <c r="J31" s="78" t="n">
        <f aca="false">IF(L31&gt;0,L31,0)</f>
        <v>0</v>
      </c>
      <c r="K31" s="51" t="n">
        <f aca="false">I31+J31</f>
        <v>122</v>
      </c>
      <c r="L31" s="51" t="n">
        <f aca="false">F31-(I31-X31)</f>
        <v>-60.0188807663222</v>
      </c>
      <c r="M31" s="51" t="n">
        <v>317</v>
      </c>
      <c r="N31" s="51" t="n">
        <v>0</v>
      </c>
      <c r="O31" s="51" t="n">
        <f aca="false">33.3+33.7*1.05</f>
        <v>68.685</v>
      </c>
      <c r="P31" s="6" t="n">
        <f aca="false">M31-(N31+O31)</f>
        <v>248.315</v>
      </c>
      <c r="Q31" s="51" t="n">
        <v>146</v>
      </c>
      <c r="R31" s="51" t="n">
        <v>76</v>
      </c>
      <c r="S31" s="51" t="n">
        <f aca="false">SUM(P31:R31)</f>
        <v>470.315</v>
      </c>
      <c r="T31" s="52" t="n">
        <f aca="false">(I31-S31)+T30</f>
        <v>-4195.41190824301</v>
      </c>
      <c r="U31" s="51" t="n">
        <v>148.3</v>
      </c>
      <c r="V31" s="51" t="n">
        <v>80</v>
      </c>
      <c r="W31" s="52" t="n">
        <f aca="false">W30-V31</f>
        <v>12399</v>
      </c>
      <c r="X31" s="6" t="n">
        <f aca="false">N31+O31+S31+U31+V31</f>
        <v>767.3</v>
      </c>
      <c r="Y31" s="51" t="n">
        <f aca="false">IF(L31&lt;0,L31*-1,0)</f>
        <v>60.0188807663222</v>
      </c>
      <c r="Z31" s="51" t="n">
        <f aca="false">X31+Y31</f>
        <v>827.318880766322</v>
      </c>
      <c r="AA31" s="55" t="n">
        <v>0</v>
      </c>
      <c r="AB31" s="56" t="n">
        <v>92</v>
      </c>
      <c r="AC31" s="56" t="n">
        <v>57</v>
      </c>
      <c r="AD31" s="57" t="n">
        <f aca="false">AD30+1</f>
        <v>22</v>
      </c>
      <c r="AE31" s="85"/>
      <c r="AF31" s="85"/>
      <c r="AG31" s="85"/>
      <c r="AH31" s="129"/>
      <c r="AI31" s="129"/>
      <c r="AJ31" s="129"/>
    </row>
    <row r="32" customFormat="false" ht="11.1" hidden="false" customHeight="true" outlineLevel="0" collapsed="false">
      <c r="A32" s="57" t="n">
        <f aca="false">A31+1</f>
        <v>23</v>
      </c>
      <c r="B32" s="71" t="n">
        <v>6905.91</v>
      </c>
      <c r="C32" s="52" t="n">
        <v>305904</v>
      </c>
      <c r="D32" s="56" t="n">
        <f aca="false">C32-C31</f>
        <v>-1358</v>
      </c>
      <c r="E32" s="52" t="n">
        <f aca="false">C32-152000</f>
        <v>153904</v>
      </c>
      <c r="F32" s="51" t="n">
        <f aca="false">D32/$D$2</f>
        <v>-684.648348878246</v>
      </c>
      <c r="G32" s="51" t="n">
        <v>115</v>
      </c>
      <c r="H32" s="53" t="n">
        <v>0</v>
      </c>
      <c r="I32" s="51" t="n">
        <f aca="false">G32+H32</f>
        <v>115</v>
      </c>
      <c r="J32" s="78" t="n">
        <f aca="false">IF(L32&gt;0,L32,0)</f>
        <v>0</v>
      </c>
      <c r="K32" s="51" t="n">
        <f aca="false">I32+J32</f>
        <v>115</v>
      </c>
      <c r="L32" s="51" t="n">
        <f aca="false">F32-(I32-X32)</f>
        <v>-23.4483488782455</v>
      </c>
      <c r="M32" s="51" t="n">
        <v>313</v>
      </c>
      <c r="N32" s="51" t="n">
        <v>0</v>
      </c>
      <c r="O32" s="51" t="n">
        <f aca="false">37.8+37.6*1.05</f>
        <v>77.28</v>
      </c>
      <c r="P32" s="6" t="n">
        <f aca="false">M32-(N32+O32)</f>
        <v>235.72</v>
      </c>
      <c r="Q32" s="51" t="n">
        <v>145</v>
      </c>
      <c r="R32" s="51" t="n">
        <v>77</v>
      </c>
      <c r="S32" s="51" t="n">
        <f aca="false">SUM(P32:R32)</f>
        <v>457.72</v>
      </c>
      <c r="T32" s="52" t="n">
        <f aca="false">(I32-S32)+T31</f>
        <v>-4538.13190824301</v>
      </c>
      <c r="U32" s="51" t="n">
        <v>161.2</v>
      </c>
      <c r="V32" s="51" t="n">
        <v>80</v>
      </c>
      <c r="W32" s="52" t="n">
        <f aca="false">W31-V32</f>
        <v>12319</v>
      </c>
      <c r="X32" s="6" t="n">
        <f aca="false">N32+O32+S32+U32+V32</f>
        <v>776.2</v>
      </c>
      <c r="Y32" s="51" t="n">
        <f aca="false">IF(L32&lt;0,L32*-1,0)</f>
        <v>23.4483488782455</v>
      </c>
      <c r="Z32" s="51" t="n">
        <f aca="false">X32+Y32</f>
        <v>799.648348878246</v>
      </c>
      <c r="AA32" s="55" t="n">
        <v>0</v>
      </c>
      <c r="AB32" s="56" t="n">
        <v>88</v>
      </c>
      <c r="AC32" s="79" t="n">
        <v>56</v>
      </c>
      <c r="AD32" s="57" t="n">
        <f aca="false">AD31+1</f>
        <v>23</v>
      </c>
      <c r="AE32" s="85"/>
      <c r="AF32" s="85"/>
      <c r="AG32" s="85"/>
    </row>
    <row r="33" customFormat="false" ht="11.1" hidden="false" customHeight="true" outlineLevel="0" collapsed="false">
      <c r="A33" s="57" t="n">
        <f aca="false">A32+1</f>
        <v>24</v>
      </c>
      <c r="B33" s="71" t="n">
        <v>6905.56</v>
      </c>
      <c r="C33" s="52" t="n">
        <v>304555</v>
      </c>
      <c r="D33" s="56" t="n">
        <f aca="false">C33-C32</f>
        <v>-1349</v>
      </c>
      <c r="E33" s="52" t="n">
        <f aca="false">C33-152000</f>
        <v>152555</v>
      </c>
      <c r="F33" s="51" t="n">
        <f aca="false">D33/$D$2</f>
        <v>-680.110915049156</v>
      </c>
      <c r="G33" s="51" t="n">
        <v>121</v>
      </c>
      <c r="H33" s="53" t="n">
        <v>0</v>
      </c>
      <c r="I33" s="51" t="n">
        <f aca="false">G33+H33</f>
        <v>121</v>
      </c>
      <c r="J33" s="78" t="n">
        <f aca="false">IF(L33&gt;0,L33,0)</f>
        <v>0</v>
      </c>
      <c r="K33" s="51" t="n">
        <f aca="false">I33+J33</f>
        <v>121</v>
      </c>
      <c r="L33" s="51" t="n">
        <f aca="false">F33-(I33-X33)</f>
        <v>-18.2109150491556</v>
      </c>
      <c r="M33" s="51" t="n">
        <v>311</v>
      </c>
      <c r="N33" s="51" t="n">
        <v>0</v>
      </c>
      <c r="O33" s="51" t="n">
        <f aca="false">35.1+34.8*1.05</f>
        <v>71.64</v>
      </c>
      <c r="P33" s="6" t="n">
        <f aca="false">M33-(N33+O33)</f>
        <v>239.36</v>
      </c>
      <c r="Q33" s="51" t="n">
        <v>145</v>
      </c>
      <c r="R33" s="51" t="n">
        <v>78</v>
      </c>
      <c r="S33" s="51" t="n">
        <f aca="false">SUM(P33:R33)</f>
        <v>462.36</v>
      </c>
      <c r="T33" s="52" t="n">
        <f aca="false">(I33-S33)+T32</f>
        <v>-4879.49190824301</v>
      </c>
      <c r="U33" s="51" t="n">
        <v>167.9</v>
      </c>
      <c r="V33" s="51" t="n">
        <v>81</v>
      </c>
      <c r="W33" s="52" t="n">
        <f aca="false">W32-V33</f>
        <v>12238</v>
      </c>
      <c r="X33" s="6" t="n">
        <f aca="false">N33+O33+S33+U33+V33</f>
        <v>782.9</v>
      </c>
      <c r="Y33" s="51" t="n">
        <f aca="false">IF(L33&lt;0,L33*-1,0)</f>
        <v>18.2109150491556</v>
      </c>
      <c r="Z33" s="51" t="n">
        <f aca="false">X33+Y33</f>
        <v>801.110915049156</v>
      </c>
      <c r="AA33" s="55" t="n">
        <v>0</v>
      </c>
      <c r="AB33" s="56" t="n">
        <v>89</v>
      </c>
      <c r="AC33" s="79" t="n">
        <v>57</v>
      </c>
      <c r="AD33" s="57" t="n">
        <f aca="false">AD32+1</f>
        <v>24</v>
      </c>
      <c r="AE33" s="85"/>
      <c r="AF33" s="85"/>
      <c r="AG33" s="85"/>
    </row>
    <row r="34" customFormat="false" ht="11.1" hidden="false" customHeight="true" outlineLevel="0" collapsed="false">
      <c r="A34" s="57" t="n">
        <f aca="false">A33+1</f>
        <v>25</v>
      </c>
      <c r="B34" s="71" t="n">
        <v>6905.21</v>
      </c>
      <c r="C34" s="52" t="n">
        <v>303205</v>
      </c>
      <c r="D34" s="56" t="n">
        <f aca="false">C34-C33</f>
        <v>-1350</v>
      </c>
      <c r="E34" s="52" t="n">
        <f aca="false">C34-152000</f>
        <v>151205</v>
      </c>
      <c r="F34" s="51" t="n">
        <f aca="false">D34/$D$2</f>
        <v>-680.615074363499</v>
      </c>
      <c r="G34" s="51" t="n">
        <v>116</v>
      </c>
      <c r="H34" s="53" t="n">
        <v>0</v>
      </c>
      <c r="I34" s="51" t="n">
        <f aca="false">G34+H34</f>
        <v>116</v>
      </c>
      <c r="J34" s="78" t="n">
        <f aca="false">IF(L34&gt;0,L34,0)</f>
        <v>0</v>
      </c>
      <c r="K34" s="51" t="n">
        <f aca="false">I34+J34</f>
        <v>116</v>
      </c>
      <c r="L34" s="51" t="n">
        <f aca="false">F34-(I34-X34)</f>
        <v>-9.21507436349884</v>
      </c>
      <c r="M34" s="51" t="n">
        <v>312</v>
      </c>
      <c r="N34" s="51" t="n">
        <v>0</v>
      </c>
      <c r="O34" s="51" t="n">
        <f aca="false">37+36.6*1.05</f>
        <v>75.43</v>
      </c>
      <c r="P34" s="6" t="n">
        <f aca="false">M34-(N34+O34)</f>
        <v>236.57</v>
      </c>
      <c r="Q34" s="51" t="n">
        <v>145</v>
      </c>
      <c r="R34" s="51" t="n">
        <v>78</v>
      </c>
      <c r="S34" s="51" t="n">
        <f aca="false">SUM(P34:R34)</f>
        <v>459.57</v>
      </c>
      <c r="T34" s="52" t="n">
        <f aca="false">(I34-S34)+T33</f>
        <v>-5223.06190824301</v>
      </c>
      <c r="U34" s="51" t="n">
        <v>170.4</v>
      </c>
      <c r="V34" s="51" t="n">
        <v>82</v>
      </c>
      <c r="W34" s="52" t="n">
        <f aca="false">W33-V34</f>
        <v>12156</v>
      </c>
      <c r="X34" s="6" t="n">
        <f aca="false">N34+O34+S34+U34+V34</f>
        <v>787.4</v>
      </c>
      <c r="Y34" s="51" t="n">
        <f aca="false">IF(L34&lt;0,L34*-1,0)</f>
        <v>9.21507436349884</v>
      </c>
      <c r="Z34" s="51" t="n">
        <f aca="false">X34+Y34</f>
        <v>796.615074363499</v>
      </c>
      <c r="AA34" s="55" t="n">
        <v>0.02</v>
      </c>
      <c r="AB34" s="56" t="n">
        <v>89</v>
      </c>
      <c r="AC34" s="79" t="n">
        <v>61</v>
      </c>
      <c r="AD34" s="57" t="n">
        <f aca="false">AD33+1</f>
        <v>25</v>
      </c>
      <c r="AE34" s="85"/>
      <c r="AF34" s="85"/>
      <c r="AG34" s="85"/>
    </row>
    <row r="35" customFormat="false" ht="11.1" hidden="false" customHeight="true" outlineLevel="0" collapsed="false">
      <c r="A35" s="57" t="n">
        <f aca="false">A34+1</f>
        <v>26</v>
      </c>
      <c r="B35" s="71" t="n">
        <v>6904.81</v>
      </c>
      <c r="C35" s="52" t="n">
        <v>301669</v>
      </c>
      <c r="D35" s="56" t="n">
        <f aca="false">C35-C34</f>
        <v>-1536</v>
      </c>
      <c r="E35" s="52" t="n">
        <f aca="false">C35-152000</f>
        <v>149669</v>
      </c>
      <c r="F35" s="51" t="n">
        <f aca="false">D35/$D$2</f>
        <v>-774.388706831359</v>
      </c>
      <c r="G35" s="51" t="n">
        <v>122</v>
      </c>
      <c r="H35" s="53" t="n">
        <v>0</v>
      </c>
      <c r="I35" s="51" t="n">
        <f aca="false">G35+H35</f>
        <v>122</v>
      </c>
      <c r="J35" s="78" t="n">
        <f aca="false">IF(L35&gt;0,L35,0)</f>
        <v>0</v>
      </c>
      <c r="K35" s="51" t="n">
        <f aca="false">I35+J35</f>
        <v>122</v>
      </c>
      <c r="L35" s="51" t="n">
        <f aca="false">F35-(I35-X35)</f>
        <v>-113.888706831359</v>
      </c>
      <c r="M35" s="51" t="n">
        <v>321</v>
      </c>
      <c r="N35" s="51" t="n">
        <v>0</v>
      </c>
      <c r="O35" s="51" t="n">
        <f aca="false">38.3+38.7*1.05</f>
        <v>78.935</v>
      </c>
      <c r="P35" s="6" t="n">
        <f aca="false">M35-(N35+O35)</f>
        <v>242.065</v>
      </c>
      <c r="Q35" s="51" t="n">
        <v>145</v>
      </c>
      <c r="R35" s="51" t="n">
        <v>79</v>
      </c>
      <c r="S35" s="51" t="n">
        <f aca="false">SUM(P35:R35)</f>
        <v>466.065</v>
      </c>
      <c r="T35" s="52" t="n">
        <f aca="false">(I35-S35)+T34</f>
        <v>-5567.126908243</v>
      </c>
      <c r="U35" s="51" t="n">
        <v>155.5</v>
      </c>
      <c r="V35" s="51" t="n">
        <v>82</v>
      </c>
      <c r="W35" s="52" t="n">
        <f aca="false">W34-V35</f>
        <v>12074</v>
      </c>
      <c r="X35" s="6" t="n">
        <f aca="false">N35+O35+S35+U35+V35</f>
        <v>782.5</v>
      </c>
      <c r="Y35" s="51" t="n">
        <f aca="false">IF(L35&lt;0,L35*-1,0)</f>
        <v>113.888706831359</v>
      </c>
      <c r="Z35" s="51" t="n">
        <f aca="false">X35+Y35</f>
        <v>896.388706831359</v>
      </c>
      <c r="AA35" s="55" t="n">
        <v>0</v>
      </c>
      <c r="AB35" s="56" t="n">
        <v>89</v>
      </c>
      <c r="AC35" s="56" t="n">
        <v>59</v>
      </c>
      <c r="AD35" s="57" t="n">
        <f aca="false">AD34+1</f>
        <v>26</v>
      </c>
      <c r="AE35" s="85"/>
      <c r="AF35" s="85"/>
      <c r="AG35" s="85"/>
    </row>
    <row r="36" customFormat="false" ht="11.1" hidden="false" customHeight="true" outlineLevel="0" collapsed="false">
      <c r="A36" s="57" t="n">
        <f aca="false">A35+1</f>
        <v>27</v>
      </c>
      <c r="B36" s="71" t="n">
        <v>6904.41</v>
      </c>
      <c r="C36" s="52" t="n">
        <v>300139</v>
      </c>
      <c r="D36" s="56" t="n">
        <f aca="false">C36-C35</f>
        <v>-1530</v>
      </c>
      <c r="E36" s="52" t="n">
        <f aca="false">C36-152000</f>
        <v>148139</v>
      </c>
      <c r="F36" s="51" t="n">
        <f aca="false">D36/$D$2</f>
        <v>-771.363750945299</v>
      </c>
      <c r="G36" s="51" t="n">
        <v>123</v>
      </c>
      <c r="H36" s="53" t="n">
        <v>0</v>
      </c>
      <c r="I36" s="51" t="n">
        <f aca="false">G36+H36</f>
        <v>123</v>
      </c>
      <c r="J36" s="78" t="n">
        <f aca="false">IF(L36&gt;0,L36,0)</f>
        <v>0</v>
      </c>
      <c r="K36" s="51" t="n">
        <f aca="false">I36+J36</f>
        <v>123</v>
      </c>
      <c r="L36" s="51" t="n">
        <f aca="false">F36-(I36-X36)</f>
        <v>-36.3637509452986</v>
      </c>
      <c r="M36" s="51" t="n">
        <v>342</v>
      </c>
      <c r="N36" s="51" t="n">
        <v>0</v>
      </c>
      <c r="O36" s="51" t="n">
        <f aca="false">41.5+41.9*1.05</f>
        <v>85.495</v>
      </c>
      <c r="P36" s="6" t="n">
        <f aca="false">M36-(N36+O36)</f>
        <v>256.505</v>
      </c>
      <c r="Q36" s="51" t="n">
        <v>144</v>
      </c>
      <c r="R36" s="51" t="n">
        <v>76</v>
      </c>
      <c r="S36" s="51" t="n">
        <f aca="false">SUM(P36:R36)</f>
        <v>476.505</v>
      </c>
      <c r="T36" s="52" t="n">
        <f aca="false">(I36-S36)+T35</f>
        <v>-5920.631908243</v>
      </c>
      <c r="U36" s="51" t="n">
        <v>215</v>
      </c>
      <c r="V36" s="51" t="n">
        <v>81</v>
      </c>
      <c r="W36" s="52" t="n">
        <f aca="false">W35-V36</f>
        <v>11993</v>
      </c>
      <c r="X36" s="6" t="n">
        <f aca="false">N36+O36+S36+U36+V36</f>
        <v>858</v>
      </c>
      <c r="Y36" s="51" t="n">
        <f aca="false">IF(L36&lt;0,L36*-1,0)</f>
        <v>36.3637509452986</v>
      </c>
      <c r="Z36" s="51" t="n">
        <f aca="false">X36+Y36</f>
        <v>894.363750945299</v>
      </c>
      <c r="AA36" s="55" t="n">
        <v>0</v>
      </c>
      <c r="AB36" s="56" t="n">
        <v>94</v>
      </c>
      <c r="AC36" s="56" t="n">
        <v>57</v>
      </c>
      <c r="AD36" s="57" t="n">
        <f aca="false">AD35+1</f>
        <v>27</v>
      </c>
      <c r="AE36" s="85"/>
      <c r="AF36" s="85"/>
      <c r="AG36" s="85"/>
    </row>
    <row r="37" customFormat="false" ht="11.1" hidden="false" customHeight="true" outlineLevel="0" collapsed="false">
      <c r="A37" s="57" t="n">
        <f aca="false">A36+1</f>
        <v>28</v>
      </c>
      <c r="B37" s="71" t="n">
        <v>6904.01</v>
      </c>
      <c r="C37" s="52" t="n">
        <v>298609</v>
      </c>
      <c r="D37" s="56" t="n">
        <f aca="false">C37-C36</f>
        <v>-1530</v>
      </c>
      <c r="E37" s="52" t="n">
        <f aca="false">C37-152000</f>
        <v>146609</v>
      </c>
      <c r="F37" s="51" t="n">
        <f aca="false">D37/$D$2</f>
        <v>-771.363750945299</v>
      </c>
      <c r="G37" s="51" t="n">
        <v>119</v>
      </c>
      <c r="H37" s="53" t="n">
        <v>0</v>
      </c>
      <c r="I37" s="51" t="n">
        <f aca="false">G37+H37</f>
        <v>119</v>
      </c>
      <c r="J37" s="78" t="n">
        <f aca="false">IF(L37&gt;0,L37,0)</f>
        <v>0</v>
      </c>
      <c r="K37" s="51" t="n">
        <f aca="false">I37+J37</f>
        <v>119</v>
      </c>
      <c r="L37" s="51" t="n">
        <f aca="false">F37-(I37-X37)</f>
        <v>-9.26375094529863</v>
      </c>
      <c r="M37" s="51" t="n">
        <v>342</v>
      </c>
      <c r="N37" s="51" t="n">
        <v>0</v>
      </c>
      <c r="O37" s="51" t="n">
        <f aca="false">43.4+44.8*1.05</f>
        <v>90.44</v>
      </c>
      <c r="P37" s="6" t="n">
        <f aca="false">M37-(N37+O37)</f>
        <v>251.56</v>
      </c>
      <c r="Q37" s="51" t="n">
        <v>143</v>
      </c>
      <c r="R37" s="51" t="n">
        <v>75</v>
      </c>
      <c r="S37" s="51" t="n">
        <f aca="false">SUM(P37:R37)</f>
        <v>469.56</v>
      </c>
      <c r="T37" s="52" t="n">
        <f aca="false">(I37-S37)+T36</f>
        <v>-6271.19190824301</v>
      </c>
      <c r="U37" s="51" t="n">
        <v>241.1</v>
      </c>
      <c r="V37" s="51" t="n">
        <v>80</v>
      </c>
      <c r="W37" s="52" t="n">
        <f aca="false">W36-V37</f>
        <v>11913</v>
      </c>
      <c r="X37" s="6" t="n">
        <f aca="false">N37+O37+S37+U37+V37</f>
        <v>881.1</v>
      </c>
      <c r="Y37" s="51" t="n">
        <f aca="false">IF(L37&lt;0,L37*-1,0)</f>
        <v>9.26375094529863</v>
      </c>
      <c r="Z37" s="51" t="n">
        <f aca="false">X37+Y37</f>
        <v>890.363750945299</v>
      </c>
      <c r="AA37" s="55" t="n">
        <v>0</v>
      </c>
      <c r="AB37" s="56" t="n">
        <v>91</v>
      </c>
      <c r="AC37" s="56" t="n">
        <v>56</v>
      </c>
      <c r="AD37" s="57" t="n">
        <f aca="false">AD36+1</f>
        <v>28</v>
      </c>
      <c r="AE37" s="85"/>
      <c r="AF37" s="85"/>
      <c r="AG37" s="85"/>
    </row>
    <row r="38" customFormat="false" ht="11.1" hidden="false" customHeight="true" outlineLevel="0" collapsed="false">
      <c r="A38" s="57" t="n">
        <f aca="false">A37+1</f>
        <v>29</v>
      </c>
      <c r="B38" s="71" t="n">
        <v>6903.58</v>
      </c>
      <c r="C38" s="52" t="n">
        <v>296978</v>
      </c>
      <c r="D38" s="56" t="n">
        <f aca="false">C38-C37</f>
        <v>-1631</v>
      </c>
      <c r="E38" s="52" t="n">
        <f aca="false">C38-152000</f>
        <v>144978</v>
      </c>
      <c r="F38" s="51" t="n">
        <f aca="false">D38/$D$2</f>
        <v>-822.283841693975</v>
      </c>
      <c r="G38" s="51" t="n">
        <v>112</v>
      </c>
      <c r="H38" s="53" t="n">
        <v>0</v>
      </c>
      <c r="I38" s="51" t="n">
        <f aca="false">G38+H38</f>
        <v>112</v>
      </c>
      <c r="J38" s="78" t="n">
        <f aca="false">IF(L38&gt;0,L38,0)</f>
        <v>0</v>
      </c>
      <c r="K38" s="51" t="n">
        <f aca="false">I38+J38</f>
        <v>112</v>
      </c>
      <c r="L38" s="51" t="n">
        <f aca="false">F38-(I38-X38)</f>
        <v>-57.6838416939753</v>
      </c>
      <c r="M38" s="51" t="n">
        <v>339</v>
      </c>
      <c r="N38" s="51" t="n">
        <v>0</v>
      </c>
      <c r="O38" s="51" t="n">
        <f aca="false">43.2+42.1*1.05</f>
        <v>87.405</v>
      </c>
      <c r="P38" s="6" t="n">
        <f aca="false">M38-(N38+O38)</f>
        <v>251.595</v>
      </c>
      <c r="Q38" s="51" t="n">
        <v>142</v>
      </c>
      <c r="R38" s="51" t="n">
        <v>74</v>
      </c>
      <c r="S38" s="51" t="n">
        <f aca="false">SUM(P38:R38)</f>
        <v>467.595</v>
      </c>
      <c r="T38" s="52" t="n">
        <f aca="false">(I38-S38)+T37</f>
        <v>-6626.78690824301</v>
      </c>
      <c r="U38" s="51" t="n">
        <v>241.6</v>
      </c>
      <c r="V38" s="51" t="n">
        <v>80</v>
      </c>
      <c r="W38" s="52" t="n">
        <f aca="false">W37-V38</f>
        <v>11833</v>
      </c>
      <c r="X38" s="6" t="n">
        <f aca="false">N38+O38+S38+U38+V38</f>
        <v>876.6</v>
      </c>
      <c r="Y38" s="51" t="n">
        <f aca="false">IF(L38&lt;0,L38*-1,0)</f>
        <v>57.6838416939753</v>
      </c>
      <c r="Z38" s="51" t="n">
        <f aca="false">X38+Y38</f>
        <v>934.283841693975</v>
      </c>
      <c r="AA38" s="55" t="n">
        <v>0</v>
      </c>
      <c r="AB38" s="79" t="n">
        <v>92</v>
      </c>
      <c r="AC38" s="56" t="n">
        <v>59</v>
      </c>
      <c r="AD38" s="57" t="n">
        <f aca="false">AD37+1</f>
        <v>29</v>
      </c>
      <c r="AE38" s="85"/>
      <c r="AF38" s="87"/>
      <c r="AG38" s="86"/>
    </row>
    <row r="39" customFormat="false" ht="11.1" hidden="false" customHeight="true" outlineLevel="0" collapsed="false">
      <c r="A39" s="57" t="n">
        <v>30</v>
      </c>
      <c r="B39" s="71" t="n">
        <v>6903.16</v>
      </c>
      <c r="C39" s="52" t="n">
        <v>295384</v>
      </c>
      <c r="D39" s="56" t="n">
        <f aca="false">C39-C38</f>
        <v>-1594</v>
      </c>
      <c r="E39" s="52" t="n">
        <f aca="false">C39-152000</f>
        <v>143384</v>
      </c>
      <c r="F39" s="51" t="n">
        <f aca="false">D39/$D$2</f>
        <v>-803.629947063272</v>
      </c>
      <c r="G39" s="51" t="n">
        <v>113</v>
      </c>
      <c r="H39" s="53" t="n">
        <v>0</v>
      </c>
      <c r="I39" s="51" t="n">
        <f aca="false">G39+H39</f>
        <v>113</v>
      </c>
      <c r="J39" s="78" t="n">
        <f aca="false">IF(L39&gt;0,L39,0)</f>
        <v>0</v>
      </c>
      <c r="K39" s="51" t="n">
        <f aca="false">I39+J39</f>
        <v>113</v>
      </c>
      <c r="L39" s="51" t="n">
        <f aca="false">F39-(I39-X39)</f>
        <v>-52.329947063272</v>
      </c>
      <c r="M39" s="51" t="n">
        <v>333</v>
      </c>
      <c r="N39" s="51" t="n">
        <v>0</v>
      </c>
      <c r="O39" s="51" t="n">
        <f aca="false">42.9+42*1.05</f>
        <v>87</v>
      </c>
      <c r="P39" s="6" t="n">
        <f aca="false">M39-(N39+O39)</f>
        <v>246</v>
      </c>
      <c r="Q39" s="51" t="n">
        <v>142</v>
      </c>
      <c r="R39" s="51" t="n">
        <v>74</v>
      </c>
      <c r="S39" s="51" t="n">
        <f aca="false">SUM(P39:R39)</f>
        <v>462</v>
      </c>
      <c r="T39" s="52" t="n">
        <f aca="false">(I39-S39)+T38</f>
        <v>-6975.78690824301</v>
      </c>
      <c r="U39" s="51" t="n">
        <v>235.3</v>
      </c>
      <c r="V39" s="51" t="n">
        <v>80</v>
      </c>
      <c r="W39" s="52" t="n">
        <f aca="false">W38-V39</f>
        <v>11753</v>
      </c>
      <c r="X39" s="6" t="n">
        <f aca="false">N39+O39+S39+U39+V39</f>
        <v>864.3</v>
      </c>
      <c r="Y39" s="51" t="n">
        <f aca="false">IF(L39&lt;0,L39*-1,0)</f>
        <v>52.329947063272</v>
      </c>
      <c r="Z39" s="51" t="n">
        <f aca="false">X39+Y39</f>
        <v>916.629947063272</v>
      </c>
      <c r="AA39" s="55" t="n">
        <v>0</v>
      </c>
      <c r="AB39" s="79" t="n">
        <v>87</v>
      </c>
      <c r="AC39" s="56" t="n">
        <v>55</v>
      </c>
      <c r="AD39" s="57" t="n">
        <v>30</v>
      </c>
      <c r="AE39" s="85"/>
      <c r="AF39" s="87"/>
      <c r="AG39" s="86"/>
    </row>
    <row r="40" customFormat="false" ht="11.1" hidden="false" customHeight="true" outlineLevel="0" collapsed="false">
      <c r="A40" s="57" t="n">
        <v>31</v>
      </c>
      <c r="B40" s="71" t="n">
        <v>6902.76</v>
      </c>
      <c r="C40" s="52" t="n">
        <v>293874</v>
      </c>
      <c r="D40" s="56" t="n">
        <f aca="false">C40-C39</f>
        <v>-1510</v>
      </c>
      <c r="E40" s="52" t="n">
        <f aca="false">C40-152000</f>
        <v>141874</v>
      </c>
      <c r="F40" s="51" t="n">
        <f aca="false">D40/$D$2</f>
        <v>-761.280564658432</v>
      </c>
      <c r="G40" s="51" t="n">
        <v>115</v>
      </c>
      <c r="H40" s="53" t="n">
        <v>0</v>
      </c>
      <c r="I40" s="51" t="n">
        <f aca="false">G40+H40</f>
        <v>115</v>
      </c>
      <c r="J40" s="78" t="n">
        <f aca="false">IF(L40&gt;0,L40,0)</f>
        <v>0</v>
      </c>
      <c r="K40" s="51" t="n">
        <f aca="false">I40+J40</f>
        <v>115</v>
      </c>
      <c r="L40" s="51" t="n">
        <f aca="false">F40-(I40-X40)</f>
        <v>-9.38056465843204</v>
      </c>
      <c r="M40" s="51" t="n">
        <v>326</v>
      </c>
      <c r="N40" s="51" t="n">
        <v>0</v>
      </c>
      <c r="O40" s="51" t="n">
        <f aca="false">43.9+41.5*1.05</f>
        <v>87.475</v>
      </c>
      <c r="P40" s="6" t="n">
        <f aca="false">M40-(N40+O40)</f>
        <v>238.525</v>
      </c>
      <c r="Q40" s="51" t="n">
        <v>144</v>
      </c>
      <c r="R40" s="51" t="n">
        <v>74</v>
      </c>
      <c r="S40" s="51" t="n">
        <f aca="false">SUM(P40:R40)</f>
        <v>456.525</v>
      </c>
      <c r="T40" s="52" t="n">
        <f aca="false">(I40-S40)+T39</f>
        <v>-7317.311908243</v>
      </c>
      <c r="U40" s="51" t="n">
        <v>242.9</v>
      </c>
      <c r="V40" s="51" t="n">
        <v>80</v>
      </c>
      <c r="W40" s="52" t="n">
        <f aca="false">W39-V40</f>
        <v>11673</v>
      </c>
      <c r="X40" s="6" t="n">
        <f aca="false">N40+O40+S40+U40+V40</f>
        <v>866.9</v>
      </c>
      <c r="Y40" s="51" t="n">
        <f aca="false">IF(L40&lt;0,L40*-1,0)</f>
        <v>9.38056465843204</v>
      </c>
      <c r="Z40" s="51" t="n">
        <f aca="false">X40+Y40</f>
        <v>876.280564658432</v>
      </c>
      <c r="AA40" s="55" t="n">
        <v>0</v>
      </c>
      <c r="AB40" s="79" t="n">
        <v>88</v>
      </c>
      <c r="AC40" s="56" t="n">
        <v>53</v>
      </c>
      <c r="AD40" s="57" t="n">
        <v>31</v>
      </c>
      <c r="AE40" s="85"/>
      <c r="AF40" s="85"/>
      <c r="AG40" s="86"/>
    </row>
    <row r="41" customFormat="false" ht="3" hidden="false" customHeight="true" outlineLevel="0" collapsed="false">
      <c r="A41" s="72"/>
      <c r="B41" s="72"/>
      <c r="C41" s="74"/>
      <c r="D41" s="72"/>
      <c r="E41" s="74"/>
      <c r="F41" s="72"/>
      <c r="G41" s="72"/>
      <c r="H41" s="75"/>
      <c r="I41" s="72"/>
      <c r="J41" s="72"/>
      <c r="K41" s="72"/>
      <c r="L41" s="72"/>
      <c r="M41" s="72"/>
      <c r="N41" s="72"/>
      <c r="O41" s="72" t="n">
        <v>0</v>
      </c>
      <c r="P41" s="72"/>
      <c r="Q41" s="72"/>
      <c r="R41" s="72"/>
      <c r="S41" s="72"/>
      <c r="T41" s="74"/>
      <c r="U41" s="72"/>
      <c r="V41" s="72"/>
      <c r="W41" s="72"/>
      <c r="X41" s="72"/>
      <c r="Y41" s="72"/>
      <c r="Z41" s="72"/>
      <c r="AA41" s="106" t="n">
        <v>0</v>
      </c>
      <c r="AB41" s="76"/>
      <c r="AC41" s="76"/>
      <c r="AD41" s="77"/>
      <c r="AE41" s="85"/>
      <c r="AF41" s="85"/>
      <c r="AG41" s="86"/>
    </row>
    <row r="42" customFormat="false" ht="11.1" hidden="false" customHeight="true" outlineLevel="0" collapsed="false">
      <c r="A42" s="51" t="s">
        <v>46</v>
      </c>
      <c r="B42" s="51"/>
      <c r="C42" s="52"/>
      <c r="D42" s="52"/>
      <c r="E42" s="52"/>
      <c r="F42" s="52" t="n">
        <f aca="false">SUM(F10:F40)</f>
        <v>-22571.7166624653</v>
      </c>
      <c r="G42" s="52" t="n">
        <f aca="false">SUM(G10:G40)</f>
        <v>4420</v>
      </c>
      <c r="H42" s="53" t="n">
        <f aca="false">SUM(H10:H40)</f>
        <v>0.61</v>
      </c>
      <c r="I42" s="52" t="n">
        <f aca="false">SUM(I10:I40)</f>
        <v>4420.61</v>
      </c>
      <c r="J42" s="52" t="n">
        <f aca="false">SUM(J10:J40)</f>
        <v>230.409326947315</v>
      </c>
      <c r="K42" s="52" t="n">
        <f aca="false">SUM(K10:K40)</f>
        <v>4651.01932694732</v>
      </c>
      <c r="L42" s="52" t="n">
        <f aca="false">SUM(L10:L40)</f>
        <v>-1102.52666246534</v>
      </c>
      <c r="M42" s="52" t="n">
        <f aca="false">SUM(M10:M40)</f>
        <v>9925</v>
      </c>
      <c r="N42" s="52" t="n">
        <f aca="false">SUM(N10:N40)</f>
        <v>11</v>
      </c>
      <c r="O42" s="52" t="n">
        <f aca="false">SUM(O10:O40)</f>
        <v>2210.37</v>
      </c>
      <c r="P42" s="52" t="n">
        <f aca="false">SUM(P10:P40)</f>
        <v>7703.63</v>
      </c>
      <c r="Q42" s="52" t="n">
        <f aca="false">SUM(Q10:Q40)</f>
        <v>4465</v>
      </c>
      <c r="R42" s="52" t="n">
        <f aca="false">SUM(R10:R40)</f>
        <v>2443</v>
      </c>
      <c r="S42" s="52" t="n">
        <f aca="false">SUM(S10:S40)</f>
        <v>14611.63</v>
      </c>
      <c r="T42" s="52"/>
      <c r="U42" s="52" t="n">
        <f aca="false">SUM(U10:U40)</f>
        <v>6561.8</v>
      </c>
      <c r="V42" s="52" t="n">
        <f aca="false">SUM(V10:V40)</f>
        <v>2495</v>
      </c>
      <c r="W42" s="52"/>
      <c r="X42" s="52" t="n">
        <f aca="false">SUM(X10:X40)</f>
        <v>25889.8</v>
      </c>
      <c r="Y42" s="52" t="n">
        <f aca="false">SUM(Y10:Y40)</f>
        <v>1332.93598941265</v>
      </c>
      <c r="Z42" s="52" t="n">
        <f aca="false">SUM(Z10:Z40)</f>
        <v>27222.7359894127</v>
      </c>
      <c r="AA42" s="55" t="n">
        <f aca="false">SUM(AA10:AA40)</f>
        <v>0.78</v>
      </c>
      <c r="AB42" s="56" t="n">
        <f aca="false">AVERAGE(AB10:AB40)</f>
        <v>87.9677419354839</v>
      </c>
      <c r="AC42" s="56" t="n">
        <f aca="false">AVERAGE(AC10:AC40)</f>
        <v>55.258064516129</v>
      </c>
      <c r="AD42" s="57" t="s">
        <v>71</v>
      </c>
      <c r="AE42" s="85"/>
      <c r="AF42" s="85"/>
      <c r="AG42" s="86"/>
    </row>
    <row r="43" customFormat="false" ht="11.1" hidden="false" customHeight="true" outlineLevel="0" collapsed="false">
      <c r="A43" s="51" t="s">
        <v>48</v>
      </c>
      <c r="B43" s="51"/>
      <c r="C43" s="52"/>
      <c r="D43" s="52" t="n">
        <f aca="false">SUM(D10:D40)</f>
        <v>-44771</v>
      </c>
      <c r="E43" s="52"/>
      <c r="F43" s="52" t="n">
        <f aca="false">F42*$D$2</f>
        <v>-44771</v>
      </c>
      <c r="G43" s="52" t="n">
        <f aca="false">G42*$D$2</f>
        <v>8767.07</v>
      </c>
      <c r="H43" s="53" t="n">
        <f aca="false">H42*$D$2</f>
        <v>1.209935</v>
      </c>
      <c r="I43" s="52" t="n">
        <f aca="false">I42*$D$2</f>
        <v>8768.279935</v>
      </c>
      <c r="J43" s="52" t="n">
        <f aca="false">J42*$D$2</f>
        <v>457.0169</v>
      </c>
      <c r="K43" s="52" t="n">
        <f aca="false">K42*$D$2</f>
        <v>9225.296835</v>
      </c>
      <c r="L43" s="52" t="n">
        <f aca="false">L42*$D$2</f>
        <v>-2186.861635</v>
      </c>
      <c r="M43" s="52" t="n">
        <f aca="false">M42*$D$2</f>
        <v>19686.2375</v>
      </c>
      <c r="N43" s="52" t="n">
        <f aca="false">N42*$D$2</f>
        <v>21.8185</v>
      </c>
      <c r="O43" s="52" t="n">
        <f aca="false">O42*$D$2</f>
        <v>4384.268895</v>
      </c>
      <c r="P43" s="52" t="n">
        <f aca="false">P42*$D$2</f>
        <v>15280.150105</v>
      </c>
      <c r="Q43" s="52" t="n">
        <f aca="false">Q42*$D$2</f>
        <v>8856.3275</v>
      </c>
      <c r="R43" s="52" t="n">
        <f aca="false">R42*$D$2</f>
        <v>4845.6905</v>
      </c>
      <c r="S43" s="52" t="n">
        <f aca="false">S42*$D$2</f>
        <v>28982.168105</v>
      </c>
      <c r="T43" s="52"/>
      <c r="U43" s="52" t="n">
        <f aca="false">U42*$D$2</f>
        <v>13015.3303</v>
      </c>
      <c r="V43" s="52" t="n">
        <f aca="false">V42*$D$2</f>
        <v>4948.8325</v>
      </c>
      <c r="W43" s="52"/>
      <c r="X43" s="52" t="n">
        <f aca="false">X42*$D$2</f>
        <v>51352.4183</v>
      </c>
      <c r="Y43" s="52" t="n">
        <f aca="false">Y42*$D$2</f>
        <v>2643.878535</v>
      </c>
      <c r="Z43" s="52" t="n">
        <f aca="false">Z42*$D$2</f>
        <v>53996.296835</v>
      </c>
      <c r="AA43" s="55"/>
      <c r="AB43" s="56" t="n">
        <f aca="false">MAX(AB10:AB40)</f>
        <v>94</v>
      </c>
      <c r="AC43" s="56" t="n">
        <f aca="false">MAX(AC10:AC40)</f>
        <v>61</v>
      </c>
      <c r="AD43" s="57" t="s">
        <v>49</v>
      </c>
      <c r="AE43" s="85"/>
      <c r="AF43" s="85"/>
      <c r="AG43" s="86"/>
    </row>
    <row r="44" customFormat="false" ht="3" hidden="false" customHeight="true" outlineLevel="0" collapsed="false">
      <c r="A44" s="72"/>
      <c r="B44" s="72"/>
      <c r="C44" s="74"/>
      <c r="D44" s="74"/>
      <c r="E44" s="74"/>
      <c r="F44" s="74"/>
      <c r="G44" s="74"/>
      <c r="H44" s="75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2"/>
      <c r="X44" s="74"/>
      <c r="Y44" s="74"/>
      <c r="Z44" s="74"/>
      <c r="AA44" s="55"/>
      <c r="AB44" s="56"/>
      <c r="AC44" s="56"/>
      <c r="AD44" s="57"/>
      <c r="AE44" s="85"/>
      <c r="AF44" s="85"/>
      <c r="AG44" s="86"/>
    </row>
    <row r="45" customFormat="false" ht="11.1" hidden="false" customHeight="true" outlineLevel="0" collapsed="false">
      <c r="A45" s="51" t="s">
        <v>50</v>
      </c>
      <c r="B45" s="51"/>
      <c r="C45" s="52"/>
      <c r="D45" s="52"/>
      <c r="E45" s="52"/>
      <c r="F45" s="52" t="n">
        <f aca="false">F7+F42</f>
        <v>-17522.0569700025</v>
      </c>
      <c r="G45" s="52" t="n">
        <f aca="false">G7+G42</f>
        <v>92367</v>
      </c>
      <c r="H45" s="53" t="n">
        <f aca="false">H7+H42</f>
        <v>1956.67</v>
      </c>
      <c r="I45" s="52" t="n">
        <f aca="false">I7+I42</f>
        <v>94323.67</v>
      </c>
      <c r="J45" s="52" t="n">
        <f aca="false">J7+J42</f>
        <v>10436.9743912276</v>
      </c>
      <c r="K45" s="52" t="n">
        <f aca="false">K7+K42</f>
        <v>104760.644391228</v>
      </c>
      <c r="L45" s="52" t="n">
        <f aca="false">L7+L42</f>
        <v>6946.35302999748</v>
      </c>
      <c r="M45" s="52" t="n">
        <f aca="false">M7+M42</f>
        <v>32655.3</v>
      </c>
      <c r="N45" s="52" t="n">
        <f aca="false">N7+N42</f>
        <v>145.87</v>
      </c>
      <c r="O45" s="52" t="n">
        <f aca="false">O7+O42</f>
        <v>7823.49</v>
      </c>
      <c r="P45" s="52" t="n">
        <f aca="false">P7+P42</f>
        <v>24685.94</v>
      </c>
      <c r="Q45" s="52" t="n">
        <f aca="false">Q7+Q42</f>
        <v>15528</v>
      </c>
      <c r="R45" s="52" t="n">
        <f aca="false">R7+R42</f>
        <v>7644.1</v>
      </c>
      <c r="S45" s="52" t="n">
        <f aca="false">S7+S42</f>
        <v>47858.04</v>
      </c>
      <c r="T45" s="52" t="n">
        <f aca="false">T40</f>
        <v>-7317.311908243</v>
      </c>
      <c r="U45" s="52" t="n">
        <f aca="false">U7+U42</f>
        <v>20079.68</v>
      </c>
      <c r="V45" s="52" t="n">
        <f aca="false">V7+V42</f>
        <v>42885</v>
      </c>
      <c r="W45" s="52"/>
      <c r="X45" s="52" t="n">
        <f aca="false">X7+X42</f>
        <v>118792.08</v>
      </c>
      <c r="Y45" s="52" t="n">
        <f aca="false">Y7+Y42</f>
        <v>3490.62136123015</v>
      </c>
      <c r="Z45" s="52" t="n">
        <f aca="false">Z7+Z42</f>
        <v>122282.70136123</v>
      </c>
      <c r="AA45" s="55"/>
      <c r="AB45" s="56" t="n">
        <f aca="false">MIN(AB10:AB40)</f>
        <v>84</v>
      </c>
      <c r="AC45" s="56" t="n">
        <f aca="false">MIN(AC10:AC40)</f>
        <v>50</v>
      </c>
      <c r="AD45" s="57" t="s">
        <v>51</v>
      </c>
      <c r="AE45" s="85"/>
      <c r="AF45" s="85"/>
      <c r="AG45" s="86"/>
    </row>
    <row r="46" customFormat="false" ht="11.1" hidden="false" customHeight="true" outlineLevel="0" collapsed="false">
      <c r="A46" s="51" t="s">
        <v>52</v>
      </c>
      <c r="B46" s="51"/>
      <c r="C46" s="52"/>
      <c r="D46" s="52"/>
      <c r="E46" s="52"/>
      <c r="F46" s="52" t="n">
        <f aca="false">F45*$D$2</f>
        <v>-34755</v>
      </c>
      <c r="G46" s="52" t="n">
        <f aca="false">G45*$D$2</f>
        <v>183209.9445</v>
      </c>
      <c r="H46" s="53" t="n">
        <f aca="false">H45*$D$2</f>
        <v>3881.054945</v>
      </c>
      <c r="I46" s="52" t="n">
        <f aca="false">I45*$D$2</f>
        <v>187090.999445</v>
      </c>
      <c r="J46" s="52" t="n">
        <f aca="false">J45*$D$2</f>
        <v>20701.738705</v>
      </c>
      <c r="K46" s="52" t="n">
        <f aca="false">K45*$D$2</f>
        <v>207792.73815</v>
      </c>
      <c r="L46" s="52" t="n">
        <f aca="false">L45*$D$2</f>
        <v>13778.091235</v>
      </c>
      <c r="M46" s="52" t="n">
        <f aca="false">M45*$D$2</f>
        <v>64771.78755</v>
      </c>
      <c r="N46" s="52" t="n">
        <f aca="false">N45*$D$2</f>
        <v>289.333145</v>
      </c>
      <c r="O46" s="52" t="n">
        <f aca="false">O45*$D$2</f>
        <v>15517.892415</v>
      </c>
      <c r="P46" s="52" t="n">
        <f aca="false">P45*$D$2</f>
        <v>48964.56199</v>
      </c>
      <c r="Q46" s="52" t="n">
        <f aca="false">Q45*$D$2</f>
        <v>30799.788</v>
      </c>
      <c r="R46" s="52" t="n">
        <f aca="false">R45*$D$2</f>
        <v>15162.07235</v>
      </c>
      <c r="S46" s="52" t="n">
        <f aca="false">S45*$D$2</f>
        <v>94926.42234</v>
      </c>
      <c r="T46" s="52" t="n">
        <f aca="false">T45*$D$2</f>
        <v>-14513.88817</v>
      </c>
      <c r="U46" s="52" t="n">
        <f aca="false">U45*$D$2</f>
        <v>39828.04528</v>
      </c>
      <c r="V46" s="52" t="n">
        <f aca="false">V45*$D$2</f>
        <v>85062.3975</v>
      </c>
      <c r="W46" s="52"/>
      <c r="X46" s="52" t="n">
        <f aca="false">X45*$D$2</f>
        <v>235624.09068</v>
      </c>
      <c r="Y46" s="52" t="n">
        <f aca="false">Y45*$D$2</f>
        <v>6923.64747</v>
      </c>
      <c r="Z46" s="52" t="n">
        <f aca="false">Z45*$D$2</f>
        <v>242547.73815</v>
      </c>
      <c r="AA46" s="55"/>
      <c r="AB46" s="56"/>
      <c r="AC46" s="56"/>
      <c r="AD46" s="57"/>
      <c r="AE46" s="85"/>
      <c r="AF46" s="85"/>
      <c r="AG46" s="86"/>
    </row>
    <row r="47" customFormat="false" ht="3" hidden="false" customHeight="true" outlineLevel="0" collapsed="false">
      <c r="A47" s="72"/>
      <c r="B47" s="72"/>
      <c r="C47" s="74"/>
      <c r="D47" s="74"/>
      <c r="E47" s="74"/>
      <c r="F47" s="74"/>
      <c r="G47" s="74"/>
      <c r="H47" s="75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106"/>
      <c r="AB47" s="56"/>
      <c r="AC47" s="56"/>
      <c r="AD47" s="57"/>
      <c r="AE47" s="85"/>
      <c r="AF47" s="85"/>
      <c r="AG47" s="86"/>
    </row>
    <row r="48" customFormat="false" ht="11.1" hidden="false" customHeight="true" outlineLevel="0" collapsed="false">
      <c r="A48" s="51" t="s">
        <v>53</v>
      </c>
      <c r="B48" s="51"/>
      <c r="C48" s="52"/>
      <c r="D48" s="52"/>
      <c r="E48" s="52"/>
      <c r="F48" s="52" t="n">
        <f aca="false">F8+F42</f>
        <v>-18051.9284093774</v>
      </c>
      <c r="G48" s="52" t="n">
        <f aca="false">G8+G42</f>
        <v>101951</v>
      </c>
      <c r="H48" s="53" t="n">
        <f aca="false">H8+H42</f>
        <v>2221.95</v>
      </c>
      <c r="I48" s="52" t="n">
        <f aca="false">I8+I42</f>
        <v>104172.95</v>
      </c>
      <c r="J48" s="52" t="n">
        <f aca="false">J8+J42</f>
        <v>12785.1353667759</v>
      </c>
      <c r="K48" s="52" t="n">
        <f aca="false">K8+K42</f>
        <v>116954.352621628</v>
      </c>
      <c r="L48" s="52" t="n">
        <f aca="false">L8+L42</f>
        <v>8623.93159062264</v>
      </c>
      <c r="M48" s="52" t="n">
        <f aca="false">M8+M42</f>
        <v>35094.06</v>
      </c>
      <c r="N48" s="52" t="n">
        <f aca="false">N8+N42</f>
        <v>212.25</v>
      </c>
      <c r="O48" s="52" t="n">
        <f aca="false">O8+O42</f>
        <v>8264.8305</v>
      </c>
      <c r="P48" s="52" t="n">
        <f aca="false">P8+P42</f>
        <v>26616.9795</v>
      </c>
      <c r="Q48" s="52" t="n">
        <f aca="false">Q8+Q42</f>
        <v>16572</v>
      </c>
      <c r="R48" s="52" t="n">
        <f aca="false">R8+R42</f>
        <v>8204.1</v>
      </c>
      <c r="S48" s="52" t="n">
        <f aca="false">S8+S42</f>
        <v>51393.0795</v>
      </c>
      <c r="T48" s="52" t="n">
        <f aca="false">T45</f>
        <v>-7317.311908243</v>
      </c>
      <c r="U48" s="52" t="n">
        <f aca="false">U8+U42</f>
        <v>20079.68</v>
      </c>
      <c r="V48" s="52" t="n">
        <f aca="false">V8+V42</f>
        <v>50898.97</v>
      </c>
      <c r="W48" s="52" t="n">
        <f aca="false">W40</f>
        <v>11673</v>
      </c>
      <c r="X48" s="52" t="n">
        <f aca="false">X8+X42</f>
        <v>130848.81</v>
      </c>
      <c r="Y48" s="52" t="n">
        <f aca="false">Y8+Y42</f>
        <v>4161.20377615326</v>
      </c>
      <c r="Z48" s="52" t="n">
        <f aca="false">Z8+Z42</f>
        <v>135010.013776153</v>
      </c>
      <c r="AA48" s="55" t="n">
        <f aca="false">AA8+AA42</f>
        <v>7.06</v>
      </c>
      <c r="AB48" s="56"/>
      <c r="AC48" s="56"/>
      <c r="AD48" s="57"/>
      <c r="AE48" s="85"/>
      <c r="AF48" s="85"/>
      <c r="AG48" s="86"/>
    </row>
    <row r="49" customFormat="false" ht="11.1" hidden="false" customHeight="true" outlineLevel="0" collapsed="false">
      <c r="A49" s="51" t="s">
        <v>54</v>
      </c>
      <c r="B49" s="51"/>
      <c r="C49" s="52"/>
      <c r="D49" s="52" t="n">
        <f aca="false">D8+D43</f>
        <v>-35806</v>
      </c>
      <c r="E49" s="52" t="n">
        <f aca="false">E40</f>
        <v>141874</v>
      </c>
      <c r="F49" s="52" t="n">
        <f aca="false">F48*$D$2</f>
        <v>-35806</v>
      </c>
      <c r="G49" s="52" t="n">
        <f aca="false">G48*$D$2</f>
        <v>202219.8085</v>
      </c>
      <c r="H49" s="53" t="n">
        <f aca="false">H48*$D$2</f>
        <v>4407.237825</v>
      </c>
      <c r="I49" s="52" t="n">
        <f aca="false">I48*$D$2</f>
        <v>206627.046325</v>
      </c>
      <c r="J49" s="52" t="n">
        <f aca="false">J48*$D$2</f>
        <v>25359.316</v>
      </c>
      <c r="K49" s="52" t="n">
        <f aca="false">K48*$D$2</f>
        <v>231978.958425</v>
      </c>
      <c r="L49" s="52" t="n">
        <f aca="false">L48*$D$2</f>
        <v>17105.56831</v>
      </c>
      <c r="M49" s="52" t="n">
        <f aca="false">M48*$D$2</f>
        <v>69609.06801</v>
      </c>
      <c r="N49" s="52" t="n">
        <f aca="false">N48*$D$2</f>
        <v>420.997875</v>
      </c>
      <c r="O49" s="52" t="n">
        <f aca="false">O48*$D$2</f>
        <v>16393.29129675</v>
      </c>
      <c r="P49" s="52" t="n">
        <f aca="false">P48*$D$2</f>
        <v>52794.77883825</v>
      </c>
      <c r="Q49" s="52" t="n">
        <f aca="false">Q48*$D$2</f>
        <v>32870.562</v>
      </c>
      <c r="R49" s="52" t="n">
        <f aca="false">R48*$D$2</f>
        <v>16272.83235</v>
      </c>
      <c r="S49" s="52" t="n">
        <f aca="false">S48*$D$2</f>
        <v>101938.17318825</v>
      </c>
      <c r="T49" s="52" t="n">
        <f aca="false">T48*$D$2</f>
        <v>-14513.88817</v>
      </c>
      <c r="U49" s="52" t="n">
        <f aca="false">U48*$D$2</f>
        <v>39828.04528</v>
      </c>
      <c r="V49" s="52" t="n">
        <f aca="false">V48*$D$2</f>
        <v>100958.106995</v>
      </c>
      <c r="W49" s="52" t="n">
        <f aca="false">W40*$D$2</f>
        <v>23153.3955</v>
      </c>
      <c r="X49" s="52" t="n">
        <f aca="false">X48*$D$2</f>
        <v>259538.614635</v>
      </c>
      <c r="Y49" s="52" t="n">
        <f aca="false">Y48*$D$2</f>
        <v>8253.74769</v>
      </c>
      <c r="Z49" s="52" t="n">
        <f aca="false">Z48*$D$2</f>
        <v>267792.362325</v>
      </c>
      <c r="AA49" s="55"/>
      <c r="AB49" s="56"/>
      <c r="AC49" s="56"/>
      <c r="AD49" s="57"/>
      <c r="AE49" s="85"/>
      <c r="AF49" s="85"/>
      <c r="AG49" s="86"/>
    </row>
    <row r="50" customFormat="false" ht="3" hidden="false" customHeight="true" outlineLevel="0" collapsed="false">
      <c r="A50" s="72"/>
      <c r="B50" s="72"/>
      <c r="C50" s="74"/>
      <c r="D50" s="72"/>
      <c r="E50" s="74"/>
      <c r="F50" s="72"/>
      <c r="G50" s="72"/>
      <c r="H50" s="75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4"/>
      <c r="U50" s="72"/>
      <c r="V50" s="72"/>
      <c r="W50" s="74"/>
      <c r="X50" s="72"/>
      <c r="Y50" s="72"/>
      <c r="Z50" s="72"/>
      <c r="AA50" s="55"/>
      <c r="AB50" s="56"/>
      <c r="AC50" s="56"/>
      <c r="AD50" s="57"/>
      <c r="AE50" s="85"/>
      <c r="AF50" s="85"/>
      <c r="AG50" s="86"/>
    </row>
    <row r="51" customFormat="false" ht="11.1" hidden="false" customHeight="true" outlineLevel="0" collapsed="false">
      <c r="A51" s="51"/>
      <c r="B51" s="81"/>
      <c r="C51" s="52"/>
      <c r="D51" s="51"/>
      <c r="E51" s="52"/>
      <c r="F51" s="51"/>
      <c r="G51" s="51"/>
      <c r="H51" s="2"/>
      <c r="I51" s="82"/>
      <c r="J51" s="51"/>
      <c r="K51" s="52"/>
      <c r="L51" s="51"/>
      <c r="M51" s="51"/>
      <c r="N51" s="51"/>
      <c r="O51" s="51"/>
      <c r="P51" s="51"/>
      <c r="Q51" s="51"/>
      <c r="R51" s="51"/>
      <c r="S51" s="51"/>
      <c r="T51" s="52"/>
      <c r="U51" s="51"/>
      <c r="V51" s="51"/>
      <c r="W51" s="52"/>
      <c r="X51" s="51"/>
      <c r="Y51" s="51"/>
      <c r="Z51" s="51"/>
      <c r="AA51" s="55"/>
      <c r="AB51" s="56"/>
      <c r="AC51" s="56"/>
      <c r="AD51" s="57"/>
      <c r="AE51" s="84"/>
      <c r="AF51" s="84"/>
    </row>
    <row r="52" customFormat="false" ht="11.1" hidden="false" customHeight="true" outlineLevel="0" collapsed="false">
      <c r="A52" s="51"/>
      <c r="B52" s="71"/>
      <c r="C52" s="52"/>
      <c r="D52" s="79"/>
      <c r="E52" s="52"/>
      <c r="F52" s="51"/>
      <c r="G52" s="51"/>
      <c r="H52" s="53"/>
      <c r="I52" s="82"/>
      <c r="J52" s="51"/>
      <c r="K52" s="41"/>
      <c r="L52" s="51"/>
      <c r="M52" s="51"/>
      <c r="N52" s="51"/>
      <c r="O52" s="51"/>
      <c r="P52" s="51"/>
      <c r="Q52" s="51"/>
      <c r="R52" s="51"/>
      <c r="S52" s="52"/>
      <c r="T52" s="51"/>
      <c r="U52" s="51"/>
      <c r="V52" s="52"/>
      <c r="W52" s="51"/>
      <c r="X52" s="51"/>
      <c r="Y52" s="51"/>
      <c r="Z52" s="55"/>
      <c r="AA52" s="56"/>
      <c r="AB52" s="56"/>
      <c r="AC52" s="57"/>
      <c r="AD52" s="84"/>
      <c r="AE52" s="84"/>
    </row>
    <row r="53" customFormat="false" ht="11.1" hidden="false" customHeight="true" outlineLevel="0" collapsed="false">
      <c r="A53" s="79"/>
      <c r="B53" s="79"/>
      <c r="C53" s="52"/>
      <c r="D53" s="52"/>
      <c r="E53" s="52"/>
      <c r="F53" s="79"/>
      <c r="G53" s="79"/>
      <c r="H53" s="53"/>
      <c r="I53" s="79"/>
      <c r="J53" s="79"/>
      <c r="K53" s="41"/>
      <c r="L53" s="79"/>
      <c r="M53" s="78"/>
      <c r="N53" s="78"/>
      <c r="O53" s="78"/>
      <c r="P53" s="79"/>
      <c r="Q53" s="79"/>
      <c r="R53" s="79"/>
      <c r="S53" s="52"/>
      <c r="T53" s="79"/>
      <c r="U53" s="79"/>
      <c r="V53" s="52"/>
      <c r="W53" s="79"/>
      <c r="X53" s="79"/>
      <c r="Y53" s="79"/>
      <c r="Z53" s="55"/>
      <c r="AA53" s="56"/>
      <c r="AB53" s="56"/>
      <c r="AC53" s="57"/>
      <c r="AD53" s="89"/>
      <c r="AE53" s="89"/>
    </row>
    <row r="54" customFormat="false" ht="11.1" hidden="false" customHeight="true" outlineLevel="0" collapsed="false">
      <c r="A54" s="79"/>
      <c r="B54" s="55"/>
      <c r="C54" s="52"/>
      <c r="D54" s="52"/>
      <c r="E54" s="52"/>
      <c r="F54" s="79"/>
      <c r="G54" s="79"/>
      <c r="H54" s="53"/>
      <c r="I54" s="79"/>
      <c r="J54" s="79"/>
      <c r="K54" s="79"/>
      <c r="L54" s="79"/>
      <c r="M54" s="78"/>
      <c r="N54" s="78"/>
      <c r="O54" s="78"/>
      <c r="P54" s="79"/>
      <c r="Q54" s="79"/>
      <c r="R54" s="79"/>
      <c r="S54" s="52"/>
      <c r="T54" s="79"/>
      <c r="U54" s="79"/>
      <c r="V54" s="52"/>
      <c r="W54" s="79"/>
      <c r="X54" s="79"/>
      <c r="Y54" s="79"/>
      <c r="Z54" s="55"/>
      <c r="AA54" s="56"/>
      <c r="AB54" s="56"/>
      <c r="AC54" s="57"/>
      <c r="AD54" s="89"/>
      <c r="AE54" s="89"/>
    </row>
    <row r="55" customFormat="false" ht="11.1" hidden="false" customHeight="true" outlineLevel="0" collapsed="false">
      <c r="A55" s="79"/>
      <c r="B55" s="79"/>
      <c r="C55" s="52"/>
      <c r="D55" s="79"/>
      <c r="E55" s="52"/>
      <c r="F55" s="79"/>
      <c r="G55" s="83"/>
      <c r="H55" s="53"/>
      <c r="I55" s="79"/>
      <c r="J55" s="79"/>
      <c r="K55" s="79"/>
      <c r="L55" s="79"/>
      <c r="M55" s="78"/>
      <c r="N55" s="78"/>
      <c r="O55" s="78"/>
      <c r="P55" s="79"/>
      <c r="Q55" s="79"/>
      <c r="R55" s="79"/>
      <c r="S55" s="52"/>
      <c r="T55" s="79"/>
      <c r="U55" s="79"/>
      <c r="V55" s="52"/>
      <c r="W55" s="79"/>
      <c r="X55" s="79"/>
      <c r="Y55" s="79"/>
      <c r="Z55" s="55"/>
      <c r="AA55" s="56"/>
      <c r="AB55" s="56"/>
      <c r="AC55" s="57"/>
      <c r="AD55" s="89"/>
      <c r="AE55" s="89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N10" activePane="bottomRight" state="frozen"/>
      <selection pane="topLeft" activeCell="A1" activeCellId="0" sqref="A1"/>
      <selection pane="topRight" activeCell="N1" activeCellId="0" sqref="N1"/>
      <selection pane="bottomLeft" activeCell="A10" activeCellId="0" sqref="A10"/>
      <selection pane="bottomRight" activeCell="S10" activeCellId="0" sqref="S10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130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false" outlineLevel="0" max="14" min="14" style="47" width="7.32"/>
    <col collapsed="false" customWidth="true" hidden="false" outlineLevel="0" max="15" min="15" style="47" width="6.49"/>
    <col collapsed="false" customWidth="true" hidden="fals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3" min="23" style="44" width="6.82"/>
    <col collapsed="false" customWidth="true" hidden="false" outlineLevel="0" max="25" min="24" style="44" width="7.82"/>
    <col collapsed="false" customWidth="true" hidden="false" outlineLevel="0" max="26" min="26" style="48" width="8.16"/>
    <col collapsed="false" customWidth="true" hidden="false" outlineLevel="0" max="27" min="27" style="46" width="4.66"/>
    <col collapsed="false" customWidth="true" hidden="false" outlineLevel="0" max="28" min="28" style="49" width="4.66"/>
    <col collapsed="false" customWidth="true" hidden="false" outlineLevel="0" max="29" min="29" style="50" width="4.66"/>
    <col collapsed="false" customWidth="true" hidden="false" outlineLevel="0" max="30" min="30" style="44" width="5.66"/>
    <col collapsed="false" customWidth="false" hidden="false" outlineLevel="0" max="257" min="31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82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1"/>
      <c r="Z1" s="55"/>
      <c r="AA1" s="53"/>
      <c r="AB1" s="56"/>
      <c r="AC1" s="57"/>
      <c r="AD1" s="84"/>
      <c r="AE1" s="84"/>
    </row>
    <row r="2" customFormat="false" ht="14.1" hidden="false" customHeight="true" outlineLevel="0" collapsed="false">
      <c r="A2" s="51" t="s">
        <v>1</v>
      </c>
      <c r="B2" s="51"/>
      <c r="C2" s="52"/>
      <c r="D2" s="58" t="n">
        <v>1.9835</v>
      </c>
      <c r="E2" s="52"/>
      <c r="F2" s="51"/>
      <c r="G2" s="51"/>
      <c r="H2" s="82"/>
      <c r="I2" s="51"/>
      <c r="J2" s="51"/>
      <c r="K2" s="59" t="s">
        <v>77</v>
      </c>
      <c r="L2" s="59"/>
      <c r="M2" s="59"/>
      <c r="N2" s="59"/>
      <c r="O2" s="59"/>
      <c r="P2" s="59"/>
      <c r="Q2" s="59"/>
      <c r="R2" s="59"/>
      <c r="S2" s="59"/>
      <c r="T2" s="59"/>
      <c r="U2" s="51"/>
      <c r="V2" s="52"/>
      <c r="W2" s="51"/>
      <c r="X2" s="51"/>
      <c r="Y2" s="51"/>
      <c r="Z2" s="55"/>
      <c r="AA2" s="53"/>
      <c r="AB2" s="56"/>
      <c r="AC2" s="57"/>
      <c r="AD2" s="84"/>
      <c r="AE2" s="84"/>
    </row>
    <row r="3" customFormat="false" ht="11.1" hidden="false" customHeight="true" outlineLevel="0" collapsed="false">
      <c r="A3" s="51"/>
      <c r="B3" s="51"/>
      <c r="C3" s="52"/>
      <c r="D3" s="60"/>
      <c r="E3" s="52"/>
      <c r="F3" s="51"/>
      <c r="G3" s="51"/>
      <c r="H3" s="82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1"/>
      <c r="Z3" s="55"/>
      <c r="AA3" s="53"/>
      <c r="AB3" s="56"/>
      <c r="AC3" s="57"/>
      <c r="AD3" s="84"/>
      <c r="AE3" s="84"/>
    </row>
    <row r="4" customFormat="false" ht="11.1" hidden="false" customHeight="true" outlineLevel="0" collapsed="false">
      <c r="A4" s="61" t="s">
        <v>3</v>
      </c>
      <c r="B4" s="61" t="s">
        <v>4</v>
      </c>
      <c r="C4" s="62" t="s">
        <v>4</v>
      </c>
      <c r="D4" s="61" t="s">
        <v>5</v>
      </c>
      <c r="E4" s="62" t="s">
        <v>6</v>
      </c>
      <c r="F4" s="61" t="s">
        <v>7</v>
      </c>
      <c r="G4" s="61" t="s">
        <v>8</v>
      </c>
      <c r="H4" s="131" t="s">
        <v>9</v>
      </c>
      <c r="I4" s="61" t="s">
        <v>10</v>
      </c>
      <c r="J4" s="61" t="s">
        <v>11</v>
      </c>
      <c r="K4" s="61" t="s">
        <v>12</v>
      </c>
      <c r="L4" s="61" t="s">
        <v>11</v>
      </c>
      <c r="M4" s="61" t="s">
        <v>13</v>
      </c>
      <c r="N4" s="61"/>
      <c r="O4" s="61"/>
      <c r="P4" s="61"/>
      <c r="Q4" s="61" t="s">
        <v>14</v>
      </c>
      <c r="R4" s="61" t="s">
        <v>15</v>
      </c>
      <c r="S4" s="61" t="s">
        <v>12</v>
      </c>
      <c r="T4" s="62" t="s">
        <v>16</v>
      </c>
      <c r="U4" s="61" t="s">
        <v>17</v>
      </c>
      <c r="V4" s="61" t="s">
        <v>18</v>
      </c>
      <c r="W4" s="62" t="s">
        <v>19</v>
      </c>
      <c r="X4" s="61" t="s">
        <v>10</v>
      </c>
      <c r="Y4" s="61" t="s">
        <v>11</v>
      </c>
      <c r="Z4" s="61" t="s">
        <v>12</v>
      </c>
      <c r="AA4" s="63" t="s">
        <v>20</v>
      </c>
      <c r="AB4" s="64" t="s">
        <v>21</v>
      </c>
      <c r="AC4" s="64" t="s">
        <v>22</v>
      </c>
      <c r="AD4" s="64" t="s">
        <v>3</v>
      </c>
      <c r="AE4" s="84"/>
      <c r="AF4" s="84"/>
    </row>
    <row r="5" customFormat="false" ht="11.1" hidden="false" customHeight="true" outlineLevel="0" collapsed="false">
      <c r="A5" s="65" t="s">
        <v>78</v>
      </c>
      <c r="B5" s="61" t="s">
        <v>24</v>
      </c>
      <c r="C5" s="62" t="s">
        <v>5</v>
      </c>
      <c r="D5" s="61" t="s">
        <v>25</v>
      </c>
      <c r="E5" s="62" t="s">
        <v>26</v>
      </c>
      <c r="F5" s="61" t="s">
        <v>27</v>
      </c>
      <c r="G5" s="61" t="s">
        <v>28</v>
      </c>
      <c r="H5" s="131" t="s">
        <v>29</v>
      </c>
      <c r="I5" s="61" t="s">
        <v>30</v>
      </c>
      <c r="J5" s="61" t="s">
        <v>30</v>
      </c>
      <c r="K5" s="61" t="s">
        <v>30</v>
      </c>
      <c r="L5" s="61" t="s">
        <v>31</v>
      </c>
      <c r="M5" s="61" t="s">
        <v>32</v>
      </c>
      <c r="N5" s="61" t="s">
        <v>33</v>
      </c>
      <c r="O5" s="61" t="s">
        <v>34</v>
      </c>
      <c r="P5" s="61" t="s">
        <v>35</v>
      </c>
      <c r="Q5" s="61" t="s">
        <v>36</v>
      </c>
      <c r="R5" s="61" t="s">
        <v>37</v>
      </c>
      <c r="S5" s="61" t="s">
        <v>16</v>
      </c>
      <c r="T5" s="62" t="s">
        <v>38</v>
      </c>
      <c r="U5" s="61" t="s">
        <v>39</v>
      </c>
      <c r="V5" s="61" t="s">
        <v>40</v>
      </c>
      <c r="W5" s="62" t="s">
        <v>41</v>
      </c>
      <c r="X5" s="61" t="s">
        <v>42</v>
      </c>
      <c r="Y5" s="61" t="s">
        <v>42</v>
      </c>
      <c r="Z5" s="61" t="s">
        <v>42</v>
      </c>
      <c r="AA5" s="66"/>
      <c r="AB5" s="64" t="s">
        <v>43</v>
      </c>
      <c r="AC5" s="64" t="s">
        <v>43</v>
      </c>
      <c r="AD5" s="67" t="s">
        <v>78</v>
      </c>
      <c r="AE5" s="84"/>
      <c r="AF5" s="84"/>
      <c r="AH5" s="132"/>
      <c r="AI5" s="132"/>
    </row>
    <row r="6" customFormat="false" ht="11.1" hidden="false" customHeight="true" outlineLevel="0" collapsed="false">
      <c r="A6" s="68"/>
      <c r="B6" s="68"/>
      <c r="C6" s="69"/>
      <c r="D6" s="68"/>
      <c r="E6" s="69"/>
      <c r="F6" s="68"/>
      <c r="G6" s="68"/>
      <c r="H6" s="133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9"/>
      <c r="U6" s="68"/>
      <c r="V6" s="68"/>
      <c r="W6" s="69"/>
      <c r="X6" s="68"/>
      <c r="Y6" s="68"/>
      <c r="Z6" s="68"/>
      <c r="AA6" s="53"/>
      <c r="AB6" s="57"/>
      <c r="AC6" s="57"/>
      <c r="AD6" s="57"/>
      <c r="AE6" s="85"/>
      <c r="AF6" s="85"/>
      <c r="AG6" s="86"/>
      <c r="AH6" s="132"/>
      <c r="AI6" s="132"/>
    </row>
    <row r="7" customFormat="false" ht="11.1" hidden="false" customHeight="true" outlineLevel="0" collapsed="false">
      <c r="A7" s="51" t="s">
        <v>44</v>
      </c>
      <c r="B7" s="51"/>
      <c r="C7" s="52"/>
      <c r="D7" s="52"/>
      <c r="E7" s="52"/>
      <c r="F7" s="52" t="n">
        <f aca="false">JUL!F45</f>
        <v>-17522.0569700025</v>
      </c>
      <c r="G7" s="52" t="n">
        <f aca="false">JUL!G45</f>
        <v>92367</v>
      </c>
      <c r="H7" s="52" t="n">
        <f aca="false">JUL!H45</f>
        <v>1956.67</v>
      </c>
      <c r="I7" s="52" t="n">
        <f aca="false">JUL!I45</f>
        <v>94323.67</v>
      </c>
      <c r="J7" s="52" t="n">
        <f aca="false">JUL!J45</f>
        <v>10436.9743912276</v>
      </c>
      <c r="K7" s="52" t="n">
        <f aca="false">JUL!K45</f>
        <v>104760.644391228</v>
      </c>
      <c r="L7" s="52" t="n">
        <f aca="false">JUL!L45</f>
        <v>6946.35302999748</v>
      </c>
      <c r="M7" s="52" t="n">
        <f aca="false">JUL!M45</f>
        <v>32655.3</v>
      </c>
      <c r="N7" s="52" t="n">
        <f aca="false">JUL!N45</f>
        <v>145.87</v>
      </c>
      <c r="O7" s="52" t="n">
        <f aca="false">JUL!O45</f>
        <v>7823.49</v>
      </c>
      <c r="P7" s="52" t="n">
        <f aca="false">JUL!P45</f>
        <v>24685.94</v>
      </c>
      <c r="Q7" s="52" t="n">
        <f aca="false">JUL!Q45</f>
        <v>15528</v>
      </c>
      <c r="R7" s="52" t="n">
        <f aca="false">JUL!R45</f>
        <v>7644.1</v>
      </c>
      <c r="S7" s="52" t="n">
        <f aca="false">JUL!S45</f>
        <v>47858.04</v>
      </c>
      <c r="T7" s="52" t="n">
        <f aca="false">JUL!T45</f>
        <v>-7317.311908243</v>
      </c>
      <c r="U7" s="52" t="n">
        <f aca="false">JUL!U45</f>
        <v>20079.68</v>
      </c>
      <c r="V7" s="52" t="n">
        <f aca="false">JUL!V45</f>
        <v>42885</v>
      </c>
      <c r="W7" s="52"/>
      <c r="X7" s="52" t="n">
        <f aca="false">JUL!X45</f>
        <v>118792.08</v>
      </c>
      <c r="Y7" s="52" t="n">
        <f aca="false">JUL!Y45</f>
        <v>3490.62136123015</v>
      </c>
      <c r="Z7" s="52" t="n">
        <f aca="false">JUL!Z45</f>
        <v>122282.70136123</v>
      </c>
      <c r="AA7" s="53"/>
      <c r="AB7" s="56"/>
      <c r="AC7" s="56"/>
      <c r="AD7" s="57"/>
      <c r="AE7" s="85"/>
      <c r="AF7" s="86"/>
      <c r="AG7" s="86"/>
    </row>
    <row r="8" s="45" customFormat="true" ht="11.1" hidden="false" customHeight="true" outlineLevel="0" collapsed="false">
      <c r="A8" s="52" t="s">
        <v>45</v>
      </c>
      <c r="B8" s="71" t="n">
        <f aca="false">JUL!B40</f>
        <v>6902.76</v>
      </c>
      <c r="C8" s="52" t="n">
        <f aca="false">JUL!C40</f>
        <v>293874</v>
      </c>
      <c r="D8" s="52" t="n">
        <f aca="false">JUL!D49</f>
        <v>-35806</v>
      </c>
      <c r="E8" s="52" t="n">
        <f aca="false">JUL!E49</f>
        <v>141874</v>
      </c>
      <c r="F8" s="52" t="n">
        <f aca="false">JUL!F48</f>
        <v>-18051.9284093774</v>
      </c>
      <c r="G8" s="52" t="n">
        <f aca="false">JUL!G48</f>
        <v>101951</v>
      </c>
      <c r="H8" s="56" t="n">
        <f aca="false">JUL!H48</f>
        <v>2221.95</v>
      </c>
      <c r="I8" s="52" t="n">
        <f aca="false">JUL!I48</f>
        <v>104172.95</v>
      </c>
      <c r="J8" s="52" t="n">
        <f aca="false">JUL!J48</f>
        <v>12785.1353667759</v>
      </c>
      <c r="K8" s="52" t="n">
        <f aca="false">JUL!K48</f>
        <v>116954.352621628</v>
      </c>
      <c r="L8" s="52" t="n">
        <f aca="false">JUL!L48</f>
        <v>8623.93159062264</v>
      </c>
      <c r="M8" s="52" t="n">
        <f aca="false">JUL!M48</f>
        <v>35094.06</v>
      </c>
      <c r="N8" s="52" t="n">
        <f aca="false">JUL!N48</f>
        <v>212.25</v>
      </c>
      <c r="O8" s="52" t="n">
        <f aca="false">JUL!O48</f>
        <v>8264.8305</v>
      </c>
      <c r="P8" s="52" t="n">
        <f aca="false">JUL!P48</f>
        <v>26616.9795</v>
      </c>
      <c r="Q8" s="52" t="n">
        <f aca="false">JUL!Q48</f>
        <v>16572</v>
      </c>
      <c r="R8" s="52" t="n">
        <f aca="false">JUL!R48</f>
        <v>8204.1</v>
      </c>
      <c r="S8" s="52" t="n">
        <f aca="false">JUL!S48</f>
        <v>51393.0795</v>
      </c>
      <c r="T8" s="52" t="n">
        <f aca="false">JUL!T48</f>
        <v>-7317.311908243</v>
      </c>
      <c r="U8" s="52" t="n">
        <f aca="false">JUL!U48</f>
        <v>20079.68</v>
      </c>
      <c r="V8" s="52" t="n">
        <f aca="false">JUL!V48</f>
        <v>50898.97</v>
      </c>
      <c r="W8" s="52" t="n">
        <f aca="false">JUL!W48</f>
        <v>11673</v>
      </c>
      <c r="X8" s="52" t="n">
        <f aca="false">JUL!X48</f>
        <v>130848.81</v>
      </c>
      <c r="Y8" s="52" t="n">
        <f aca="false">JUL!Y48</f>
        <v>4161.20377615326</v>
      </c>
      <c r="Z8" s="52" t="n">
        <f aca="false">JUL!Z48</f>
        <v>135010.013776153</v>
      </c>
      <c r="AA8" s="53" t="n">
        <f aca="false">JUL!AA48</f>
        <v>7.06</v>
      </c>
      <c r="AB8" s="56"/>
      <c r="AC8" s="56"/>
      <c r="AD8" s="57"/>
      <c r="AE8" s="87"/>
      <c r="AF8" s="85"/>
      <c r="AG8" s="87"/>
    </row>
    <row r="9" customFormat="false" ht="3" hidden="false" customHeight="true" outlineLevel="0" collapsed="false">
      <c r="A9" s="72"/>
      <c r="B9" s="73"/>
      <c r="C9" s="74"/>
      <c r="D9" s="72"/>
      <c r="E9" s="74"/>
      <c r="F9" s="72"/>
      <c r="G9" s="72"/>
      <c r="H9" s="134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4"/>
      <c r="U9" s="72"/>
      <c r="V9" s="72"/>
      <c r="W9" s="74"/>
      <c r="X9" s="72"/>
      <c r="Y9" s="72"/>
      <c r="Z9" s="72"/>
      <c r="AA9" s="75"/>
      <c r="AB9" s="76"/>
      <c r="AC9" s="76"/>
      <c r="AD9" s="77"/>
      <c r="AE9" s="85"/>
      <c r="AF9" s="85"/>
      <c r="AG9" s="86"/>
    </row>
    <row r="10" customFormat="false" ht="11.1" hidden="false" customHeight="true" outlineLevel="0" collapsed="false">
      <c r="A10" s="57" t="n">
        <v>1</v>
      </c>
      <c r="B10" s="71" t="n">
        <v>6902.31</v>
      </c>
      <c r="C10" s="52" t="n">
        <v>292181</v>
      </c>
      <c r="D10" s="56" t="n">
        <f aca="false">C10-C8</f>
        <v>-1693</v>
      </c>
      <c r="E10" s="52" t="n">
        <f aca="false">C10-152000</f>
        <v>140181</v>
      </c>
      <c r="F10" s="51" t="n">
        <f aca="false">D10/$D$2</f>
        <v>-853.541719183262</v>
      </c>
      <c r="G10" s="51" t="n">
        <v>112</v>
      </c>
      <c r="H10" s="82" t="n">
        <v>0</v>
      </c>
      <c r="I10" s="51" t="n">
        <f aca="false">G10+H10</f>
        <v>112</v>
      </c>
      <c r="J10" s="78" t="n">
        <f aca="false">IF(L10&gt;0,L10,0)</f>
        <v>0</v>
      </c>
      <c r="K10" s="51" t="n">
        <f aca="false">I10+J10</f>
        <v>112</v>
      </c>
      <c r="L10" s="51" t="n">
        <f aca="false">F10-(I10-X10)</f>
        <v>-77.0417191832619</v>
      </c>
      <c r="M10" s="51" t="n">
        <v>324</v>
      </c>
      <c r="N10" s="51" t="n">
        <v>0</v>
      </c>
      <c r="O10" s="51" t="n">
        <v>85.47</v>
      </c>
      <c r="P10" s="6" t="n">
        <f aca="false">M10-(N10+O10)</f>
        <v>238.53</v>
      </c>
      <c r="Q10" s="51" t="n">
        <v>144</v>
      </c>
      <c r="R10" s="51" t="n">
        <v>74</v>
      </c>
      <c r="S10" s="51" t="n">
        <f aca="false">SUM(P10:R10)</f>
        <v>456.53</v>
      </c>
      <c r="T10" s="52" t="n">
        <f aca="false">(I10-S10)+T7</f>
        <v>-7661.841908243</v>
      </c>
      <c r="U10" s="51" t="n">
        <v>266.5</v>
      </c>
      <c r="V10" s="51" t="n">
        <v>80</v>
      </c>
      <c r="W10" s="52" t="n">
        <f aca="false">W8-75</f>
        <v>11598</v>
      </c>
      <c r="X10" s="6" t="n">
        <f aca="false">N10+O10+S10+U10+V10</f>
        <v>888.5</v>
      </c>
      <c r="Y10" s="51" t="n">
        <f aca="false">IF(L10&lt;0,L10*-1,0)</f>
        <v>77.0417191832619</v>
      </c>
      <c r="Z10" s="51" t="n">
        <f aca="false">X10+Y10</f>
        <v>965.541719183262</v>
      </c>
      <c r="AA10" s="53" t="n">
        <v>0</v>
      </c>
      <c r="AB10" s="56" t="n">
        <v>92</v>
      </c>
      <c r="AC10" s="56" t="n">
        <v>59</v>
      </c>
      <c r="AD10" s="57" t="n">
        <v>1</v>
      </c>
      <c r="AE10" s="86"/>
      <c r="AF10" s="87"/>
      <c r="AG10" s="87"/>
    </row>
    <row r="11" customFormat="false" ht="11.1" hidden="false" customHeight="true" outlineLevel="0" collapsed="false">
      <c r="A11" s="57" t="n">
        <f aca="false">A10+1</f>
        <v>2</v>
      </c>
      <c r="B11" s="71" t="n">
        <v>6901.9</v>
      </c>
      <c r="C11" s="52" t="n">
        <v>290641</v>
      </c>
      <c r="D11" s="56" t="n">
        <f aca="false">C11-C10</f>
        <v>-1540</v>
      </c>
      <c r="E11" s="52" t="n">
        <f aca="false">C11-152000</f>
        <v>138641</v>
      </c>
      <c r="F11" s="51" t="n">
        <f aca="false">D11/$D$2</f>
        <v>-776.405344088732</v>
      </c>
      <c r="G11" s="51" t="n">
        <v>110</v>
      </c>
      <c r="H11" s="82" t="n">
        <v>0</v>
      </c>
      <c r="I11" s="51" t="n">
        <f aca="false">G11+H11</f>
        <v>110</v>
      </c>
      <c r="J11" s="78" t="n">
        <f aca="false">IF(L11&gt;0,L11,0)</f>
        <v>14.994655911268</v>
      </c>
      <c r="K11" s="51" t="n">
        <f aca="false">I11+J11</f>
        <v>124.994655911268</v>
      </c>
      <c r="L11" s="51" t="n">
        <f aca="false">F11-(I11-X11)</f>
        <v>14.994655911268</v>
      </c>
      <c r="M11" s="51" t="n">
        <v>327</v>
      </c>
      <c r="N11" s="51" t="n">
        <v>0</v>
      </c>
      <c r="O11" s="51" t="n">
        <f aca="false">44+43.6*1.05</f>
        <v>89.78</v>
      </c>
      <c r="P11" s="6" t="n">
        <f aca="false">M11-(N11+O11)</f>
        <v>237.22</v>
      </c>
      <c r="Q11" s="51" t="n">
        <v>148</v>
      </c>
      <c r="R11" s="51" t="n">
        <v>75</v>
      </c>
      <c r="S11" s="51" t="n">
        <f aca="false">SUM(P11:R11)</f>
        <v>460.22</v>
      </c>
      <c r="T11" s="52" t="n">
        <f aca="false">(I11-S11)+T10</f>
        <v>-8012.06190824301</v>
      </c>
      <c r="U11" s="51" t="n">
        <v>271.4</v>
      </c>
      <c r="V11" s="51" t="n">
        <v>80</v>
      </c>
      <c r="W11" s="52" t="n">
        <f aca="false">W10-75</f>
        <v>11523</v>
      </c>
      <c r="X11" s="6" t="n">
        <f aca="false">N11+O11+S11+U11+V11</f>
        <v>901.4</v>
      </c>
      <c r="Y11" s="51" t="n">
        <f aca="false">IF(L11&lt;0,L11*-1,0)</f>
        <v>0</v>
      </c>
      <c r="Z11" s="51" t="n">
        <f aca="false">X11+Y11</f>
        <v>901.4</v>
      </c>
      <c r="AA11" s="53" t="n">
        <v>0</v>
      </c>
      <c r="AB11" s="56" t="n">
        <v>96</v>
      </c>
      <c r="AC11" s="56" t="n">
        <v>38</v>
      </c>
      <c r="AD11" s="57" t="n">
        <f aca="false">AD10+1</f>
        <v>2</v>
      </c>
      <c r="AE11" s="86"/>
      <c r="AF11" s="87"/>
      <c r="AG11" s="87"/>
    </row>
    <row r="12" customFormat="false" ht="11.1" hidden="false" customHeight="true" outlineLevel="0" collapsed="false">
      <c r="A12" s="57" t="n">
        <f aca="false">A11+1</f>
        <v>3</v>
      </c>
      <c r="B12" s="71" t="n">
        <v>6901.48</v>
      </c>
      <c r="C12" s="52" t="n">
        <v>289074</v>
      </c>
      <c r="D12" s="56" t="n">
        <f aca="false">C12-C11</f>
        <v>-1567</v>
      </c>
      <c r="E12" s="52" t="n">
        <f aca="false">C12-152000</f>
        <v>137074</v>
      </c>
      <c r="F12" s="51" t="n">
        <f aca="false">D12/$D$2</f>
        <v>-790.017645576002</v>
      </c>
      <c r="G12" s="51" t="n">
        <v>114</v>
      </c>
      <c r="H12" s="82" t="n">
        <v>0</v>
      </c>
      <c r="I12" s="51" t="n">
        <f aca="false">G12+H12</f>
        <v>114</v>
      </c>
      <c r="J12" s="78" t="n">
        <f aca="false">IF(L12&gt;0,L12,0)</f>
        <v>0</v>
      </c>
      <c r="K12" s="51" t="n">
        <f aca="false">I12+J12</f>
        <v>114</v>
      </c>
      <c r="L12" s="51" t="n">
        <f aca="false">F12-(I12-X12)</f>
        <v>-11.917645576002</v>
      </c>
      <c r="M12" s="51" t="n">
        <v>319</v>
      </c>
      <c r="N12" s="51" t="n">
        <v>1</v>
      </c>
      <c r="O12" s="51" t="n">
        <f aca="false">37.5+36.9*1.05</f>
        <v>76.245</v>
      </c>
      <c r="P12" s="6" t="n">
        <f aca="false">M12-(N12+O12)</f>
        <v>241.755</v>
      </c>
      <c r="Q12" s="51" t="n">
        <v>148</v>
      </c>
      <c r="R12" s="51" t="n">
        <v>74</v>
      </c>
      <c r="S12" s="51" t="n">
        <f aca="false">SUM(P12:R12)</f>
        <v>463.755</v>
      </c>
      <c r="T12" s="52" t="n">
        <f aca="false">(I12-S12)+T11</f>
        <v>-8361.81690824301</v>
      </c>
      <c r="U12" s="51" t="n">
        <v>272.1</v>
      </c>
      <c r="V12" s="51" t="n">
        <v>79</v>
      </c>
      <c r="W12" s="52" t="n">
        <f aca="false">W11-75</f>
        <v>11448</v>
      </c>
      <c r="X12" s="6" t="n">
        <f aca="false">N12+O12+S12+U12+V12</f>
        <v>892.1</v>
      </c>
      <c r="Y12" s="51" t="n">
        <f aca="false">IF(L12&lt;0,L12*-1,0)</f>
        <v>11.917645576002</v>
      </c>
      <c r="Z12" s="51" t="n">
        <f aca="false">X12+Y12</f>
        <v>904.017645576002</v>
      </c>
      <c r="AA12" s="53" t="n">
        <v>0</v>
      </c>
      <c r="AB12" s="56" t="n">
        <v>90</v>
      </c>
      <c r="AC12" s="56" t="n">
        <v>62</v>
      </c>
      <c r="AD12" s="57" t="n">
        <f aca="false">AD11+1</f>
        <v>3</v>
      </c>
      <c r="AE12" s="86"/>
      <c r="AF12" s="87"/>
      <c r="AG12" s="87"/>
    </row>
    <row r="13" customFormat="false" ht="11.1" hidden="false" customHeight="true" outlineLevel="0" collapsed="false">
      <c r="A13" s="57" t="n">
        <f aca="false">A12+1</f>
        <v>4</v>
      </c>
      <c r="B13" s="71" t="n">
        <v>6901.03</v>
      </c>
      <c r="C13" s="52" t="n">
        <v>287394</v>
      </c>
      <c r="D13" s="56" t="n">
        <f aca="false">C13-C12</f>
        <v>-1680</v>
      </c>
      <c r="E13" s="52" t="n">
        <f aca="false">C13-152000</f>
        <v>135394</v>
      </c>
      <c r="F13" s="51" t="n">
        <f aca="false">D13/$D$2</f>
        <v>-846.987648096799</v>
      </c>
      <c r="G13" s="51" t="n">
        <v>114</v>
      </c>
      <c r="H13" s="82" t="n">
        <v>0</v>
      </c>
      <c r="I13" s="51" t="n">
        <f aca="false">G13+H13</f>
        <v>114</v>
      </c>
      <c r="J13" s="78" t="n">
        <f aca="false">IF(L13&gt;0,L13,0)</f>
        <v>0</v>
      </c>
      <c r="K13" s="51" t="n">
        <f aca="false">I13+J13</f>
        <v>114</v>
      </c>
      <c r="L13" s="51" t="n">
        <f aca="false">F13-(I13-X13)</f>
        <v>-40.4876480967986</v>
      </c>
      <c r="M13" s="51" t="n">
        <v>328</v>
      </c>
      <c r="N13" s="51" t="n">
        <v>1</v>
      </c>
      <c r="O13" s="51" t="n">
        <f aca="false">37.2+35.1*1.05</f>
        <v>74.055</v>
      </c>
      <c r="P13" s="6" t="n">
        <f aca="false">M13-(N13+O13)</f>
        <v>252.945</v>
      </c>
      <c r="Q13" s="51" t="n">
        <v>147</v>
      </c>
      <c r="R13" s="51" t="n">
        <v>73</v>
      </c>
      <c r="S13" s="51" t="n">
        <f aca="false">SUM(P13:R13)</f>
        <v>472.945</v>
      </c>
      <c r="T13" s="52" t="n">
        <f aca="false">(I13-S13)+T12</f>
        <v>-8720.761908243</v>
      </c>
      <c r="U13" s="51" t="n">
        <v>293.5</v>
      </c>
      <c r="V13" s="51" t="n">
        <v>79</v>
      </c>
      <c r="W13" s="52" t="n">
        <f aca="false">W12-75</f>
        <v>11373</v>
      </c>
      <c r="X13" s="6" t="n">
        <f aca="false">N13+O13+S13+U13+V13</f>
        <v>920.5</v>
      </c>
      <c r="Y13" s="51" t="n">
        <f aca="false">IF(L13&lt;0,L13*-1,0)</f>
        <v>40.4876480967986</v>
      </c>
      <c r="Z13" s="51" t="n">
        <f aca="false">X13+Y13</f>
        <v>960.987648096799</v>
      </c>
      <c r="AA13" s="53" t="n">
        <v>0</v>
      </c>
      <c r="AB13" s="56" t="n">
        <v>90</v>
      </c>
      <c r="AC13" s="56" t="n">
        <v>63</v>
      </c>
      <c r="AD13" s="57" t="n">
        <f aca="false">AD12+1</f>
        <v>4</v>
      </c>
      <c r="AE13" s="86"/>
      <c r="AF13" s="87"/>
      <c r="AG13" s="87"/>
    </row>
    <row r="14" customFormat="false" ht="11.1" hidden="false" customHeight="true" outlineLevel="0" collapsed="false">
      <c r="A14" s="57" t="n">
        <f aca="false">A13+1</f>
        <v>5</v>
      </c>
      <c r="B14" s="71" t="n">
        <v>6900.55</v>
      </c>
      <c r="C14" s="52" t="n">
        <v>285616</v>
      </c>
      <c r="D14" s="56" t="n">
        <f aca="false">C14-C13</f>
        <v>-1778</v>
      </c>
      <c r="E14" s="52" t="n">
        <f aca="false">C14-152000</f>
        <v>133616</v>
      </c>
      <c r="F14" s="51" t="n">
        <f aca="false">D14/$D$2</f>
        <v>-896.395260902445</v>
      </c>
      <c r="G14" s="51" t="n">
        <v>107</v>
      </c>
      <c r="H14" s="82" t="n">
        <v>0</v>
      </c>
      <c r="I14" s="51" t="n">
        <f aca="false">G14+H14</f>
        <v>107</v>
      </c>
      <c r="J14" s="78" t="n">
        <f aca="false">IF(L14&gt;0,L14,0)</f>
        <v>0</v>
      </c>
      <c r="K14" s="51" t="n">
        <f aca="false">I14+J14</f>
        <v>107</v>
      </c>
      <c r="L14" s="51" t="n">
        <f aca="false">F14-(I14-X14)</f>
        <v>-90.8952609024451</v>
      </c>
      <c r="M14" s="51" t="n">
        <v>324</v>
      </c>
      <c r="N14" s="51" t="n">
        <v>1</v>
      </c>
      <c r="O14" s="51" t="n">
        <f aca="false">36.8+35.4*1.05</f>
        <v>73.97</v>
      </c>
      <c r="P14" s="6" t="n">
        <f aca="false">M14-(N14+O14)</f>
        <v>249.03</v>
      </c>
      <c r="Q14" s="51" t="n">
        <v>147</v>
      </c>
      <c r="R14" s="51" t="n">
        <v>73</v>
      </c>
      <c r="S14" s="51" t="n">
        <f aca="false">SUM(P14:R14)</f>
        <v>469.03</v>
      </c>
      <c r="T14" s="52" t="n">
        <f aca="false">(I14-S14)+T13</f>
        <v>-9082.791908243</v>
      </c>
      <c r="U14" s="51" t="n">
        <v>290.5</v>
      </c>
      <c r="V14" s="51" t="n">
        <v>78</v>
      </c>
      <c r="W14" s="52" t="n">
        <f aca="false">W13-75</f>
        <v>11298</v>
      </c>
      <c r="X14" s="6" t="n">
        <f aca="false">N14+O14+S14+U14+V14</f>
        <v>912.5</v>
      </c>
      <c r="Y14" s="51" t="n">
        <f aca="false">IF(L14&lt;0,L14*-1,0)</f>
        <v>90.8952609024451</v>
      </c>
      <c r="Z14" s="51" t="n">
        <f aca="false">X14+Y14</f>
        <v>1003.39526090245</v>
      </c>
      <c r="AA14" s="53" t="n">
        <v>0</v>
      </c>
      <c r="AB14" s="56" t="n">
        <v>88</v>
      </c>
      <c r="AC14" s="56" t="n">
        <v>56</v>
      </c>
      <c r="AD14" s="57" t="n">
        <f aca="false">AD13+1</f>
        <v>5</v>
      </c>
      <c r="AE14" s="86"/>
      <c r="AF14" s="87"/>
      <c r="AG14" s="87"/>
    </row>
    <row r="15" customFormat="false" ht="11.1" hidden="false" customHeight="true" outlineLevel="0" collapsed="false">
      <c r="A15" s="57" t="n">
        <f aca="false">A14+1</f>
        <v>6</v>
      </c>
      <c r="B15" s="71" t="n">
        <v>6900.08</v>
      </c>
      <c r="C15" s="52" t="n">
        <v>283876</v>
      </c>
      <c r="D15" s="56" t="n">
        <f aca="false">C15-C14</f>
        <v>-1740</v>
      </c>
      <c r="E15" s="52" t="n">
        <f aca="false">C15-152000</f>
        <v>131876</v>
      </c>
      <c r="F15" s="51" t="n">
        <f aca="false">D15/$D$2</f>
        <v>-877.237206957398</v>
      </c>
      <c r="G15" s="51" t="n">
        <v>105</v>
      </c>
      <c r="H15" s="82" t="n">
        <v>0</v>
      </c>
      <c r="I15" s="51" t="n">
        <f aca="false">G15+H15</f>
        <v>105</v>
      </c>
      <c r="J15" s="78" t="n">
        <f aca="false">IF(L15&gt;0,L15,0)</f>
        <v>0</v>
      </c>
      <c r="K15" s="51" t="n">
        <f aca="false">I15+J15</f>
        <v>105</v>
      </c>
      <c r="L15" s="51" t="n">
        <f aca="false">F15-(I15-X15)</f>
        <v>-97.6372069573985</v>
      </c>
      <c r="M15" s="51" t="n">
        <v>318</v>
      </c>
      <c r="N15" s="51" t="n">
        <v>1</v>
      </c>
      <c r="O15" s="51" t="n">
        <f aca="false">36.3+34.9*1.05</f>
        <v>72.945</v>
      </c>
      <c r="P15" s="6" t="n">
        <f aca="false">M15-(N15+O15)</f>
        <v>244.055</v>
      </c>
      <c r="Q15" s="51" t="n">
        <v>147</v>
      </c>
      <c r="R15" s="51" t="n">
        <v>74</v>
      </c>
      <c r="S15" s="51" t="n">
        <f aca="false">SUM(P15:R15)</f>
        <v>465.055</v>
      </c>
      <c r="T15" s="52" t="n">
        <f aca="false">(I15-S15)+T14</f>
        <v>-9442.84690824301</v>
      </c>
      <c r="U15" s="51" t="n">
        <v>267.6</v>
      </c>
      <c r="V15" s="51" t="n">
        <v>78</v>
      </c>
      <c r="W15" s="52" t="n">
        <f aca="false">W14-75</f>
        <v>11223</v>
      </c>
      <c r="X15" s="6" t="n">
        <f aca="false">N15+O15+S15+U15+V15</f>
        <v>884.6</v>
      </c>
      <c r="Y15" s="51" t="n">
        <f aca="false">IF(L15&lt;0,L15*-1,0)</f>
        <v>97.6372069573985</v>
      </c>
      <c r="Z15" s="51" t="n">
        <f aca="false">X15+Y15</f>
        <v>982.237206957399</v>
      </c>
      <c r="AA15" s="53" t="n">
        <v>0</v>
      </c>
      <c r="AB15" s="56" t="n">
        <v>89</v>
      </c>
      <c r="AC15" s="56" t="n">
        <v>59</v>
      </c>
      <c r="AD15" s="57" t="n">
        <f aca="false">AD14+1</f>
        <v>6</v>
      </c>
      <c r="AE15" s="85"/>
      <c r="AF15" s="87"/>
      <c r="AG15" s="87"/>
    </row>
    <row r="16" customFormat="false" ht="11.1" hidden="false" customHeight="true" outlineLevel="0" collapsed="false">
      <c r="A16" s="57" t="n">
        <f aca="false">A15+1</f>
        <v>7</v>
      </c>
      <c r="B16" s="71" t="n">
        <v>6899.63</v>
      </c>
      <c r="C16" s="52" t="n">
        <v>282221</v>
      </c>
      <c r="D16" s="56" t="n">
        <f aca="false">C16-C15</f>
        <v>-1655</v>
      </c>
      <c r="E16" s="52" t="n">
        <f aca="false">C16-152000</f>
        <v>130221</v>
      </c>
      <c r="F16" s="51" t="n">
        <f aca="false">D16/$D$2</f>
        <v>-834.383665238215</v>
      </c>
      <c r="G16" s="51" t="n">
        <v>102</v>
      </c>
      <c r="H16" s="82" t="n">
        <v>0</v>
      </c>
      <c r="I16" s="51" t="n">
        <f aca="false">G16+H16</f>
        <v>102</v>
      </c>
      <c r="J16" s="78" t="n">
        <f aca="false">IF(L16&gt;0,L16,0)</f>
        <v>0</v>
      </c>
      <c r="K16" s="51" t="n">
        <f aca="false">I16+J16</f>
        <v>102</v>
      </c>
      <c r="L16" s="51" t="n">
        <f aca="false">F16-(I16-X16)</f>
        <v>-9.38366523821526</v>
      </c>
      <c r="M16" s="51" t="n">
        <v>335</v>
      </c>
      <c r="N16" s="51" t="n">
        <v>1</v>
      </c>
      <c r="O16" s="51" t="n">
        <f aca="false">38.4+38.5*1.05</f>
        <v>78.825</v>
      </c>
      <c r="P16" s="6" t="n">
        <f aca="false">M16-(N16+O16)</f>
        <v>255.175</v>
      </c>
      <c r="Q16" s="51" t="n">
        <v>146</v>
      </c>
      <c r="R16" s="51" t="n">
        <v>78</v>
      </c>
      <c r="S16" s="51" t="n">
        <f aca="false">SUM(P16:R16)</f>
        <v>479.175</v>
      </c>
      <c r="T16" s="52" t="n">
        <f aca="false">(I16-S16)+T15</f>
        <v>-9820.02190824301</v>
      </c>
      <c r="U16" s="51" t="n">
        <v>290</v>
      </c>
      <c r="V16" s="51" t="n">
        <v>78</v>
      </c>
      <c r="W16" s="52" t="n">
        <f aca="false">W15-75</f>
        <v>11148</v>
      </c>
      <c r="X16" s="6" t="n">
        <f aca="false">N16+O16+S16+U16+V16</f>
        <v>927</v>
      </c>
      <c r="Y16" s="51" t="n">
        <f aca="false">IF(L16&lt;0,L16*-1,0)</f>
        <v>9.38366523821526</v>
      </c>
      <c r="Z16" s="51" t="n">
        <f aca="false">X16+Y16</f>
        <v>936.383665238215</v>
      </c>
      <c r="AA16" s="53" t="n">
        <v>0</v>
      </c>
      <c r="AB16" s="56" t="n">
        <v>88</v>
      </c>
      <c r="AC16" s="56" t="n">
        <v>55</v>
      </c>
      <c r="AD16" s="57" t="n">
        <f aca="false">AD15+1</f>
        <v>7</v>
      </c>
      <c r="AE16" s="85"/>
      <c r="AF16" s="87"/>
      <c r="AG16" s="87"/>
    </row>
    <row r="17" customFormat="false" ht="11.1" hidden="false" customHeight="true" outlineLevel="0" collapsed="false">
      <c r="A17" s="57" t="n">
        <f aca="false">A16+1</f>
        <v>8</v>
      </c>
      <c r="B17" s="71" t="n">
        <v>6899.18</v>
      </c>
      <c r="C17" s="52" t="n">
        <v>280568</v>
      </c>
      <c r="D17" s="56" t="n">
        <f aca="false">C17-C16</f>
        <v>-1653</v>
      </c>
      <c r="E17" s="52" t="n">
        <f aca="false">C17-152000</f>
        <v>128568</v>
      </c>
      <c r="F17" s="51" t="n">
        <f aca="false">D17/$D$2</f>
        <v>-833.375346609529</v>
      </c>
      <c r="G17" s="51" t="n">
        <v>101</v>
      </c>
      <c r="H17" s="82" t="n">
        <v>0</v>
      </c>
      <c r="I17" s="51" t="n">
        <f aca="false">G17+H17</f>
        <v>101</v>
      </c>
      <c r="J17" s="78" t="n">
        <f aca="false">IF(L17&gt;0,L17,0)</f>
        <v>0</v>
      </c>
      <c r="K17" s="51" t="n">
        <f aca="false">I17+J17</f>
        <v>101</v>
      </c>
      <c r="L17" s="51" t="n">
        <f aca="false">F17-(I17-X17)</f>
        <v>-12.0753466095287</v>
      </c>
      <c r="M17" s="51" t="n">
        <v>325</v>
      </c>
      <c r="N17" s="51" t="n">
        <v>1</v>
      </c>
      <c r="O17" s="51" t="n">
        <f aca="false">37.9+37*1.05</f>
        <v>76.75</v>
      </c>
      <c r="P17" s="6" t="n">
        <f aca="false">M17-(N17+O17)</f>
        <v>247.25</v>
      </c>
      <c r="Q17" s="51" t="n">
        <v>146</v>
      </c>
      <c r="R17" s="51" t="n">
        <v>79</v>
      </c>
      <c r="S17" s="51" t="n">
        <f aca="false">SUM(P17:R17)</f>
        <v>472.25</v>
      </c>
      <c r="T17" s="52" t="n">
        <f aca="false">(I17-S17)+T16</f>
        <v>-10191.271908243</v>
      </c>
      <c r="U17" s="51" t="n">
        <v>294.3</v>
      </c>
      <c r="V17" s="51" t="n">
        <v>78</v>
      </c>
      <c r="W17" s="52" t="n">
        <f aca="false">W16-75</f>
        <v>11073</v>
      </c>
      <c r="X17" s="6" t="n">
        <f aca="false">N17+O17+S17+U17+V17</f>
        <v>922.3</v>
      </c>
      <c r="Y17" s="51" t="n">
        <f aca="false">IF(L17&lt;0,L17*-1,0)</f>
        <v>12.0753466095287</v>
      </c>
      <c r="Z17" s="51" t="n">
        <f aca="false">X17+Y17</f>
        <v>934.375346609529</v>
      </c>
      <c r="AA17" s="53" t="n">
        <v>0.01</v>
      </c>
      <c r="AB17" s="56" t="n">
        <v>89</v>
      </c>
      <c r="AC17" s="56" t="n">
        <v>57</v>
      </c>
      <c r="AD17" s="57" t="n">
        <f aca="false">AD16+1</f>
        <v>8</v>
      </c>
      <c r="AE17" s="85"/>
      <c r="AF17" s="87"/>
      <c r="AG17" s="87"/>
    </row>
    <row r="18" customFormat="false" ht="11.1" hidden="false" customHeight="true" outlineLevel="0" collapsed="false">
      <c r="A18" s="57" t="n">
        <f aca="false">A17+1</f>
        <v>9</v>
      </c>
      <c r="B18" s="71" t="n">
        <v>6898.72</v>
      </c>
      <c r="C18" s="52" t="n">
        <v>278886</v>
      </c>
      <c r="D18" s="56" t="n">
        <f aca="false">C18-C17</f>
        <v>-1682</v>
      </c>
      <c r="E18" s="52" t="n">
        <f aca="false">C18-152000</f>
        <v>126886</v>
      </c>
      <c r="F18" s="51" t="n">
        <f aca="false">D18/$D$2</f>
        <v>-847.995966725485</v>
      </c>
      <c r="G18" s="51" t="n">
        <v>101</v>
      </c>
      <c r="H18" s="82" t="n">
        <v>0</v>
      </c>
      <c r="I18" s="51" t="n">
        <f aca="false">G18+H18</f>
        <v>101</v>
      </c>
      <c r="J18" s="78" t="n">
        <f aca="false">IF(L18&gt;0,L18,0)</f>
        <v>0</v>
      </c>
      <c r="K18" s="51" t="n">
        <f aca="false">I18+J18</f>
        <v>101</v>
      </c>
      <c r="L18" s="51" t="n">
        <f aca="false">F18-(I18-X18)</f>
        <v>-12.8959667254852</v>
      </c>
      <c r="M18" s="51" t="n">
        <v>323</v>
      </c>
      <c r="N18" s="51" t="n">
        <v>1</v>
      </c>
      <c r="O18" s="51" t="n">
        <f aca="false">38.2+36.7*1.05</f>
        <v>76.735</v>
      </c>
      <c r="P18" s="6" t="n">
        <f aca="false">M18-(N18+O18)</f>
        <v>245.265</v>
      </c>
      <c r="Q18" s="51" t="n">
        <v>145</v>
      </c>
      <c r="R18" s="51" t="n">
        <v>78</v>
      </c>
      <c r="S18" s="51" t="n">
        <f aca="false">SUM(P18:R18)</f>
        <v>468.265</v>
      </c>
      <c r="T18" s="52" t="n">
        <f aca="false">(I18-S18)+T17</f>
        <v>-10558.536908243</v>
      </c>
      <c r="U18" s="51" t="n">
        <v>312.1</v>
      </c>
      <c r="V18" s="51" t="n">
        <v>78</v>
      </c>
      <c r="W18" s="52" t="n">
        <f aca="false">W17-75</f>
        <v>10998</v>
      </c>
      <c r="X18" s="6" t="n">
        <f aca="false">N18+O18+S18+U18+V18</f>
        <v>936.1</v>
      </c>
      <c r="Y18" s="51" t="n">
        <f aca="false">IF(L18&lt;0,L18*-1,0)</f>
        <v>12.8959667254852</v>
      </c>
      <c r="Z18" s="51" t="n">
        <f aca="false">X18+Y18</f>
        <v>948.995966725485</v>
      </c>
      <c r="AA18" s="53" t="n">
        <v>0</v>
      </c>
      <c r="AB18" s="79" t="n">
        <v>87</v>
      </c>
      <c r="AC18" s="56" t="n">
        <v>62</v>
      </c>
      <c r="AD18" s="57" t="n">
        <f aca="false">AD17+1</f>
        <v>9</v>
      </c>
      <c r="AE18" s="85"/>
      <c r="AF18" s="87"/>
      <c r="AG18" s="87"/>
    </row>
    <row r="19" customFormat="false" ht="11.1" hidden="false" customHeight="true" outlineLevel="0" collapsed="false">
      <c r="A19" s="57" t="n">
        <f aca="false">A18+1</f>
        <v>10</v>
      </c>
      <c r="B19" s="71" t="n">
        <v>6898.22</v>
      </c>
      <c r="C19" s="52" t="n">
        <v>277063</v>
      </c>
      <c r="D19" s="56" t="n">
        <f aca="false">C19-C18</f>
        <v>-1823</v>
      </c>
      <c r="E19" s="52" t="n">
        <f aca="false">C19-152000</f>
        <v>125063</v>
      </c>
      <c r="F19" s="51" t="n">
        <f aca="false">D19/$D$2</f>
        <v>-919.082430047895</v>
      </c>
      <c r="G19" s="51" t="n">
        <v>100</v>
      </c>
      <c r="H19" s="82" t="n">
        <v>0</v>
      </c>
      <c r="I19" s="51" t="n">
        <f aca="false">G19+H19</f>
        <v>100</v>
      </c>
      <c r="J19" s="78" t="n">
        <f aca="false">IF(L19&gt;0,L19,0)</f>
        <v>0</v>
      </c>
      <c r="K19" s="51" t="n">
        <f aca="false">I19+J19</f>
        <v>100</v>
      </c>
      <c r="L19" s="51" t="n">
        <f aca="false">F19-(I19-X19)</f>
        <v>-99.4824300478951</v>
      </c>
      <c r="M19" s="51" t="n">
        <v>318</v>
      </c>
      <c r="N19" s="51" t="n">
        <v>1</v>
      </c>
      <c r="O19" s="51" t="n">
        <f aca="false">33.1+32.1*1.05</f>
        <v>66.805</v>
      </c>
      <c r="P19" s="6" t="n">
        <f aca="false">M19-(N19+O19)</f>
        <v>250.195</v>
      </c>
      <c r="Q19" s="51" t="n">
        <v>145</v>
      </c>
      <c r="R19" s="51" t="n">
        <v>78</v>
      </c>
      <c r="S19" s="51" t="n">
        <f aca="false">SUM(P19:R19)</f>
        <v>473.195</v>
      </c>
      <c r="T19" s="52" t="n">
        <f aca="false">(I19-S19)+T18</f>
        <v>-10931.731908243</v>
      </c>
      <c r="U19" s="51" t="n">
        <v>300.6</v>
      </c>
      <c r="V19" s="51" t="n">
        <v>78</v>
      </c>
      <c r="W19" s="52" t="n">
        <f aca="false">W18-75</f>
        <v>10923</v>
      </c>
      <c r="X19" s="6" t="n">
        <f aca="false">N19+O19+S19+U19+V19</f>
        <v>919.6</v>
      </c>
      <c r="Y19" s="51" t="n">
        <f aca="false">IF(L19&lt;0,L19*-1,0)</f>
        <v>99.4824300478951</v>
      </c>
      <c r="Z19" s="51" t="n">
        <f aca="false">X19+Y19</f>
        <v>1019.0824300479</v>
      </c>
      <c r="AA19" s="53" t="n">
        <v>0</v>
      </c>
      <c r="AB19" s="56" t="n">
        <v>87</v>
      </c>
      <c r="AC19" s="56" t="n">
        <v>66</v>
      </c>
      <c r="AD19" s="57" t="n">
        <f aca="false">AD18+1</f>
        <v>10</v>
      </c>
      <c r="AE19" s="85"/>
      <c r="AF19" s="87"/>
      <c r="AG19" s="87"/>
    </row>
    <row r="20" customFormat="false" ht="11.1" hidden="false" customHeight="true" outlineLevel="0" collapsed="false">
      <c r="A20" s="57" t="n">
        <v>11</v>
      </c>
      <c r="B20" s="71" t="n">
        <v>6897.8</v>
      </c>
      <c r="C20" s="52" t="n">
        <v>275537</v>
      </c>
      <c r="D20" s="56" t="n">
        <f aca="false">C20-C19</f>
        <v>-1526</v>
      </c>
      <c r="E20" s="52" t="n">
        <f aca="false">C20-152000</f>
        <v>123537</v>
      </c>
      <c r="F20" s="51" t="n">
        <f aca="false">D20/$D$2</f>
        <v>-769.347113687925</v>
      </c>
      <c r="G20" s="51" t="n">
        <v>101</v>
      </c>
      <c r="H20" s="82" t="n">
        <v>0</v>
      </c>
      <c r="I20" s="51" t="n">
        <f aca="false">G20+H20</f>
        <v>101</v>
      </c>
      <c r="J20" s="78" t="n">
        <f aca="false">IF(L20&gt;0,L20,0)</f>
        <v>28.5528863120746</v>
      </c>
      <c r="K20" s="51" t="n">
        <f aca="false">I20+J20</f>
        <v>129.552886312075</v>
      </c>
      <c r="L20" s="51" t="n">
        <f aca="false">F20-(I20-X20)</f>
        <v>28.5528863120746</v>
      </c>
      <c r="M20" s="51" t="n">
        <v>318</v>
      </c>
      <c r="N20" s="51" t="n">
        <v>1</v>
      </c>
      <c r="O20" s="51" t="n">
        <f aca="false">34.2+32.2*1.05</f>
        <v>68.01</v>
      </c>
      <c r="P20" s="6" t="n">
        <f aca="false">M20-(N20+O20)</f>
        <v>248.99</v>
      </c>
      <c r="Q20" s="51" t="n">
        <v>145</v>
      </c>
      <c r="R20" s="51" t="n">
        <v>77</v>
      </c>
      <c r="S20" s="51" t="n">
        <f aca="false">SUM(P20:R20)</f>
        <v>470.99</v>
      </c>
      <c r="T20" s="52" t="n">
        <f aca="false">(I20-S20)+T19</f>
        <v>-11301.721908243</v>
      </c>
      <c r="U20" s="51" t="n">
        <v>280.9</v>
      </c>
      <c r="V20" s="51" t="n">
        <v>78</v>
      </c>
      <c r="W20" s="52" t="n">
        <f aca="false">W19-75</f>
        <v>10848</v>
      </c>
      <c r="X20" s="6" t="n">
        <f aca="false">N20+O20+S20+U20+V20</f>
        <v>898.9</v>
      </c>
      <c r="Y20" s="51" t="n">
        <f aca="false">IF(L20&lt;0,L20*-1,0)</f>
        <v>0</v>
      </c>
      <c r="Z20" s="51" t="n">
        <f aca="false">X20+Y20</f>
        <v>898.9</v>
      </c>
      <c r="AA20" s="53" t="n">
        <v>0.04</v>
      </c>
      <c r="AB20" s="56" t="n">
        <v>87</v>
      </c>
      <c r="AC20" s="56" t="n">
        <v>59</v>
      </c>
      <c r="AD20" s="57" t="n">
        <v>11</v>
      </c>
      <c r="AE20" s="85"/>
      <c r="AF20" s="87"/>
      <c r="AG20" s="87"/>
    </row>
    <row r="21" customFormat="false" ht="11.1" hidden="false" customHeight="true" outlineLevel="0" collapsed="false">
      <c r="A21" s="57" t="n">
        <v>12</v>
      </c>
      <c r="B21" s="71" t="n">
        <v>6897.34</v>
      </c>
      <c r="C21" s="52" t="n">
        <v>273873</v>
      </c>
      <c r="D21" s="56" t="n">
        <f aca="false">C21-C20</f>
        <v>-1664</v>
      </c>
      <c r="E21" s="52" t="n">
        <f aca="false">C21-152000</f>
        <v>121873</v>
      </c>
      <c r="F21" s="51" t="n">
        <f aca="false">D21/$D$2</f>
        <v>-838.921099067305</v>
      </c>
      <c r="G21" s="51" t="n">
        <v>106</v>
      </c>
      <c r="H21" s="82" t="n">
        <v>0</v>
      </c>
      <c r="I21" s="51" t="n">
        <f aca="false">G21+H21</f>
        <v>106</v>
      </c>
      <c r="J21" s="78" t="n">
        <f aca="false">IF(L21&gt;0,L21,0)</f>
        <v>0</v>
      </c>
      <c r="K21" s="51" t="n">
        <f aca="false">I21+J21</f>
        <v>106</v>
      </c>
      <c r="L21" s="51" t="n">
        <f aca="false">F21-(I21-X21)</f>
        <v>-29.5210990673053</v>
      </c>
      <c r="M21" s="51" t="n">
        <v>329</v>
      </c>
      <c r="N21" s="51" t="n">
        <v>1</v>
      </c>
      <c r="O21" s="51" t="n">
        <f aca="false">34.2+33.7*1.05</f>
        <v>69.585</v>
      </c>
      <c r="P21" s="6" t="n">
        <f aca="false">M21-(N21+O21)</f>
        <v>258.415</v>
      </c>
      <c r="Q21" s="51" t="n">
        <v>145</v>
      </c>
      <c r="R21" s="51" t="n">
        <v>78</v>
      </c>
      <c r="S21" s="51" t="n">
        <f aca="false">SUM(P21:R21)</f>
        <v>481.415</v>
      </c>
      <c r="T21" s="52" t="n">
        <f aca="false">(I21-S21)+T20</f>
        <v>-11677.136908243</v>
      </c>
      <c r="U21" s="51" t="n">
        <v>285.4</v>
      </c>
      <c r="V21" s="51" t="n">
        <v>78</v>
      </c>
      <c r="W21" s="52" t="n">
        <f aca="false">W20-75</f>
        <v>10773</v>
      </c>
      <c r="X21" s="6" t="n">
        <f aca="false">N21+O21+S21+U21+V21</f>
        <v>915.4</v>
      </c>
      <c r="Y21" s="51" t="n">
        <f aca="false">IF(L21&lt;0,L21*-1,0)</f>
        <v>29.5210990673053</v>
      </c>
      <c r="Z21" s="51" t="n">
        <f aca="false">X21+Y21</f>
        <v>944.921099067305</v>
      </c>
      <c r="AA21" s="53" t="n">
        <v>0.32</v>
      </c>
      <c r="AB21" s="56" t="n">
        <v>85</v>
      </c>
      <c r="AC21" s="56" t="n">
        <v>58</v>
      </c>
      <c r="AD21" s="57" t="n">
        <v>12</v>
      </c>
      <c r="AE21" s="85"/>
      <c r="AF21" s="87"/>
      <c r="AG21" s="87"/>
    </row>
    <row r="22" customFormat="false" ht="11.1" hidden="false" customHeight="true" outlineLevel="0" collapsed="false">
      <c r="A22" s="57" t="n">
        <v>13</v>
      </c>
      <c r="B22" s="71" t="n">
        <v>6896.92</v>
      </c>
      <c r="C22" s="52" t="n">
        <v>272356</v>
      </c>
      <c r="D22" s="56" t="n">
        <f aca="false">C22-C21</f>
        <v>-1517</v>
      </c>
      <c r="E22" s="52" t="n">
        <f aca="false">C22-152000</f>
        <v>120356</v>
      </c>
      <c r="F22" s="51" t="n">
        <f aca="false">D22/$D$2</f>
        <v>-764.809679858835</v>
      </c>
      <c r="G22" s="51" t="n">
        <v>111</v>
      </c>
      <c r="H22" s="82" t="n">
        <v>0</v>
      </c>
      <c r="I22" s="51" t="n">
        <f aca="false">G22+H22</f>
        <v>111</v>
      </c>
      <c r="J22" s="78" t="n">
        <f aca="false">IF(L22&gt;0,L22,0)</f>
        <v>0</v>
      </c>
      <c r="K22" s="51" t="n">
        <f aca="false">I22+J22</f>
        <v>111</v>
      </c>
      <c r="L22" s="51" t="n">
        <f aca="false">F22-(I22-X22)</f>
        <v>-6.40967985883538</v>
      </c>
      <c r="M22" s="51" t="n">
        <v>319</v>
      </c>
      <c r="N22" s="51" t="n">
        <v>1</v>
      </c>
      <c r="O22" s="51" t="n">
        <f aca="false">33.1+32.4*1.05</f>
        <v>67.12</v>
      </c>
      <c r="P22" s="6" t="n">
        <f aca="false">M22-(N22+O22)</f>
        <v>250.88</v>
      </c>
      <c r="Q22" s="51" t="n">
        <v>146</v>
      </c>
      <c r="R22" s="51" t="n">
        <v>80</v>
      </c>
      <c r="S22" s="51" t="n">
        <f aca="false">SUM(P22:R22)</f>
        <v>476.88</v>
      </c>
      <c r="T22" s="52" t="n">
        <f aca="false">(I22-S22)+T21</f>
        <v>-12043.016908243</v>
      </c>
      <c r="U22" s="51" t="n">
        <v>246.4</v>
      </c>
      <c r="V22" s="51" t="n">
        <v>78</v>
      </c>
      <c r="W22" s="52" t="n">
        <f aca="false">W21-75</f>
        <v>10698</v>
      </c>
      <c r="X22" s="6" t="n">
        <f aca="false">N22+O22+S22+U22+V22</f>
        <v>869.4</v>
      </c>
      <c r="Y22" s="51" t="n">
        <f aca="false">IF(L22&lt;0,L22*-1,0)</f>
        <v>6.40967985883538</v>
      </c>
      <c r="Z22" s="51" t="n">
        <f aca="false">X22+Y22</f>
        <v>875.809679858835</v>
      </c>
      <c r="AA22" s="53" t="n">
        <v>0</v>
      </c>
      <c r="AB22" s="56" t="n">
        <v>84</v>
      </c>
      <c r="AC22" s="56" t="n">
        <v>55</v>
      </c>
      <c r="AD22" s="57" t="n">
        <v>13</v>
      </c>
      <c r="AE22" s="85"/>
      <c r="AF22" s="87"/>
      <c r="AG22" s="87"/>
    </row>
    <row r="23" customFormat="false" ht="11.1" hidden="false" customHeight="true" outlineLevel="0" collapsed="false">
      <c r="A23" s="57" t="n">
        <v>14</v>
      </c>
      <c r="B23" s="71" t="n">
        <v>6896.49</v>
      </c>
      <c r="C23" s="52" t="n">
        <v>270813</v>
      </c>
      <c r="D23" s="56" t="n">
        <f aca="false">C23-C22</f>
        <v>-1543</v>
      </c>
      <c r="E23" s="52" t="n">
        <f aca="false">C23-152000</f>
        <v>118813</v>
      </c>
      <c r="F23" s="51" t="n">
        <f aca="false">D23/$D$2</f>
        <v>-777.917822031762</v>
      </c>
      <c r="G23" s="51" t="n">
        <v>148</v>
      </c>
      <c r="H23" s="82" t="n">
        <v>0</v>
      </c>
      <c r="I23" s="51" t="n">
        <f aca="false">G23+H23</f>
        <v>148</v>
      </c>
      <c r="J23" s="78" t="n">
        <f aca="false">IF(L23&gt;0,L23,0)</f>
        <v>0</v>
      </c>
      <c r="K23" s="51" t="n">
        <f aca="false">I23+J23</f>
        <v>148</v>
      </c>
      <c r="L23" s="51" t="n">
        <f aca="false">F23-(I23-X23)</f>
        <v>-53.1178220317621</v>
      </c>
      <c r="M23" s="51" t="n">
        <v>307</v>
      </c>
      <c r="N23" s="51" t="n">
        <v>1</v>
      </c>
      <c r="O23" s="51" t="n">
        <f aca="false">31+31*1.05</f>
        <v>63.55</v>
      </c>
      <c r="P23" s="6" t="n">
        <f aca="false">M23-(N23+O23)</f>
        <v>242.45</v>
      </c>
      <c r="Q23" s="51" t="n">
        <v>146</v>
      </c>
      <c r="R23" s="51" t="n">
        <v>79</v>
      </c>
      <c r="S23" s="51" t="n">
        <f aca="false">SUM(P23:R23)</f>
        <v>467.45</v>
      </c>
      <c r="T23" s="52" t="n">
        <f aca="false">(I23-S23)+T22</f>
        <v>-12362.466908243</v>
      </c>
      <c r="U23" s="51" t="n">
        <v>262.8</v>
      </c>
      <c r="V23" s="51" t="n">
        <v>78</v>
      </c>
      <c r="W23" s="52" t="n">
        <f aca="false">W22-75</f>
        <v>10623</v>
      </c>
      <c r="X23" s="6" t="n">
        <f aca="false">N23+O23+S23+U23+V23</f>
        <v>872.8</v>
      </c>
      <c r="Y23" s="51" t="n">
        <f aca="false">IF(L23&lt;0,L23*-1,0)</f>
        <v>53.1178220317621</v>
      </c>
      <c r="Z23" s="51" t="n">
        <f aca="false">X23+Y23</f>
        <v>925.917822031762</v>
      </c>
      <c r="AA23" s="53" t="n">
        <v>0</v>
      </c>
      <c r="AB23" s="56" t="n">
        <v>86</v>
      </c>
      <c r="AC23" s="56" t="n">
        <v>57</v>
      </c>
      <c r="AD23" s="57" t="n">
        <v>14</v>
      </c>
      <c r="AE23" s="85"/>
      <c r="AF23" s="87"/>
      <c r="AG23" s="87"/>
    </row>
    <row r="24" customFormat="false" ht="11.1" hidden="false" customHeight="true" outlineLevel="0" collapsed="false">
      <c r="A24" s="57" t="n">
        <v>15</v>
      </c>
      <c r="B24" s="71" t="n">
        <v>6896.05</v>
      </c>
      <c r="C24" s="52" t="n">
        <v>269234</v>
      </c>
      <c r="D24" s="56" t="n">
        <f aca="false">C24-C23</f>
        <v>-1579</v>
      </c>
      <c r="E24" s="52" t="n">
        <f aca="false">C24-152000</f>
        <v>117234</v>
      </c>
      <c r="F24" s="51" t="n">
        <f aca="false">D24/$D$2</f>
        <v>-796.067557348122</v>
      </c>
      <c r="G24" s="51" t="n">
        <v>142</v>
      </c>
      <c r="H24" s="82" t="n">
        <v>0</v>
      </c>
      <c r="I24" s="51" t="n">
        <f aca="false">G24+H24</f>
        <v>142</v>
      </c>
      <c r="J24" s="78" t="n">
        <f aca="false">IF(L24&gt;0,L24,0)</f>
        <v>0</v>
      </c>
      <c r="K24" s="51" t="n">
        <f aca="false">I24+J24</f>
        <v>142</v>
      </c>
      <c r="L24" s="51" t="n">
        <f aca="false">F24-(I24-X24)</f>
        <v>-54.567557348122</v>
      </c>
      <c r="M24" s="51" t="n">
        <v>305</v>
      </c>
      <c r="N24" s="51" t="n">
        <v>1</v>
      </c>
      <c r="O24" s="51" t="n">
        <f aca="false">29.9+30.4*1.05</f>
        <v>61.82</v>
      </c>
      <c r="P24" s="6" t="n">
        <f aca="false">M24-(N24+O24)</f>
        <v>242.18</v>
      </c>
      <c r="Q24" s="51" t="n">
        <v>147</v>
      </c>
      <c r="R24" s="51" t="n">
        <v>79</v>
      </c>
      <c r="S24" s="51" t="n">
        <f aca="false">SUM(P24:R24)</f>
        <v>468.18</v>
      </c>
      <c r="T24" s="52" t="n">
        <f aca="false">(I24-S24)+T23</f>
        <v>-12688.646908243</v>
      </c>
      <c r="U24" s="51" t="n">
        <v>274.5</v>
      </c>
      <c r="V24" s="51" t="n">
        <v>78</v>
      </c>
      <c r="W24" s="52" t="n">
        <f aca="false">W23-75</f>
        <v>10548</v>
      </c>
      <c r="X24" s="6" t="n">
        <f aca="false">N24+O24+S24+U24+V24</f>
        <v>883.5</v>
      </c>
      <c r="Y24" s="51" t="n">
        <f aca="false">IF(L24&lt;0,L24*-1,0)</f>
        <v>54.567557348122</v>
      </c>
      <c r="Z24" s="51" t="n">
        <f aca="false">X24+Y24</f>
        <v>938.067557348122</v>
      </c>
      <c r="AA24" s="53" t="n">
        <v>0.13</v>
      </c>
      <c r="AB24" s="56" t="n">
        <v>85</v>
      </c>
      <c r="AC24" s="56" t="n">
        <v>59</v>
      </c>
      <c r="AD24" s="57" t="n">
        <v>15</v>
      </c>
      <c r="AE24" s="85"/>
      <c r="AF24" s="87"/>
      <c r="AG24" s="87"/>
    </row>
    <row r="25" customFormat="false" ht="11.1" hidden="false" customHeight="true" outlineLevel="0" collapsed="false">
      <c r="A25" s="57" t="n">
        <v>16</v>
      </c>
      <c r="B25" s="71" t="n">
        <v>6895.64</v>
      </c>
      <c r="C25" s="52" t="n">
        <v>267773</v>
      </c>
      <c r="D25" s="56" t="n">
        <f aca="false">C25-C24</f>
        <v>-1461</v>
      </c>
      <c r="E25" s="52" t="n">
        <f aca="false">C25-152000</f>
        <v>115773</v>
      </c>
      <c r="F25" s="51" t="n">
        <f aca="false">D25/$D$2</f>
        <v>-736.576758255609</v>
      </c>
      <c r="G25" s="51" t="n">
        <v>170</v>
      </c>
      <c r="H25" s="82" t="n">
        <v>0</v>
      </c>
      <c r="I25" s="51" t="n">
        <f aca="false">G25+H25</f>
        <v>170</v>
      </c>
      <c r="J25" s="78" t="n">
        <f aca="false">IF(L25&gt;0,L25,0)</f>
        <v>0</v>
      </c>
      <c r="K25" s="51" t="n">
        <f aca="false">I25+J25</f>
        <v>170</v>
      </c>
      <c r="L25" s="51" t="n">
        <f aca="false">F25-(I25-X25)</f>
        <v>-33.0767582556088</v>
      </c>
      <c r="M25" s="51" t="n">
        <v>305</v>
      </c>
      <c r="N25" s="51" t="n">
        <v>1</v>
      </c>
      <c r="O25" s="51" t="n">
        <f aca="false">25.4+25.4*1.05</f>
        <v>52.07</v>
      </c>
      <c r="P25" s="6" t="n">
        <f aca="false">M25-(N25+O25)</f>
        <v>251.93</v>
      </c>
      <c r="Q25" s="51" t="n">
        <v>147</v>
      </c>
      <c r="R25" s="51" t="n">
        <v>78</v>
      </c>
      <c r="S25" s="51" t="n">
        <f aca="false">SUM(P25:R25)</f>
        <v>476.93</v>
      </c>
      <c r="T25" s="52" t="n">
        <f aca="false">(I25-S25)+T24</f>
        <v>-12995.576908243</v>
      </c>
      <c r="U25" s="51" t="n">
        <v>266.5</v>
      </c>
      <c r="V25" s="51" t="n">
        <v>77</v>
      </c>
      <c r="W25" s="52" t="n">
        <f aca="false">W24-75</f>
        <v>10473</v>
      </c>
      <c r="X25" s="6" t="n">
        <f aca="false">N25+O25+S25+U25+V25</f>
        <v>873.5</v>
      </c>
      <c r="Y25" s="51" t="n">
        <f aca="false">IF(L25&lt;0,L25*-1,0)</f>
        <v>33.0767582556088</v>
      </c>
      <c r="Z25" s="51" t="n">
        <f aca="false">X25+Y25</f>
        <v>906.576758255609</v>
      </c>
      <c r="AA25" s="53" t="n">
        <v>0.01</v>
      </c>
      <c r="AB25" s="56" t="n">
        <v>85</v>
      </c>
      <c r="AC25" s="56" t="n">
        <v>59</v>
      </c>
      <c r="AD25" s="57" t="n">
        <v>16</v>
      </c>
      <c r="AE25" s="85"/>
      <c r="AF25" s="87"/>
      <c r="AG25" s="87"/>
    </row>
    <row r="26" customFormat="false" ht="11.1" hidden="false" customHeight="true" outlineLevel="0" collapsed="false">
      <c r="A26" s="57" t="n">
        <v>17</v>
      </c>
      <c r="B26" s="71" t="n">
        <v>6895.3</v>
      </c>
      <c r="C26" s="52" t="n">
        <v>266563</v>
      </c>
      <c r="D26" s="56" t="n">
        <f aca="false">C26-C25</f>
        <v>-1210</v>
      </c>
      <c r="E26" s="52" t="n">
        <f aca="false">C26-152000</f>
        <v>114563</v>
      </c>
      <c r="F26" s="51" t="n">
        <f aca="false">D26/$D$2</f>
        <v>-610.032770355432</v>
      </c>
      <c r="G26" s="51" t="n">
        <v>172</v>
      </c>
      <c r="H26" s="82" t="n">
        <v>0</v>
      </c>
      <c r="I26" s="51" t="n">
        <f aca="false">G26+H26</f>
        <v>172</v>
      </c>
      <c r="J26" s="78" t="n">
        <f aca="false">IF(L26&gt;0,L26,0)</f>
        <v>79.3672296445677</v>
      </c>
      <c r="K26" s="51" t="n">
        <f aca="false">I26+J26</f>
        <v>251.367229644568</v>
      </c>
      <c r="L26" s="51" t="n">
        <f aca="false">F26-(I26-X26)</f>
        <v>79.3672296445677</v>
      </c>
      <c r="M26" s="51" t="n">
        <v>286</v>
      </c>
      <c r="N26" s="51" t="n">
        <v>1</v>
      </c>
      <c r="O26" s="51" t="n">
        <f aca="false">20.2+20.3*1.05</f>
        <v>41.515</v>
      </c>
      <c r="P26" s="6" t="n">
        <f aca="false">M26-(N26+O26)</f>
        <v>243.485</v>
      </c>
      <c r="Q26" s="51" t="n">
        <v>147</v>
      </c>
      <c r="R26" s="51" t="n">
        <v>77</v>
      </c>
      <c r="S26" s="51" t="n">
        <f aca="false">SUM(P26:R26)</f>
        <v>467.485</v>
      </c>
      <c r="T26" s="52" t="n">
        <f aca="false">(I26-S26)+T25</f>
        <v>-13291.061908243</v>
      </c>
      <c r="U26" s="51" t="n">
        <v>272.4</v>
      </c>
      <c r="V26" s="51" t="n">
        <v>79</v>
      </c>
      <c r="W26" s="52" t="n">
        <f aca="false">W25-75</f>
        <v>10398</v>
      </c>
      <c r="X26" s="6" t="n">
        <f aca="false">N26+O26+S26+U26+V26</f>
        <v>861.4</v>
      </c>
      <c r="Y26" s="51" t="n">
        <f aca="false">IF(L26&lt;0,L26*-1,0)</f>
        <v>0</v>
      </c>
      <c r="Z26" s="51" t="n">
        <f aca="false">X26+Y26</f>
        <v>861.4</v>
      </c>
      <c r="AA26" s="53" t="n">
        <v>0.01</v>
      </c>
      <c r="AB26" s="56" t="n">
        <v>83</v>
      </c>
      <c r="AC26" s="56" t="n">
        <v>58</v>
      </c>
      <c r="AD26" s="57" t="n">
        <v>17</v>
      </c>
      <c r="AE26" s="85"/>
      <c r="AF26" s="87"/>
      <c r="AG26" s="87"/>
    </row>
    <row r="27" customFormat="false" ht="11.1" hidden="false" customHeight="true" outlineLevel="0" collapsed="false">
      <c r="A27" s="57" t="n">
        <v>18</v>
      </c>
      <c r="B27" s="71" t="n">
        <v>6894.94</v>
      </c>
      <c r="C27" s="52" t="n">
        <v>265284</v>
      </c>
      <c r="D27" s="56" t="n">
        <f aca="false">C27-C26</f>
        <v>-1279</v>
      </c>
      <c r="E27" s="52" t="n">
        <f aca="false">C27-152000</f>
        <v>113284</v>
      </c>
      <c r="F27" s="51" t="n">
        <f aca="false">D27/$D$2</f>
        <v>-644.819763045122</v>
      </c>
      <c r="G27" s="51" t="n">
        <v>196</v>
      </c>
      <c r="H27" s="82" t="n">
        <v>0</v>
      </c>
      <c r="I27" s="51" t="n">
        <f aca="false">G27+H27</f>
        <v>196</v>
      </c>
      <c r="J27" s="78" t="n">
        <f aca="false">IF(L27&gt;0,L27,0)</f>
        <v>0</v>
      </c>
      <c r="K27" s="51" t="n">
        <f aca="false">I27+J27</f>
        <v>196</v>
      </c>
      <c r="L27" s="51" t="n">
        <f aca="false">F27-(I27-X27)</f>
        <v>-13.3197630451223</v>
      </c>
      <c r="M27" s="51" t="n">
        <v>277</v>
      </c>
      <c r="N27" s="51" t="n">
        <v>1</v>
      </c>
      <c r="O27" s="51" t="n">
        <f aca="false">22.3+23.3*1.05</f>
        <v>46.765</v>
      </c>
      <c r="P27" s="6" t="n">
        <f aca="false">M27-(N27+O27)</f>
        <v>229.235</v>
      </c>
      <c r="Q27" s="51" t="n">
        <v>146</v>
      </c>
      <c r="R27" s="51" t="n">
        <v>77</v>
      </c>
      <c r="S27" s="51" t="n">
        <f aca="false">SUM(P27:R27)</f>
        <v>452.235</v>
      </c>
      <c r="T27" s="52" t="n">
        <f aca="false">(I27-S27)+T26</f>
        <v>-13547.296908243</v>
      </c>
      <c r="U27" s="51" t="n">
        <v>247.5</v>
      </c>
      <c r="V27" s="51" t="n">
        <v>80</v>
      </c>
      <c r="W27" s="52" t="n">
        <f aca="false">W26-75</f>
        <v>10323</v>
      </c>
      <c r="X27" s="6" t="n">
        <f aca="false">N27+O27+S27+U27+V27</f>
        <v>827.5</v>
      </c>
      <c r="Y27" s="51" t="n">
        <f aca="false">IF(L27&lt;0,L27*-1,0)</f>
        <v>13.3197630451223</v>
      </c>
      <c r="Z27" s="51" t="n">
        <f aca="false">X27+Y27</f>
        <v>840.819763045122</v>
      </c>
      <c r="AA27" s="53" t="n">
        <v>0.41</v>
      </c>
      <c r="AB27" s="56" t="n">
        <v>79</v>
      </c>
      <c r="AC27" s="56" t="n">
        <v>56</v>
      </c>
      <c r="AD27" s="57" t="n">
        <v>18</v>
      </c>
      <c r="AE27" s="85"/>
      <c r="AF27" s="87"/>
      <c r="AG27" s="87"/>
    </row>
    <row r="28" customFormat="false" ht="11.1" hidden="false" customHeight="true" outlineLevel="0" collapsed="false">
      <c r="A28" s="57" t="n">
        <v>19</v>
      </c>
      <c r="B28" s="71" t="n">
        <v>6894.66</v>
      </c>
      <c r="C28" s="52" t="n">
        <v>264296</v>
      </c>
      <c r="D28" s="56" t="n">
        <f aca="false">C28-C27</f>
        <v>-988</v>
      </c>
      <c r="E28" s="52" t="n">
        <f aca="false">C28-152000</f>
        <v>112296</v>
      </c>
      <c r="F28" s="51" t="n">
        <f aca="false">D28/$D$2</f>
        <v>-498.109402571213</v>
      </c>
      <c r="G28" s="51" t="n">
        <v>318</v>
      </c>
      <c r="H28" s="82" t="n">
        <v>0</v>
      </c>
      <c r="I28" s="51" t="n">
        <f aca="false">G28+H28</f>
        <v>318</v>
      </c>
      <c r="J28" s="78" t="n">
        <f aca="false">IF(L28&gt;0,L28,0)</f>
        <v>0</v>
      </c>
      <c r="K28" s="51" t="n">
        <f aca="false">I28+J28</f>
        <v>318</v>
      </c>
      <c r="L28" s="51" t="n">
        <f aca="false">F28-(I28-X28)</f>
        <v>-22.0094025712125</v>
      </c>
      <c r="M28" s="51" t="n">
        <v>278</v>
      </c>
      <c r="N28" s="51" t="n">
        <v>1</v>
      </c>
      <c r="O28" s="51" t="n">
        <f aca="false">25.5+23.2*1.05</f>
        <v>49.86</v>
      </c>
      <c r="P28" s="6" t="n">
        <f aca="false">M28-(N28+O28)</f>
        <v>227.14</v>
      </c>
      <c r="Q28" s="51" t="n">
        <v>147</v>
      </c>
      <c r="R28" s="92" t="n">
        <v>78</v>
      </c>
      <c r="S28" s="51" t="n">
        <f aca="false">SUM(P28:R28)</f>
        <v>452.14</v>
      </c>
      <c r="T28" s="52" t="n">
        <f aca="false">(I28-S28)+T27</f>
        <v>-13681.436908243</v>
      </c>
      <c r="U28" s="51" t="n">
        <v>213.1</v>
      </c>
      <c r="V28" s="51" t="n">
        <v>78</v>
      </c>
      <c r="W28" s="52" t="n">
        <f aca="false">W27-75</f>
        <v>10248</v>
      </c>
      <c r="X28" s="6" t="n">
        <f aca="false">N28+O28+S28+U28+V28</f>
        <v>794.1</v>
      </c>
      <c r="Y28" s="51" t="n">
        <f aca="false">IF(L28&lt;0,L28*-1,0)</f>
        <v>22.0094025712125</v>
      </c>
      <c r="Z28" s="51" t="n">
        <f aca="false">X28+Y28</f>
        <v>816.109402571212</v>
      </c>
      <c r="AA28" s="53" t="n">
        <v>0.01</v>
      </c>
      <c r="AB28" s="56" t="n">
        <v>80</v>
      </c>
      <c r="AC28" s="56" t="n">
        <v>54</v>
      </c>
      <c r="AD28" s="57" t="n">
        <v>19</v>
      </c>
      <c r="AE28" s="85"/>
      <c r="AF28" s="87"/>
      <c r="AG28" s="87"/>
    </row>
    <row r="29" customFormat="false" ht="11.1" hidden="false" customHeight="true" outlineLevel="0" collapsed="false">
      <c r="A29" s="57" t="n">
        <v>20</v>
      </c>
      <c r="B29" s="71" t="n">
        <v>6894.32</v>
      </c>
      <c r="C29" s="52" t="n">
        <v>263096</v>
      </c>
      <c r="D29" s="56" t="n">
        <f aca="false">C29-C28</f>
        <v>-1200</v>
      </c>
      <c r="E29" s="52" t="n">
        <f aca="false">C29-152000</f>
        <v>111096</v>
      </c>
      <c r="F29" s="51" t="n">
        <f aca="false">D29/$D$2</f>
        <v>-604.991177211999</v>
      </c>
      <c r="G29" s="51" t="n">
        <v>254</v>
      </c>
      <c r="H29" s="82" t="n">
        <v>0</v>
      </c>
      <c r="I29" s="51" t="n">
        <f aca="false">G29+H29</f>
        <v>254</v>
      </c>
      <c r="J29" s="78" t="n">
        <f aca="false">IF(L29&gt;0,L29,0)</f>
        <v>0</v>
      </c>
      <c r="K29" s="51" t="n">
        <f aca="false">I29+J29</f>
        <v>254</v>
      </c>
      <c r="L29" s="51" t="n">
        <f aca="false">F29-(I29-X29)</f>
        <v>-81.591177211999</v>
      </c>
      <c r="M29" s="51" t="n">
        <v>283</v>
      </c>
      <c r="N29" s="51" t="n">
        <v>1</v>
      </c>
      <c r="O29" s="51" t="n">
        <f aca="false">31.6+25.1*1.05</f>
        <v>57.955</v>
      </c>
      <c r="P29" s="6" t="n">
        <f aca="false">M29-(N29+O29)</f>
        <v>224.045</v>
      </c>
      <c r="Q29" s="51" t="n">
        <v>147</v>
      </c>
      <c r="R29" s="92" t="n">
        <v>77</v>
      </c>
      <c r="S29" s="51" t="n">
        <f aca="false">SUM(P29:R29)</f>
        <v>448.045</v>
      </c>
      <c r="T29" s="52" t="n">
        <f aca="false">(I29-S29)+T28</f>
        <v>-13875.481908243</v>
      </c>
      <c r="U29" s="51" t="n">
        <v>192.4</v>
      </c>
      <c r="V29" s="51" t="n">
        <v>78</v>
      </c>
      <c r="W29" s="52" t="n">
        <f aca="false">W28-75</f>
        <v>10173</v>
      </c>
      <c r="X29" s="6" t="n">
        <f aca="false">N29+O29+S29+U29+V29</f>
        <v>777.4</v>
      </c>
      <c r="Y29" s="51" t="n">
        <f aca="false">IF(L29&lt;0,L29*-1,0)</f>
        <v>81.591177211999</v>
      </c>
      <c r="Z29" s="51" t="n">
        <f aca="false">X29+Y29</f>
        <v>858.991177211999</v>
      </c>
      <c r="AA29" s="53" t="n">
        <v>0</v>
      </c>
      <c r="AB29" s="56" t="n">
        <v>81</v>
      </c>
      <c r="AC29" s="56" t="n">
        <v>55</v>
      </c>
      <c r="AD29" s="57" t="n">
        <v>20</v>
      </c>
      <c r="AE29" s="85"/>
      <c r="AF29" s="87"/>
      <c r="AG29" s="87"/>
    </row>
    <row r="30" customFormat="false" ht="11.1" hidden="false" customHeight="true" outlineLevel="0" collapsed="false">
      <c r="A30" s="57" t="n">
        <v>21</v>
      </c>
      <c r="B30" s="71" t="n">
        <v>6893.97</v>
      </c>
      <c r="C30" s="52" t="n">
        <v>261862</v>
      </c>
      <c r="D30" s="56" t="n">
        <f aca="false">C30-C29</f>
        <v>-1234</v>
      </c>
      <c r="E30" s="52" t="n">
        <f aca="false">C30-152000</f>
        <v>109862</v>
      </c>
      <c r="F30" s="51" t="n">
        <f aca="false">D30/$D$2</f>
        <v>-622.132593899672</v>
      </c>
      <c r="G30" s="51" t="n">
        <v>199</v>
      </c>
      <c r="H30" s="82" t="n">
        <v>0</v>
      </c>
      <c r="I30" s="51" t="n">
        <f aca="false">G30+H30</f>
        <v>199</v>
      </c>
      <c r="J30" s="78" t="n">
        <f aca="false">IF(L30&gt;0,L30,0)</f>
        <v>2.46740610032771</v>
      </c>
      <c r="K30" s="51" t="n">
        <f aca="false">I30+J30</f>
        <v>201.467406100328</v>
      </c>
      <c r="L30" s="51" t="n">
        <f aca="false">F30-(I30-X30)</f>
        <v>2.46740610032771</v>
      </c>
      <c r="M30" s="51" t="n">
        <v>303</v>
      </c>
      <c r="N30" s="51" t="n">
        <v>1</v>
      </c>
      <c r="O30" s="51" t="n">
        <f aca="false">30.5+31.9*1.05</f>
        <v>63.995</v>
      </c>
      <c r="P30" s="6" t="n">
        <f aca="false">M30-(N30+O30)</f>
        <v>238.005</v>
      </c>
      <c r="Q30" s="51" t="n">
        <v>146</v>
      </c>
      <c r="R30" s="92" t="n">
        <v>77</v>
      </c>
      <c r="S30" s="51" t="n">
        <f aca="false">SUM(P30:R30)</f>
        <v>461.005</v>
      </c>
      <c r="T30" s="52" t="n">
        <f aca="false">(I30-S30)+T29</f>
        <v>-14137.486908243</v>
      </c>
      <c r="U30" s="51" t="n">
        <v>219.6</v>
      </c>
      <c r="V30" s="51" t="n">
        <v>78</v>
      </c>
      <c r="W30" s="52" t="n">
        <f aca="false">W29-75</f>
        <v>10098</v>
      </c>
      <c r="X30" s="6" t="n">
        <f aca="false">N30+O30+S30+U30+V30</f>
        <v>823.6</v>
      </c>
      <c r="Y30" s="51" t="n">
        <f aca="false">IF(L30&lt;0,L30*-1,0)</f>
        <v>0</v>
      </c>
      <c r="Z30" s="51" t="n">
        <f aca="false">X30+Y30</f>
        <v>823.6</v>
      </c>
      <c r="AA30" s="53" t="n">
        <v>0</v>
      </c>
      <c r="AB30" s="56" t="n">
        <v>78</v>
      </c>
      <c r="AC30" s="56" t="n">
        <v>58</v>
      </c>
      <c r="AD30" s="57" t="n">
        <v>21</v>
      </c>
      <c r="AE30" s="85"/>
      <c r="AF30" s="87"/>
      <c r="AG30" s="87"/>
    </row>
    <row r="31" customFormat="false" ht="11.1" hidden="false" customHeight="true" outlineLevel="0" collapsed="false">
      <c r="A31" s="57" t="n">
        <v>22</v>
      </c>
      <c r="B31" s="71" t="n">
        <v>6893.56</v>
      </c>
      <c r="C31" s="52" t="n">
        <v>260428</v>
      </c>
      <c r="D31" s="56" t="n">
        <f aca="false">C31-C30</f>
        <v>-1434</v>
      </c>
      <c r="E31" s="52" t="n">
        <f aca="false">C31-152000</f>
        <v>108428</v>
      </c>
      <c r="F31" s="51" t="n">
        <f aca="false">D31/$D$2</f>
        <v>-722.964456768339</v>
      </c>
      <c r="G31" s="51" t="n">
        <v>194</v>
      </c>
      <c r="H31" s="82" t="n">
        <v>0</v>
      </c>
      <c r="I31" s="51" t="n">
        <f aca="false">G31+H31</f>
        <v>194</v>
      </c>
      <c r="J31" s="78" t="n">
        <f aca="false">IF(L31&gt;0,L31,0)</f>
        <v>0</v>
      </c>
      <c r="K31" s="51" t="n">
        <f aca="false">I31+J31</f>
        <v>194</v>
      </c>
      <c r="L31" s="51" t="n">
        <f aca="false">F31-(I31-X31)</f>
        <v>-95.4644567683388</v>
      </c>
      <c r="M31" s="51" t="n">
        <v>299</v>
      </c>
      <c r="N31" s="51" t="n">
        <v>1</v>
      </c>
      <c r="O31" s="51" t="n">
        <f aca="false">29.1+29.7*1.05</f>
        <v>60.285</v>
      </c>
      <c r="P31" s="6" t="n">
        <f aca="false">M31-(N31+O31)</f>
        <v>237.715</v>
      </c>
      <c r="Q31" s="51" t="n">
        <v>149</v>
      </c>
      <c r="R31" s="51" t="n">
        <v>78</v>
      </c>
      <c r="S31" s="51" t="n">
        <f aca="false">SUM(P31:R31)</f>
        <v>464.715</v>
      </c>
      <c r="T31" s="52" t="n">
        <f aca="false">(I31-S31)+T30</f>
        <v>-14408.201908243</v>
      </c>
      <c r="U31" s="51" t="n">
        <v>217.5</v>
      </c>
      <c r="V31" s="51" t="n">
        <v>78</v>
      </c>
      <c r="W31" s="52" t="n">
        <f aca="false">W30-75</f>
        <v>10023</v>
      </c>
      <c r="X31" s="6" t="n">
        <f aca="false">N31+O31+S31+U31+V31</f>
        <v>821.5</v>
      </c>
      <c r="Y31" s="51" t="n">
        <f aca="false">IF(L31&lt;0,L31*-1,0)</f>
        <v>95.4644567683388</v>
      </c>
      <c r="Z31" s="51" t="n">
        <f aca="false">X31+Y31</f>
        <v>916.964456768339</v>
      </c>
      <c r="AA31" s="53" t="n">
        <v>0</v>
      </c>
      <c r="AB31" s="56" t="n">
        <v>83</v>
      </c>
      <c r="AC31" s="56" t="n">
        <v>55</v>
      </c>
      <c r="AD31" s="57" t="n">
        <v>22</v>
      </c>
      <c r="AE31" s="85"/>
      <c r="AF31" s="87"/>
      <c r="AG31" s="87"/>
    </row>
    <row r="32" customFormat="false" ht="11.1" hidden="false" customHeight="true" outlineLevel="0" collapsed="false">
      <c r="A32" s="57" t="n">
        <v>23</v>
      </c>
      <c r="B32" s="71" t="n">
        <v>6893.19</v>
      </c>
      <c r="C32" s="52" t="n">
        <v>259134</v>
      </c>
      <c r="D32" s="56" t="n">
        <f aca="false">C32-C31</f>
        <v>-1294</v>
      </c>
      <c r="E32" s="52" t="n">
        <f aca="false">C32-152000</f>
        <v>107134</v>
      </c>
      <c r="F32" s="51" t="n">
        <f aca="false">D32/$D$2</f>
        <v>-652.382152760272</v>
      </c>
      <c r="G32" s="51" t="n">
        <v>177</v>
      </c>
      <c r="H32" s="82" t="n">
        <v>0</v>
      </c>
      <c r="I32" s="51" t="n">
        <f aca="false">G32+H32</f>
        <v>177</v>
      </c>
      <c r="J32" s="78" t="n">
        <f aca="false">IF(L32&gt;0,L32,0)</f>
        <v>4.11784723972778</v>
      </c>
      <c r="K32" s="51" t="n">
        <f aca="false">I32+J32</f>
        <v>181.117847239728</v>
      </c>
      <c r="L32" s="51" t="n">
        <f aca="false">F32-(I32-X32)</f>
        <v>4.11784723972778</v>
      </c>
      <c r="M32" s="51" t="n">
        <v>300</v>
      </c>
      <c r="N32" s="51" t="n">
        <v>1</v>
      </c>
      <c r="O32" s="51" t="n">
        <f aca="false">31.2+29.9*1.05</f>
        <v>62.595</v>
      </c>
      <c r="P32" s="6" t="n">
        <f aca="false">M32-(N32+O32)</f>
        <v>236.405</v>
      </c>
      <c r="Q32" s="51" t="n">
        <v>149</v>
      </c>
      <c r="R32" s="51" t="n">
        <v>78</v>
      </c>
      <c r="S32" s="51" t="n">
        <f aca="false">SUM(P32:R32)</f>
        <v>463.405</v>
      </c>
      <c r="T32" s="52" t="n">
        <f aca="false">(I32-S32)+T31</f>
        <v>-14694.606908243</v>
      </c>
      <c r="U32" s="51" t="n">
        <v>228.5</v>
      </c>
      <c r="V32" s="51" t="n">
        <v>78</v>
      </c>
      <c r="W32" s="52" t="n">
        <f aca="false">W31-75</f>
        <v>9948</v>
      </c>
      <c r="X32" s="6" t="n">
        <f aca="false">N32+O32+S32+U32+V32</f>
        <v>833.5</v>
      </c>
      <c r="Y32" s="51" t="n">
        <f aca="false">IF(L32&lt;0,L32*-1,0)</f>
        <v>0</v>
      </c>
      <c r="Z32" s="51" t="n">
        <f aca="false">X32+Y32</f>
        <v>833.5</v>
      </c>
      <c r="AA32" s="53" t="n">
        <v>0</v>
      </c>
      <c r="AB32" s="56" t="n">
        <v>83</v>
      </c>
      <c r="AC32" s="56" t="n">
        <v>57</v>
      </c>
      <c r="AD32" s="57" t="n">
        <v>23</v>
      </c>
      <c r="AE32" s="85"/>
      <c r="AF32" s="87"/>
      <c r="AG32" s="87"/>
    </row>
    <row r="33" customFormat="false" ht="11.1" hidden="false" customHeight="true" outlineLevel="0" collapsed="false">
      <c r="A33" s="57" t="n">
        <v>24</v>
      </c>
      <c r="B33" s="71" t="n">
        <v>6892.77</v>
      </c>
      <c r="C33" s="52" t="n">
        <v>257672</v>
      </c>
      <c r="D33" s="56" t="n">
        <f aca="false">C33-C32</f>
        <v>-1462</v>
      </c>
      <c r="E33" s="52" t="n">
        <f aca="false">C33-152000</f>
        <v>105672</v>
      </c>
      <c r="F33" s="51" t="n">
        <f aca="false">D33/$D$2</f>
        <v>-737.080917569952</v>
      </c>
      <c r="G33" s="51" t="n">
        <v>160</v>
      </c>
      <c r="H33" s="82" t="n">
        <v>0</v>
      </c>
      <c r="I33" s="51" t="n">
        <f aca="false">G33+H33</f>
        <v>160</v>
      </c>
      <c r="J33" s="78" t="n">
        <f aca="false">IF(L33&gt;0,L33,0)</f>
        <v>0</v>
      </c>
      <c r="K33" s="51" t="n">
        <f aca="false">I33+J33</f>
        <v>160</v>
      </c>
      <c r="L33" s="51" t="n">
        <f aca="false">F33-(I33-X33)</f>
        <v>-54.4809175699521</v>
      </c>
      <c r="M33" s="51" t="n">
        <v>319</v>
      </c>
      <c r="N33" s="51" t="n">
        <v>1</v>
      </c>
      <c r="O33" s="51" t="n">
        <f aca="false">36.2+36*1.05</f>
        <v>74</v>
      </c>
      <c r="P33" s="6" t="n">
        <f aca="false">M33-(N33+O33)</f>
        <v>244</v>
      </c>
      <c r="Q33" s="51" t="n">
        <v>150</v>
      </c>
      <c r="R33" s="51" t="n">
        <v>79</v>
      </c>
      <c r="S33" s="51" t="n">
        <f aca="false">SUM(P33:R33)</f>
        <v>473</v>
      </c>
      <c r="T33" s="52" t="n">
        <f aca="false">(I33-S33)+T32</f>
        <v>-15007.606908243</v>
      </c>
      <c r="U33" s="51" t="n">
        <v>216.6</v>
      </c>
      <c r="V33" s="51" t="n">
        <v>78</v>
      </c>
      <c r="W33" s="52" t="n">
        <f aca="false">W32-75</f>
        <v>9873</v>
      </c>
      <c r="X33" s="6" t="n">
        <f aca="false">N33+O33+S33+U33+V33</f>
        <v>842.6</v>
      </c>
      <c r="Y33" s="51" t="n">
        <f aca="false">IF(L33&lt;0,L33*-1,0)</f>
        <v>54.4809175699521</v>
      </c>
      <c r="Z33" s="51" t="n">
        <f aca="false">X33+Y33</f>
        <v>897.080917569952</v>
      </c>
      <c r="AA33" s="53" t="n">
        <v>0</v>
      </c>
      <c r="AB33" s="56" t="n">
        <v>85</v>
      </c>
      <c r="AC33" s="56" t="n">
        <v>55</v>
      </c>
      <c r="AD33" s="57" t="n">
        <v>24</v>
      </c>
      <c r="AE33" s="85"/>
      <c r="AF33" s="87"/>
      <c r="AG33" s="87"/>
    </row>
    <row r="34" customFormat="false" ht="11.1" hidden="false" customHeight="true" outlineLevel="0" collapsed="false">
      <c r="A34" s="57" t="n">
        <v>25</v>
      </c>
      <c r="B34" s="71" t="n">
        <v>6892.36</v>
      </c>
      <c r="C34" s="52" t="n">
        <v>256251</v>
      </c>
      <c r="D34" s="56" t="n">
        <f aca="false">C34-C33</f>
        <v>-1421</v>
      </c>
      <c r="E34" s="52" t="n">
        <f aca="false">C34-152000</f>
        <v>104251</v>
      </c>
      <c r="F34" s="51" t="n">
        <f aca="false">D34/$D$2</f>
        <v>-716.410385681875</v>
      </c>
      <c r="G34" s="51" t="n">
        <v>159</v>
      </c>
      <c r="H34" s="82" t="n">
        <v>0</v>
      </c>
      <c r="I34" s="51" t="n">
        <f aca="false">G34+H34</f>
        <v>159</v>
      </c>
      <c r="J34" s="78" t="n">
        <f aca="false">IF(L34&gt;0,L34,0)</f>
        <v>0</v>
      </c>
      <c r="K34" s="51" t="n">
        <f aca="false">I34+J34</f>
        <v>159</v>
      </c>
      <c r="L34" s="51" t="n">
        <f aca="false">F34-(I34-X34)</f>
        <v>-28.1103856818755</v>
      </c>
      <c r="M34" s="51" t="n">
        <v>336</v>
      </c>
      <c r="N34" s="51" t="n">
        <v>1</v>
      </c>
      <c r="O34" s="51" t="n">
        <f aca="false">46.5+41.5*1.05</f>
        <v>90.075</v>
      </c>
      <c r="P34" s="6" t="n">
        <f aca="false">M34-(N34+O34)</f>
        <v>244.925</v>
      </c>
      <c r="Q34" s="51" t="n">
        <v>150</v>
      </c>
      <c r="R34" s="51" t="n">
        <v>78</v>
      </c>
      <c r="S34" s="51" t="n">
        <f aca="false">SUM(P34:R34)</f>
        <v>472.925</v>
      </c>
      <c r="T34" s="52" t="n">
        <f aca="false">(I34-S34)+T33</f>
        <v>-15321.531908243</v>
      </c>
      <c r="U34" s="51" t="n">
        <v>205.3</v>
      </c>
      <c r="V34" s="51" t="n">
        <v>78</v>
      </c>
      <c r="W34" s="52" t="n">
        <f aca="false">W33-75</f>
        <v>9798</v>
      </c>
      <c r="X34" s="6" t="n">
        <f aca="false">N34+O34+S34+U34+V34</f>
        <v>847.3</v>
      </c>
      <c r="Y34" s="51" t="n">
        <f aca="false">IF(L34&lt;0,L34*-1,0)</f>
        <v>28.1103856818755</v>
      </c>
      <c r="Z34" s="51" t="n">
        <f aca="false">X34+Y34</f>
        <v>875.410385681876</v>
      </c>
      <c r="AA34" s="53" t="n">
        <v>0.02</v>
      </c>
      <c r="AB34" s="56" t="n">
        <v>83</v>
      </c>
      <c r="AC34" s="56" t="n">
        <v>58</v>
      </c>
      <c r="AD34" s="57" t="n">
        <v>25</v>
      </c>
      <c r="AE34" s="85"/>
      <c r="AF34" s="87"/>
      <c r="AG34" s="87"/>
    </row>
    <row r="35" customFormat="false" ht="11.1" hidden="false" customHeight="true" outlineLevel="0" collapsed="false">
      <c r="A35" s="57" t="n">
        <v>26</v>
      </c>
      <c r="B35" s="71" t="n">
        <v>6891.98</v>
      </c>
      <c r="C35" s="52" t="n">
        <v>254934</v>
      </c>
      <c r="D35" s="56" t="n">
        <f aca="false">C35-C34</f>
        <v>-1317</v>
      </c>
      <c r="E35" s="52" t="n">
        <f aca="false">C35-152000</f>
        <v>102934</v>
      </c>
      <c r="F35" s="51" t="n">
        <f aca="false">D35/$D$2</f>
        <v>-663.977816990169</v>
      </c>
      <c r="G35" s="51" t="n">
        <v>165</v>
      </c>
      <c r="H35" s="82" t="n">
        <v>0</v>
      </c>
      <c r="I35" s="51" t="n">
        <f aca="false">G35+H35</f>
        <v>165</v>
      </c>
      <c r="J35" s="78" t="n">
        <f aca="false">IF(L35&gt;0,L35,0)</f>
        <v>13.6221830098311</v>
      </c>
      <c r="K35" s="51" t="n">
        <f aca="false">I35+J35</f>
        <v>178.622183009831</v>
      </c>
      <c r="L35" s="51" t="n">
        <f aca="false">F35-(I35-X35)</f>
        <v>13.6221830098311</v>
      </c>
      <c r="M35" s="51" t="n">
        <v>327</v>
      </c>
      <c r="N35" s="51" t="n">
        <v>1</v>
      </c>
      <c r="O35" s="51" t="n">
        <f aca="false">43.9+43.3*1.05</f>
        <v>89.365</v>
      </c>
      <c r="P35" s="6" t="n">
        <f aca="false">M35-(N35+O35)</f>
        <v>236.635</v>
      </c>
      <c r="Q35" s="51" t="n">
        <v>150</v>
      </c>
      <c r="R35" s="51" t="n">
        <v>77</v>
      </c>
      <c r="S35" s="51" t="n">
        <f aca="false">SUM(P35:R35)</f>
        <v>463.635</v>
      </c>
      <c r="T35" s="52" t="n">
        <f aca="false">(I35-S35)+T34</f>
        <v>-15620.166908243</v>
      </c>
      <c r="U35" s="51" t="n">
        <v>210.6</v>
      </c>
      <c r="V35" s="51" t="n">
        <v>78</v>
      </c>
      <c r="W35" s="52" t="n">
        <f aca="false">W34-75</f>
        <v>9723</v>
      </c>
      <c r="X35" s="6" t="n">
        <f aca="false">N35+O35+S35+U35+V35</f>
        <v>842.6</v>
      </c>
      <c r="Y35" s="51" t="n">
        <f aca="false">IF(L35&lt;0,L35*-1,0)</f>
        <v>0</v>
      </c>
      <c r="Z35" s="51" t="n">
        <f aca="false">X35+Y35</f>
        <v>842.6</v>
      </c>
      <c r="AA35" s="53" t="n">
        <v>0</v>
      </c>
      <c r="AB35" s="56" t="n">
        <v>81</v>
      </c>
      <c r="AC35" s="56" t="n">
        <v>55</v>
      </c>
      <c r="AD35" s="57" t="n">
        <v>26</v>
      </c>
      <c r="AE35" s="85"/>
      <c r="AF35" s="87"/>
      <c r="AG35" s="87"/>
    </row>
    <row r="36" customFormat="false" ht="11.1" hidden="false" customHeight="true" outlineLevel="0" collapsed="false">
      <c r="A36" s="57" t="n">
        <v>27</v>
      </c>
      <c r="B36" s="71" t="n">
        <v>6891.58</v>
      </c>
      <c r="C36" s="52" t="n">
        <v>253561</v>
      </c>
      <c r="D36" s="56" t="n">
        <f aca="false">C36-C35</f>
        <v>-1373</v>
      </c>
      <c r="E36" s="52" t="n">
        <f aca="false">C36-152000</f>
        <v>101561</v>
      </c>
      <c r="F36" s="51" t="n">
        <f aca="false">D36/$D$2</f>
        <v>-692.210738593395</v>
      </c>
      <c r="G36" s="51" t="n">
        <v>161</v>
      </c>
      <c r="H36" s="82" t="n">
        <v>0</v>
      </c>
      <c r="I36" s="51" t="n">
        <f aca="false">G36+H36</f>
        <v>161</v>
      </c>
      <c r="J36" s="78" t="n">
        <f aca="false">IF(L36&gt;0,L36,0)</f>
        <v>0</v>
      </c>
      <c r="K36" s="51" t="n">
        <f aca="false">I36+J36</f>
        <v>161</v>
      </c>
      <c r="L36" s="51" t="n">
        <f aca="false">F36-(I36-X36)</f>
        <v>-62.8107385933955</v>
      </c>
      <c r="M36" s="51" t="n">
        <v>306</v>
      </c>
      <c r="N36" s="51" t="n">
        <v>1</v>
      </c>
      <c r="O36" s="51" t="n">
        <f aca="false">32.7+31.9*1.05</f>
        <v>66.195</v>
      </c>
      <c r="P36" s="6" t="n">
        <f aca="false">M36-(N36+O36)</f>
        <v>238.805</v>
      </c>
      <c r="Q36" s="51" t="n">
        <v>150</v>
      </c>
      <c r="R36" s="51" t="n">
        <v>77</v>
      </c>
      <c r="S36" s="51" t="n">
        <f aca="false">SUM(P36:R36)</f>
        <v>465.805</v>
      </c>
      <c r="T36" s="52" t="n">
        <f aca="false">(I36-S36)+T35</f>
        <v>-15924.971908243</v>
      </c>
      <c r="U36" s="51" t="n">
        <v>179.4</v>
      </c>
      <c r="V36" s="51" t="n">
        <v>78</v>
      </c>
      <c r="W36" s="52" t="n">
        <f aca="false">W35-75</f>
        <v>9648</v>
      </c>
      <c r="X36" s="6" t="n">
        <f aca="false">N36+O36+S36+U36+V36</f>
        <v>790.4</v>
      </c>
      <c r="Y36" s="51" t="n">
        <f aca="false">IF(L36&lt;0,L36*-1,0)</f>
        <v>62.8107385933955</v>
      </c>
      <c r="Z36" s="51" t="n">
        <f aca="false">X36+Y36</f>
        <v>853.210738593396</v>
      </c>
      <c r="AA36" s="53" t="n">
        <v>0</v>
      </c>
      <c r="AB36" s="56" t="n">
        <v>81</v>
      </c>
      <c r="AC36" s="56" t="n">
        <v>56</v>
      </c>
      <c r="AD36" s="57" t="n">
        <v>27</v>
      </c>
      <c r="AE36" s="85"/>
      <c r="AF36" s="87"/>
      <c r="AG36" s="87"/>
    </row>
    <row r="37" customFormat="false" ht="11.1" hidden="false" customHeight="true" outlineLevel="0" collapsed="false">
      <c r="A37" s="135" t="n">
        <v>28</v>
      </c>
      <c r="B37" s="107" t="n">
        <v>6891.19</v>
      </c>
      <c r="C37" s="108" t="n">
        <v>252221</v>
      </c>
      <c r="D37" s="128" t="n">
        <f aca="false">C37-C36</f>
        <v>-1340</v>
      </c>
      <c r="E37" s="108" t="n">
        <f aca="false">C37-152000</f>
        <v>100221</v>
      </c>
      <c r="F37" s="92" t="n">
        <f aca="false">D37/$D$2</f>
        <v>-675.573481220066</v>
      </c>
      <c r="G37" s="92" t="n">
        <v>161</v>
      </c>
      <c r="H37" s="136" t="n">
        <v>0</v>
      </c>
      <c r="I37" s="92" t="n">
        <f aca="false">G37+H37</f>
        <v>161</v>
      </c>
      <c r="J37" s="137" t="n">
        <f aca="false">IF(L37&gt;0,L37,0)</f>
        <v>0</v>
      </c>
      <c r="K37" s="92" t="n">
        <f aca="false">I37+J37</f>
        <v>161</v>
      </c>
      <c r="L37" s="92" t="n">
        <f aca="false">F37-(I37-X37)</f>
        <v>-52.7734812200656</v>
      </c>
      <c r="M37" s="92" t="n">
        <v>289</v>
      </c>
      <c r="N37" s="92" t="n">
        <v>1</v>
      </c>
      <c r="O37" s="92" t="n">
        <f aca="false">26.8+25.6*1.05</f>
        <v>53.68</v>
      </c>
      <c r="P37" s="6" t="n">
        <f aca="false">M37-(N37+O37)</f>
        <v>234.32</v>
      </c>
      <c r="Q37" s="92" t="n">
        <v>151</v>
      </c>
      <c r="R37" s="92" t="n">
        <v>78</v>
      </c>
      <c r="S37" s="92" t="n">
        <f aca="false">SUM(P37:R37)</f>
        <v>463.32</v>
      </c>
      <c r="T37" s="108" t="n">
        <f aca="false">(I37-S37)+T36</f>
        <v>-16227.291908243</v>
      </c>
      <c r="U37" s="92" t="n">
        <v>187.8</v>
      </c>
      <c r="V37" s="51" t="n">
        <v>78</v>
      </c>
      <c r="W37" s="52" t="n">
        <f aca="false">W36-75</f>
        <v>9573</v>
      </c>
      <c r="X37" s="6" t="n">
        <f aca="false">N37+O37+S37+U37+V37</f>
        <v>783.8</v>
      </c>
      <c r="Y37" s="92" t="n">
        <f aca="false">IF(L37&lt;0,L37*-1,0)</f>
        <v>52.7734812200656</v>
      </c>
      <c r="Z37" s="92" t="n">
        <f aca="false">X37+Y37</f>
        <v>836.573481220066</v>
      </c>
      <c r="AA37" s="90" t="n">
        <v>0</v>
      </c>
      <c r="AB37" s="128" t="n">
        <v>81</v>
      </c>
      <c r="AC37" s="128" t="n">
        <v>55</v>
      </c>
      <c r="AD37" s="135" t="n">
        <v>28</v>
      </c>
      <c r="AE37" s="85"/>
      <c r="AF37" s="87"/>
      <c r="AG37" s="87"/>
    </row>
    <row r="38" customFormat="false" ht="11.1" hidden="false" customHeight="true" outlineLevel="0" collapsed="false">
      <c r="A38" s="135" t="n">
        <v>29</v>
      </c>
      <c r="B38" s="107" t="n">
        <v>6890.86</v>
      </c>
      <c r="C38" s="108" t="n">
        <v>251093</v>
      </c>
      <c r="D38" s="128" t="n">
        <f aca="false">C38-C37</f>
        <v>-1128</v>
      </c>
      <c r="E38" s="108" t="n">
        <f aca="false">C38-152000</f>
        <v>99093</v>
      </c>
      <c r="F38" s="92" t="n">
        <f aca="false">D38/$D$2</f>
        <v>-568.691706579279</v>
      </c>
      <c r="G38" s="92" t="n">
        <v>163</v>
      </c>
      <c r="H38" s="136" t="n">
        <v>0</v>
      </c>
      <c r="I38" s="92" t="n">
        <f aca="false">G38+H38</f>
        <v>163</v>
      </c>
      <c r="J38" s="137" t="n">
        <f aca="false">IF(L38&gt;0,L38,0)</f>
        <v>32.2082934207209</v>
      </c>
      <c r="K38" s="92" t="n">
        <f aca="false">I38+J38</f>
        <v>195.208293420721</v>
      </c>
      <c r="L38" s="92" t="n">
        <f aca="false">F38-(I38-X38)</f>
        <v>32.2082934207209</v>
      </c>
      <c r="M38" s="92" t="n">
        <v>292</v>
      </c>
      <c r="N38" s="92" t="n">
        <v>1</v>
      </c>
      <c r="O38" s="92" t="n">
        <f aca="false">25.6+24.4*1.05</f>
        <v>51.22</v>
      </c>
      <c r="P38" s="6" t="n">
        <f aca="false">M38-(N38+O38)</f>
        <v>239.78</v>
      </c>
      <c r="Q38" s="92" t="n">
        <v>153</v>
      </c>
      <c r="R38" s="92" t="n">
        <v>79</v>
      </c>
      <c r="S38" s="92" t="n">
        <f aca="false">SUM(P38:R38)</f>
        <v>471.78</v>
      </c>
      <c r="T38" s="108" t="n">
        <f aca="false">(I38-S38)+T37</f>
        <v>-16536.071908243</v>
      </c>
      <c r="U38" s="92" t="n">
        <v>161.9</v>
      </c>
      <c r="V38" s="51" t="n">
        <v>78</v>
      </c>
      <c r="W38" s="52" t="n">
        <f aca="false">W37-75</f>
        <v>9498</v>
      </c>
      <c r="X38" s="6" t="n">
        <f aca="false">N38+O38+S38+U38+V38</f>
        <v>763.9</v>
      </c>
      <c r="Y38" s="92" t="n">
        <f aca="false">IF(L38&lt;0,L38*-1,0)</f>
        <v>0</v>
      </c>
      <c r="Z38" s="92" t="n">
        <f aca="false">X38+Y38</f>
        <v>763.9</v>
      </c>
      <c r="AA38" s="90" t="n">
        <v>0.12</v>
      </c>
      <c r="AB38" s="128" t="n">
        <v>76</v>
      </c>
      <c r="AC38" s="128" t="n">
        <v>54</v>
      </c>
      <c r="AD38" s="135" t="n">
        <v>29</v>
      </c>
      <c r="AE38" s="85"/>
      <c r="AF38" s="87"/>
      <c r="AG38" s="87"/>
    </row>
    <row r="39" customFormat="false" ht="11.1" hidden="false" customHeight="true" outlineLevel="0" collapsed="false">
      <c r="A39" s="135" t="n">
        <v>30</v>
      </c>
      <c r="B39" s="107" t="n">
        <v>6890.59</v>
      </c>
      <c r="C39" s="108" t="n">
        <v>250175</v>
      </c>
      <c r="D39" s="128" t="n">
        <f aca="false">C39-C38</f>
        <v>-918</v>
      </c>
      <c r="E39" s="108" t="n">
        <f aca="false">C39-152000</f>
        <v>98175</v>
      </c>
      <c r="F39" s="92" t="n">
        <f aca="false">D39/$D$2</f>
        <v>-462.818250567179</v>
      </c>
      <c r="G39" s="92" t="n">
        <v>183</v>
      </c>
      <c r="H39" s="136" t="n">
        <v>0</v>
      </c>
      <c r="I39" s="92" t="n">
        <f aca="false">G39+H39</f>
        <v>183</v>
      </c>
      <c r="J39" s="137" t="n">
        <f aca="false">IF(L39&gt;0,L39,0)</f>
        <v>29.1817494328208</v>
      </c>
      <c r="K39" s="92" t="n">
        <f aca="false">I39+J39</f>
        <v>212.181749432821</v>
      </c>
      <c r="L39" s="92" t="n">
        <f aca="false">F39-(I39-X39)</f>
        <v>29.1817494328208</v>
      </c>
      <c r="M39" s="92" t="n">
        <v>275</v>
      </c>
      <c r="N39" s="92" t="n">
        <v>1</v>
      </c>
      <c r="O39" s="92" t="n">
        <f aca="false">30.5+32.5*1.05</f>
        <v>64.625</v>
      </c>
      <c r="P39" s="6" t="n">
        <f aca="false">M39-(N39+O39)</f>
        <v>209.375</v>
      </c>
      <c r="Q39" s="92" t="n">
        <v>153</v>
      </c>
      <c r="R39" s="92" t="n">
        <v>76</v>
      </c>
      <c r="S39" s="92" t="n">
        <f aca="false">SUM(P39:R39)</f>
        <v>438.375</v>
      </c>
      <c r="T39" s="108" t="n">
        <f aca="false">(I39-S39)+T38</f>
        <v>-16791.446908243</v>
      </c>
      <c r="U39" s="92" t="n">
        <v>93</v>
      </c>
      <c r="V39" s="51" t="n">
        <v>78</v>
      </c>
      <c r="W39" s="52" t="n">
        <f aca="false">W38-75</f>
        <v>9423</v>
      </c>
      <c r="X39" s="6" t="n">
        <f aca="false">N39+O39+S39+U39+V39</f>
        <v>675</v>
      </c>
      <c r="Y39" s="92" t="n">
        <f aca="false">IF(L39&lt;0,L39*-1,0)</f>
        <v>0</v>
      </c>
      <c r="Z39" s="92" t="n">
        <f aca="false">X39+Y39</f>
        <v>675</v>
      </c>
      <c r="AA39" s="90" t="n">
        <v>0.45</v>
      </c>
      <c r="AB39" s="128" t="n">
        <v>73</v>
      </c>
      <c r="AC39" s="128" t="n">
        <v>54</v>
      </c>
      <c r="AD39" s="135" t="n">
        <v>30</v>
      </c>
      <c r="AE39" s="85"/>
      <c r="AF39" s="87"/>
      <c r="AG39" s="87"/>
    </row>
    <row r="40" customFormat="false" ht="11.1" hidden="false" customHeight="true" outlineLevel="0" collapsed="false">
      <c r="A40" s="135" t="n">
        <v>31</v>
      </c>
      <c r="B40" s="107" t="n">
        <v>6890.26</v>
      </c>
      <c r="C40" s="108" t="n">
        <v>249052</v>
      </c>
      <c r="D40" s="128" t="n">
        <f aca="false">C40-C39</f>
        <v>-1123</v>
      </c>
      <c r="E40" s="108" t="n">
        <f aca="false">C40-152000</f>
        <v>97052</v>
      </c>
      <c r="F40" s="92" t="n">
        <f aca="false">D40/$D$2</f>
        <v>-566.170910007562</v>
      </c>
      <c r="G40" s="92" t="n">
        <v>203</v>
      </c>
      <c r="H40" s="136" t="n">
        <v>0</v>
      </c>
      <c r="I40" s="92" t="n">
        <f aca="false">G40+H40</f>
        <v>203</v>
      </c>
      <c r="J40" s="137" t="n">
        <f aca="false">IF(L40&gt;0,L40,0)</f>
        <v>0</v>
      </c>
      <c r="K40" s="92" t="n">
        <f aca="false">I40+J40</f>
        <v>203</v>
      </c>
      <c r="L40" s="92" t="n">
        <f aca="false">F40-(I40-X40)</f>
        <v>-105.570910007562</v>
      </c>
      <c r="M40" s="92" t="n">
        <v>288</v>
      </c>
      <c r="N40" s="92" t="n">
        <v>1</v>
      </c>
      <c r="O40" s="92" t="n">
        <f aca="false">33.8+31.5*1.05</f>
        <v>66.875</v>
      </c>
      <c r="P40" s="6" t="n">
        <f aca="false">M40-(N40+O40)</f>
        <v>220.125</v>
      </c>
      <c r="Q40" s="92" t="n">
        <v>153</v>
      </c>
      <c r="R40" s="92" t="n">
        <v>74</v>
      </c>
      <c r="S40" s="92" t="n">
        <f aca="false">SUM(P40:R40)</f>
        <v>447.125</v>
      </c>
      <c r="T40" s="108" t="n">
        <f aca="false">(I40-S40)+T39</f>
        <v>-17035.571908243</v>
      </c>
      <c r="U40" s="92" t="n">
        <v>70.6</v>
      </c>
      <c r="V40" s="51" t="n">
        <v>78</v>
      </c>
      <c r="W40" s="52" t="n">
        <f aca="false">W39-75</f>
        <v>9348</v>
      </c>
      <c r="X40" s="6" t="n">
        <f aca="false">N40+O40+S40+U40+V40</f>
        <v>663.6</v>
      </c>
      <c r="Y40" s="92" t="n">
        <f aca="false">IF(L40&lt;0,L40*-1,0)</f>
        <v>105.570910007562</v>
      </c>
      <c r="Z40" s="92" t="n">
        <f aca="false">X40+Y40</f>
        <v>769.170910007562</v>
      </c>
      <c r="AA40" s="90" t="n">
        <v>0</v>
      </c>
      <c r="AB40" s="128" t="n">
        <v>73</v>
      </c>
      <c r="AC40" s="128" t="n">
        <v>50</v>
      </c>
      <c r="AD40" s="135" t="n">
        <v>31</v>
      </c>
      <c r="AE40" s="85"/>
      <c r="AF40" s="87"/>
      <c r="AG40" s="87"/>
    </row>
    <row r="41" customFormat="false" ht="3" hidden="false" customHeight="true" outlineLevel="0" collapsed="false">
      <c r="A41" s="72"/>
      <c r="B41" s="72"/>
      <c r="C41" s="74"/>
      <c r="D41" s="72"/>
      <c r="E41" s="74"/>
      <c r="F41" s="72"/>
      <c r="G41" s="72"/>
      <c r="H41" s="134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4"/>
      <c r="U41" s="72"/>
      <c r="V41" s="72"/>
      <c r="W41" s="72"/>
      <c r="X41" s="72"/>
      <c r="Y41" s="72"/>
      <c r="Z41" s="72"/>
      <c r="AA41" s="75"/>
      <c r="AB41" s="76"/>
      <c r="AC41" s="76"/>
      <c r="AD41" s="77"/>
      <c r="AE41" s="85"/>
      <c r="AF41" s="85"/>
      <c r="AG41" s="86"/>
    </row>
    <row r="42" customFormat="false" ht="11.1" hidden="false" customHeight="true" outlineLevel="0" collapsed="false">
      <c r="A42" s="51" t="s">
        <v>46</v>
      </c>
      <c r="B42" s="51"/>
      <c r="C42" s="52"/>
      <c r="D42" s="52"/>
      <c r="E42" s="52"/>
      <c r="F42" s="52" t="n">
        <f aca="false">SUM(F10:F40)</f>
        <v>-22597.4287874969</v>
      </c>
      <c r="G42" s="52" t="n">
        <f aca="false">SUM(G10:G40)</f>
        <v>4709</v>
      </c>
      <c r="H42" s="52" t="n">
        <f aca="false">SUM(H10:H40)</f>
        <v>0</v>
      </c>
      <c r="I42" s="52" t="n">
        <f aca="false">SUM(I10:I40)</f>
        <v>4709</v>
      </c>
      <c r="J42" s="52" t="n">
        <f aca="false">SUM(J10:J40)</f>
        <v>204.512251071339</v>
      </c>
      <c r="K42" s="52" t="n">
        <f aca="false">SUM(K10:K40)</f>
        <v>4913.51225107134</v>
      </c>
      <c r="L42" s="52" t="n">
        <f aca="false">SUM(L10:L40)</f>
        <v>-940.128787496849</v>
      </c>
      <c r="M42" s="52" t="n">
        <f aca="false">SUM(M10:M40)</f>
        <v>9582</v>
      </c>
      <c r="N42" s="52" t="n">
        <f aca="false">SUM(N10:N40)</f>
        <v>29</v>
      </c>
      <c r="O42" s="52" t="n">
        <f aca="false">SUM(O10:O40)</f>
        <v>2092.74</v>
      </c>
      <c r="P42" s="52" t="n">
        <f aca="false">SUM(P10:P40)</f>
        <v>7460.26</v>
      </c>
      <c r="Q42" s="52" t="n">
        <f aca="false">SUM(Q10:Q40)</f>
        <v>4580</v>
      </c>
      <c r="R42" s="52" t="n">
        <f aca="false">SUM(R10:R40)</f>
        <v>2387</v>
      </c>
      <c r="S42" s="52" t="n">
        <f aca="false">SUM(S10:S40)</f>
        <v>14427.26</v>
      </c>
      <c r="T42" s="52"/>
      <c r="U42" s="52" t="n">
        <f aca="false">SUM(U10:U40)</f>
        <v>7391.3</v>
      </c>
      <c r="V42" s="52" t="n">
        <f aca="false">SUM(V10:V40)</f>
        <v>2426</v>
      </c>
      <c r="W42" s="52"/>
      <c r="X42" s="52" t="n">
        <f aca="false">SUM(X10:X40)</f>
        <v>26366.3</v>
      </c>
      <c r="Y42" s="52" t="n">
        <f aca="false">SUM(Y10:Y40)</f>
        <v>1144.64103856819</v>
      </c>
      <c r="Z42" s="52" t="n">
        <f aca="false">SUM(Z10:Z40)</f>
        <v>27510.9410385682</v>
      </c>
      <c r="AA42" s="53" t="n">
        <f aca="false">SUM(AA10:AA40)</f>
        <v>1.53</v>
      </c>
      <c r="AB42" s="56" t="n">
        <f aca="false">AVERAGE(AB10:AB40)</f>
        <v>84.1290322580645</v>
      </c>
      <c r="AC42" s="56" t="n">
        <f aca="false">AVERAGE(AC10:AC40)</f>
        <v>56.5806451612903</v>
      </c>
      <c r="AD42" s="57" t="s">
        <v>71</v>
      </c>
      <c r="AE42" s="85"/>
      <c r="AF42" s="85"/>
      <c r="AG42" s="86"/>
    </row>
    <row r="43" customFormat="false" ht="11.1" hidden="false" customHeight="true" outlineLevel="0" collapsed="false">
      <c r="A43" s="51" t="s">
        <v>48</v>
      </c>
      <c r="B43" s="51"/>
      <c r="C43" s="52"/>
      <c r="D43" s="52" t="n">
        <f aca="false">SUM(D10:D40)</f>
        <v>-44822</v>
      </c>
      <c r="E43" s="52"/>
      <c r="F43" s="52" t="n">
        <f aca="false">F42*$D$2</f>
        <v>-44822</v>
      </c>
      <c r="G43" s="52" t="n">
        <f aca="false">G42*$D$2</f>
        <v>9340.3015</v>
      </c>
      <c r="H43" s="52" t="n">
        <f aca="false">H42*$D$2</f>
        <v>0</v>
      </c>
      <c r="I43" s="52" t="n">
        <f aca="false">I42*$D$2</f>
        <v>9340.3015</v>
      </c>
      <c r="J43" s="52" t="n">
        <f aca="false">J42*$D$2</f>
        <v>405.65005</v>
      </c>
      <c r="K43" s="52" t="n">
        <f aca="false">K42*$D$2</f>
        <v>9745.95155</v>
      </c>
      <c r="L43" s="52" t="n">
        <f aca="false">L42*$D$2</f>
        <v>-1864.74545</v>
      </c>
      <c r="M43" s="52" t="n">
        <f aca="false">M42*$D$2</f>
        <v>19005.897</v>
      </c>
      <c r="N43" s="52" t="n">
        <f aca="false">N42*$D$2</f>
        <v>57.5215</v>
      </c>
      <c r="O43" s="52" t="n">
        <f aca="false">O42*$D$2</f>
        <v>4150.94979</v>
      </c>
      <c r="P43" s="52" t="n">
        <f aca="false">P42*$D$2</f>
        <v>14797.42571</v>
      </c>
      <c r="Q43" s="52" t="n">
        <f aca="false">Q42*$D$2</f>
        <v>9084.43</v>
      </c>
      <c r="R43" s="52" t="n">
        <f aca="false">R42*$D$2</f>
        <v>4734.6145</v>
      </c>
      <c r="S43" s="52" t="n">
        <f aca="false">S42*$D$2</f>
        <v>28616.47021</v>
      </c>
      <c r="T43" s="52"/>
      <c r="U43" s="52" t="n">
        <f aca="false">U42*$D$2</f>
        <v>14660.64355</v>
      </c>
      <c r="V43" s="52" t="n">
        <f aca="false">V42*$D$2</f>
        <v>4811.971</v>
      </c>
      <c r="W43" s="52"/>
      <c r="X43" s="52" t="n">
        <f aca="false">X42*$D$2</f>
        <v>52297.55605</v>
      </c>
      <c r="Y43" s="52" t="n">
        <f aca="false">Y42*$D$2</f>
        <v>2270.3955</v>
      </c>
      <c r="Z43" s="52" t="n">
        <f aca="false">Z42*$D$2</f>
        <v>54567.95155</v>
      </c>
      <c r="AA43" s="53"/>
      <c r="AB43" s="56" t="n">
        <f aca="false">MAX(AB10:AB40)</f>
        <v>96</v>
      </c>
      <c r="AC43" s="56" t="n">
        <f aca="false">MAX(AC10:AC40)</f>
        <v>66</v>
      </c>
      <c r="AD43" s="57" t="s">
        <v>49</v>
      </c>
      <c r="AE43" s="85"/>
      <c r="AF43" s="85"/>
      <c r="AG43" s="86"/>
    </row>
    <row r="44" customFormat="false" ht="3" hidden="false" customHeight="true" outlineLevel="0" collapsed="false">
      <c r="A44" s="72"/>
      <c r="B44" s="72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2"/>
      <c r="X44" s="74"/>
      <c r="Y44" s="74"/>
      <c r="Z44" s="74"/>
      <c r="AA44" s="53"/>
      <c r="AB44" s="56"/>
      <c r="AC44" s="56"/>
      <c r="AD44" s="57"/>
      <c r="AE44" s="85"/>
      <c r="AF44" s="85"/>
      <c r="AG44" s="86"/>
    </row>
    <row r="45" customFormat="false" ht="11.1" hidden="false" customHeight="true" outlineLevel="0" collapsed="false">
      <c r="A45" s="51" t="s">
        <v>50</v>
      </c>
      <c r="B45" s="51"/>
      <c r="C45" s="52"/>
      <c r="D45" s="52"/>
      <c r="E45" s="52"/>
      <c r="F45" s="52" t="n">
        <f aca="false">F7+F42</f>
        <v>-40119.4857574994</v>
      </c>
      <c r="G45" s="52" t="n">
        <f aca="false">G7+G42</f>
        <v>97076</v>
      </c>
      <c r="H45" s="52" t="n">
        <f aca="false">H7+H42</f>
        <v>1956.67</v>
      </c>
      <c r="I45" s="52" t="n">
        <f aca="false">I7+I42</f>
        <v>99032.67</v>
      </c>
      <c r="J45" s="52" t="n">
        <f aca="false">J7+J42</f>
        <v>10641.486642299</v>
      </c>
      <c r="K45" s="52" t="n">
        <f aca="false">K7+K42</f>
        <v>109674.156642299</v>
      </c>
      <c r="L45" s="52" t="n">
        <f aca="false">L7+L42</f>
        <v>6006.22424250063</v>
      </c>
      <c r="M45" s="52" t="n">
        <f aca="false">M7+M42</f>
        <v>42237.3</v>
      </c>
      <c r="N45" s="52" t="n">
        <f aca="false">N7+N42</f>
        <v>174.87</v>
      </c>
      <c r="O45" s="52" t="n">
        <f aca="false">O7+O42</f>
        <v>9916.23</v>
      </c>
      <c r="P45" s="52" t="n">
        <f aca="false">P7+P42</f>
        <v>32146.2</v>
      </c>
      <c r="Q45" s="52" t="n">
        <f aca="false">Q7+Q42</f>
        <v>20108</v>
      </c>
      <c r="R45" s="52" t="n">
        <f aca="false">R7+R42</f>
        <v>10031.1</v>
      </c>
      <c r="S45" s="52" t="n">
        <f aca="false">S7+S42</f>
        <v>62285.3</v>
      </c>
      <c r="T45" s="52" t="n">
        <f aca="false">T40</f>
        <v>-17035.571908243</v>
      </c>
      <c r="U45" s="52" t="n">
        <f aca="false">U7+U42</f>
        <v>27470.98</v>
      </c>
      <c r="V45" s="52" t="n">
        <f aca="false">V7+V42</f>
        <v>45311</v>
      </c>
      <c r="W45" s="52"/>
      <c r="X45" s="52" t="n">
        <f aca="false">X7+X42</f>
        <v>145158.38</v>
      </c>
      <c r="Y45" s="52" t="n">
        <f aca="false">Y7+Y42</f>
        <v>4635.26239979834</v>
      </c>
      <c r="Z45" s="52" t="n">
        <f aca="false">Z7+Z42</f>
        <v>149793.642399798</v>
      </c>
      <c r="AA45" s="53"/>
      <c r="AB45" s="56" t="n">
        <f aca="false">MIN(AB10:AB40)</f>
        <v>73</v>
      </c>
      <c r="AC45" s="56" t="n">
        <f aca="false">MIN(AC10:AC40)</f>
        <v>38</v>
      </c>
      <c r="AD45" s="57" t="s">
        <v>51</v>
      </c>
      <c r="AE45" s="85"/>
      <c r="AF45" s="85"/>
      <c r="AG45" s="86"/>
    </row>
    <row r="46" customFormat="false" ht="11.1" hidden="false" customHeight="true" outlineLevel="0" collapsed="false">
      <c r="A46" s="51" t="s">
        <v>52</v>
      </c>
      <c r="B46" s="51"/>
      <c r="C46" s="52"/>
      <c r="D46" s="52"/>
      <c r="E46" s="52"/>
      <c r="F46" s="52" t="n">
        <f aca="false">F45*$D$2</f>
        <v>-79577</v>
      </c>
      <c r="G46" s="52" t="n">
        <f aca="false">G45*$D$2</f>
        <v>192550.246</v>
      </c>
      <c r="H46" s="52" t="n">
        <f aca="false">H45*$D$2</f>
        <v>3881.054945</v>
      </c>
      <c r="I46" s="52" t="n">
        <f aca="false">I45*$D$2</f>
        <v>196431.300945</v>
      </c>
      <c r="J46" s="52" t="n">
        <f aca="false">J45*$D$2</f>
        <v>21107.388755</v>
      </c>
      <c r="K46" s="52" t="n">
        <f aca="false">K45*$D$2</f>
        <v>217538.6897</v>
      </c>
      <c r="L46" s="52" t="n">
        <f aca="false">L45*$D$2</f>
        <v>11913.345785</v>
      </c>
      <c r="M46" s="52" t="n">
        <f aca="false">M45*$D$2</f>
        <v>83777.68455</v>
      </c>
      <c r="N46" s="52" t="n">
        <f aca="false">N45*$D$2</f>
        <v>346.854645</v>
      </c>
      <c r="O46" s="52" t="n">
        <f aca="false">O45*$D$2</f>
        <v>19668.842205</v>
      </c>
      <c r="P46" s="52" t="n">
        <f aca="false">P45*$D$2</f>
        <v>63761.9877</v>
      </c>
      <c r="Q46" s="52" t="n">
        <f aca="false">Q45*$D$2</f>
        <v>39884.218</v>
      </c>
      <c r="R46" s="52" t="n">
        <f aca="false">R45*$D$2</f>
        <v>19896.68685</v>
      </c>
      <c r="S46" s="52" t="n">
        <f aca="false">S45*$D$2</f>
        <v>123542.89255</v>
      </c>
      <c r="T46" s="52" t="n">
        <f aca="false">T45*$D$2</f>
        <v>-33790.05688</v>
      </c>
      <c r="U46" s="52" t="n">
        <f aca="false">U45*$D$2</f>
        <v>54488.68883</v>
      </c>
      <c r="V46" s="52" t="n">
        <f aca="false">V45*$D$2</f>
        <v>89874.3685</v>
      </c>
      <c r="W46" s="52"/>
      <c r="X46" s="52" t="n">
        <f aca="false">X45*$D$2</f>
        <v>287921.64673</v>
      </c>
      <c r="Y46" s="52" t="n">
        <f aca="false">Y45*$D$2</f>
        <v>9194.04297</v>
      </c>
      <c r="Z46" s="52" t="n">
        <f aca="false">Z45*$D$2</f>
        <v>297115.6897</v>
      </c>
      <c r="AA46" s="53"/>
      <c r="AB46" s="56"/>
      <c r="AC46" s="56"/>
      <c r="AD46" s="57"/>
      <c r="AE46" s="85"/>
      <c r="AF46" s="85"/>
      <c r="AG46" s="86"/>
    </row>
    <row r="47" customFormat="false" ht="3" hidden="false" customHeight="true" outlineLevel="0" collapsed="false">
      <c r="A47" s="72"/>
      <c r="B47" s="72"/>
      <c r="C47" s="74"/>
      <c r="D47" s="74"/>
      <c r="E47" s="74"/>
      <c r="F47" s="74"/>
      <c r="G47" s="74"/>
      <c r="H47" s="76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5"/>
      <c r="AB47" s="56"/>
      <c r="AC47" s="56"/>
      <c r="AD47" s="57"/>
      <c r="AE47" s="85"/>
      <c r="AF47" s="85"/>
      <c r="AG47" s="86"/>
    </row>
    <row r="48" customFormat="false" ht="11.1" hidden="false" customHeight="true" outlineLevel="0" collapsed="false">
      <c r="A48" s="51" t="s">
        <v>53</v>
      </c>
      <c r="B48" s="51"/>
      <c r="C48" s="52"/>
      <c r="D48" s="52"/>
      <c r="E48" s="52"/>
      <c r="F48" s="52" t="n">
        <f aca="false">F8+F42</f>
        <v>-40649.3571968742</v>
      </c>
      <c r="G48" s="52" t="n">
        <f aca="false">G8+G42</f>
        <v>106660</v>
      </c>
      <c r="H48" s="56" t="n">
        <f aca="false">H8+H42</f>
        <v>2221.95</v>
      </c>
      <c r="I48" s="52" t="n">
        <f aca="false">I8+I42</f>
        <v>108881.95</v>
      </c>
      <c r="J48" s="52" t="n">
        <f aca="false">J8+J42</f>
        <v>12989.6476178472</v>
      </c>
      <c r="K48" s="52" t="n">
        <f aca="false">K8+K42</f>
        <v>121867.8648727</v>
      </c>
      <c r="L48" s="52" t="n">
        <f aca="false">L8+L42</f>
        <v>7683.80280312579</v>
      </c>
      <c r="M48" s="52" t="n">
        <f aca="false">M8+M42</f>
        <v>44676.06</v>
      </c>
      <c r="N48" s="52" t="n">
        <f aca="false">N8+N42</f>
        <v>241.25</v>
      </c>
      <c r="O48" s="52" t="n">
        <f aca="false">O8+O42</f>
        <v>10357.5705</v>
      </c>
      <c r="P48" s="52" t="n">
        <f aca="false">P8+P42</f>
        <v>34077.2395</v>
      </c>
      <c r="Q48" s="52" t="n">
        <f aca="false">Q8+Q42</f>
        <v>21152</v>
      </c>
      <c r="R48" s="52" t="n">
        <f aca="false">R8+R42</f>
        <v>10591.1</v>
      </c>
      <c r="S48" s="52" t="n">
        <f aca="false">S8+S42</f>
        <v>65820.3395</v>
      </c>
      <c r="T48" s="52" t="n">
        <f aca="false">T45</f>
        <v>-17035.571908243</v>
      </c>
      <c r="U48" s="52" t="n">
        <f aca="false">U8+U42</f>
        <v>27470.98</v>
      </c>
      <c r="V48" s="52" t="n">
        <f aca="false">V8+V42</f>
        <v>53324.97</v>
      </c>
      <c r="W48" s="52" t="n">
        <f aca="false">W40</f>
        <v>9348</v>
      </c>
      <c r="X48" s="52" t="n">
        <f aca="false">X8+X42</f>
        <v>157215.11</v>
      </c>
      <c r="Y48" s="52" t="n">
        <f aca="false">Y8+Y42</f>
        <v>5305.84481472145</v>
      </c>
      <c r="Z48" s="52" t="n">
        <f aca="false">Z8+Z42</f>
        <v>162520.954814721</v>
      </c>
      <c r="AA48" s="53" t="n">
        <f aca="false">AA8+AA42</f>
        <v>8.59</v>
      </c>
      <c r="AB48" s="56"/>
      <c r="AC48" s="56"/>
      <c r="AD48" s="57"/>
      <c r="AE48" s="85"/>
      <c r="AF48" s="85"/>
      <c r="AG48" s="86"/>
    </row>
    <row r="49" customFormat="false" ht="11.1" hidden="false" customHeight="true" outlineLevel="0" collapsed="false">
      <c r="A49" s="51" t="s">
        <v>54</v>
      </c>
      <c r="B49" s="51"/>
      <c r="C49" s="52"/>
      <c r="D49" s="52" t="n">
        <f aca="false">D8+D43</f>
        <v>-80628</v>
      </c>
      <c r="E49" s="52" t="n">
        <f aca="false">E40</f>
        <v>97052</v>
      </c>
      <c r="F49" s="52" t="n">
        <f aca="false">F48*$D$2</f>
        <v>-80628</v>
      </c>
      <c r="G49" s="52" t="n">
        <f aca="false">G48*$D$2</f>
        <v>211560.11</v>
      </c>
      <c r="H49" s="56" t="n">
        <f aca="false">H48*$D$2</f>
        <v>4407.237825</v>
      </c>
      <c r="I49" s="52" t="n">
        <f aca="false">I48*$D$2</f>
        <v>215967.347825</v>
      </c>
      <c r="J49" s="52" t="n">
        <f aca="false">J48*$D$2</f>
        <v>25764.96605</v>
      </c>
      <c r="K49" s="52" t="n">
        <f aca="false">K48*$D$2</f>
        <v>241724.909975</v>
      </c>
      <c r="L49" s="52" t="n">
        <f aca="false">L48*$D$2</f>
        <v>15240.82286</v>
      </c>
      <c r="M49" s="52" t="n">
        <f aca="false">M48*$D$2</f>
        <v>88614.96501</v>
      </c>
      <c r="N49" s="52" t="n">
        <f aca="false">N48*$D$2</f>
        <v>478.519375</v>
      </c>
      <c r="O49" s="52" t="n">
        <f aca="false">O48*$D$2</f>
        <v>20544.24108675</v>
      </c>
      <c r="P49" s="52" t="n">
        <f aca="false">P48*$D$2</f>
        <v>67592.20454825</v>
      </c>
      <c r="Q49" s="52" t="n">
        <f aca="false">Q48*$D$2</f>
        <v>41954.992</v>
      </c>
      <c r="R49" s="52" t="n">
        <f aca="false">R48*$D$2</f>
        <v>21007.44685</v>
      </c>
      <c r="S49" s="52" t="n">
        <f aca="false">S48*$D$2</f>
        <v>130554.64339825</v>
      </c>
      <c r="T49" s="52" t="n">
        <f aca="false">T48*$D$2</f>
        <v>-33790.05688</v>
      </c>
      <c r="U49" s="52" t="n">
        <f aca="false">U48*$D$2</f>
        <v>54488.68883</v>
      </c>
      <c r="V49" s="52" t="n">
        <f aca="false">V48*$D$2</f>
        <v>105770.077995</v>
      </c>
      <c r="W49" s="52" t="n">
        <f aca="false">W48*$D$2</f>
        <v>18541.758</v>
      </c>
      <c r="X49" s="52" t="n">
        <f aca="false">X48*$D$2</f>
        <v>311836.170685</v>
      </c>
      <c r="Y49" s="52" t="n">
        <f aca="false">Y48*$D$2</f>
        <v>10524.14319</v>
      </c>
      <c r="Z49" s="52" t="n">
        <f aca="false">Z48*$D$2</f>
        <v>322360.313875</v>
      </c>
      <c r="AA49" s="53"/>
      <c r="AB49" s="56"/>
      <c r="AC49" s="56"/>
      <c r="AD49" s="57"/>
      <c r="AE49" s="85"/>
      <c r="AF49" s="85"/>
      <c r="AG49" s="86"/>
    </row>
    <row r="50" customFormat="false" ht="3" hidden="false" customHeight="true" outlineLevel="0" collapsed="false">
      <c r="A50" s="72"/>
      <c r="B50" s="72"/>
      <c r="C50" s="74"/>
      <c r="D50" s="72"/>
      <c r="E50" s="74"/>
      <c r="F50" s="72"/>
      <c r="G50" s="72"/>
      <c r="H50" s="134"/>
      <c r="I50" s="72"/>
      <c r="J50" s="72"/>
      <c r="K50" s="138"/>
      <c r="L50" s="72"/>
      <c r="M50" s="72"/>
      <c r="N50" s="72"/>
      <c r="O50" s="72"/>
      <c r="P50" s="72"/>
      <c r="Q50" s="72"/>
      <c r="R50" s="72"/>
      <c r="S50" s="72"/>
      <c r="T50" s="74"/>
      <c r="U50" s="72"/>
      <c r="V50" s="72"/>
      <c r="W50" s="74"/>
      <c r="X50" s="72"/>
      <c r="Y50" s="72"/>
      <c r="Z50" s="72"/>
      <c r="AA50" s="53"/>
      <c r="AB50" s="56"/>
      <c r="AC50" s="56"/>
      <c r="AD50" s="57"/>
      <c r="AE50" s="85"/>
      <c r="AF50" s="85"/>
      <c r="AG50" s="86"/>
    </row>
    <row r="51" customFormat="false" ht="11.1" hidden="false" customHeight="true" outlineLevel="0" collapsed="false">
      <c r="A51" s="139"/>
      <c r="B51" s="81"/>
      <c r="C51" s="52"/>
      <c r="D51" s="51"/>
      <c r="E51" s="52"/>
      <c r="F51" s="51"/>
      <c r="G51" s="51"/>
      <c r="H51" s="82"/>
      <c r="I51" s="51"/>
      <c r="J51" s="51"/>
      <c r="K51" s="140"/>
      <c r="L51" s="51"/>
      <c r="M51" s="51"/>
      <c r="N51" s="51"/>
      <c r="O51" s="51"/>
      <c r="P51" s="51"/>
      <c r="Q51" s="51"/>
      <c r="R51" s="51"/>
      <c r="S51" s="51"/>
      <c r="T51" s="52"/>
      <c r="U51" s="51"/>
      <c r="V51" s="51"/>
      <c r="W51" s="52"/>
      <c r="X51" s="51"/>
      <c r="Y51" s="51"/>
      <c r="Z51" s="51"/>
      <c r="AA51" s="53"/>
      <c r="AB51" s="56"/>
      <c r="AC51" s="56"/>
      <c r="AD51" s="57"/>
      <c r="AE51" s="84"/>
      <c r="AF51" s="84"/>
    </row>
    <row r="52" customFormat="false" ht="11.1" hidden="false" customHeight="true" outlineLevel="0" collapsed="false">
      <c r="A52" s="51"/>
      <c r="B52" s="71"/>
      <c r="C52" s="52"/>
      <c r="D52" s="79"/>
      <c r="E52" s="52"/>
      <c r="F52" s="51"/>
      <c r="G52" s="51"/>
      <c r="H52" s="79"/>
      <c r="I52" s="82"/>
      <c r="J52" s="51"/>
      <c r="K52" s="52"/>
      <c r="L52" s="51"/>
      <c r="M52" s="51"/>
      <c r="N52" s="51"/>
      <c r="O52" s="51"/>
      <c r="P52" s="51"/>
      <c r="Q52" s="51"/>
      <c r="R52" s="51"/>
      <c r="S52" s="51"/>
      <c r="T52" s="52"/>
      <c r="U52" s="51"/>
      <c r="V52" s="44"/>
      <c r="W52" s="52"/>
      <c r="X52" s="51"/>
      <c r="Y52" s="51"/>
      <c r="Z52" s="51"/>
      <c r="AA52" s="53"/>
      <c r="AB52" s="56"/>
      <c r="AC52" s="56"/>
      <c r="AD52" s="57"/>
      <c r="AE52" s="84"/>
      <c r="AF52" s="84"/>
    </row>
    <row r="53" customFormat="false" ht="11.1" hidden="false" customHeight="true" outlineLevel="0" collapsed="false">
      <c r="A53" s="79"/>
      <c r="B53" s="79"/>
      <c r="C53" s="52"/>
      <c r="D53" s="52"/>
      <c r="E53" s="52"/>
      <c r="F53" s="79"/>
      <c r="G53" s="79"/>
      <c r="H53" s="82"/>
      <c r="I53" s="79"/>
      <c r="J53" s="79"/>
      <c r="K53" s="45"/>
      <c r="L53" s="79"/>
      <c r="M53" s="78"/>
      <c r="N53" s="78"/>
      <c r="O53" s="78"/>
      <c r="P53" s="141"/>
      <c r="Q53" s="79"/>
      <c r="R53" s="91"/>
      <c r="S53" s="52"/>
      <c r="T53" s="56"/>
      <c r="V53" s="52"/>
      <c r="W53" s="79"/>
      <c r="X53" s="79"/>
      <c r="Y53" s="79"/>
      <c r="Z53" s="55"/>
      <c r="AA53" s="53"/>
      <c r="AB53" s="56"/>
      <c r="AC53" s="57"/>
      <c r="AD53" s="89"/>
      <c r="AE53" s="89"/>
    </row>
    <row r="54" customFormat="false" ht="11.1" hidden="false" customHeight="true" outlineLevel="0" collapsed="false">
      <c r="A54" s="79"/>
      <c r="B54" s="55"/>
      <c r="C54" s="52"/>
      <c r="D54" s="52"/>
      <c r="E54" s="52"/>
      <c r="F54" s="79"/>
      <c r="G54" s="79"/>
      <c r="H54" s="82"/>
      <c r="I54" s="79"/>
      <c r="J54" s="79"/>
      <c r="K54" s="79"/>
      <c r="L54" s="79"/>
      <c r="M54" s="78"/>
      <c r="N54" s="78"/>
      <c r="O54" s="78"/>
      <c r="P54" s="79"/>
      <c r="Q54" s="79"/>
      <c r="R54" s="79"/>
      <c r="S54" s="52"/>
      <c r="T54" s="52"/>
      <c r="V54" s="52"/>
      <c r="W54" s="79"/>
      <c r="X54" s="79"/>
      <c r="Y54" s="79"/>
      <c r="Z54" s="55"/>
      <c r="AA54" s="53"/>
      <c r="AB54" s="56"/>
      <c r="AC54" s="57"/>
      <c r="AD54" s="89"/>
      <c r="AE54" s="89"/>
    </row>
    <row r="55" customFormat="false" ht="11.1" hidden="false" customHeight="true" outlineLevel="0" collapsed="false">
      <c r="A55" s="79"/>
      <c r="B55" s="79"/>
      <c r="C55" s="52"/>
      <c r="D55" s="79"/>
      <c r="E55" s="52"/>
      <c r="F55" s="79"/>
      <c r="G55" s="83"/>
      <c r="H55" s="82"/>
      <c r="I55" s="79"/>
      <c r="J55" s="79"/>
      <c r="K55" s="79"/>
      <c r="L55" s="79"/>
      <c r="M55" s="78"/>
      <c r="N55" s="78"/>
      <c r="O55" s="78"/>
      <c r="P55" s="79"/>
      <c r="Q55" s="79"/>
      <c r="R55" s="79"/>
      <c r="S55" s="0"/>
      <c r="T55" s="52"/>
      <c r="V55" s="52"/>
      <c r="W55" s="79"/>
      <c r="X55" s="79"/>
      <c r="Y55" s="79"/>
      <c r="Z55" s="55"/>
      <c r="AA55" s="53"/>
      <c r="AB55" s="56"/>
      <c r="AC55" s="57"/>
      <c r="AD55" s="89"/>
      <c r="AE55" s="89"/>
    </row>
    <row r="56" customFormat="false" ht="11.1" hidden="false" customHeight="true" outlineLevel="0" collapsed="false">
      <c r="Q56" s="142"/>
      <c r="S56" s="52"/>
      <c r="T56" s="52"/>
    </row>
    <row r="57" customFormat="false" ht="11.1" hidden="false" customHeight="true" outlineLevel="0" collapsed="false">
      <c r="Q57" s="142"/>
      <c r="S57" s="52"/>
      <c r="T57" s="52"/>
    </row>
    <row r="58" customFormat="false" ht="11.1" hidden="false" customHeight="true" outlineLevel="0" collapsed="false">
      <c r="S58" s="52"/>
      <c r="T58" s="52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S10" activeCellId="0" sqref="S10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130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82"/>
    <col collapsed="false" customWidth="true" hidden="false" outlineLevel="0" max="14" min="14" style="47" width="7.32"/>
    <col collapsed="false" customWidth="true" hidden="false" outlineLevel="0" max="15" min="15" style="47" width="6.49"/>
    <col collapsed="false" customWidth="true" hidden="fals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3" min="23" style="44" width="6.82"/>
    <col collapsed="false" customWidth="true" hidden="false" outlineLevel="0" max="25" min="24" style="44" width="7.82"/>
    <col collapsed="false" customWidth="true" hidden="false" outlineLevel="0" max="26" min="26" style="48" width="8.16"/>
    <col collapsed="false" customWidth="true" hidden="false" outlineLevel="0" max="27" min="27" style="46" width="5.32"/>
    <col collapsed="false" customWidth="true" hidden="false" outlineLevel="0" max="28" min="28" style="49" width="4.66"/>
    <col collapsed="false" customWidth="true" hidden="false" outlineLevel="0" max="29" min="29" style="50" width="4.66"/>
    <col collapsed="false" customWidth="true" hidden="false" outlineLevel="0" max="30" min="30" style="44" width="5.66"/>
    <col collapsed="false" customWidth="false" hidden="false" outlineLevel="0" max="257" min="31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82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1"/>
      <c r="Z1" s="55"/>
      <c r="AA1" s="53"/>
      <c r="AB1" s="56"/>
      <c r="AC1" s="57"/>
      <c r="AD1" s="84"/>
      <c r="AE1" s="84"/>
    </row>
    <row r="2" customFormat="false" ht="14.1" hidden="false" customHeight="true" outlineLevel="0" collapsed="false">
      <c r="A2" s="51" t="s">
        <v>1</v>
      </c>
      <c r="B2" s="51"/>
      <c r="C2" s="52"/>
      <c r="D2" s="58" t="n">
        <v>1.9835</v>
      </c>
      <c r="E2" s="52"/>
      <c r="F2" s="51"/>
      <c r="G2" s="51"/>
      <c r="H2" s="82"/>
      <c r="I2" s="51"/>
      <c r="J2" s="51"/>
      <c r="K2" s="59" t="s">
        <v>79</v>
      </c>
      <c r="L2" s="59"/>
      <c r="M2" s="59"/>
      <c r="N2" s="59"/>
      <c r="O2" s="59"/>
      <c r="P2" s="59"/>
      <c r="Q2" s="59"/>
      <c r="R2" s="59"/>
      <c r="S2" s="59"/>
      <c r="T2" s="59"/>
      <c r="U2" s="51"/>
      <c r="V2" s="52"/>
      <c r="W2" s="51"/>
      <c r="X2" s="51"/>
      <c r="Y2" s="51"/>
      <c r="Z2" s="55"/>
      <c r="AA2" s="53"/>
      <c r="AB2" s="56"/>
      <c r="AC2" s="57"/>
      <c r="AD2" s="84"/>
      <c r="AE2" s="84"/>
    </row>
    <row r="3" customFormat="false" ht="11.1" hidden="false" customHeight="true" outlineLevel="0" collapsed="false">
      <c r="A3" s="51"/>
      <c r="B3" s="51"/>
      <c r="C3" s="52"/>
      <c r="D3" s="60"/>
      <c r="E3" s="52"/>
      <c r="F3" s="51"/>
      <c r="G3" s="51"/>
      <c r="H3" s="82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1"/>
      <c r="Z3" s="55"/>
      <c r="AA3" s="53"/>
      <c r="AB3" s="56"/>
      <c r="AC3" s="57"/>
      <c r="AD3" s="84"/>
      <c r="AE3" s="84"/>
    </row>
    <row r="4" customFormat="false" ht="11.1" hidden="false" customHeight="true" outlineLevel="0" collapsed="false">
      <c r="A4" s="61" t="s">
        <v>3</v>
      </c>
      <c r="B4" s="61" t="s">
        <v>4</v>
      </c>
      <c r="C4" s="62" t="s">
        <v>4</v>
      </c>
      <c r="D4" s="61" t="s">
        <v>5</v>
      </c>
      <c r="E4" s="62" t="s">
        <v>6</v>
      </c>
      <c r="F4" s="61" t="s">
        <v>7</v>
      </c>
      <c r="G4" s="61" t="s">
        <v>8</v>
      </c>
      <c r="H4" s="131" t="s">
        <v>9</v>
      </c>
      <c r="I4" s="61" t="s">
        <v>10</v>
      </c>
      <c r="J4" s="61" t="s">
        <v>11</v>
      </c>
      <c r="K4" s="61" t="s">
        <v>12</v>
      </c>
      <c r="L4" s="61" t="s">
        <v>11</v>
      </c>
      <c r="M4" s="61" t="s">
        <v>13</v>
      </c>
      <c r="N4" s="61"/>
      <c r="O4" s="61"/>
      <c r="P4" s="61"/>
      <c r="Q4" s="61" t="s">
        <v>14</v>
      </c>
      <c r="R4" s="61" t="s">
        <v>15</v>
      </c>
      <c r="S4" s="61" t="s">
        <v>12</v>
      </c>
      <c r="T4" s="62" t="s">
        <v>16</v>
      </c>
      <c r="U4" s="61" t="s">
        <v>17</v>
      </c>
      <c r="V4" s="61" t="s">
        <v>18</v>
      </c>
      <c r="W4" s="62" t="s">
        <v>19</v>
      </c>
      <c r="X4" s="61" t="s">
        <v>10</v>
      </c>
      <c r="Y4" s="61" t="s">
        <v>11</v>
      </c>
      <c r="Z4" s="61" t="s">
        <v>12</v>
      </c>
      <c r="AA4" s="63" t="s">
        <v>20</v>
      </c>
      <c r="AB4" s="64" t="s">
        <v>21</v>
      </c>
      <c r="AC4" s="64" t="s">
        <v>22</v>
      </c>
      <c r="AD4" s="64" t="s">
        <v>3</v>
      </c>
      <c r="AE4" s="84"/>
      <c r="AF4" s="84"/>
    </row>
    <row r="5" customFormat="false" ht="11.1" hidden="false" customHeight="true" outlineLevel="0" collapsed="false">
      <c r="A5" s="65" t="s">
        <v>80</v>
      </c>
      <c r="B5" s="61" t="s">
        <v>24</v>
      </c>
      <c r="C5" s="62" t="s">
        <v>5</v>
      </c>
      <c r="D5" s="61" t="s">
        <v>25</v>
      </c>
      <c r="E5" s="62" t="s">
        <v>26</v>
      </c>
      <c r="F5" s="61" t="s">
        <v>27</v>
      </c>
      <c r="G5" s="61" t="s">
        <v>28</v>
      </c>
      <c r="H5" s="131" t="s">
        <v>29</v>
      </c>
      <c r="I5" s="61" t="s">
        <v>30</v>
      </c>
      <c r="J5" s="61" t="s">
        <v>30</v>
      </c>
      <c r="K5" s="61" t="s">
        <v>30</v>
      </c>
      <c r="L5" s="61" t="s">
        <v>31</v>
      </c>
      <c r="M5" s="61" t="s">
        <v>32</v>
      </c>
      <c r="N5" s="61" t="s">
        <v>33</v>
      </c>
      <c r="O5" s="61" t="s">
        <v>34</v>
      </c>
      <c r="P5" s="61" t="s">
        <v>35</v>
      </c>
      <c r="Q5" s="61" t="s">
        <v>36</v>
      </c>
      <c r="R5" s="61" t="s">
        <v>37</v>
      </c>
      <c r="S5" s="61" t="s">
        <v>16</v>
      </c>
      <c r="T5" s="62" t="s">
        <v>38</v>
      </c>
      <c r="U5" s="61" t="s">
        <v>39</v>
      </c>
      <c r="V5" s="61" t="s">
        <v>40</v>
      </c>
      <c r="W5" s="62" t="s">
        <v>41</v>
      </c>
      <c r="X5" s="61" t="s">
        <v>42</v>
      </c>
      <c r="Y5" s="61" t="s">
        <v>42</v>
      </c>
      <c r="Z5" s="61" t="s">
        <v>42</v>
      </c>
      <c r="AA5" s="66"/>
      <c r="AB5" s="64" t="s">
        <v>43</v>
      </c>
      <c r="AC5" s="64" t="s">
        <v>43</v>
      </c>
      <c r="AD5" s="67" t="s">
        <v>80</v>
      </c>
      <c r="AE5" s="84"/>
      <c r="AF5" s="84"/>
      <c r="AH5" s="132"/>
      <c r="AI5" s="132"/>
    </row>
    <row r="6" customFormat="false" ht="11.1" hidden="false" customHeight="true" outlineLevel="0" collapsed="false">
      <c r="A6" s="68"/>
      <c r="B6" s="68"/>
      <c r="C6" s="143"/>
      <c r="D6" s="68"/>
      <c r="E6" s="69"/>
      <c r="F6" s="68"/>
      <c r="G6" s="68"/>
      <c r="H6" s="133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9"/>
      <c r="U6" s="68"/>
      <c r="V6" s="68"/>
      <c r="W6" s="69"/>
      <c r="X6" s="68"/>
      <c r="Y6" s="68"/>
      <c r="Z6" s="68"/>
      <c r="AA6" s="53"/>
      <c r="AB6" s="57"/>
      <c r="AC6" s="57"/>
      <c r="AD6" s="57"/>
      <c r="AE6" s="85"/>
      <c r="AF6" s="85"/>
      <c r="AG6" s="86"/>
      <c r="AH6" s="132"/>
      <c r="AI6" s="132"/>
    </row>
    <row r="7" customFormat="false" ht="11.1" hidden="false" customHeight="true" outlineLevel="0" collapsed="false">
      <c r="A7" s="51" t="s">
        <v>44</v>
      </c>
      <c r="B7" s="51"/>
      <c r="C7" s="144"/>
      <c r="D7" s="52"/>
      <c r="E7" s="52"/>
      <c r="F7" s="52" t="n">
        <f aca="false">AUG!F45</f>
        <v>-40119.4857574994</v>
      </c>
      <c r="G7" s="52" t="n">
        <f aca="false">AUG!G45</f>
        <v>97076</v>
      </c>
      <c r="H7" s="52" t="n">
        <f aca="false">AUG!H45</f>
        <v>1956.67</v>
      </c>
      <c r="I7" s="52" t="n">
        <f aca="false">AUG!I45</f>
        <v>99032.67</v>
      </c>
      <c r="J7" s="52" t="n">
        <f aca="false">AUG!J45</f>
        <v>10641.486642299</v>
      </c>
      <c r="K7" s="52" t="n">
        <f aca="false">AUG!K45</f>
        <v>109674.156642299</v>
      </c>
      <c r="L7" s="52" t="n">
        <f aca="false">AUG!L45</f>
        <v>6006.22424250063</v>
      </c>
      <c r="M7" s="52" t="n">
        <f aca="false">AUG!M45</f>
        <v>42237.3</v>
      </c>
      <c r="N7" s="52" t="n">
        <f aca="false">AUG!N45</f>
        <v>174.87</v>
      </c>
      <c r="O7" s="52" t="n">
        <f aca="false">AUG!O45</f>
        <v>9916.23</v>
      </c>
      <c r="P7" s="52" t="n">
        <f aca="false">AUG!P45</f>
        <v>32146.2</v>
      </c>
      <c r="Q7" s="52" t="n">
        <f aca="false">AUG!Q45</f>
        <v>20108</v>
      </c>
      <c r="R7" s="52" t="n">
        <f aca="false">AUG!R45</f>
        <v>10031.1</v>
      </c>
      <c r="S7" s="52" t="n">
        <f aca="false">AUG!S45</f>
        <v>62285.3</v>
      </c>
      <c r="T7" s="52" t="n">
        <f aca="false">AUG!T45</f>
        <v>-17035.571908243</v>
      </c>
      <c r="U7" s="52" t="n">
        <f aca="false">AUG!U45</f>
        <v>27470.98</v>
      </c>
      <c r="V7" s="52" t="n">
        <f aca="false">AUG!V45</f>
        <v>45311</v>
      </c>
      <c r="W7" s="52"/>
      <c r="X7" s="52" t="n">
        <f aca="false">AUG!X45</f>
        <v>145158.38</v>
      </c>
      <c r="Y7" s="52" t="n">
        <f aca="false">AUG!Y45</f>
        <v>4635.26239979834</v>
      </c>
      <c r="Z7" s="52" t="n">
        <f aca="false">AUG!Z45</f>
        <v>149793.642399798</v>
      </c>
      <c r="AA7" s="53"/>
      <c r="AB7" s="56"/>
      <c r="AC7" s="56"/>
      <c r="AD7" s="57"/>
      <c r="AE7" s="85"/>
      <c r="AF7" s="86"/>
      <c r="AG7" s="86"/>
    </row>
    <row r="8" s="45" customFormat="true" ht="11.1" hidden="false" customHeight="true" outlineLevel="0" collapsed="false">
      <c r="A8" s="52" t="s">
        <v>45</v>
      </c>
      <c r="B8" s="71" t="n">
        <f aca="false">AUG!B40</f>
        <v>6890.26</v>
      </c>
      <c r="C8" s="52" t="n">
        <f aca="false">AUG!C40</f>
        <v>249052</v>
      </c>
      <c r="D8" s="52" t="n">
        <f aca="false">AUG!D49</f>
        <v>-80628</v>
      </c>
      <c r="E8" s="52" t="n">
        <f aca="false">AUG!E49</f>
        <v>97052</v>
      </c>
      <c r="F8" s="52" t="n">
        <f aca="false">AUG!F48</f>
        <v>-40649.3571968742</v>
      </c>
      <c r="G8" s="52" t="n">
        <f aca="false">AUG!G48</f>
        <v>106660</v>
      </c>
      <c r="H8" s="52" t="n">
        <f aca="false">AUG!H48</f>
        <v>2221.95</v>
      </c>
      <c r="I8" s="52" t="n">
        <f aca="false">AUG!I48</f>
        <v>108881.95</v>
      </c>
      <c r="J8" s="52" t="n">
        <f aca="false">AUG!J48</f>
        <v>12989.6476178472</v>
      </c>
      <c r="K8" s="52" t="n">
        <f aca="false">AUG!K48</f>
        <v>121867.8648727</v>
      </c>
      <c r="L8" s="52" t="n">
        <f aca="false">AUG!L48</f>
        <v>7683.80280312579</v>
      </c>
      <c r="M8" s="52" t="n">
        <f aca="false">AUG!M48</f>
        <v>44676.06</v>
      </c>
      <c r="N8" s="52" t="n">
        <f aca="false">AUG!N48</f>
        <v>241.25</v>
      </c>
      <c r="O8" s="52" t="n">
        <f aca="false">AUG!O48</f>
        <v>10357.5705</v>
      </c>
      <c r="P8" s="52" t="n">
        <f aca="false">AUG!P48</f>
        <v>34077.2395</v>
      </c>
      <c r="Q8" s="52" t="n">
        <f aca="false">AUG!Q48</f>
        <v>21152</v>
      </c>
      <c r="R8" s="52" t="n">
        <f aca="false">AUG!R48</f>
        <v>10591.1</v>
      </c>
      <c r="S8" s="52" t="n">
        <f aca="false">AUG!S48</f>
        <v>65820.3395</v>
      </c>
      <c r="T8" s="52" t="n">
        <f aca="false">AUG!T48</f>
        <v>-17035.571908243</v>
      </c>
      <c r="U8" s="52" t="n">
        <f aca="false">AUG!U48</f>
        <v>27470.98</v>
      </c>
      <c r="V8" s="52" t="n">
        <f aca="false">AUG!V48</f>
        <v>53324.97</v>
      </c>
      <c r="W8" s="52" t="n">
        <f aca="false">AUG!W48</f>
        <v>9348</v>
      </c>
      <c r="X8" s="52" t="n">
        <f aca="false">AUG!X48</f>
        <v>157215.11</v>
      </c>
      <c r="Y8" s="52" t="n">
        <f aca="false">AUG!Y48</f>
        <v>5305.84481472145</v>
      </c>
      <c r="Z8" s="52" t="n">
        <f aca="false">AUG!Z48</f>
        <v>162520.954814721</v>
      </c>
      <c r="AA8" s="53" t="n">
        <f aca="false">AUG!AA48</f>
        <v>8.59</v>
      </c>
      <c r="AB8" s="56"/>
      <c r="AC8" s="56"/>
      <c r="AD8" s="57"/>
      <c r="AE8" s="85"/>
      <c r="AF8" s="85"/>
      <c r="AG8" s="87"/>
      <c r="AH8" s="44"/>
      <c r="AI8" s="44"/>
    </row>
    <row r="9" customFormat="false" ht="3" hidden="false" customHeight="true" outlineLevel="0" collapsed="false">
      <c r="A9" s="72"/>
      <c r="B9" s="73"/>
      <c r="C9" s="74"/>
      <c r="D9" s="72"/>
      <c r="E9" s="74"/>
      <c r="F9" s="72"/>
      <c r="G9" s="72"/>
      <c r="H9" s="134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4"/>
      <c r="U9" s="72"/>
      <c r="V9" s="72"/>
      <c r="W9" s="74"/>
      <c r="X9" s="72"/>
      <c r="Y9" s="72"/>
      <c r="Z9" s="72"/>
      <c r="AA9" s="75"/>
      <c r="AB9" s="76" t="n">
        <v>0</v>
      </c>
      <c r="AC9" s="76"/>
      <c r="AD9" s="77"/>
      <c r="AE9" s="85"/>
      <c r="AF9" s="85"/>
      <c r="AG9" s="86"/>
    </row>
    <row r="10" customFormat="false" ht="11.1" hidden="false" customHeight="true" outlineLevel="0" collapsed="false">
      <c r="A10" s="57" t="n">
        <v>1</v>
      </c>
      <c r="B10" s="71" t="n">
        <v>6889.98</v>
      </c>
      <c r="C10" s="52" t="n">
        <v>248101</v>
      </c>
      <c r="D10" s="56" t="n">
        <f aca="false">C10-C8</f>
        <v>-951</v>
      </c>
      <c r="E10" s="52" t="n">
        <f aca="false">C10-151978</f>
        <v>96123</v>
      </c>
      <c r="F10" s="51" t="n">
        <f aca="false">D10/$D$2</f>
        <v>-479.455507940509</v>
      </c>
      <c r="G10" s="51" t="n">
        <v>184</v>
      </c>
      <c r="H10" s="82" t="n">
        <v>0</v>
      </c>
      <c r="I10" s="51" t="n">
        <f aca="false">G10+H10</f>
        <v>184</v>
      </c>
      <c r="J10" s="78" t="n">
        <f aca="false">IF(L10&gt;0,L10,0)</f>
        <v>0</v>
      </c>
      <c r="K10" s="51" t="n">
        <f aca="false">I10+J10</f>
        <v>184</v>
      </c>
      <c r="L10" s="51" t="n">
        <f aca="false">F10-(I10-X10)</f>
        <v>-12.0555079405092</v>
      </c>
      <c r="M10" s="51" t="n">
        <v>265</v>
      </c>
      <c r="N10" s="7" t="n">
        <v>1</v>
      </c>
      <c r="O10" s="51" t="n">
        <v>50.82</v>
      </c>
      <c r="P10" s="6" t="n">
        <f aca="false">M10-(N10+O10)</f>
        <v>213.18</v>
      </c>
      <c r="Q10" s="51" t="n">
        <v>153</v>
      </c>
      <c r="R10" s="51" t="n">
        <v>70</v>
      </c>
      <c r="S10" s="51" t="n">
        <f aca="false">SUM(P10:R10)</f>
        <v>436.18</v>
      </c>
      <c r="T10" s="52" t="n">
        <f aca="false">(I10-S10)+T7</f>
        <v>-17287.751908243</v>
      </c>
      <c r="U10" s="51" t="n">
        <v>85.4</v>
      </c>
      <c r="V10" s="51" t="n">
        <v>78</v>
      </c>
      <c r="W10" s="52" t="n">
        <f aca="false">W8-60</f>
        <v>9288</v>
      </c>
      <c r="X10" s="6" t="n">
        <f aca="false">N10+O10+S10+U10+V10</f>
        <v>651.4</v>
      </c>
      <c r="Y10" s="51" t="n">
        <f aca="false">IF(L10&lt;0,L10*-1,0)</f>
        <v>12.0555079405092</v>
      </c>
      <c r="Z10" s="51" t="n">
        <f aca="false">X10+Y10</f>
        <v>663.455507940509</v>
      </c>
      <c r="AA10" s="53" t="n">
        <v>0</v>
      </c>
      <c r="AB10" s="56" t="n">
        <v>62.5</v>
      </c>
      <c r="AC10" s="56" t="n">
        <v>50.1</v>
      </c>
      <c r="AD10" s="57" t="n">
        <v>1</v>
      </c>
      <c r="AE10" s="86"/>
      <c r="AF10" s="87"/>
      <c r="AG10" s="87"/>
    </row>
    <row r="11" customFormat="false" ht="11.1" hidden="false" customHeight="true" outlineLevel="0" collapsed="false">
      <c r="A11" s="57" t="n">
        <v>2</v>
      </c>
      <c r="B11" s="71" t="n">
        <v>6889.7</v>
      </c>
      <c r="C11" s="52" t="n">
        <v>247158</v>
      </c>
      <c r="D11" s="56" t="n">
        <f aca="false">C11-C10</f>
        <v>-943</v>
      </c>
      <c r="E11" s="52" t="n">
        <f aca="false">C11-151978</f>
        <v>95180</v>
      </c>
      <c r="F11" s="51" t="n">
        <f aca="false">D11/$D$2</f>
        <v>-475.422233425763</v>
      </c>
      <c r="G11" s="51" t="n">
        <v>182</v>
      </c>
      <c r="H11" s="82" t="n">
        <v>0</v>
      </c>
      <c r="I11" s="51" t="n">
        <f aca="false">G11+H11</f>
        <v>182</v>
      </c>
      <c r="J11" s="78" t="n">
        <f aca="false">IF(L11&gt;0,L11,0)</f>
        <v>0</v>
      </c>
      <c r="K11" s="51" t="n">
        <f aca="false">I11+J11</f>
        <v>182</v>
      </c>
      <c r="L11" s="51" t="n">
        <f aca="false">F11-(I11-X11)</f>
        <v>-60.8222334257625</v>
      </c>
      <c r="M11" s="51" t="n">
        <v>229</v>
      </c>
      <c r="N11" s="51" t="n">
        <v>1</v>
      </c>
      <c r="O11" s="51" t="n">
        <v>29.4</v>
      </c>
      <c r="P11" s="6" t="n">
        <f aca="false">M11-(N11+O11)</f>
        <v>198.6</v>
      </c>
      <c r="Q11" s="51" t="n">
        <v>153</v>
      </c>
      <c r="R11" s="51" t="n">
        <v>68</v>
      </c>
      <c r="S11" s="51" t="n">
        <f aca="false">SUM(P11:R11)</f>
        <v>419.6</v>
      </c>
      <c r="T11" s="52" t="n">
        <f aca="false">(I11-S11)+T10</f>
        <v>-17525.351908243</v>
      </c>
      <c r="U11" s="51" t="n">
        <v>68.6</v>
      </c>
      <c r="V11" s="51" t="n">
        <v>78</v>
      </c>
      <c r="W11" s="52" t="n">
        <f aca="false">W10-60</f>
        <v>9228</v>
      </c>
      <c r="X11" s="6" t="n">
        <f aca="false">N11+O11+S11+U11+V11</f>
        <v>596.6</v>
      </c>
      <c r="Y11" s="51" t="n">
        <f aca="false">IF(L11&lt;0,L11*-1,0)</f>
        <v>60.8222334257625</v>
      </c>
      <c r="Z11" s="51" t="n">
        <f aca="false">X11+Y11</f>
        <v>657.422233425763</v>
      </c>
      <c r="AA11" s="53" t="n">
        <v>0.04</v>
      </c>
      <c r="AB11" s="56" t="n">
        <v>67.8</v>
      </c>
      <c r="AC11" s="56" t="n">
        <v>49.7</v>
      </c>
      <c r="AD11" s="57" t="n">
        <v>2</v>
      </c>
      <c r="AE11" s="86"/>
      <c r="AF11" s="87"/>
      <c r="AG11" s="87"/>
    </row>
    <row r="12" customFormat="false" ht="11.1" hidden="false" customHeight="true" outlineLevel="0" collapsed="false">
      <c r="A12" s="57" t="n">
        <v>3</v>
      </c>
      <c r="B12" s="71" t="n">
        <v>6889.42</v>
      </c>
      <c r="C12" s="52" t="n">
        <v>246215</v>
      </c>
      <c r="D12" s="56" t="n">
        <f aca="false">C12-C11</f>
        <v>-943</v>
      </c>
      <c r="E12" s="52" t="n">
        <f aca="false">C12-151978</f>
        <v>94237</v>
      </c>
      <c r="F12" s="51" t="n">
        <f aca="false">D12/$D$2</f>
        <v>-475.422233425763</v>
      </c>
      <c r="G12" s="51" t="n">
        <v>178</v>
      </c>
      <c r="H12" s="82" t="n">
        <v>0</v>
      </c>
      <c r="I12" s="51" t="n">
        <f aca="false">G12+H12</f>
        <v>178</v>
      </c>
      <c r="J12" s="78" t="n">
        <f aca="false">IF(L12&gt;0,L12,0)</f>
        <v>0</v>
      </c>
      <c r="K12" s="51" t="n">
        <f aca="false">I12+J12</f>
        <v>178</v>
      </c>
      <c r="L12" s="51" t="n">
        <f aca="false">F12-(I12-X12)</f>
        <v>-41.6222334257626</v>
      </c>
      <c r="M12" s="51" t="n">
        <v>237</v>
      </c>
      <c r="N12" s="51" t="n">
        <v>1</v>
      </c>
      <c r="O12" s="51" t="n">
        <v>30.45</v>
      </c>
      <c r="P12" s="6" t="n">
        <f aca="false">M12-(N12+O12)</f>
        <v>205.55</v>
      </c>
      <c r="Q12" s="51" t="n">
        <v>152</v>
      </c>
      <c r="R12" s="51" t="n">
        <v>68</v>
      </c>
      <c r="S12" s="51" t="n">
        <f aca="false">SUM(P12:R12)</f>
        <v>425.55</v>
      </c>
      <c r="T12" s="52" t="n">
        <f aca="false">(I12-S12)+T11</f>
        <v>-17772.901908243</v>
      </c>
      <c r="U12" s="51" t="n">
        <v>76.8</v>
      </c>
      <c r="V12" s="51" t="n">
        <v>78</v>
      </c>
      <c r="W12" s="52" t="n">
        <f aca="false">W11-60</f>
        <v>9168</v>
      </c>
      <c r="X12" s="6" t="n">
        <f aca="false">N12+O12+S12+U12+V12</f>
        <v>611.8</v>
      </c>
      <c r="Y12" s="51" t="n">
        <f aca="false">IF(L12&lt;0,L12*-1,0)</f>
        <v>41.6222334257626</v>
      </c>
      <c r="Z12" s="51" t="n">
        <f aca="false">X12+Y12</f>
        <v>653.422233425763</v>
      </c>
      <c r="AA12" s="53" t="n">
        <v>0</v>
      </c>
      <c r="AB12" s="56" t="n">
        <v>77.3</v>
      </c>
      <c r="AC12" s="56" t="n">
        <v>49.7</v>
      </c>
      <c r="AD12" s="57" t="n">
        <v>3</v>
      </c>
      <c r="AE12" s="86"/>
      <c r="AF12" s="87"/>
      <c r="AG12" s="87"/>
    </row>
    <row r="13" customFormat="false" ht="11.1" hidden="false" customHeight="true" outlineLevel="0" collapsed="false">
      <c r="A13" s="57" t="n">
        <v>4</v>
      </c>
      <c r="B13" s="71" t="n">
        <v>6889.15</v>
      </c>
      <c r="C13" s="52" t="n">
        <v>245306</v>
      </c>
      <c r="D13" s="56" t="n">
        <f aca="false">C13-C12</f>
        <v>-909</v>
      </c>
      <c r="E13" s="52" t="n">
        <f aca="false">C13-151978</f>
        <v>93328</v>
      </c>
      <c r="F13" s="51" t="n">
        <f aca="false">D13/$D$2</f>
        <v>-458.280816738089</v>
      </c>
      <c r="G13" s="51" t="n">
        <v>159</v>
      </c>
      <c r="H13" s="82" t="n">
        <v>0</v>
      </c>
      <c r="I13" s="51" t="n">
        <f aca="false">G13+H13</f>
        <v>159</v>
      </c>
      <c r="J13" s="78" t="n">
        <f aca="false">IF(L13&gt;0,L13,0)</f>
        <v>0</v>
      </c>
      <c r="K13" s="51" t="n">
        <f aca="false">I13+J13</f>
        <v>159</v>
      </c>
      <c r="L13" s="51" t="n">
        <f aca="false">F13-(I13-X13)</f>
        <v>-12.8808167380893</v>
      </c>
      <c r="M13" s="51" t="n">
        <v>231</v>
      </c>
      <c r="N13" s="51" t="n">
        <v>1</v>
      </c>
      <c r="O13" s="51" t="n">
        <v>23</v>
      </c>
      <c r="P13" s="6" t="n">
        <f aca="false">M13-(N13+O13)</f>
        <v>207</v>
      </c>
      <c r="Q13" s="51" t="n">
        <v>152</v>
      </c>
      <c r="R13" s="51" t="n">
        <v>68</v>
      </c>
      <c r="S13" s="51" t="n">
        <f aca="false">SUM(P13:R13)</f>
        <v>427</v>
      </c>
      <c r="T13" s="52" t="n">
        <f aca="false">(I13-S13)+T12</f>
        <v>-18040.901908243</v>
      </c>
      <c r="U13" s="51" t="n">
        <v>75.4</v>
      </c>
      <c r="V13" s="51" t="n">
        <v>78</v>
      </c>
      <c r="W13" s="52" t="n">
        <f aca="false">W12-60</f>
        <v>9108</v>
      </c>
      <c r="X13" s="6" t="n">
        <f aca="false">N13+O13+S13+U13+V13</f>
        <v>604.4</v>
      </c>
      <c r="Y13" s="51" t="n">
        <f aca="false">IF(L13&lt;0,L13*-1,0)</f>
        <v>12.8808167380893</v>
      </c>
      <c r="Z13" s="51" t="n">
        <f aca="false">X13+Y13</f>
        <v>617.280816738089</v>
      </c>
      <c r="AA13" s="53" t="n">
        <v>0</v>
      </c>
      <c r="AB13" s="56" t="n">
        <v>84.8</v>
      </c>
      <c r="AC13" s="56" t="n">
        <v>49.7</v>
      </c>
      <c r="AD13" s="57" t="n">
        <v>4</v>
      </c>
      <c r="AE13" s="86"/>
      <c r="AF13" s="87"/>
      <c r="AG13" s="87"/>
    </row>
    <row r="14" customFormat="false" ht="11.1" hidden="false" customHeight="true" outlineLevel="0" collapsed="false">
      <c r="A14" s="57" t="n">
        <v>5</v>
      </c>
      <c r="B14" s="71" t="n">
        <v>6888.88</v>
      </c>
      <c r="C14" s="52" t="n">
        <v>244401</v>
      </c>
      <c r="D14" s="56" t="n">
        <f aca="false">C14-C13</f>
        <v>-905</v>
      </c>
      <c r="E14" s="52" t="n">
        <f aca="false">C14-151978</f>
        <v>92423</v>
      </c>
      <c r="F14" s="51" t="n">
        <f aca="false">D14/$D$2</f>
        <v>-456.264179480716</v>
      </c>
      <c r="G14" s="51" t="n">
        <v>149</v>
      </c>
      <c r="H14" s="82" t="n">
        <v>0</v>
      </c>
      <c r="I14" s="51" t="n">
        <f aca="false">G14+H14</f>
        <v>149</v>
      </c>
      <c r="J14" s="78" t="n">
        <f aca="false">IF(L14&gt;0,L14,0)</f>
        <v>34.9358205192842</v>
      </c>
      <c r="K14" s="51" t="n">
        <f aca="false">I14+J14</f>
        <v>183.935820519284</v>
      </c>
      <c r="L14" s="51" t="n">
        <f aca="false">F14-(I14-X14)</f>
        <v>34.9358205192842</v>
      </c>
      <c r="M14" s="51" t="n">
        <v>270</v>
      </c>
      <c r="N14" s="51" t="n">
        <v>1</v>
      </c>
      <c r="O14" s="51" t="n">
        <v>48.72</v>
      </c>
      <c r="P14" s="6" t="n">
        <f aca="false">M14-(N14+O14)</f>
        <v>220.28</v>
      </c>
      <c r="Q14" s="51" t="n">
        <v>152</v>
      </c>
      <c r="R14" s="51" t="n">
        <v>67</v>
      </c>
      <c r="S14" s="51" t="n">
        <f aca="false">SUM(P14:R14)</f>
        <v>439.28</v>
      </c>
      <c r="T14" s="52" t="n">
        <f aca="false">(I14-S14)+T13</f>
        <v>-18331.181908243</v>
      </c>
      <c r="U14" s="51" t="n">
        <v>73.2</v>
      </c>
      <c r="V14" s="51" t="n">
        <v>78</v>
      </c>
      <c r="W14" s="52" t="n">
        <f aca="false">W13-60</f>
        <v>9048</v>
      </c>
      <c r="X14" s="6" t="n">
        <f aca="false">N14+O14+S14+U14+V14</f>
        <v>640.2</v>
      </c>
      <c r="Y14" s="51" t="n">
        <f aca="false">IF(L14&lt;0,L14*-1,0)</f>
        <v>0</v>
      </c>
      <c r="Z14" s="51" t="n">
        <f aca="false">X14+Y14</f>
        <v>640.2</v>
      </c>
      <c r="AA14" s="53" t="n">
        <v>0.19</v>
      </c>
      <c r="AB14" s="56" t="n">
        <v>81.2</v>
      </c>
      <c r="AC14" s="56" t="n">
        <v>52</v>
      </c>
      <c r="AD14" s="57" t="n">
        <v>5</v>
      </c>
      <c r="AE14" s="86"/>
      <c r="AF14" s="87"/>
      <c r="AG14" s="87"/>
    </row>
    <row r="15" customFormat="false" ht="11.1" hidden="false" customHeight="true" outlineLevel="0" collapsed="false">
      <c r="A15" s="57" t="n">
        <v>6</v>
      </c>
      <c r="B15" s="71" t="n">
        <v>6888.63</v>
      </c>
      <c r="C15" s="52" t="n">
        <v>243568</v>
      </c>
      <c r="D15" s="56" t="n">
        <f aca="false">C15-C14</f>
        <v>-833</v>
      </c>
      <c r="E15" s="52" t="n">
        <f aca="false">C15-151978</f>
        <v>91590</v>
      </c>
      <c r="F15" s="51" t="n">
        <f aca="false">D15/$D$2</f>
        <v>-419.964708847996</v>
      </c>
      <c r="G15" s="51" t="n">
        <v>165</v>
      </c>
      <c r="H15" s="82" t="n">
        <v>0</v>
      </c>
      <c r="I15" s="51" t="n">
        <f aca="false">G15+H15</f>
        <v>165</v>
      </c>
      <c r="J15" s="78" t="n">
        <f aca="false">IF(L15&gt;0,L15,0)</f>
        <v>55.5352911520041</v>
      </c>
      <c r="K15" s="51" t="n">
        <f aca="false">I15+J15</f>
        <v>220.535291152004</v>
      </c>
      <c r="L15" s="51" t="n">
        <f aca="false">F15-(I15-X15)</f>
        <v>55.5352911520041</v>
      </c>
      <c r="M15" s="51" t="n">
        <v>280</v>
      </c>
      <c r="N15" s="51" t="n">
        <v>1</v>
      </c>
      <c r="O15" s="51" t="n">
        <f aca="false">33.2+31*1.05</f>
        <v>65.75</v>
      </c>
      <c r="P15" s="6" t="n">
        <f aca="false">M15-(N15+O15)</f>
        <v>213.25</v>
      </c>
      <c r="Q15" s="51" t="n">
        <v>153</v>
      </c>
      <c r="R15" s="51" t="n">
        <v>67</v>
      </c>
      <c r="S15" s="51" t="n">
        <f aca="false">SUM(P15:R15)</f>
        <v>433.25</v>
      </c>
      <c r="T15" s="52" t="n">
        <f aca="false">(I15-S15)+T14</f>
        <v>-18599.431908243</v>
      </c>
      <c r="U15" s="51" t="n">
        <v>72.5</v>
      </c>
      <c r="V15" s="51" t="n">
        <v>68</v>
      </c>
      <c r="W15" s="52" t="n">
        <f aca="false">W14-60</f>
        <v>8988</v>
      </c>
      <c r="X15" s="6" t="n">
        <f aca="false">N15+O15+S15+U15+V15</f>
        <v>640.5</v>
      </c>
      <c r="Y15" s="51" t="n">
        <f aca="false">IF(L15&lt;0,L15*-1,0)</f>
        <v>0</v>
      </c>
      <c r="Z15" s="51" t="n">
        <f aca="false">X15+Y15</f>
        <v>640.5</v>
      </c>
      <c r="AA15" s="53" t="n">
        <v>0.17</v>
      </c>
      <c r="AB15" s="56" t="n">
        <v>73</v>
      </c>
      <c r="AC15" s="56" t="n">
        <v>54</v>
      </c>
      <c r="AD15" s="57" t="n">
        <v>6</v>
      </c>
      <c r="AE15" s="86"/>
      <c r="AF15" s="87"/>
      <c r="AG15" s="87"/>
    </row>
    <row r="16" customFormat="false" ht="11.1" hidden="false" customHeight="true" outlineLevel="0" collapsed="false">
      <c r="A16" s="57" t="n">
        <v>7</v>
      </c>
      <c r="B16" s="71" t="n">
        <v>6888.33</v>
      </c>
      <c r="C16" s="52" t="n">
        <v>242569</v>
      </c>
      <c r="D16" s="56" t="n">
        <f aca="false">C16-C15</f>
        <v>-999</v>
      </c>
      <c r="E16" s="52" t="n">
        <f aca="false">C16-151978</f>
        <v>90591</v>
      </c>
      <c r="F16" s="51" t="n">
        <f aca="false">D16/$D$2</f>
        <v>-503.655155028989</v>
      </c>
      <c r="G16" s="51" t="n">
        <v>179</v>
      </c>
      <c r="H16" s="82" t="n">
        <v>0</v>
      </c>
      <c r="I16" s="51" t="n">
        <f aca="false">G16+H16</f>
        <v>179</v>
      </c>
      <c r="J16" s="78" t="n">
        <f aca="false">IF(L16&gt;0,L16,0)</f>
        <v>0</v>
      </c>
      <c r="K16" s="51" t="n">
        <f aca="false">I16+J16</f>
        <v>179</v>
      </c>
      <c r="L16" s="51" t="n">
        <f aca="false">F16-(I16-X16)</f>
        <v>-76.3551550289892</v>
      </c>
      <c r="M16" s="51" t="n">
        <v>260</v>
      </c>
      <c r="N16" s="51" t="n">
        <v>1</v>
      </c>
      <c r="O16" s="51" t="n">
        <f aca="false">26.7+25.6*1.05</f>
        <v>53.58</v>
      </c>
      <c r="P16" s="6" t="n">
        <f aca="false">M16-(N16+O16)</f>
        <v>205.42</v>
      </c>
      <c r="Q16" s="51" t="n">
        <v>152</v>
      </c>
      <c r="R16" s="51" t="n">
        <v>66</v>
      </c>
      <c r="S16" s="51" t="n">
        <f aca="false">SUM(P16:R16)</f>
        <v>423.42</v>
      </c>
      <c r="T16" s="52" t="n">
        <f aca="false">(I16-S16)+T15</f>
        <v>-18843.851908243</v>
      </c>
      <c r="U16" s="51" t="n">
        <v>67.3</v>
      </c>
      <c r="V16" s="51" t="n">
        <v>61</v>
      </c>
      <c r="W16" s="52" t="n">
        <f aca="false">W15-60</f>
        <v>8928</v>
      </c>
      <c r="X16" s="6" t="n">
        <f aca="false">N16+O16+S16+U16+V16</f>
        <v>606.3</v>
      </c>
      <c r="Y16" s="51" t="n">
        <f aca="false">IF(L16&lt;0,L16*-1,0)</f>
        <v>76.3551550289892</v>
      </c>
      <c r="Z16" s="51" t="n">
        <f aca="false">X16+Y16</f>
        <v>682.655155028989</v>
      </c>
      <c r="AA16" s="53" t="n">
        <v>0</v>
      </c>
      <c r="AB16" s="56" t="n">
        <v>79</v>
      </c>
      <c r="AC16" s="56" t="n">
        <v>51</v>
      </c>
      <c r="AD16" s="57" t="n">
        <v>7</v>
      </c>
      <c r="AE16" s="86"/>
      <c r="AF16" s="87"/>
      <c r="AG16" s="87"/>
    </row>
    <row r="17" customFormat="false" ht="11.1" hidden="false" customHeight="true" outlineLevel="0" collapsed="false">
      <c r="A17" s="57" t="n">
        <v>8</v>
      </c>
      <c r="B17" s="71" t="n">
        <v>6888.11</v>
      </c>
      <c r="C17" s="52" t="n">
        <v>241836</v>
      </c>
      <c r="D17" s="56" t="n">
        <f aca="false">C17-C16</f>
        <v>-733</v>
      </c>
      <c r="E17" s="52" t="n">
        <f aca="false">C17-151978</f>
        <v>89858</v>
      </c>
      <c r="F17" s="51" t="n">
        <f aca="false">D17/$D$2</f>
        <v>-369.548777413663</v>
      </c>
      <c r="G17" s="51" t="n">
        <v>163</v>
      </c>
      <c r="H17" s="82" t="n">
        <v>0</v>
      </c>
      <c r="I17" s="51" t="n">
        <f aca="false">G17+H17</f>
        <v>163</v>
      </c>
      <c r="J17" s="78" t="n">
        <f aca="false">IF(L17&gt;0,L17,0)</f>
        <v>15.9512225863373</v>
      </c>
      <c r="K17" s="51" t="n">
        <f aca="false">I17+J17</f>
        <v>178.951222586337</v>
      </c>
      <c r="L17" s="51" t="n">
        <f aca="false">F17-(I17-X17)</f>
        <v>15.9512225863373</v>
      </c>
      <c r="M17" s="51" t="n">
        <v>216</v>
      </c>
      <c r="N17" s="51" t="n">
        <v>1</v>
      </c>
      <c r="O17" s="51" t="n">
        <f aca="false">12.6+10.1*1.05</f>
        <v>23.205</v>
      </c>
      <c r="P17" s="6" t="n">
        <f aca="false">M17-(N17+O17)</f>
        <v>191.795</v>
      </c>
      <c r="Q17" s="51" t="n">
        <v>152</v>
      </c>
      <c r="R17" s="51" t="n">
        <v>66</v>
      </c>
      <c r="S17" s="51" t="n">
        <f aca="false">SUM(P17:R17)</f>
        <v>409.795</v>
      </c>
      <c r="T17" s="52" t="n">
        <f aca="false">(I17-S17)+T16</f>
        <v>-19090.646908243</v>
      </c>
      <c r="U17" s="51" t="n">
        <v>55.5</v>
      </c>
      <c r="V17" s="51" t="n">
        <v>59</v>
      </c>
      <c r="W17" s="52" t="n">
        <f aca="false">W16-60</f>
        <v>8868</v>
      </c>
      <c r="X17" s="6" t="n">
        <f aca="false">N17+O17+S17+U17+V17</f>
        <v>548.5</v>
      </c>
      <c r="Y17" s="51" t="n">
        <f aca="false">IF(L17&lt;0,L17*-1,0)</f>
        <v>0</v>
      </c>
      <c r="Z17" s="51" t="n">
        <f aca="false">X17+Y17</f>
        <v>548.5</v>
      </c>
      <c r="AA17" s="53" t="n">
        <v>0.65</v>
      </c>
      <c r="AB17" s="56" t="n">
        <v>76</v>
      </c>
      <c r="AC17" s="56" t="n">
        <v>47</v>
      </c>
      <c r="AD17" s="57" t="n">
        <v>8</v>
      </c>
      <c r="AE17" s="86"/>
      <c r="AF17" s="87"/>
      <c r="AG17" s="87"/>
    </row>
    <row r="18" customFormat="false" ht="11.1" hidden="false" customHeight="true" outlineLevel="0" collapsed="false">
      <c r="A18" s="57" t="n">
        <v>9</v>
      </c>
      <c r="B18" s="71" t="n">
        <v>6887.88</v>
      </c>
      <c r="C18" s="52" t="n">
        <v>241074</v>
      </c>
      <c r="D18" s="56" t="n">
        <f aca="false">C18-C17</f>
        <v>-762</v>
      </c>
      <c r="E18" s="52" t="n">
        <f aca="false">C18-151978</f>
        <v>89096</v>
      </c>
      <c r="F18" s="51" t="n">
        <f aca="false">D18/$D$2</f>
        <v>-384.169397529619</v>
      </c>
      <c r="G18" s="51" t="n">
        <v>182</v>
      </c>
      <c r="H18" s="82" t="n">
        <v>0</v>
      </c>
      <c r="I18" s="51" t="n">
        <f aca="false">G18+H18</f>
        <v>182</v>
      </c>
      <c r="J18" s="78" t="n">
        <f aca="false">IF(L18&gt;0,L18,0)</f>
        <v>0</v>
      </c>
      <c r="K18" s="51" t="n">
        <f aca="false">I18+J18</f>
        <v>182</v>
      </c>
      <c r="L18" s="51" t="n">
        <f aca="false">F18-(I18-X18)</f>
        <v>-46.3693975296194</v>
      </c>
      <c r="M18" s="51" t="n">
        <v>204</v>
      </c>
      <c r="N18" s="51" t="n">
        <v>1</v>
      </c>
      <c r="O18" s="51" t="n">
        <f aca="false">13.3+9.7*1.05</f>
        <v>23.485</v>
      </c>
      <c r="P18" s="6" t="n">
        <f aca="false">M18-(N18+O18)</f>
        <v>179.515</v>
      </c>
      <c r="Q18" s="51" t="n">
        <v>152</v>
      </c>
      <c r="R18" s="51" t="n">
        <v>63</v>
      </c>
      <c r="S18" s="51" t="n">
        <f aca="false">SUM(P18:R18)</f>
        <v>394.515</v>
      </c>
      <c r="T18" s="52" t="n">
        <f aca="false">(I18-S18)+T17</f>
        <v>-19303.161908243</v>
      </c>
      <c r="U18" s="51" t="n">
        <v>44.8</v>
      </c>
      <c r="V18" s="51" t="n">
        <v>56</v>
      </c>
      <c r="W18" s="52" t="n">
        <f aca="false">W17-60</f>
        <v>8808</v>
      </c>
      <c r="X18" s="6" t="n">
        <f aca="false">N18+O18+S18+U18+V18</f>
        <v>519.8</v>
      </c>
      <c r="Y18" s="51" t="n">
        <f aca="false">IF(L18&lt;0,L18*-1,0)</f>
        <v>46.3693975296194</v>
      </c>
      <c r="Z18" s="51" t="n">
        <f aca="false">X18+Y18</f>
        <v>566.169397529619</v>
      </c>
      <c r="AA18" s="53" t="n">
        <v>0</v>
      </c>
      <c r="AB18" s="56" t="n">
        <v>79</v>
      </c>
      <c r="AC18" s="56" t="n">
        <v>44</v>
      </c>
      <c r="AD18" s="57" t="n">
        <v>9</v>
      </c>
      <c r="AE18" s="86"/>
      <c r="AF18" s="87"/>
      <c r="AG18" s="87"/>
    </row>
    <row r="19" customFormat="false" ht="11.1" hidden="false" customHeight="true" outlineLevel="0" collapsed="false">
      <c r="A19" s="57" t="n">
        <v>10</v>
      </c>
      <c r="B19" s="71" t="n">
        <v>6887.67</v>
      </c>
      <c r="C19" s="52" t="n">
        <v>240381</v>
      </c>
      <c r="D19" s="56" t="n">
        <f aca="false">C19-C18</f>
        <v>-693</v>
      </c>
      <c r="E19" s="52" t="n">
        <f aca="false">C19-151978</f>
        <v>88403</v>
      </c>
      <c r="F19" s="51" t="n">
        <f aca="false">D19/$D$2</f>
        <v>-349.382404839929</v>
      </c>
      <c r="G19" s="51" t="n">
        <v>169</v>
      </c>
      <c r="H19" s="82" t="n">
        <v>0</v>
      </c>
      <c r="I19" s="51" t="n">
        <f aca="false">G19+H19</f>
        <v>169</v>
      </c>
      <c r="J19" s="78" t="n">
        <f aca="false">IF(L19&gt;0,L19,0)</f>
        <v>3.01759516007058</v>
      </c>
      <c r="K19" s="51" t="n">
        <f aca="false">I19+J19</f>
        <v>172.017595160071</v>
      </c>
      <c r="L19" s="51" t="n">
        <f aca="false">F19-(I19-X19)</f>
        <v>3.01759516007058</v>
      </c>
      <c r="M19" s="51" t="n">
        <v>216</v>
      </c>
      <c r="N19" s="51" t="n">
        <v>1</v>
      </c>
      <c r="O19" s="51" t="n">
        <f aca="false">15.5+13.6*1.05</f>
        <v>29.78</v>
      </c>
      <c r="P19" s="6" t="n">
        <f aca="false">M19-(N19+O19)</f>
        <v>185.22</v>
      </c>
      <c r="Q19" s="51" t="n">
        <v>151</v>
      </c>
      <c r="R19" s="51" t="n">
        <v>61</v>
      </c>
      <c r="S19" s="51" t="n">
        <f aca="false">SUM(P19:R19)</f>
        <v>397.22</v>
      </c>
      <c r="T19" s="52" t="n">
        <f aca="false">(I19-S19)+T18</f>
        <v>-19531.381908243</v>
      </c>
      <c r="U19" s="51" t="n">
        <v>40.4</v>
      </c>
      <c r="V19" s="51" t="n">
        <v>53</v>
      </c>
      <c r="W19" s="52" t="n">
        <f aca="false">W18-60</f>
        <v>8748</v>
      </c>
      <c r="X19" s="6" t="n">
        <f aca="false">N19+O19+S19+U19+V19</f>
        <v>521.4</v>
      </c>
      <c r="Y19" s="51" t="n">
        <f aca="false">IF(L19&lt;0,L19*-1,0)</f>
        <v>0</v>
      </c>
      <c r="Z19" s="51" t="n">
        <f aca="false">X19+Y19</f>
        <v>521.4</v>
      </c>
      <c r="AA19" s="53" t="n">
        <v>0</v>
      </c>
      <c r="AB19" s="56" t="n">
        <v>82</v>
      </c>
      <c r="AC19" s="56" t="n">
        <v>42</v>
      </c>
      <c r="AD19" s="57" t="n">
        <v>10</v>
      </c>
      <c r="AE19" s="86"/>
      <c r="AF19" s="87"/>
      <c r="AG19" s="87"/>
    </row>
    <row r="20" customFormat="false" ht="11.1" hidden="false" customHeight="true" outlineLevel="0" collapsed="false">
      <c r="A20" s="57" t="n">
        <v>11</v>
      </c>
      <c r="B20" s="71" t="n">
        <v>6887.42</v>
      </c>
      <c r="C20" s="52" t="n">
        <v>239557</v>
      </c>
      <c r="D20" s="56" t="n">
        <f aca="false">C20-C19</f>
        <v>-824</v>
      </c>
      <c r="E20" s="52" t="n">
        <f aca="false">C20-151978</f>
        <v>87579</v>
      </c>
      <c r="F20" s="51" t="n">
        <f aca="false">D20/$D$2</f>
        <v>-415.427275018906</v>
      </c>
      <c r="G20" s="51" t="n">
        <v>147</v>
      </c>
      <c r="H20" s="82" t="n">
        <v>0</v>
      </c>
      <c r="I20" s="51" t="n">
        <f aca="false">G20+H20</f>
        <v>147</v>
      </c>
      <c r="J20" s="78" t="n">
        <f aca="false">IF(L20&gt;0,L20,0)</f>
        <v>0</v>
      </c>
      <c r="K20" s="51" t="n">
        <f aca="false">I20+J20</f>
        <v>147</v>
      </c>
      <c r="L20" s="51" t="n">
        <f aca="false">F20-(I20-X20)</f>
        <v>-7.42727501890596</v>
      </c>
      <c r="M20" s="51" t="n">
        <v>245</v>
      </c>
      <c r="N20" s="51" t="n">
        <v>1</v>
      </c>
      <c r="O20" s="51" t="n">
        <f aca="false">27.7+26.1*1.05</f>
        <v>55.105</v>
      </c>
      <c r="P20" s="6" t="n">
        <f aca="false">M20-(N20+O20)</f>
        <v>188.895</v>
      </c>
      <c r="Q20" s="51" t="n">
        <v>151</v>
      </c>
      <c r="R20" s="51" t="n">
        <v>61</v>
      </c>
      <c r="S20" s="51" t="n">
        <f aca="false">SUM(P20:R20)</f>
        <v>400.895</v>
      </c>
      <c r="T20" s="52" t="n">
        <f aca="false">(I20-S20)+T19</f>
        <v>-19785.276908243</v>
      </c>
      <c r="U20" s="51" t="n">
        <v>40</v>
      </c>
      <c r="V20" s="51" t="n">
        <v>58</v>
      </c>
      <c r="W20" s="52" t="n">
        <f aca="false">W19-60</f>
        <v>8688</v>
      </c>
      <c r="X20" s="6" t="n">
        <f aca="false">N20+O20+S20+U20+V20</f>
        <v>555</v>
      </c>
      <c r="Y20" s="51" t="n">
        <f aca="false">IF(L20&lt;0,L20*-1,0)</f>
        <v>7.42727501890596</v>
      </c>
      <c r="Z20" s="51" t="n">
        <f aca="false">X20+Y20</f>
        <v>562.427275018906</v>
      </c>
      <c r="AA20" s="53" t="n">
        <v>0</v>
      </c>
      <c r="AB20" s="56" t="n">
        <v>80</v>
      </c>
      <c r="AC20" s="56" t="n">
        <v>45</v>
      </c>
      <c r="AD20" s="57" t="n">
        <v>11</v>
      </c>
      <c r="AE20" s="86"/>
      <c r="AF20" s="87"/>
      <c r="AG20" s="87"/>
    </row>
    <row r="21" customFormat="false" ht="11.1" hidden="false" customHeight="true" outlineLevel="0" collapsed="false">
      <c r="A21" s="57" t="n">
        <v>12</v>
      </c>
      <c r="B21" s="71" t="n">
        <v>6887.14</v>
      </c>
      <c r="C21" s="52" t="n">
        <v>238634</v>
      </c>
      <c r="D21" s="56" t="n">
        <f aca="false">C21-C20</f>
        <v>-923</v>
      </c>
      <c r="E21" s="52" t="n">
        <f aca="false">C21-151978</f>
        <v>86656</v>
      </c>
      <c r="F21" s="51" t="n">
        <f aca="false">D21/$D$2</f>
        <v>-465.339047138896</v>
      </c>
      <c r="G21" s="51" t="n">
        <v>133</v>
      </c>
      <c r="H21" s="82" t="n">
        <v>0</v>
      </c>
      <c r="I21" s="51" t="n">
        <f aca="false">G21+H21</f>
        <v>133</v>
      </c>
      <c r="J21" s="78" t="n">
        <f aca="false">IF(L21&gt;0,L21,0)</f>
        <v>0</v>
      </c>
      <c r="K21" s="51" t="n">
        <f aca="false">I21+J21</f>
        <v>133</v>
      </c>
      <c r="L21" s="51" t="n">
        <f aca="false">F21-(I21-X21)</f>
        <v>-50.7390471388958</v>
      </c>
      <c r="M21" s="51" t="n">
        <v>250</v>
      </c>
      <c r="N21" s="51" t="n">
        <v>1</v>
      </c>
      <c r="O21" s="51" t="n">
        <f aca="false">33.9+28.2*1.05</f>
        <v>63.51</v>
      </c>
      <c r="P21" s="6" t="n">
        <f aca="false">M21-(N21+O21)</f>
        <v>185.49</v>
      </c>
      <c r="Q21" s="51" t="n">
        <v>137</v>
      </c>
      <c r="R21" s="51" t="n">
        <v>60</v>
      </c>
      <c r="S21" s="51" t="n">
        <f aca="false">SUM(P21:R21)</f>
        <v>382.49</v>
      </c>
      <c r="T21" s="52" t="n">
        <f aca="false">(I21-S21)+T20</f>
        <v>-20034.766908243</v>
      </c>
      <c r="U21" s="51" t="n">
        <v>39.6</v>
      </c>
      <c r="V21" s="51" t="n">
        <v>61</v>
      </c>
      <c r="W21" s="52" t="n">
        <f aca="false">W20-60</f>
        <v>8628</v>
      </c>
      <c r="X21" s="6" t="n">
        <f aca="false">N21+O21+S21+U21+V21</f>
        <v>547.6</v>
      </c>
      <c r="Y21" s="51" t="n">
        <f aca="false">IF(L21&lt;0,L21*-1,0)</f>
        <v>50.7390471388958</v>
      </c>
      <c r="Z21" s="51" t="n">
        <f aca="false">X21+Y21</f>
        <v>598.339047138896</v>
      </c>
      <c r="AA21" s="53" t="n">
        <v>0</v>
      </c>
      <c r="AB21" s="56" t="n">
        <v>82</v>
      </c>
      <c r="AC21" s="56" t="n">
        <v>48</v>
      </c>
      <c r="AD21" s="57" t="n">
        <v>12</v>
      </c>
      <c r="AE21" s="86"/>
      <c r="AF21" s="87"/>
      <c r="AG21" s="87"/>
    </row>
    <row r="22" customFormat="false" ht="11.1" hidden="false" customHeight="true" outlineLevel="0" collapsed="false">
      <c r="A22" s="57" t="n">
        <v>13</v>
      </c>
      <c r="B22" s="71" t="n">
        <v>6886.87</v>
      </c>
      <c r="C22" s="52" t="n">
        <v>237749</v>
      </c>
      <c r="D22" s="56" t="n">
        <f aca="false">C22-C21</f>
        <v>-885</v>
      </c>
      <c r="E22" s="52" t="n">
        <f aca="false">C22-151978</f>
        <v>85771</v>
      </c>
      <c r="F22" s="51" t="n">
        <f aca="false">D22/$D$2</f>
        <v>-446.180993193849</v>
      </c>
      <c r="G22" s="51" t="n">
        <v>123</v>
      </c>
      <c r="H22" s="82" t="n">
        <v>0</v>
      </c>
      <c r="I22" s="51" t="n">
        <f aca="false">G22+H22</f>
        <v>123</v>
      </c>
      <c r="J22" s="78" t="n">
        <f aca="false">IF(L22&gt;0,L22,0)</f>
        <v>0</v>
      </c>
      <c r="K22" s="51" t="n">
        <f aca="false">I22+J22</f>
        <v>123</v>
      </c>
      <c r="L22" s="51" t="n">
        <f aca="false">F22-(I22-X22)</f>
        <v>-60.6809931938493</v>
      </c>
      <c r="M22" s="51" t="n">
        <v>230</v>
      </c>
      <c r="N22" s="51" t="n">
        <v>1</v>
      </c>
      <c r="O22" s="51" t="n">
        <f aca="false">28.3+28.2*1.05</f>
        <v>57.91</v>
      </c>
      <c r="P22" s="6" t="n">
        <f aca="false">M22-(N22+O22)</f>
        <v>171.09</v>
      </c>
      <c r="Q22" s="51" t="n">
        <v>110</v>
      </c>
      <c r="R22" s="51" t="n">
        <v>60</v>
      </c>
      <c r="S22" s="51" t="n">
        <f aca="false">SUM(P22:R22)</f>
        <v>341.09</v>
      </c>
      <c r="T22" s="52" t="n">
        <f aca="false">(I22-S22)+T21</f>
        <v>-20252.856908243</v>
      </c>
      <c r="U22" s="51" t="n">
        <v>48.5</v>
      </c>
      <c r="V22" s="51" t="n">
        <v>60</v>
      </c>
      <c r="W22" s="52" t="n">
        <f aca="false">W21-V22</f>
        <v>8568</v>
      </c>
      <c r="X22" s="6" t="n">
        <f aca="false">N22+O22+S22+U22+V22</f>
        <v>508.5</v>
      </c>
      <c r="Y22" s="51" t="n">
        <f aca="false">IF(L22&lt;0,L22*-1,0)</f>
        <v>60.6809931938493</v>
      </c>
      <c r="Z22" s="51" t="n">
        <f aca="false">X22+Y22</f>
        <v>569.180993193849</v>
      </c>
      <c r="AA22" s="53" t="n">
        <v>0</v>
      </c>
      <c r="AB22" s="56" t="n">
        <v>89</v>
      </c>
      <c r="AC22" s="56" t="n">
        <v>50</v>
      </c>
      <c r="AD22" s="57" t="n">
        <v>13</v>
      </c>
      <c r="AE22" s="86"/>
      <c r="AF22" s="87"/>
      <c r="AG22" s="87"/>
    </row>
    <row r="23" customFormat="false" ht="11.1" hidden="false" customHeight="true" outlineLevel="0" collapsed="false">
      <c r="A23" s="57" t="n">
        <v>14</v>
      </c>
      <c r="B23" s="71" t="n">
        <v>6886.63</v>
      </c>
      <c r="C23" s="52" t="n">
        <v>236966</v>
      </c>
      <c r="D23" s="56" t="n">
        <f aca="false">C23-C22</f>
        <v>-783</v>
      </c>
      <c r="E23" s="52" t="n">
        <f aca="false">C23-151978</f>
        <v>84988</v>
      </c>
      <c r="F23" s="51" t="n">
        <f aca="false">D23/$D$2</f>
        <v>-394.756743130829</v>
      </c>
      <c r="G23" s="51" t="n">
        <v>117</v>
      </c>
      <c r="H23" s="82" t="n">
        <v>0</v>
      </c>
      <c r="I23" s="51" t="n">
        <f aca="false">G23+H23</f>
        <v>117</v>
      </c>
      <c r="J23" s="78" t="n">
        <f aca="false">IF(L23&gt;0,L23,0)</f>
        <v>0</v>
      </c>
      <c r="K23" s="51" t="n">
        <f aca="false">I23+J23</f>
        <v>117</v>
      </c>
      <c r="L23" s="51" t="n">
        <f aca="false">F23-(I23-X23)</f>
        <v>-22.7567431308293</v>
      </c>
      <c r="M23" s="51" t="n">
        <v>229</v>
      </c>
      <c r="N23" s="51" t="n">
        <v>1</v>
      </c>
      <c r="O23" s="51" t="n">
        <f aca="false">28.9+27.7*1.05</f>
        <v>57.985</v>
      </c>
      <c r="P23" s="6" t="n">
        <f aca="false">M23-(N23+O23)</f>
        <v>170.015</v>
      </c>
      <c r="Q23" s="51" t="n">
        <v>100</v>
      </c>
      <c r="R23" s="51" t="n">
        <v>60</v>
      </c>
      <c r="S23" s="51" t="n">
        <f aca="false">SUM(P23:R23)</f>
        <v>330.015</v>
      </c>
      <c r="T23" s="52" t="n">
        <f aca="false">(I23-S23)+T22</f>
        <v>-20465.871908243</v>
      </c>
      <c r="U23" s="51" t="n">
        <v>40</v>
      </c>
      <c r="V23" s="51" t="n">
        <v>60</v>
      </c>
      <c r="W23" s="52" t="n">
        <f aca="false">W22-V23</f>
        <v>8508</v>
      </c>
      <c r="X23" s="6" t="n">
        <f aca="false">N23+O23+S23+U23+V23</f>
        <v>489</v>
      </c>
      <c r="Y23" s="51" t="n">
        <f aca="false">IF(L23&lt;0,L23*-1,0)</f>
        <v>22.7567431308293</v>
      </c>
      <c r="Z23" s="51" t="n">
        <f aca="false">X23+Y23</f>
        <v>511.756743130829</v>
      </c>
      <c r="AA23" s="53" t="n">
        <v>0</v>
      </c>
      <c r="AB23" s="56" t="n">
        <v>88</v>
      </c>
      <c r="AC23" s="56" t="n">
        <v>52</v>
      </c>
      <c r="AD23" s="57" t="n">
        <v>14</v>
      </c>
      <c r="AE23" s="86"/>
      <c r="AF23" s="87"/>
      <c r="AG23" s="87"/>
    </row>
    <row r="24" customFormat="false" ht="11.1" hidden="false" customHeight="true" outlineLevel="0" collapsed="false">
      <c r="A24" s="57" t="n">
        <v>15</v>
      </c>
      <c r="B24" s="71" t="n">
        <v>6886.42</v>
      </c>
      <c r="C24" s="52" t="n">
        <v>236282</v>
      </c>
      <c r="D24" s="56" t="n">
        <f aca="false">C24-C23</f>
        <v>-684</v>
      </c>
      <c r="E24" s="52" t="n">
        <f aca="false">C24-151978</f>
        <v>84304</v>
      </c>
      <c r="F24" s="51" t="n">
        <f aca="false">D24/$D$2</f>
        <v>-344.844971010839</v>
      </c>
      <c r="G24" s="51" t="n">
        <v>112</v>
      </c>
      <c r="H24" s="82" t="n">
        <v>0</v>
      </c>
      <c r="I24" s="51" t="n">
        <f aca="false">G24+H24</f>
        <v>112</v>
      </c>
      <c r="J24" s="78" t="n">
        <f aca="false">IF(L24&gt;0,L24,0)</f>
        <v>7.95502898916061</v>
      </c>
      <c r="K24" s="51" t="n">
        <f aca="false">I24+J24</f>
        <v>119.955028989161</v>
      </c>
      <c r="L24" s="51" t="n">
        <f aca="false">F24-(I24-X24)</f>
        <v>7.95502898916061</v>
      </c>
      <c r="M24" s="51" t="n">
        <v>199</v>
      </c>
      <c r="N24" s="51" t="n">
        <v>1</v>
      </c>
      <c r="O24" s="51" t="n">
        <f aca="false">16.8+14.4*1.05</f>
        <v>31.92</v>
      </c>
      <c r="P24" s="6" t="n">
        <f aca="false">M24-(N24+O24)</f>
        <v>166.08</v>
      </c>
      <c r="Q24" s="51" t="n">
        <v>99</v>
      </c>
      <c r="R24" s="51" t="n">
        <v>59</v>
      </c>
      <c r="S24" s="51" t="n">
        <f aca="false">SUM(P24:R24)</f>
        <v>324.08</v>
      </c>
      <c r="T24" s="52" t="n">
        <f aca="false">(I24-S24)+T23</f>
        <v>-20677.951908243</v>
      </c>
      <c r="U24" s="51" t="n">
        <v>47.8</v>
      </c>
      <c r="V24" s="51" t="n">
        <v>60</v>
      </c>
      <c r="W24" s="52" t="n">
        <f aca="false">W23-V24</f>
        <v>8448</v>
      </c>
      <c r="X24" s="6" t="n">
        <f aca="false">N24+O24+S24+U24+V24</f>
        <v>464.8</v>
      </c>
      <c r="Y24" s="51" t="n">
        <f aca="false">IF(L24&lt;0,L24*-1,0)</f>
        <v>0</v>
      </c>
      <c r="Z24" s="51" t="n">
        <f aca="false">X24+Y24</f>
        <v>464.8</v>
      </c>
      <c r="AA24" s="53" t="n">
        <v>0</v>
      </c>
      <c r="AB24" s="56" t="n">
        <v>87</v>
      </c>
      <c r="AC24" s="56" t="n">
        <v>55</v>
      </c>
      <c r="AD24" s="57" t="n">
        <v>15</v>
      </c>
      <c r="AE24" s="86"/>
      <c r="AF24" s="87"/>
      <c r="AG24" s="87"/>
    </row>
    <row r="25" customFormat="false" ht="11.1" hidden="false" customHeight="true" outlineLevel="0" collapsed="false">
      <c r="A25" s="57" t="n">
        <v>16</v>
      </c>
      <c r="B25" s="71" t="n">
        <v>6886.2</v>
      </c>
      <c r="C25" s="52" t="n">
        <v>235564</v>
      </c>
      <c r="D25" s="56" t="n">
        <f aca="false">C25-C24</f>
        <v>-718</v>
      </c>
      <c r="E25" s="52" t="n">
        <f aca="false">C25-151978</f>
        <v>83586</v>
      </c>
      <c r="F25" s="51" t="n">
        <f aca="false">D25/$D$2</f>
        <v>-361.986387698513</v>
      </c>
      <c r="G25" s="51" t="n">
        <v>108</v>
      </c>
      <c r="H25" s="82" t="n">
        <v>0</v>
      </c>
      <c r="I25" s="51" t="n">
        <f aca="false">G25+H25</f>
        <v>108</v>
      </c>
      <c r="J25" s="78" t="n">
        <f aca="false">IF(L25&gt;0,L25,0)</f>
        <v>0</v>
      </c>
      <c r="K25" s="51" t="n">
        <f aca="false">I25+J25</f>
        <v>108</v>
      </c>
      <c r="L25" s="51" t="n">
        <f aca="false">F25-(I25-X25)</f>
        <v>-30.2863876985127</v>
      </c>
      <c r="M25" s="51" t="n">
        <v>214</v>
      </c>
      <c r="N25" s="51" t="n">
        <v>1</v>
      </c>
      <c r="O25" s="51" t="n">
        <f aca="false">10.2+8.4*1.05</f>
        <v>19.02</v>
      </c>
      <c r="P25" s="6" t="n">
        <f aca="false">M25-(N25+O25)</f>
        <v>193.98</v>
      </c>
      <c r="Q25" s="51" t="n">
        <v>62</v>
      </c>
      <c r="R25" s="51" t="n">
        <v>60</v>
      </c>
      <c r="S25" s="51" t="n">
        <f aca="false">SUM(P25:R25)</f>
        <v>315.98</v>
      </c>
      <c r="T25" s="52" t="n">
        <f aca="false">(I25-S25)+T24</f>
        <v>-20885.931908243</v>
      </c>
      <c r="U25" s="51" t="n">
        <v>43.7</v>
      </c>
      <c r="V25" s="51" t="n">
        <v>60</v>
      </c>
      <c r="W25" s="52" t="n">
        <f aca="false">W24-V25</f>
        <v>8388</v>
      </c>
      <c r="X25" s="6" t="n">
        <f aca="false">N25+O25+S25+U25+V25</f>
        <v>439.7</v>
      </c>
      <c r="Y25" s="51" t="n">
        <f aca="false">IF(L25&lt;0,L25*-1,0)</f>
        <v>30.2863876985127</v>
      </c>
      <c r="Z25" s="51" t="n">
        <f aca="false">X25+Y25</f>
        <v>469.986387698513</v>
      </c>
      <c r="AA25" s="53" t="n">
        <v>0</v>
      </c>
      <c r="AB25" s="56" t="n">
        <v>88</v>
      </c>
      <c r="AC25" s="56" t="n">
        <v>53</v>
      </c>
      <c r="AD25" s="57" t="n">
        <v>16</v>
      </c>
      <c r="AE25" s="86"/>
      <c r="AF25" s="87"/>
      <c r="AG25" s="87"/>
    </row>
    <row r="26" customFormat="false" ht="11.1" hidden="false" customHeight="true" outlineLevel="0" collapsed="false">
      <c r="A26" s="57" t="n">
        <v>17</v>
      </c>
      <c r="B26" s="71" t="n">
        <v>6886</v>
      </c>
      <c r="C26" s="52" t="n">
        <v>234912</v>
      </c>
      <c r="D26" s="56" t="n">
        <f aca="false">C26-C25</f>
        <v>-652</v>
      </c>
      <c r="E26" s="52" t="n">
        <f aca="false">C26-151978</f>
        <v>82934</v>
      </c>
      <c r="F26" s="51" t="n">
        <f aca="false">D26/$D$2</f>
        <v>-328.711872951853</v>
      </c>
      <c r="G26" s="51" t="n">
        <v>103</v>
      </c>
      <c r="H26" s="82" t="n">
        <v>0</v>
      </c>
      <c r="I26" s="51" t="n">
        <f aca="false">G26+H26</f>
        <v>103</v>
      </c>
      <c r="J26" s="78" t="n">
        <f aca="false">IF(L26&gt;0,L26,0)</f>
        <v>0</v>
      </c>
      <c r="K26" s="51" t="n">
        <f aca="false">I26+J26</f>
        <v>103</v>
      </c>
      <c r="L26" s="51" t="n">
        <f aca="false">F26-(I26-X26)</f>
        <v>-27.6118729518528</v>
      </c>
      <c r="M26" s="51" t="n">
        <v>191</v>
      </c>
      <c r="N26" s="51" t="n">
        <v>1</v>
      </c>
      <c r="O26" s="51" t="n">
        <f aca="false">15.43*1.05</f>
        <v>16.2015</v>
      </c>
      <c r="P26" s="6" t="n">
        <f aca="false">M26-(N26+O26)</f>
        <v>173.7985</v>
      </c>
      <c r="Q26" s="51" t="n">
        <v>51</v>
      </c>
      <c r="R26" s="51" t="n">
        <v>60</v>
      </c>
      <c r="S26" s="51" t="n">
        <f aca="false">SUM(P26:R26)</f>
        <v>284.7985</v>
      </c>
      <c r="T26" s="52" t="n">
        <f aca="false">(I26-S26)+T25</f>
        <v>-21067.730408243</v>
      </c>
      <c r="U26" s="51" t="n">
        <v>42.1</v>
      </c>
      <c r="V26" s="51" t="n">
        <v>60</v>
      </c>
      <c r="W26" s="52" t="n">
        <f aca="false">W25-V26</f>
        <v>8328</v>
      </c>
      <c r="X26" s="6" t="n">
        <f aca="false">N26+O26+S26+U26+V26</f>
        <v>404.1</v>
      </c>
      <c r="Y26" s="51" t="n">
        <f aca="false">IF(L26&lt;0,L26*-1,0)</f>
        <v>27.6118729518528</v>
      </c>
      <c r="Z26" s="51" t="n">
        <f aca="false">X26+Y26</f>
        <v>431.711872951853</v>
      </c>
      <c r="AA26" s="53" t="n">
        <v>0</v>
      </c>
      <c r="AB26" s="56" t="n">
        <v>87</v>
      </c>
      <c r="AC26" s="56" t="n">
        <v>54</v>
      </c>
      <c r="AD26" s="57" t="n">
        <v>17</v>
      </c>
      <c r="AE26" s="86"/>
      <c r="AF26" s="87"/>
      <c r="AG26" s="87"/>
    </row>
    <row r="27" customFormat="false" ht="11.1" hidden="false" customHeight="true" outlineLevel="0" collapsed="false">
      <c r="A27" s="57" t="n">
        <v>18</v>
      </c>
      <c r="B27" s="71" t="n">
        <v>6885.82</v>
      </c>
      <c r="C27" s="52" t="n">
        <v>234332</v>
      </c>
      <c r="D27" s="56" t="n">
        <f aca="false">C27-C26</f>
        <v>-580</v>
      </c>
      <c r="E27" s="52" t="n">
        <f aca="false">C27-151978</f>
        <v>82354</v>
      </c>
      <c r="F27" s="51" t="n">
        <f aca="false">D27/$D$2</f>
        <v>-292.412402319133</v>
      </c>
      <c r="G27" s="51" t="n">
        <v>107</v>
      </c>
      <c r="H27" s="82" t="n">
        <v>0</v>
      </c>
      <c r="I27" s="51" t="n">
        <f aca="false">G27+H27</f>
        <v>107</v>
      </c>
      <c r="J27" s="78" t="n">
        <f aca="false">IF(L27&gt;0,L27,0)</f>
        <v>6.08759768086713</v>
      </c>
      <c r="K27" s="51" t="n">
        <f aca="false">I27+J27</f>
        <v>113.087597680867</v>
      </c>
      <c r="L27" s="51" t="n">
        <f aca="false">F27-(I27-X27)</f>
        <v>6.08759768086713</v>
      </c>
      <c r="M27" s="51" t="n">
        <v>214</v>
      </c>
      <c r="N27" s="51" t="n">
        <v>1</v>
      </c>
      <c r="O27" s="51" t="n">
        <f aca="false">16.7+15.6*1.05</f>
        <v>33.08</v>
      </c>
      <c r="P27" s="6" t="n">
        <f aca="false">M27-(N27+O27)</f>
        <v>179.92</v>
      </c>
      <c r="Q27" s="51" t="n">
        <v>30</v>
      </c>
      <c r="R27" s="51" t="n">
        <v>61</v>
      </c>
      <c r="S27" s="51" t="n">
        <f aca="false">SUM(P27:R27)</f>
        <v>270.92</v>
      </c>
      <c r="T27" s="52" t="n">
        <f aca="false">(I27-S27)+T26</f>
        <v>-21231.650408243</v>
      </c>
      <c r="U27" s="51" t="n">
        <v>39.5</v>
      </c>
      <c r="V27" s="51" t="n">
        <v>61</v>
      </c>
      <c r="W27" s="52" t="n">
        <f aca="false">W26-60</f>
        <v>8268</v>
      </c>
      <c r="X27" s="6" t="n">
        <f aca="false">N27+O27+S27+U27+V27</f>
        <v>405.5</v>
      </c>
      <c r="Y27" s="51" t="n">
        <f aca="false">IF(L27&lt;0,L27*-1,0)</f>
        <v>0</v>
      </c>
      <c r="Z27" s="51" t="n">
        <f aca="false">X27+Y27</f>
        <v>405.5</v>
      </c>
      <c r="AA27" s="53" t="n">
        <v>0.03</v>
      </c>
      <c r="AB27" s="56" t="n">
        <v>76</v>
      </c>
      <c r="AC27" s="56" t="n">
        <v>50</v>
      </c>
      <c r="AD27" s="57" t="n">
        <v>18</v>
      </c>
      <c r="AE27" s="86"/>
      <c r="AF27" s="87"/>
      <c r="AG27" s="87"/>
    </row>
    <row r="28" customFormat="false" ht="11.1" hidden="false" customHeight="true" outlineLevel="0" collapsed="false">
      <c r="A28" s="57" t="n">
        <v>19</v>
      </c>
      <c r="B28" s="71" t="n">
        <v>6885.58</v>
      </c>
      <c r="C28" s="52" t="n">
        <v>233559</v>
      </c>
      <c r="D28" s="56" t="n">
        <f aca="false">C28-C27</f>
        <v>-773</v>
      </c>
      <c r="E28" s="52" t="n">
        <f aca="false">C28-151978</f>
        <v>81581</v>
      </c>
      <c r="F28" s="51" t="n">
        <f aca="false">D28/$D$2</f>
        <v>-389.715149987396</v>
      </c>
      <c r="G28" s="51" t="n">
        <v>89</v>
      </c>
      <c r="H28" s="82" t="n">
        <v>0</v>
      </c>
      <c r="I28" s="51" t="n">
        <f aca="false">G28+H28</f>
        <v>89</v>
      </c>
      <c r="J28" s="78" t="n">
        <f aca="false">IF(L28&gt;0,L28,0)</f>
        <v>0</v>
      </c>
      <c r="K28" s="51" t="n">
        <f aca="false">I28+J28</f>
        <v>89</v>
      </c>
      <c r="L28" s="51" t="n">
        <f aca="false">F28-(I28-X28)</f>
        <v>-44.215149987396</v>
      </c>
      <c r="M28" s="51" t="n">
        <v>226</v>
      </c>
      <c r="N28" s="51" t="n">
        <v>1</v>
      </c>
      <c r="O28" s="51" t="n">
        <f aca="false">31.3+30.3*1.05</f>
        <v>63.115</v>
      </c>
      <c r="P28" s="6" t="n">
        <f aca="false">M28-(N28+O28)</f>
        <v>161.885</v>
      </c>
      <c r="Q28" s="51" t="n">
        <v>24</v>
      </c>
      <c r="R28" s="51" t="n">
        <v>60</v>
      </c>
      <c r="S28" s="51" t="n">
        <f aca="false">SUM(P28:R28)</f>
        <v>245.885</v>
      </c>
      <c r="T28" s="52" t="n">
        <f aca="false">(I28-S28)+T27</f>
        <v>-21388.535408243</v>
      </c>
      <c r="U28" s="51" t="n">
        <v>63.5</v>
      </c>
      <c r="V28" s="51" t="n">
        <v>61</v>
      </c>
      <c r="W28" s="52" t="n">
        <f aca="false">W27-60</f>
        <v>8208</v>
      </c>
      <c r="X28" s="6" t="n">
        <f aca="false">N28+O28+S28+U28+V28</f>
        <v>434.5</v>
      </c>
      <c r="Y28" s="51" t="n">
        <f aca="false">IF(L28&lt;0,L28*-1,0)</f>
        <v>44.215149987396</v>
      </c>
      <c r="Z28" s="51" t="n">
        <f aca="false">X28+Y28</f>
        <v>478.715149987396</v>
      </c>
      <c r="AA28" s="53" t="n">
        <v>0</v>
      </c>
      <c r="AB28" s="56" t="n">
        <v>80</v>
      </c>
      <c r="AC28" s="56" t="n">
        <v>49</v>
      </c>
      <c r="AD28" s="57" t="n">
        <v>19</v>
      </c>
      <c r="AE28" s="86"/>
      <c r="AF28" s="87"/>
      <c r="AG28" s="87"/>
    </row>
    <row r="29" customFormat="false" ht="11.1" hidden="false" customHeight="true" outlineLevel="0" collapsed="false">
      <c r="A29" s="57" t="n">
        <v>20</v>
      </c>
      <c r="B29" s="71" t="n">
        <v>6885.35</v>
      </c>
      <c r="C29" s="52" t="n">
        <v>232818</v>
      </c>
      <c r="D29" s="56" t="n">
        <f aca="false">C29-C28</f>
        <v>-741</v>
      </c>
      <c r="E29" s="52" t="n">
        <f aca="false">C29-151978</f>
        <v>80840</v>
      </c>
      <c r="F29" s="51" t="n">
        <f aca="false">D29/$D$2</f>
        <v>-373.582051928409</v>
      </c>
      <c r="G29" s="51" t="n">
        <v>69</v>
      </c>
      <c r="H29" s="82" t="n">
        <v>0</v>
      </c>
      <c r="I29" s="51" t="n">
        <f aca="false">G29+H29</f>
        <v>69</v>
      </c>
      <c r="J29" s="78" t="n">
        <f aca="false">IF(L29&gt;0,L29,0)</f>
        <v>0</v>
      </c>
      <c r="K29" s="51" t="n">
        <f aca="false">I29+J29</f>
        <v>69</v>
      </c>
      <c r="L29" s="51" t="n">
        <f aca="false">F29-(I29-X29)</f>
        <v>-11.6820519284094</v>
      </c>
      <c r="M29" s="51" t="n">
        <v>243</v>
      </c>
      <c r="N29" s="51" t="n">
        <v>1</v>
      </c>
      <c r="O29" s="51" t="n">
        <f aca="false">33+31.9*1.05</f>
        <v>66.495</v>
      </c>
      <c r="P29" s="6" t="n">
        <f aca="false">M29-(N29+O29)</f>
        <v>175.505</v>
      </c>
      <c r="Q29" s="51" t="n">
        <v>24</v>
      </c>
      <c r="R29" s="51" t="n">
        <v>60</v>
      </c>
      <c r="S29" s="51" t="n">
        <f aca="false">SUM(P29:R29)</f>
        <v>259.505</v>
      </c>
      <c r="T29" s="52" t="n">
        <f aca="false">(I29-S29)+T28</f>
        <v>-21579.040408243</v>
      </c>
      <c r="U29" s="51" t="n">
        <v>48.9</v>
      </c>
      <c r="V29" s="51" t="n">
        <v>55</v>
      </c>
      <c r="W29" s="52" t="n">
        <f aca="false">W28-V29</f>
        <v>8153</v>
      </c>
      <c r="X29" s="6" t="n">
        <f aca="false">N29+O29+S29+U29+V29</f>
        <v>430.9</v>
      </c>
      <c r="Y29" s="51" t="n">
        <f aca="false">IF(L29&lt;0,L29*-1,0)</f>
        <v>11.6820519284094</v>
      </c>
      <c r="Z29" s="51" t="n">
        <f aca="false">X29+Y29</f>
        <v>442.582051928409</v>
      </c>
      <c r="AA29" s="53" t="n">
        <v>0</v>
      </c>
      <c r="AB29" s="56" t="n">
        <v>79</v>
      </c>
      <c r="AC29" s="56" t="n">
        <v>47</v>
      </c>
      <c r="AD29" s="57" t="n">
        <v>20</v>
      </c>
      <c r="AE29" s="86"/>
      <c r="AF29" s="87"/>
      <c r="AG29" s="87"/>
    </row>
    <row r="30" customFormat="false" ht="11.1" hidden="false" customHeight="true" outlineLevel="0" collapsed="false">
      <c r="A30" s="57" t="n">
        <v>21</v>
      </c>
      <c r="B30" s="71" t="n">
        <v>6885.1</v>
      </c>
      <c r="C30" s="52" t="n">
        <v>232012</v>
      </c>
      <c r="D30" s="56" t="n">
        <f aca="false">C30-C29</f>
        <v>-806</v>
      </c>
      <c r="E30" s="52" t="n">
        <f aca="false">C30-151978</f>
        <v>80034</v>
      </c>
      <c r="F30" s="51" t="n">
        <f aca="false">D30/$D$2</f>
        <v>-406.352407360726</v>
      </c>
      <c r="G30" s="51" t="n">
        <v>58</v>
      </c>
      <c r="H30" s="82" t="n">
        <v>0</v>
      </c>
      <c r="I30" s="51" t="n">
        <f aca="false">G30+H30</f>
        <v>58</v>
      </c>
      <c r="J30" s="78" t="n">
        <f aca="false">IF(L30&gt;0,L30,0)</f>
        <v>0</v>
      </c>
      <c r="K30" s="51" t="n">
        <f aca="false">I30+J30</f>
        <v>58</v>
      </c>
      <c r="L30" s="51" t="n">
        <f aca="false">F30-(I30-X30)</f>
        <v>-49.352407360726</v>
      </c>
      <c r="M30" s="51" t="n">
        <v>233</v>
      </c>
      <c r="N30" s="51" t="n">
        <v>1</v>
      </c>
      <c r="O30" s="51" t="n">
        <v>63.84</v>
      </c>
      <c r="P30" s="6" t="n">
        <f aca="false">M30-(N30+O30)</f>
        <v>168.16</v>
      </c>
      <c r="Q30" s="51" t="n">
        <v>23</v>
      </c>
      <c r="R30" s="51" t="n">
        <v>59</v>
      </c>
      <c r="S30" s="51" t="n">
        <f aca="false">SUM(P30:R30)</f>
        <v>250.16</v>
      </c>
      <c r="T30" s="52" t="n">
        <f aca="false">(I30-S30)+T29</f>
        <v>-21771.200408243</v>
      </c>
      <c r="U30" s="51" t="n">
        <v>47</v>
      </c>
      <c r="V30" s="51" t="n">
        <v>53</v>
      </c>
      <c r="W30" s="52" t="n">
        <f aca="false">W29-50-2</f>
        <v>8101</v>
      </c>
      <c r="X30" s="6" t="n">
        <f aca="false">N30+O30+S30+U30+V30</f>
        <v>415</v>
      </c>
      <c r="Y30" s="51" t="n">
        <f aca="false">IF(L30&lt;0,L30*-1,0)</f>
        <v>49.352407360726</v>
      </c>
      <c r="Z30" s="51" t="n">
        <f aca="false">X30+Y30</f>
        <v>464.352407360726</v>
      </c>
      <c r="AA30" s="53" t="n">
        <v>0</v>
      </c>
      <c r="AB30" s="56" t="n">
        <v>78.8</v>
      </c>
      <c r="AC30" s="56" t="n">
        <v>52</v>
      </c>
      <c r="AD30" s="57" t="n">
        <v>21</v>
      </c>
      <c r="AE30" s="86"/>
      <c r="AF30" s="87"/>
      <c r="AG30" s="87"/>
    </row>
    <row r="31" customFormat="false" ht="11.1" hidden="false" customHeight="true" outlineLevel="0" collapsed="false">
      <c r="A31" s="57" t="n">
        <v>22</v>
      </c>
      <c r="B31" s="71" t="n">
        <v>6884.92</v>
      </c>
      <c r="C31" s="52" t="n">
        <v>231435</v>
      </c>
      <c r="D31" s="56" t="n">
        <f aca="false">C31-C30</f>
        <v>-577</v>
      </c>
      <c r="E31" s="52" t="n">
        <f aca="false">C31-151978</f>
        <v>79457</v>
      </c>
      <c r="F31" s="51" t="n">
        <f aca="false">D31/$D$2</f>
        <v>-290.899924376103</v>
      </c>
      <c r="G31" s="51" t="n">
        <v>65</v>
      </c>
      <c r="H31" s="82" t="n">
        <v>0</v>
      </c>
      <c r="I31" s="51" t="n">
        <f aca="false">G31+H31</f>
        <v>65</v>
      </c>
      <c r="J31" s="78" t="n">
        <f aca="false">IF(L31&gt;0,L31,0)</f>
        <v>16.8000756238972</v>
      </c>
      <c r="K31" s="51" t="n">
        <f aca="false">I31+J31</f>
        <v>81.8000756238972</v>
      </c>
      <c r="L31" s="51" t="n">
        <f aca="false">F31-(I31-X31)</f>
        <v>16.8000756238972</v>
      </c>
      <c r="M31" s="51" t="n">
        <v>200</v>
      </c>
      <c r="N31" s="51" t="n">
        <v>1</v>
      </c>
      <c r="O31" s="51" t="n">
        <v>37.6</v>
      </c>
      <c r="P31" s="6" t="n">
        <f aca="false">M31-(N31+O31)</f>
        <v>161.4</v>
      </c>
      <c r="Q31" s="51" t="n">
        <v>23</v>
      </c>
      <c r="R31" s="51" t="n">
        <v>58</v>
      </c>
      <c r="S31" s="51" t="n">
        <f aca="false">SUM(P31:R31)</f>
        <v>242.4</v>
      </c>
      <c r="T31" s="52" t="n">
        <f aca="false">(I31-S31)+T30</f>
        <v>-21948.600408243</v>
      </c>
      <c r="U31" s="51" t="n">
        <v>38.7</v>
      </c>
      <c r="V31" s="51" t="n">
        <v>53</v>
      </c>
      <c r="W31" s="52" t="n">
        <f aca="false">W30-50</f>
        <v>8051</v>
      </c>
      <c r="X31" s="6" t="n">
        <f aca="false">N31+O31+S31+U31+V31</f>
        <v>372.7</v>
      </c>
      <c r="Y31" s="51" t="n">
        <f aca="false">IF(L31&lt;0,L31*-1,0)</f>
        <v>0</v>
      </c>
      <c r="Z31" s="51" t="n">
        <f aca="false">X31+Y31</f>
        <v>372.7</v>
      </c>
      <c r="AA31" s="53" t="n">
        <v>0</v>
      </c>
      <c r="AB31" s="56" t="n">
        <v>78.2</v>
      </c>
      <c r="AC31" s="56" t="n">
        <v>55</v>
      </c>
      <c r="AD31" s="57" t="n">
        <v>22</v>
      </c>
      <c r="AE31" s="86"/>
      <c r="AF31" s="87"/>
      <c r="AG31" s="87"/>
    </row>
    <row r="32" customFormat="false" ht="11.1" hidden="false" customHeight="true" outlineLevel="0" collapsed="false">
      <c r="A32" s="57" t="n">
        <v>23</v>
      </c>
      <c r="B32" s="71" t="n">
        <v>6884.77</v>
      </c>
      <c r="C32" s="52" t="n">
        <v>230957</v>
      </c>
      <c r="D32" s="56" t="n">
        <f aca="false">C32-C31</f>
        <v>-478</v>
      </c>
      <c r="E32" s="52" t="n">
        <f aca="false">C32-151978</f>
        <v>78979</v>
      </c>
      <c r="F32" s="51" t="n">
        <f aca="false">D32/$D$2</f>
        <v>-240.988152256113</v>
      </c>
      <c r="G32" s="51" t="n">
        <v>78</v>
      </c>
      <c r="H32" s="82" t="n">
        <v>0</v>
      </c>
      <c r="I32" s="51" t="n">
        <f aca="false">G32+H32</f>
        <v>78</v>
      </c>
      <c r="J32" s="78" t="n">
        <f aca="false">IF(L32&gt;0,L32,0)</f>
        <v>29.6418477438871</v>
      </c>
      <c r="K32" s="51" t="n">
        <f aca="false">I32+J32</f>
        <v>107.641847743887</v>
      </c>
      <c r="L32" s="51" t="n">
        <f aca="false">F32-(I32-X32)</f>
        <v>29.6418477438871</v>
      </c>
      <c r="M32" s="51" t="n">
        <v>180</v>
      </c>
      <c r="N32" s="51" t="n">
        <v>1</v>
      </c>
      <c r="O32" s="51" t="n">
        <v>18.1</v>
      </c>
      <c r="P32" s="6" t="n">
        <f aca="false">M32-(N32+O32)</f>
        <v>160.9</v>
      </c>
      <c r="Q32" s="51" t="n">
        <v>23</v>
      </c>
      <c r="R32" s="51" t="n">
        <v>58</v>
      </c>
      <c r="S32" s="51" t="n">
        <f aca="false">SUM(P32:R32)</f>
        <v>241.9</v>
      </c>
      <c r="T32" s="52" t="n">
        <f aca="false">(I32-S32)+T31</f>
        <v>-22112.500408243</v>
      </c>
      <c r="U32" s="51" t="n">
        <v>34.63</v>
      </c>
      <c r="V32" s="51" t="n">
        <v>53</v>
      </c>
      <c r="W32" s="52" t="n">
        <f aca="false">W31-50</f>
        <v>8001</v>
      </c>
      <c r="X32" s="6" t="n">
        <f aca="false">N32+O32+S32+U32+V32</f>
        <v>348.63</v>
      </c>
      <c r="Y32" s="51" t="n">
        <f aca="false">IF(L32&lt;0,L32*-1,0)</f>
        <v>0</v>
      </c>
      <c r="Z32" s="51" t="n">
        <f aca="false">X32+Y32</f>
        <v>348.63</v>
      </c>
      <c r="AA32" s="53" t="n">
        <v>0.17</v>
      </c>
      <c r="AB32" s="56" t="n">
        <v>65.5</v>
      </c>
      <c r="AC32" s="56" t="n">
        <v>36</v>
      </c>
      <c r="AD32" s="57" t="n">
        <v>23</v>
      </c>
      <c r="AE32" s="86"/>
      <c r="AF32" s="87"/>
      <c r="AG32" s="87"/>
    </row>
    <row r="33" customFormat="false" ht="11.1" hidden="false" customHeight="true" outlineLevel="0" collapsed="false">
      <c r="A33" s="57" t="n">
        <v>24</v>
      </c>
      <c r="B33" s="71" t="n">
        <v>6884.59</v>
      </c>
      <c r="C33" s="52" t="n">
        <v>230384</v>
      </c>
      <c r="D33" s="56" t="n">
        <f aca="false">C33-C32</f>
        <v>-573</v>
      </c>
      <c r="E33" s="52" t="n">
        <f aca="false">C33-151978</f>
        <v>78406</v>
      </c>
      <c r="F33" s="51" t="n">
        <f aca="false">D33/$D$2</f>
        <v>-288.88328711873</v>
      </c>
      <c r="G33" s="51" t="n">
        <v>78</v>
      </c>
      <c r="H33" s="82" t="n">
        <v>0</v>
      </c>
      <c r="I33" s="51" t="n">
        <f aca="false">G33+H33</f>
        <v>78</v>
      </c>
      <c r="J33" s="78" t="n">
        <f aca="false">IF(L33&gt;0,L33,0)</f>
        <v>0</v>
      </c>
      <c r="K33" s="51" t="n">
        <f aca="false">I33+J33</f>
        <v>78</v>
      </c>
      <c r="L33" s="51" t="n">
        <f aca="false">F33-(I33-X33)</f>
        <v>-28.7532871187295</v>
      </c>
      <c r="M33" s="51" t="n">
        <v>175</v>
      </c>
      <c r="N33" s="51" t="n">
        <v>1</v>
      </c>
      <c r="O33" s="51" t="n">
        <v>18.4</v>
      </c>
      <c r="P33" s="6" t="n">
        <f aca="false">M33-(N33+O33)</f>
        <v>155.6</v>
      </c>
      <c r="Q33" s="51" t="n">
        <v>23</v>
      </c>
      <c r="R33" s="51" t="n">
        <v>58</v>
      </c>
      <c r="S33" s="51" t="n">
        <f aca="false">SUM(P33:R33)</f>
        <v>236.6</v>
      </c>
      <c r="T33" s="52" t="n">
        <f aca="false">(I33-S33)+T32</f>
        <v>-22271.100408243</v>
      </c>
      <c r="U33" s="51" t="n">
        <v>29.13</v>
      </c>
      <c r="V33" s="51" t="n">
        <v>53</v>
      </c>
      <c r="W33" s="52" t="n">
        <f aca="false">W32-50</f>
        <v>7951</v>
      </c>
      <c r="X33" s="6" t="n">
        <f aca="false">N33+O33+S33+U33+V33</f>
        <v>338.13</v>
      </c>
      <c r="Y33" s="51" t="n">
        <f aca="false">IF(L33&lt;0,L33*-1,0)</f>
        <v>28.7532871187295</v>
      </c>
      <c r="Z33" s="51" t="n">
        <f aca="false">X33+Y33</f>
        <v>366.88328711873</v>
      </c>
      <c r="AA33" s="53" t="n">
        <v>0</v>
      </c>
      <c r="AB33" s="56" t="n">
        <v>56</v>
      </c>
      <c r="AC33" s="56" t="n">
        <v>29</v>
      </c>
      <c r="AD33" s="57" t="n">
        <v>24</v>
      </c>
      <c r="AE33" s="86"/>
      <c r="AF33" s="87"/>
      <c r="AG33" s="87"/>
    </row>
    <row r="34" customFormat="false" ht="11.1" hidden="false" customHeight="true" outlineLevel="0" collapsed="false">
      <c r="A34" s="57" t="n">
        <v>25</v>
      </c>
      <c r="B34" s="71" t="n">
        <v>6884.42</v>
      </c>
      <c r="C34" s="52" t="n">
        <v>229842</v>
      </c>
      <c r="D34" s="56" t="n">
        <f aca="false">C34-C33</f>
        <v>-542</v>
      </c>
      <c r="E34" s="52" t="n">
        <f aca="false">C34-151978</f>
        <v>77864</v>
      </c>
      <c r="F34" s="51" t="n">
        <f aca="false">D34/$D$2</f>
        <v>-273.254348374086</v>
      </c>
      <c r="G34" s="51" t="n">
        <v>74</v>
      </c>
      <c r="H34" s="82" t="n">
        <v>0</v>
      </c>
      <c r="I34" s="51" t="n">
        <f aca="false">G34+H34</f>
        <v>74</v>
      </c>
      <c r="J34" s="78" t="n">
        <f aca="false">IF(L34&gt;0,L34,0)</f>
        <v>0</v>
      </c>
      <c r="K34" s="51" t="n">
        <f aca="false">I34+J34</f>
        <v>74</v>
      </c>
      <c r="L34" s="51" t="n">
        <f aca="false">F34-(I34-X34)</f>
        <v>-39.0943483740862</v>
      </c>
      <c r="M34" s="51" t="n">
        <v>161</v>
      </c>
      <c r="N34" s="51" t="n">
        <v>1</v>
      </c>
      <c r="O34" s="51" t="n">
        <v>22.3</v>
      </c>
      <c r="P34" s="6" t="n">
        <f aca="false">M34-(N34+O34)</f>
        <v>137.7</v>
      </c>
      <c r="Q34" s="51" t="n">
        <v>23</v>
      </c>
      <c r="R34" s="51" t="n">
        <v>55</v>
      </c>
      <c r="S34" s="51" t="n">
        <f aca="false">SUM(P34:R34)</f>
        <v>215.7</v>
      </c>
      <c r="T34" s="52" t="n">
        <f aca="false">(I34-S34)+T33</f>
        <v>-22412.800408243</v>
      </c>
      <c r="U34" s="51" t="n">
        <v>16.16</v>
      </c>
      <c r="V34" s="51" t="n">
        <v>53</v>
      </c>
      <c r="W34" s="52" t="n">
        <f aca="false">W33-50</f>
        <v>7901</v>
      </c>
      <c r="X34" s="6" t="n">
        <f aca="false">N34+O34+S34+U34+V34</f>
        <v>308.16</v>
      </c>
      <c r="Y34" s="51" t="n">
        <f aca="false">IF(L34&lt;0,L34*-1,0)</f>
        <v>39.0943483740862</v>
      </c>
      <c r="Z34" s="51" t="n">
        <f aca="false">X34+Y34</f>
        <v>347.254348374086</v>
      </c>
      <c r="AA34" s="53" t="n">
        <v>0</v>
      </c>
      <c r="AB34" s="56" t="n">
        <v>69</v>
      </c>
      <c r="AC34" s="56" t="n">
        <v>31.5</v>
      </c>
      <c r="AD34" s="57" t="n">
        <v>25</v>
      </c>
      <c r="AE34" s="86"/>
      <c r="AF34" s="87"/>
      <c r="AG34" s="87"/>
    </row>
    <row r="35" customFormat="false" ht="11.1" hidden="false" customHeight="true" outlineLevel="0" collapsed="false">
      <c r="A35" s="57" t="n">
        <v>26</v>
      </c>
      <c r="B35" s="71" t="n">
        <v>6884.24</v>
      </c>
      <c r="C35" s="52" t="n">
        <v>229269</v>
      </c>
      <c r="D35" s="56" t="n">
        <f aca="false">C35-C34</f>
        <v>-573</v>
      </c>
      <c r="E35" s="52" t="n">
        <f aca="false">C35-151978</f>
        <v>77291</v>
      </c>
      <c r="F35" s="51" t="n">
        <f aca="false">D35/$D$2</f>
        <v>-288.88328711873</v>
      </c>
      <c r="G35" s="51" t="n">
        <v>67</v>
      </c>
      <c r="H35" s="82" t="n">
        <v>0</v>
      </c>
      <c r="I35" s="51" t="n">
        <f aca="false">G35+H35</f>
        <v>67</v>
      </c>
      <c r="J35" s="78" t="n">
        <f aca="false">IF(L35&gt;0,L35,0)</f>
        <v>0</v>
      </c>
      <c r="K35" s="51" t="n">
        <f aca="false">I35+J35</f>
        <v>67</v>
      </c>
      <c r="L35" s="51" t="n">
        <f aca="false">F35-(I35-X35)</f>
        <v>-4.92328711872955</v>
      </c>
      <c r="M35" s="51" t="n">
        <v>196</v>
      </c>
      <c r="N35" s="51" t="n">
        <v>1</v>
      </c>
      <c r="O35" s="51" t="n">
        <v>20.1</v>
      </c>
      <c r="P35" s="6" t="n">
        <f aca="false">M35-(N35+O35)</f>
        <v>174.9</v>
      </c>
      <c r="Q35" s="51" t="n">
        <v>23</v>
      </c>
      <c r="R35" s="51" t="n">
        <v>52</v>
      </c>
      <c r="S35" s="51" t="n">
        <f aca="false">SUM(P35:R35)</f>
        <v>249.9</v>
      </c>
      <c r="T35" s="52" t="n">
        <f aca="false">(I35-S35)+T34</f>
        <v>-22595.700408243</v>
      </c>
      <c r="U35" s="51" t="n">
        <v>26.96</v>
      </c>
      <c r="V35" s="51" t="n">
        <v>53</v>
      </c>
      <c r="W35" s="52" t="n">
        <f aca="false">W34-50</f>
        <v>7851</v>
      </c>
      <c r="X35" s="6" t="n">
        <f aca="false">N35+O35+S35+U35+V35</f>
        <v>350.96</v>
      </c>
      <c r="Y35" s="51" t="n">
        <f aca="false">IF(L35&lt;0,L35*-1,0)</f>
        <v>4.92328711872955</v>
      </c>
      <c r="Z35" s="51" t="n">
        <f aca="false">X35+Y35</f>
        <v>355.88328711873</v>
      </c>
      <c r="AA35" s="53" t="n">
        <v>0</v>
      </c>
      <c r="AB35" s="56" t="n">
        <v>75.4</v>
      </c>
      <c r="AC35" s="56" t="n">
        <v>38</v>
      </c>
      <c r="AD35" s="57" t="n">
        <v>26</v>
      </c>
      <c r="AE35" s="86"/>
      <c r="AF35" s="87"/>
      <c r="AG35" s="87"/>
    </row>
    <row r="36" customFormat="false" ht="11.1" hidden="false" customHeight="true" outlineLevel="0" collapsed="false">
      <c r="A36" s="57" t="n">
        <v>27</v>
      </c>
      <c r="B36" s="71" t="n">
        <v>6884.05</v>
      </c>
      <c r="C36" s="52" t="n">
        <v>228664</v>
      </c>
      <c r="D36" s="56" t="n">
        <f aca="false">C36-C35</f>
        <v>-605</v>
      </c>
      <c r="E36" s="52" t="n">
        <f aca="false">C36-151978</f>
        <v>76686</v>
      </c>
      <c r="F36" s="51" t="n">
        <f aca="false">D36/$D$2</f>
        <v>-305.016385177716</v>
      </c>
      <c r="G36" s="51" t="n">
        <v>61</v>
      </c>
      <c r="H36" s="82" t="n">
        <v>0</v>
      </c>
      <c r="I36" s="51" t="n">
        <f aca="false">G36+H36</f>
        <v>61</v>
      </c>
      <c r="J36" s="78" t="n">
        <f aca="false">IF(L36&gt;0,L36,0)</f>
        <v>0</v>
      </c>
      <c r="K36" s="51" t="n">
        <f aca="false">I36+J36</f>
        <v>61</v>
      </c>
      <c r="L36" s="51" t="n">
        <f aca="false">F36-(I36-X36)</f>
        <v>-20.8463851777161</v>
      </c>
      <c r="M36" s="51" t="n">
        <v>184</v>
      </c>
      <c r="N36" s="51" t="n">
        <v>1</v>
      </c>
      <c r="O36" s="51" t="n">
        <v>30.3</v>
      </c>
      <c r="P36" s="6" t="n">
        <f aca="false">M36-(N36+O36)</f>
        <v>152.7</v>
      </c>
      <c r="Q36" s="51" t="n">
        <v>22</v>
      </c>
      <c r="R36" s="51" t="n">
        <v>52</v>
      </c>
      <c r="S36" s="51" t="n">
        <f aca="false">SUM(P36:R36)</f>
        <v>226.7</v>
      </c>
      <c r="T36" s="52" t="n">
        <f aca="false">(I36-S36)+T35</f>
        <v>-22761.400408243</v>
      </c>
      <c r="U36" s="51" t="n">
        <v>34.17</v>
      </c>
      <c r="V36" s="51" t="n">
        <v>53</v>
      </c>
      <c r="W36" s="52" t="n">
        <f aca="false">W35-50</f>
        <v>7801</v>
      </c>
      <c r="X36" s="6" t="n">
        <f aca="false">N36+O36+S36+U36+V36</f>
        <v>345.17</v>
      </c>
      <c r="Y36" s="51" t="n">
        <f aca="false">IF(L36&lt;0,L36*-1,0)</f>
        <v>20.8463851777161</v>
      </c>
      <c r="Z36" s="51" t="n">
        <f aca="false">X36+Y36</f>
        <v>366.016385177716</v>
      </c>
      <c r="AA36" s="53" t="n">
        <v>0</v>
      </c>
      <c r="AB36" s="56" t="n">
        <v>77.4</v>
      </c>
      <c r="AC36" s="56" t="n">
        <v>46</v>
      </c>
      <c r="AD36" s="57" t="n">
        <v>27</v>
      </c>
      <c r="AE36" s="86"/>
      <c r="AF36" s="87"/>
      <c r="AG36" s="87"/>
    </row>
    <row r="37" customFormat="false" ht="11.1" hidden="false" customHeight="true" outlineLevel="0" collapsed="false">
      <c r="A37" s="57" t="n">
        <v>28</v>
      </c>
      <c r="B37" s="71" t="n">
        <v>6883.87</v>
      </c>
      <c r="C37" s="52" t="n">
        <v>228096</v>
      </c>
      <c r="D37" s="56" t="n">
        <f aca="false">C37-C36</f>
        <v>-568</v>
      </c>
      <c r="E37" s="52" t="n">
        <f aca="false">C37-151978</f>
        <v>76118</v>
      </c>
      <c r="F37" s="51" t="n">
        <f aca="false">D37/$D$2</f>
        <v>-286.362490547013</v>
      </c>
      <c r="G37" s="51" t="n">
        <v>61</v>
      </c>
      <c r="H37" s="82" t="n">
        <v>0</v>
      </c>
      <c r="I37" s="51" t="n">
        <f aca="false">G37+H37</f>
        <v>61</v>
      </c>
      <c r="J37" s="78" t="n">
        <f aca="false">IF(L37&gt;0,L37,0)</f>
        <v>2.53750945298714</v>
      </c>
      <c r="K37" s="51" t="n">
        <f aca="false">I37+J37</f>
        <v>63.5375094529871</v>
      </c>
      <c r="L37" s="51" t="n">
        <f aca="false">F37-(I37-X37)</f>
        <v>2.53750945298714</v>
      </c>
      <c r="M37" s="51" t="n">
        <v>198</v>
      </c>
      <c r="N37" s="51" t="n">
        <v>1</v>
      </c>
      <c r="O37" s="51" t="n">
        <v>35.9</v>
      </c>
      <c r="P37" s="6" t="n">
        <f aca="false">M37-(N37+O37)</f>
        <v>161.1</v>
      </c>
      <c r="Q37" s="51" t="n">
        <v>22</v>
      </c>
      <c r="R37" s="51" t="n">
        <v>51</v>
      </c>
      <c r="S37" s="51" t="n">
        <f aca="false">SUM(P37:R37)</f>
        <v>234.1</v>
      </c>
      <c r="T37" s="52" t="n">
        <f aca="false">(I37-S37)+T36</f>
        <v>-22934.500408243</v>
      </c>
      <c r="U37" s="51" t="n">
        <v>25.9</v>
      </c>
      <c r="V37" s="51" t="n">
        <v>53</v>
      </c>
      <c r="W37" s="52" t="n">
        <f aca="false">W36-50</f>
        <v>7751</v>
      </c>
      <c r="X37" s="6" t="n">
        <f aca="false">N37+O37+S37+U37+V37</f>
        <v>349.9</v>
      </c>
      <c r="Y37" s="51" t="n">
        <f aca="false">IF(L37&lt;0,L37*-1,0)</f>
        <v>0</v>
      </c>
      <c r="Z37" s="51" t="n">
        <f aca="false">X37+Y37</f>
        <v>349.9</v>
      </c>
      <c r="AA37" s="53" t="n">
        <v>0</v>
      </c>
      <c r="AB37" s="56" t="n">
        <v>80.3</v>
      </c>
      <c r="AC37" s="56" t="n">
        <v>49</v>
      </c>
      <c r="AD37" s="57" t="n">
        <v>28</v>
      </c>
      <c r="AE37" s="86"/>
      <c r="AF37" s="87"/>
      <c r="AG37" s="87"/>
    </row>
    <row r="38" customFormat="false" ht="11.1" hidden="false" customHeight="true" outlineLevel="0" collapsed="false">
      <c r="A38" s="57" t="n">
        <v>29</v>
      </c>
      <c r="B38" s="71" t="n">
        <v>6883.74</v>
      </c>
      <c r="C38" s="52" t="n">
        <v>227687</v>
      </c>
      <c r="D38" s="56" t="n">
        <f aca="false">C38-C37</f>
        <v>-409</v>
      </c>
      <c r="E38" s="52" t="n">
        <f aca="false">C38-151978</f>
        <v>75709</v>
      </c>
      <c r="F38" s="51" t="n">
        <f aca="false">D38/$D$2</f>
        <v>-206.201159566423</v>
      </c>
      <c r="G38" s="51" t="n">
        <v>66</v>
      </c>
      <c r="H38" s="82" t="n">
        <v>0</v>
      </c>
      <c r="I38" s="51" t="n">
        <f aca="false">G38+H38</f>
        <v>66</v>
      </c>
      <c r="J38" s="78" t="n">
        <f aca="false">IF(L38&gt;0,L38,0)</f>
        <v>42.928840433577</v>
      </c>
      <c r="K38" s="51" t="n">
        <f aca="false">I38+J38</f>
        <v>108.928840433577</v>
      </c>
      <c r="L38" s="51" t="n">
        <f aca="false">F38-(I38-X38)</f>
        <v>42.928840433577</v>
      </c>
      <c r="M38" s="51" t="n">
        <v>184</v>
      </c>
      <c r="N38" s="51" t="n">
        <v>1</v>
      </c>
      <c r="O38" s="51" t="n">
        <v>27.2</v>
      </c>
      <c r="P38" s="6" t="n">
        <f aca="false">M38-(N38+O38)</f>
        <v>155.8</v>
      </c>
      <c r="Q38" s="51" t="n">
        <v>22</v>
      </c>
      <c r="R38" s="51" t="n">
        <v>51</v>
      </c>
      <c r="S38" s="51" t="n">
        <f aca="false">SUM(P38:R38)</f>
        <v>228.8</v>
      </c>
      <c r="T38" s="52" t="n">
        <f aca="false">(I38-S38)+T37</f>
        <v>-23097.300408243</v>
      </c>
      <c r="U38" s="51" t="n">
        <v>6.13</v>
      </c>
      <c r="V38" s="51" t="n">
        <v>52</v>
      </c>
      <c r="W38" s="52" t="n">
        <f aca="false">W37-50</f>
        <v>7701</v>
      </c>
      <c r="X38" s="6" t="n">
        <f aca="false">N38+O38+S38+U38+V38</f>
        <v>315.13</v>
      </c>
      <c r="Y38" s="51" t="n">
        <f aca="false">IF(L38&lt;0,L38*-1,0)</f>
        <v>0</v>
      </c>
      <c r="Z38" s="51" t="n">
        <f aca="false">X38+Y38</f>
        <v>315.13</v>
      </c>
      <c r="AA38" s="53" t="n">
        <v>0.21</v>
      </c>
      <c r="AB38" s="56" t="n">
        <v>77.6</v>
      </c>
      <c r="AC38" s="56" t="n">
        <v>49</v>
      </c>
      <c r="AD38" s="57" t="n">
        <v>29</v>
      </c>
      <c r="AE38" s="86"/>
      <c r="AF38" s="87"/>
      <c r="AG38" s="87"/>
    </row>
    <row r="39" customFormat="false" ht="11.1" hidden="false" customHeight="true" outlineLevel="0" collapsed="false">
      <c r="A39" s="57" t="n">
        <v>30</v>
      </c>
      <c r="B39" s="71" t="n">
        <v>6883.59</v>
      </c>
      <c r="C39" s="52" t="n">
        <v>227215</v>
      </c>
      <c r="D39" s="56" t="n">
        <f aca="false">C39-C38</f>
        <v>-472</v>
      </c>
      <c r="E39" s="52" t="n">
        <f aca="false">C39-151978</f>
        <v>75237</v>
      </c>
      <c r="F39" s="51" t="n">
        <f aca="false">D39/$D$2</f>
        <v>-237.963196370053</v>
      </c>
      <c r="G39" s="51" t="n">
        <v>74</v>
      </c>
      <c r="H39" s="82" t="n">
        <v>0</v>
      </c>
      <c r="I39" s="51" t="n">
        <f aca="false">G39+H39</f>
        <v>74</v>
      </c>
      <c r="J39" s="78" t="n">
        <f aca="false">IF(L39&gt;0,L39,0)</f>
        <v>0</v>
      </c>
      <c r="K39" s="51" t="n">
        <f aca="false">I39+J39</f>
        <v>74</v>
      </c>
      <c r="L39" s="51" t="n">
        <f aca="false">F39-(I39-X39)</f>
        <v>-13.9631963700529</v>
      </c>
      <c r="M39" s="51" t="n">
        <v>174</v>
      </c>
      <c r="N39" s="51" t="n">
        <v>1</v>
      </c>
      <c r="O39" s="51" t="n">
        <v>20.9</v>
      </c>
      <c r="P39" s="6" t="n">
        <f aca="false">M39-(N39+O39)</f>
        <v>152.1</v>
      </c>
      <c r="Q39" s="51" t="n">
        <v>22</v>
      </c>
      <c r="R39" s="51" t="n">
        <v>50</v>
      </c>
      <c r="S39" s="51" t="n">
        <f aca="false">SUM(P39:R39)</f>
        <v>224.1</v>
      </c>
      <c r="T39" s="52" t="n">
        <f aca="false">(I39-S39)+T38</f>
        <v>-23247.400408243</v>
      </c>
      <c r="U39" s="51" t="n">
        <v>0</v>
      </c>
      <c r="V39" s="51" t="n">
        <v>52</v>
      </c>
      <c r="W39" s="52" t="n">
        <f aca="false">W38-50</f>
        <v>7651</v>
      </c>
      <c r="X39" s="6" t="n">
        <f aca="false">N39+O39+S39+U39+V39</f>
        <v>298</v>
      </c>
      <c r="Y39" s="51" t="n">
        <f aca="false">IF(L39&lt;0,L39*-1,0)</f>
        <v>13.9631963700529</v>
      </c>
      <c r="Z39" s="51" t="n">
        <f aca="false">X39+Y39</f>
        <v>311.963196370053</v>
      </c>
      <c r="AA39" s="53" t="n">
        <v>0</v>
      </c>
      <c r="AB39" s="128" t="n">
        <v>77</v>
      </c>
      <c r="AC39" s="56" t="n">
        <v>47</v>
      </c>
      <c r="AD39" s="57" t="n">
        <v>30</v>
      </c>
      <c r="AE39" s="86"/>
      <c r="AF39" s="87"/>
      <c r="AG39" s="87"/>
    </row>
    <row r="40" customFormat="false" ht="3" hidden="false" customHeight="true" outlineLevel="0" collapsed="false">
      <c r="A40" s="72"/>
      <c r="B40" s="72"/>
      <c r="C40" s="74"/>
      <c r="D40" s="72"/>
      <c r="E40" s="74"/>
      <c r="F40" s="72"/>
      <c r="G40" s="72"/>
      <c r="H40" s="134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4"/>
      <c r="U40" s="72"/>
      <c r="V40" s="72"/>
      <c r="W40" s="72"/>
      <c r="X40" s="72"/>
      <c r="Y40" s="72"/>
      <c r="Z40" s="72"/>
      <c r="AA40" s="75"/>
      <c r="AB40" s="76"/>
      <c r="AC40" s="76"/>
      <c r="AD40" s="77"/>
      <c r="AE40" s="85"/>
      <c r="AF40" s="85"/>
      <c r="AG40" s="86"/>
    </row>
    <row r="41" customFormat="false" ht="11.1" hidden="false" customHeight="true" outlineLevel="0" collapsed="false">
      <c r="A41" s="51" t="s">
        <v>46</v>
      </c>
      <c r="B41" s="51"/>
      <c r="C41" s="52"/>
      <c r="D41" s="52"/>
      <c r="E41" s="52"/>
      <c r="F41" s="52" t="n">
        <f aca="false">SUM(F10:F39)</f>
        <v>-11009.3269473154</v>
      </c>
      <c r="G41" s="52" t="n">
        <f aca="false">SUM(G10:G39)</f>
        <v>3500</v>
      </c>
      <c r="H41" s="52" t="n">
        <f aca="false">SUM(H10:H39)</f>
        <v>0</v>
      </c>
      <c r="I41" s="52" t="n">
        <f aca="false">SUM(I10:I39)</f>
        <v>3500</v>
      </c>
      <c r="J41" s="52" t="n">
        <f aca="false">SUM(J10:J39)</f>
        <v>215.390829342072</v>
      </c>
      <c r="K41" s="52" t="n">
        <f aca="false">SUM(K10:K39)</f>
        <v>3715.39082934207</v>
      </c>
      <c r="L41" s="52" t="n">
        <f aca="false">SUM(L10:L39)</f>
        <v>-447.046947315352</v>
      </c>
      <c r="M41" s="52" t="n">
        <f aca="false">SUM(M10:M39)</f>
        <v>6534</v>
      </c>
      <c r="N41" s="52" t="n">
        <f aca="false">SUM(N10:N39)</f>
        <v>30</v>
      </c>
      <c r="O41" s="52" t="n">
        <f aca="false">SUM(O10:O39)</f>
        <v>1137.1715</v>
      </c>
      <c r="P41" s="52" t="n">
        <f aca="false">SUM(P10:P39)</f>
        <v>5366.8285</v>
      </c>
      <c r="Q41" s="52" t="n">
        <f aca="false">SUM(Q10:Q39)</f>
        <v>2536</v>
      </c>
      <c r="R41" s="52" t="n">
        <f aca="false">SUM(R10:R39)</f>
        <v>1809</v>
      </c>
      <c r="S41" s="52" t="n">
        <f aca="false">SUM(S10:S39)</f>
        <v>9711.8285</v>
      </c>
      <c r="T41" s="52"/>
      <c r="U41" s="52" t="n">
        <f aca="false">SUM(U10:U39)</f>
        <v>1372.28</v>
      </c>
      <c r="V41" s="52" t="n">
        <f aca="false">SUM(V10:V40)</f>
        <v>1811</v>
      </c>
      <c r="W41" s="52"/>
      <c r="X41" s="52" t="n">
        <f aca="false">SUM(X10:X39)</f>
        <v>14062.28</v>
      </c>
      <c r="Y41" s="52" t="n">
        <f aca="false">SUM(Y10:Y39)</f>
        <v>662.437776657424</v>
      </c>
      <c r="Z41" s="52" t="n">
        <f aca="false">SUM(Z10:Z39)</f>
        <v>14724.7177766574</v>
      </c>
      <c r="AA41" s="53" t="n">
        <f aca="false">SUM(AA10:AA39)</f>
        <v>1.46</v>
      </c>
      <c r="AB41" s="56" t="n">
        <f aca="false">AVERAGE(AB10:AB39)</f>
        <v>77.7933333333333</v>
      </c>
      <c r="AC41" s="56" t="n">
        <f aca="false">AVERAGE(AC10:AC39)</f>
        <v>47.49</v>
      </c>
      <c r="AD41" s="57" t="s">
        <v>71</v>
      </c>
      <c r="AE41" s="85"/>
      <c r="AF41" s="85"/>
      <c r="AG41" s="86"/>
    </row>
    <row r="42" customFormat="false" ht="11.1" hidden="false" customHeight="true" outlineLevel="0" collapsed="false">
      <c r="A42" s="51" t="s">
        <v>48</v>
      </c>
      <c r="B42" s="51"/>
      <c r="C42" s="52"/>
      <c r="D42" s="52" t="n">
        <f aca="false">SUM(D10:D40)</f>
        <v>-21837</v>
      </c>
      <c r="E42" s="52"/>
      <c r="F42" s="52" t="n">
        <f aca="false">F41*$D$2</f>
        <v>-21837</v>
      </c>
      <c r="G42" s="52" t="n">
        <f aca="false">G41*$D$2</f>
        <v>6942.25</v>
      </c>
      <c r="H42" s="52" t="n">
        <f aca="false">H41*$D$2</f>
        <v>0</v>
      </c>
      <c r="I42" s="52" t="n">
        <f aca="false">I41*$D$2</f>
        <v>6942.25</v>
      </c>
      <c r="J42" s="52" t="n">
        <f aca="false">J41*$D$2</f>
        <v>427.22771</v>
      </c>
      <c r="K42" s="52" t="n">
        <f aca="false">K41*$D$2</f>
        <v>7369.47771</v>
      </c>
      <c r="L42" s="52" t="n">
        <f aca="false">L41*$D$2</f>
        <v>-886.71762</v>
      </c>
      <c r="M42" s="52" t="n">
        <f aca="false">M41*$D$2</f>
        <v>12960.189</v>
      </c>
      <c r="N42" s="52" t="n">
        <f aca="false">N41*$D$2</f>
        <v>59.505</v>
      </c>
      <c r="O42" s="52" t="n">
        <f aca="false">O41*$D$2</f>
        <v>2255.57967025</v>
      </c>
      <c r="P42" s="52" t="n">
        <f aca="false">P41*$D$2</f>
        <v>10645.10432975</v>
      </c>
      <c r="Q42" s="52" t="n">
        <f aca="false">Q41*$D$2</f>
        <v>5030.156</v>
      </c>
      <c r="R42" s="52" t="n">
        <f aca="false">R41*$D$2</f>
        <v>3588.1515</v>
      </c>
      <c r="S42" s="52" t="n">
        <f aca="false">S41*$D$2</f>
        <v>19263.41182975</v>
      </c>
      <c r="T42" s="52"/>
      <c r="U42" s="52" t="n">
        <f aca="false">U41*$D$2</f>
        <v>2721.91738</v>
      </c>
      <c r="V42" s="52" t="n">
        <f aca="false">V41*$D$2</f>
        <v>3592.1185</v>
      </c>
      <c r="W42" s="52"/>
      <c r="X42" s="52" t="n">
        <f aca="false">X41*$D$2</f>
        <v>27892.53238</v>
      </c>
      <c r="Y42" s="52" t="n">
        <f aca="false">Y41*$D$2</f>
        <v>1313.94533</v>
      </c>
      <c r="Z42" s="52" t="n">
        <f aca="false">Z41*$D$2</f>
        <v>29206.47771</v>
      </c>
      <c r="AA42" s="53"/>
      <c r="AB42" s="56" t="n">
        <f aca="false">MAX(AB10:AB39)</f>
        <v>89</v>
      </c>
      <c r="AC42" s="56" t="n">
        <f aca="false">MAX(AC10:AC39)</f>
        <v>55</v>
      </c>
      <c r="AD42" s="57" t="s">
        <v>49</v>
      </c>
      <c r="AE42" s="85"/>
      <c r="AF42" s="85"/>
      <c r="AG42" s="86"/>
    </row>
    <row r="43" customFormat="false" ht="3" hidden="false" customHeight="true" outlineLevel="0" collapsed="false">
      <c r="A43" s="72"/>
      <c r="B43" s="72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2"/>
      <c r="X43" s="74"/>
      <c r="Y43" s="74"/>
      <c r="Z43" s="74"/>
      <c r="AA43" s="53"/>
      <c r="AB43" s="56"/>
      <c r="AC43" s="56"/>
      <c r="AD43" s="57"/>
      <c r="AE43" s="85"/>
      <c r="AF43" s="85"/>
      <c r="AG43" s="86"/>
    </row>
    <row r="44" customFormat="false" ht="11.1" hidden="false" customHeight="true" outlineLevel="0" collapsed="false">
      <c r="A44" s="51" t="s">
        <v>50</v>
      </c>
      <c r="B44" s="51"/>
      <c r="C44" s="52"/>
      <c r="D44" s="52"/>
      <c r="E44" s="52"/>
      <c r="F44" s="52" t="n">
        <f aca="false">F7+F41</f>
        <v>-51128.8127048147</v>
      </c>
      <c r="G44" s="52" t="n">
        <f aca="false">G7+G41</f>
        <v>100576</v>
      </c>
      <c r="H44" s="52" t="n">
        <f aca="false">H7+H41</f>
        <v>1956.67</v>
      </c>
      <c r="I44" s="52" t="n">
        <f aca="false">I7+I41</f>
        <v>102532.67</v>
      </c>
      <c r="J44" s="52" t="n">
        <f aca="false">J7+J41</f>
        <v>10856.877471641</v>
      </c>
      <c r="K44" s="52" t="n">
        <f aca="false">K7+K41</f>
        <v>113389.547471641</v>
      </c>
      <c r="L44" s="52" t="n">
        <f aca="false">L7+L41</f>
        <v>5559.17729518528</v>
      </c>
      <c r="M44" s="52" t="n">
        <f aca="false">M7+M41</f>
        <v>48771.3</v>
      </c>
      <c r="N44" s="52" t="n">
        <f aca="false">N7+N41</f>
        <v>204.87</v>
      </c>
      <c r="O44" s="52" t="n">
        <f aca="false">O7+O41</f>
        <v>11053.4015</v>
      </c>
      <c r="P44" s="52" t="n">
        <f aca="false">P7+P41</f>
        <v>37513.0285</v>
      </c>
      <c r="Q44" s="52" t="n">
        <f aca="false">Q7+Q41</f>
        <v>22644</v>
      </c>
      <c r="R44" s="52" t="n">
        <f aca="false">R7+R41</f>
        <v>11840.1</v>
      </c>
      <c r="S44" s="52" t="n">
        <f aca="false">S7+S41</f>
        <v>71997.1285</v>
      </c>
      <c r="T44" s="52" t="n">
        <f aca="false">T39</f>
        <v>-23247.400408243</v>
      </c>
      <c r="U44" s="52" t="n">
        <f aca="false">U7+U41</f>
        <v>28843.26</v>
      </c>
      <c r="V44" s="52" t="n">
        <f aca="false">V7+V41</f>
        <v>47122</v>
      </c>
      <c r="W44" s="52"/>
      <c r="X44" s="52" t="n">
        <f aca="false">X7+X41</f>
        <v>159220.66</v>
      </c>
      <c r="Y44" s="52" t="n">
        <f aca="false">Y7+Y41</f>
        <v>5297.70017645576</v>
      </c>
      <c r="Z44" s="52" t="n">
        <f aca="false">Z7+Z41</f>
        <v>164518.360176456</v>
      </c>
      <c r="AA44" s="53"/>
      <c r="AB44" s="56" t="n">
        <f aca="false">MIN(AB10:AB39)</f>
        <v>56</v>
      </c>
      <c r="AC44" s="56" t="n">
        <f aca="false">MIN(AC10:AC39)</f>
        <v>29</v>
      </c>
      <c r="AD44" s="57" t="s">
        <v>51</v>
      </c>
      <c r="AE44" s="85"/>
      <c r="AF44" s="85"/>
      <c r="AG44" s="86"/>
    </row>
    <row r="45" customFormat="false" ht="11.1" hidden="false" customHeight="true" outlineLevel="0" collapsed="false">
      <c r="A45" s="51" t="s">
        <v>52</v>
      </c>
      <c r="B45" s="51"/>
      <c r="C45" s="52"/>
      <c r="D45" s="52"/>
      <c r="E45" s="52"/>
      <c r="F45" s="52" t="n">
        <f aca="false">F44*$D$2</f>
        <v>-101414</v>
      </c>
      <c r="G45" s="52" t="n">
        <f aca="false">G44*$D$2</f>
        <v>199492.496</v>
      </c>
      <c r="H45" s="52" t="n">
        <f aca="false">H44*$D$2</f>
        <v>3881.054945</v>
      </c>
      <c r="I45" s="52" t="n">
        <f aca="false">I44*$D$2</f>
        <v>203373.550945</v>
      </c>
      <c r="J45" s="52" t="n">
        <f aca="false">J44*$D$2</f>
        <v>21534.616465</v>
      </c>
      <c r="K45" s="52" t="n">
        <f aca="false">K44*$D$2</f>
        <v>224908.16741</v>
      </c>
      <c r="L45" s="52" t="n">
        <f aca="false">L44*$D$2</f>
        <v>11026.628165</v>
      </c>
      <c r="M45" s="52" t="n">
        <f aca="false">M44*$D$2</f>
        <v>96737.87355</v>
      </c>
      <c r="N45" s="52" t="n">
        <f aca="false">N44*$D$2</f>
        <v>406.359645</v>
      </c>
      <c r="O45" s="52" t="n">
        <f aca="false">O44*$D$2</f>
        <v>21924.42187525</v>
      </c>
      <c r="P45" s="52" t="n">
        <f aca="false">P44*$D$2</f>
        <v>74407.09202975</v>
      </c>
      <c r="Q45" s="52" t="n">
        <f aca="false">Q44*$D$2</f>
        <v>44914.374</v>
      </c>
      <c r="R45" s="52" t="n">
        <f aca="false">R44*$D$2</f>
        <v>23484.83835</v>
      </c>
      <c r="S45" s="52" t="n">
        <f aca="false">S44*$D$2</f>
        <v>142806.30437975</v>
      </c>
      <c r="T45" s="52" t="n">
        <f aca="false">T44*$D$2</f>
        <v>-46111.21870975</v>
      </c>
      <c r="U45" s="52" t="n">
        <f aca="false">U44*$D$2</f>
        <v>57210.60621</v>
      </c>
      <c r="V45" s="52" t="n">
        <f aca="false">V44*$D$2</f>
        <v>93466.487</v>
      </c>
      <c r="W45" s="52"/>
      <c r="X45" s="52" t="n">
        <f aca="false">X44*$D$2</f>
        <v>315814.17911</v>
      </c>
      <c r="Y45" s="52" t="n">
        <f aca="false">Y44*$D$2</f>
        <v>10507.9883</v>
      </c>
      <c r="Z45" s="52" t="n">
        <f aca="false">Z44*$D$2</f>
        <v>326322.16741</v>
      </c>
      <c r="AA45" s="53"/>
      <c r="AB45" s="56"/>
      <c r="AC45" s="56"/>
      <c r="AD45" s="57"/>
      <c r="AE45" s="85"/>
      <c r="AF45" s="85"/>
      <c r="AG45" s="86"/>
    </row>
    <row r="46" customFormat="false" ht="3" hidden="false" customHeight="true" outlineLevel="0" collapsed="false">
      <c r="A46" s="72"/>
      <c r="B46" s="72"/>
      <c r="C46" s="74"/>
      <c r="D46" s="74"/>
      <c r="E46" s="74"/>
      <c r="F46" s="74"/>
      <c r="G46" s="74"/>
      <c r="H46" s="76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5"/>
      <c r="AB46" s="56"/>
      <c r="AC46" s="56"/>
      <c r="AD46" s="57"/>
      <c r="AE46" s="85"/>
      <c r="AF46" s="85"/>
      <c r="AG46" s="86"/>
    </row>
    <row r="47" customFormat="false" ht="11.1" hidden="false" customHeight="true" outlineLevel="0" collapsed="false">
      <c r="A47" s="51" t="s">
        <v>53</v>
      </c>
      <c r="B47" s="51"/>
      <c r="C47" s="52"/>
      <c r="D47" s="52"/>
      <c r="E47" s="52"/>
      <c r="F47" s="52" t="n">
        <f aca="false">F8+F41</f>
        <v>-51658.6841441896</v>
      </c>
      <c r="G47" s="52" t="n">
        <f aca="false">G8+G41</f>
        <v>110160</v>
      </c>
      <c r="H47" s="56" t="n">
        <f aca="false">H8+H41</f>
        <v>2221.95</v>
      </c>
      <c r="I47" s="52" t="n">
        <f aca="false">I8+I41</f>
        <v>112381.95</v>
      </c>
      <c r="J47" s="52" t="n">
        <f aca="false">J8+J41</f>
        <v>13205.0384471893</v>
      </c>
      <c r="K47" s="52" t="n">
        <f aca="false">K8+K41</f>
        <v>125583.255702042</v>
      </c>
      <c r="L47" s="52" t="n">
        <f aca="false">L8+L41</f>
        <v>7236.75585581044</v>
      </c>
      <c r="M47" s="52" t="n">
        <f aca="false">M8+M41</f>
        <v>51210.06</v>
      </c>
      <c r="N47" s="52" t="n">
        <f aca="false">N8+N41</f>
        <v>271.25</v>
      </c>
      <c r="O47" s="52" t="n">
        <f aca="false">O8+O41</f>
        <v>11494.742</v>
      </c>
      <c r="P47" s="52" t="n">
        <f aca="false">P8+P41</f>
        <v>39444.068</v>
      </c>
      <c r="Q47" s="52" t="n">
        <f aca="false">Q8+Q41</f>
        <v>23688</v>
      </c>
      <c r="R47" s="52" t="n">
        <f aca="false">R8+R41</f>
        <v>12400.1</v>
      </c>
      <c r="S47" s="52" t="n">
        <f aca="false">S8+S41</f>
        <v>75532.168</v>
      </c>
      <c r="T47" s="52" t="n">
        <f aca="false">T44</f>
        <v>-23247.400408243</v>
      </c>
      <c r="U47" s="52" t="n">
        <f aca="false">U8+U41</f>
        <v>28843.26</v>
      </c>
      <c r="V47" s="52" t="n">
        <f aca="false">V8+V41</f>
        <v>55135.97</v>
      </c>
      <c r="W47" s="52" t="n">
        <f aca="false">W39</f>
        <v>7651</v>
      </c>
      <c r="X47" s="52" t="n">
        <f aca="false">X8+X41</f>
        <v>171277.39</v>
      </c>
      <c r="Y47" s="52" t="n">
        <f aca="false">Y8+Y41</f>
        <v>5968.28259137888</v>
      </c>
      <c r="Z47" s="52" t="n">
        <f aca="false">Z8+Z41</f>
        <v>177245.672591379</v>
      </c>
      <c r="AA47" s="53" t="n">
        <f aca="false">AA8+AA41</f>
        <v>10.05</v>
      </c>
      <c r="AB47" s="56"/>
      <c r="AC47" s="56"/>
      <c r="AD47" s="57"/>
      <c r="AE47" s="85"/>
      <c r="AF47" s="85"/>
      <c r="AG47" s="86"/>
    </row>
    <row r="48" customFormat="false" ht="11.1" hidden="false" customHeight="true" outlineLevel="0" collapsed="false">
      <c r="A48" s="51" t="s">
        <v>54</v>
      </c>
      <c r="B48" s="51"/>
      <c r="C48" s="52"/>
      <c r="D48" s="52" t="n">
        <f aca="false">D8+D42</f>
        <v>-102465</v>
      </c>
      <c r="E48" s="52" t="n">
        <f aca="false">E39</f>
        <v>75237</v>
      </c>
      <c r="F48" s="52" t="n">
        <f aca="false">F47*$D$2</f>
        <v>-102465</v>
      </c>
      <c r="G48" s="52" t="n">
        <f aca="false">G47*$D$2</f>
        <v>218502.36</v>
      </c>
      <c r="H48" s="56" t="n">
        <f aca="false">H47*$D$2</f>
        <v>4407.237825</v>
      </c>
      <c r="I48" s="52" t="n">
        <f aca="false">I47*$D$2</f>
        <v>222909.597825</v>
      </c>
      <c r="J48" s="52" t="n">
        <f aca="false">J47*$D$2</f>
        <v>26192.19376</v>
      </c>
      <c r="K48" s="52" t="n">
        <f aca="false">K47*$D$2</f>
        <v>249094.387685</v>
      </c>
      <c r="L48" s="52" t="n">
        <f aca="false">L47*$D$2</f>
        <v>14354.10524</v>
      </c>
      <c r="M48" s="52" t="n">
        <f aca="false">M47*$D$2</f>
        <v>101575.15401</v>
      </c>
      <c r="N48" s="52" t="n">
        <f aca="false">N47*$D$2</f>
        <v>538.024375</v>
      </c>
      <c r="O48" s="52" t="n">
        <f aca="false">O47*$D$2</f>
        <v>22799.820757</v>
      </c>
      <c r="P48" s="52" t="n">
        <f aca="false">P47*$D$2</f>
        <v>78237.308878</v>
      </c>
      <c r="Q48" s="52" t="n">
        <f aca="false">Q47*$D$2</f>
        <v>46985.148</v>
      </c>
      <c r="R48" s="52" t="n">
        <f aca="false">R47*$D$2</f>
        <v>24595.59835</v>
      </c>
      <c r="S48" s="52" t="n">
        <f aca="false">S47*$D$2</f>
        <v>149818.055228</v>
      </c>
      <c r="T48" s="52" t="n">
        <f aca="false">T47*$D$2</f>
        <v>-46111.21870975</v>
      </c>
      <c r="U48" s="52" t="n">
        <f aca="false">U47*$D$2</f>
        <v>57210.60621</v>
      </c>
      <c r="V48" s="52" t="n">
        <f aca="false">V47*$D$2</f>
        <v>109362.196495</v>
      </c>
      <c r="W48" s="52" t="n">
        <f aca="false">W47*$D$2</f>
        <v>15175.7585</v>
      </c>
      <c r="X48" s="52" t="n">
        <f aca="false">X47*$D$2</f>
        <v>339728.703065</v>
      </c>
      <c r="Y48" s="52" t="n">
        <f aca="false">Y47*$D$2</f>
        <v>11838.08852</v>
      </c>
      <c r="Z48" s="52" t="n">
        <f aca="false">Z47*$D$2</f>
        <v>351566.791585</v>
      </c>
      <c r="AA48" s="53"/>
      <c r="AB48" s="56"/>
      <c r="AC48" s="56"/>
      <c r="AD48" s="57"/>
      <c r="AE48" s="85"/>
      <c r="AF48" s="85"/>
      <c r="AG48" s="86"/>
    </row>
    <row r="49" customFormat="false" ht="3" hidden="false" customHeight="true" outlineLevel="0" collapsed="false">
      <c r="A49" s="72"/>
      <c r="B49" s="72"/>
      <c r="C49" s="74"/>
      <c r="D49" s="72"/>
      <c r="E49" s="74"/>
      <c r="F49" s="72"/>
      <c r="G49" s="72"/>
      <c r="H49" s="134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4"/>
      <c r="U49" s="72"/>
      <c r="V49" s="72"/>
      <c r="W49" s="74"/>
      <c r="X49" s="72"/>
      <c r="Y49" s="72"/>
      <c r="Z49" s="72"/>
      <c r="AA49" s="53"/>
      <c r="AB49" s="56"/>
      <c r="AC49" s="56"/>
      <c r="AD49" s="57"/>
      <c r="AE49" s="85"/>
      <c r="AF49" s="85"/>
      <c r="AG49" s="86"/>
    </row>
    <row r="50" customFormat="false" ht="11.1" hidden="false" customHeight="true" outlineLevel="0" collapsed="false">
      <c r="A50" s="139"/>
      <c r="B50" s="81"/>
      <c r="C50" s="52"/>
      <c r="D50" s="51"/>
      <c r="E50" s="52"/>
      <c r="F50" s="51"/>
      <c r="G50" s="145"/>
      <c r="H50" s="82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2"/>
      <c r="U50" s="51"/>
      <c r="V50" s="146"/>
      <c r="W50" s="52"/>
      <c r="X50" s="51"/>
      <c r="Y50" s="51"/>
      <c r="Z50" s="51"/>
      <c r="AA50" s="53"/>
      <c r="AB50" s="56"/>
      <c r="AC50" s="56"/>
      <c r="AD50" s="57"/>
      <c r="AE50" s="84"/>
      <c r="AF50" s="84"/>
    </row>
    <row r="51" customFormat="false" ht="11.1" hidden="false" customHeight="true" outlineLevel="0" collapsed="false">
      <c r="A51" s="51"/>
      <c r="B51" s="71"/>
      <c r="C51" s="52"/>
      <c r="D51" s="79"/>
      <c r="E51" s="52"/>
      <c r="F51" s="51"/>
      <c r="G51" s="79"/>
      <c r="I51" s="82"/>
      <c r="J51" s="51"/>
      <c r="K51" s="41"/>
      <c r="L51" s="51"/>
      <c r="M51" s="51"/>
      <c r="N51" s="51"/>
      <c r="O51" s="51"/>
      <c r="P51" s="51"/>
      <c r="Q51" s="51"/>
      <c r="R51" s="51"/>
      <c r="S51" s="52"/>
      <c r="T51" s="51"/>
      <c r="U51" s="45"/>
      <c r="V51" s="52"/>
      <c r="W51" s="51"/>
      <c r="X51" s="51"/>
      <c r="Y51" s="51"/>
      <c r="Z51" s="55"/>
      <c r="AA51" s="53"/>
      <c r="AB51" s="56"/>
      <c r="AC51" s="57"/>
      <c r="AD51" s="84"/>
      <c r="AE51" s="84"/>
    </row>
    <row r="52" customFormat="false" ht="11.1" hidden="false" customHeight="true" outlineLevel="0" collapsed="false">
      <c r="A52" s="79"/>
      <c r="B52" s="79"/>
      <c r="C52" s="52"/>
      <c r="D52" s="52"/>
      <c r="E52" s="52"/>
      <c r="F52" s="79"/>
      <c r="G52" s="82"/>
      <c r="I52" s="51"/>
      <c r="J52" s="79"/>
      <c r="K52" s="79"/>
      <c r="L52" s="79"/>
      <c r="M52" s="78"/>
      <c r="N52" s="78"/>
      <c r="O52" s="78"/>
      <c r="P52" s="79"/>
      <c r="Q52" s="79"/>
      <c r="R52" s="91"/>
      <c r="S52" s="52"/>
      <c r="T52" s="56"/>
      <c r="V52" s="52"/>
      <c r="W52" s="79"/>
      <c r="X52" s="79"/>
      <c r="Y52" s="79"/>
      <c r="Z52" s="55"/>
      <c r="AA52" s="53"/>
      <c r="AB52" s="56"/>
      <c r="AC52" s="57"/>
      <c r="AD52" s="89"/>
      <c r="AE52" s="89"/>
    </row>
    <row r="53" customFormat="false" ht="11.1" hidden="false" customHeight="true" outlineLevel="0" collapsed="false">
      <c r="A53" s="79"/>
      <c r="B53" s="55"/>
      <c r="C53" s="52"/>
      <c r="D53" s="52"/>
      <c r="E53" s="52"/>
      <c r="F53" s="79"/>
      <c r="G53" s="82"/>
      <c r="I53" s="51"/>
      <c r="J53" s="79"/>
      <c r="K53" s="79"/>
      <c r="L53" s="79"/>
      <c r="M53" s="78"/>
      <c r="N53" s="78"/>
      <c r="O53" s="78"/>
      <c r="P53" s="79"/>
      <c r="Q53" s="79"/>
      <c r="R53" s="79"/>
      <c r="S53" s="52"/>
      <c r="T53" s="52"/>
      <c r="U53" s="45"/>
      <c r="V53" s="52"/>
      <c r="W53" s="79"/>
      <c r="X53" s="79"/>
      <c r="Y53" s="79"/>
      <c r="Z53" s="55"/>
      <c r="AA53" s="53"/>
      <c r="AB53" s="56"/>
      <c r="AC53" s="57"/>
      <c r="AD53" s="89"/>
      <c r="AE53" s="89"/>
    </row>
    <row r="54" customFormat="false" ht="11.1" hidden="false" customHeight="true" outlineLevel="0" collapsed="false">
      <c r="A54" s="79"/>
      <c r="B54" s="79"/>
      <c r="C54" s="52"/>
      <c r="D54" s="79"/>
      <c r="E54" s="52"/>
      <c r="F54" s="79"/>
      <c r="G54" s="82"/>
      <c r="I54" s="41"/>
      <c r="J54" s="79"/>
      <c r="K54" s="79"/>
      <c r="L54" s="79"/>
      <c r="M54" s="78"/>
      <c r="N54" s="7"/>
      <c r="O54" s="78"/>
      <c r="P54" s="79"/>
      <c r="Q54" s="79"/>
      <c r="R54" s="79"/>
      <c r="S54" s="0"/>
      <c r="T54" s="52"/>
      <c r="U54" s="47"/>
      <c r="V54" s="52"/>
      <c r="W54" s="79"/>
      <c r="X54" s="79"/>
      <c r="Y54" s="79"/>
      <c r="Z54" s="55"/>
      <c r="AA54" s="53"/>
      <c r="AB54" s="56"/>
      <c r="AC54" s="57"/>
      <c r="AD54" s="89"/>
      <c r="AE54" s="89"/>
    </row>
    <row r="55" customFormat="false" ht="11.1" hidden="false" customHeight="true" outlineLevel="0" collapsed="false">
      <c r="Q55" s="142"/>
      <c r="S55" s="52"/>
      <c r="T55" s="51"/>
      <c r="U55" s="47"/>
    </row>
    <row r="56" customFormat="false" ht="11.1" hidden="false" customHeight="true" outlineLevel="0" collapsed="false">
      <c r="Q56" s="142"/>
      <c r="S56" s="52"/>
      <c r="T56" s="51"/>
      <c r="U56" s="47"/>
    </row>
    <row r="57" customFormat="false" ht="11.1" hidden="false" customHeight="true" outlineLevel="0" collapsed="false">
      <c r="Q57" s="142"/>
    </row>
    <row r="58" customFormat="false" ht="11.1" hidden="false" customHeight="true" outlineLevel="0" collapsed="false">
      <c r="Q58" s="142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H10" activePane="bottomRight" state="frozen"/>
      <selection pane="topLeft" activeCell="A1" activeCellId="0" sqref="A1"/>
      <selection pane="topRight" activeCell="H1" activeCellId="0" sqref="H1"/>
      <selection pane="bottomLeft" activeCell="A10" activeCellId="0" sqref="A10"/>
      <selection pane="bottomRight" activeCell="S10" activeCellId="0" sqref="S10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147" width="6.82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32"/>
    <col collapsed="false" customWidth="true" hidden="false" outlineLevel="0" max="14" min="14" style="47" width="7.32"/>
    <col collapsed="false" customWidth="true" hidden="false" outlineLevel="0" max="15" min="15" style="47" width="6.49"/>
    <col collapsed="false" customWidth="true" hidden="false" outlineLevel="0" max="16" min="16" style="44" width="7.99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3" min="23" style="44" width="6.82"/>
    <col collapsed="false" customWidth="true" hidden="false" outlineLevel="0" max="25" min="24" style="44" width="7.82"/>
    <col collapsed="false" customWidth="true" hidden="false" outlineLevel="0" max="26" min="26" style="48" width="8.16"/>
    <col collapsed="false" customWidth="true" hidden="false" outlineLevel="0" max="28" min="27" style="49" width="4.66"/>
    <col collapsed="false" customWidth="true" hidden="false" outlineLevel="0" max="29" min="29" style="50" width="4.66"/>
    <col collapsed="false" customWidth="true" hidden="false" outlineLevel="0" max="30" min="30" style="44" width="5.66"/>
    <col collapsed="false" customWidth="false" hidden="false" outlineLevel="0" max="257" min="31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148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1"/>
      <c r="Z1" s="55"/>
      <c r="AA1" s="56"/>
      <c r="AB1" s="56"/>
      <c r="AC1" s="57"/>
      <c r="AD1" s="84"/>
      <c r="AE1" s="84"/>
    </row>
    <row r="2" customFormat="false" ht="14.1" hidden="false" customHeight="true" outlineLevel="0" collapsed="false">
      <c r="A2" s="51" t="s">
        <v>1</v>
      </c>
      <c r="B2" s="51"/>
      <c r="C2" s="52"/>
      <c r="D2" s="58" t="n">
        <v>1.9835</v>
      </c>
      <c r="E2" s="52"/>
      <c r="F2" s="51"/>
      <c r="G2" s="51"/>
      <c r="H2" s="148"/>
      <c r="I2" s="51"/>
      <c r="J2" s="51"/>
      <c r="K2" s="59" t="s">
        <v>81</v>
      </c>
      <c r="L2" s="59"/>
      <c r="M2" s="59"/>
      <c r="N2" s="59"/>
      <c r="O2" s="59"/>
      <c r="P2" s="59"/>
      <c r="Q2" s="59"/>
      <c r="R2" s="59"/>
      <c r="S2" s="59"/>
      <c r="T2" s="59"/>
      <c r="U2" s="51"/>
      <c r="V2" s="52"/>
      <c r="W2" s="51"/>
      <c r="X2" s="51"/>
      <c r="Y2" s="51"/>
      <c r="Z2" s="55"/>
      <c r="AA2" s="56"/>
      <c r="AB2" s="56"/>
      <c r="AC2" s="57"/>
      <c r="AD2" s="84"/>
      <c r="AE2" s="84"/>
    </row>
    <row r="3" customFormat="false" ht="11.1" hidden="false" customHeight="true" outlineLevel="0" collapsed="false">
      <c r="A3" s="51"/>
      <c r="B3" s="51"/>
      <c r="C3" s="52"/>
      <c r="D3" s="60"/>
      <c r="E3" s="52"/>
      <c r="F3" s="51"/>
      <c r="G3" s="51"/>
      <c r="H3" s="148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1"/>
      <c r="Z3" s="55"/>
      <c r="AA3" s="56"/>
      <c r="AB3" s="56"/>
      <c r="AC3" s="57"/>
      <c r="AD3" s="84"/>
      <c r="AE3" s="84"/>
    </row>
    <row r="4" customFormat="false" ht="11.1" hidden="false" customHeight="true" outlineLevel="0" collapsed="false">
      <c r="A4" s="61" t="s">
        <v>3</v>
      </c>
      <c r="B4" s="61" t="s">
        <v>4</v>
      </c>
      <c r="C4" s="62" t="s">
        <v>4</v>
      </c>
      <c r="D4" s="61" t="s">
        <v>5</v>
      </c>
      <c r="E4" s="62" t="s">
        <v>6</v>
      </c>
      <c r="F4" s="61" t="s">
        <v>7</v>
      </c>
      <c r="G4" s="61" t="s">
        <v>8</v>
      </c>
      <c r="H4" s="149" t="s">
        <v>9</v>
      </c>
      <c r="I4" s="61" t="s">
        <v>10</v>
      </c>
      <c r="J4" s="61" t="s">
        <v>11</v>
      </c>
      <c r="K4" s="61" t="s">
        <v>12</v>
      </c>
      <c r="L4" s="61" t="s">
        <v>11</v>
      </c>
      <c r="M4" s="61" t="s">
        <v>13</v>
      </c>
      <c r="N4" s="61"/>
      <c r="O4" s="61"/>
      <c r="P4" s="61"/>
      <c r="Q4" s="61" t="s">
        <v>14</v>
      </c>
      <c r="R4" s="61" t="s">
        <v>15</v>
      </c>
      <c r="S4" s="61" t="s">
        <v>12</v>
      </c>
      <c r="T4" s="62" t="s">
        <v>16</v>
      </c>
      <c r="U4" s="61" t="s">
        <v>17</v>
      </c>
      <c r="V4" s="61" t="s">
        <v>18</v>
      </c>
      <c r="W4" s="62" t="s">
        <v>19</v>
      </c>
      <c r="X4" s="61" t="s">
        <v>10</v>
      </c>
      <c r="Y4" s="61" t="s">
        <v>11</v>
      </c>
      <c r="Z4" s="61" t="s">
        <v>12</v>
      </c>
      <c r="AA4" s="103" t="s">
        <v>20</v>
      </c>
      <c r="AB4" s="64" t="s">
        <v>21</v>
      </c>
      <c r="AC4" s="64" t="s">
        <v>22</v>
      </c>
      <c r="AD4" s="64" t="s">
        <v>3</v>
      </c>
      <c r="AE4" s="84"/>
      <c r="AF4" s="84"/>
    </row>
    <row r="5" customFormat="false" ht="11.1" hidden="false" customHeight="true" outlineLevel="0" collapsed="false">
      <c r="A5" s="65" t="s">
        <v>82</v>
      </c>
      <c r="B5" s="61" t="s">
        <v>24</v>
      </c>
      <c r="C5" s="62" t="s">
        <v>5</v>
      </c>
      <c r="D5" s="61" t="s">
        <v>25</v>
      </c>
      <c r="E5" s="62" t="s">
        <v>26</v>
      </c>
      <c r="F5" s="61" t="s">
        <v>27</v>
      </c>
      <c r="G5" s="61" t="s">
        <v>28</v>
      </c>
      <c r="H5" s="149" t="s">
        <v>29</v>
      </c>
      <c r="I5" s="61" t="s">
        <v>30</v>
      </c>
      <c r="J5" s="61" t="s">
        <v>30</v>
      </c>
      <c r="K5" s="61" t="s">
        <v>30</v>
      </c>
      <c r="L5" s="61" t="s">
        <v>31</v>
      </c>
      <c r="M5" s="61" t="s">
        <v>32</v>
      </c>
      <c r="N5" s="61" t="s">
        <v>33</v>
      </c>
      <c r="O5" s="61" t="s">
        <v>34</v>
      </c>
      <c r="P5" s="61" t="s">
        <v>35</v>
      </c>
      <c r="Q5" s="61" t="s">
        <v>36</v>
      </c>
      <c r="R5" s="61" t="s">
        <v>37</v>
      </c>
      <c r="S5" s="61" t="s">
        <v>16</v>
      </c>
      <c r="T5" s="62" t="s">
        <v>38</v>
      </c>
      <c r="U5" s="61" t="s">
        <v>39</v>
      </c>
      <c r="V5" s="61" t="s">
        <v>40</v>
      </c>
      <c r="W5" s="62" t="s">
        <v>41</v>
      </c>
      <c r="X5" s="61" t="s">
        <v>42</v>
      </c>
      <c r="Y5" s="61" t="s">
        <v>42</v>
      </c>
      <c r="Z5" s="61" t="s">
        <v>42</v>
      </c>
      <c r="AA5" s="126"/>
      <c r="AB5" s="64" t="s">
        <v>43</v>
      </c>
      <c r="AC5" s="64" t="s">
        <v>43</v>
      </c>
      <c r="AD5" s="67" t="s">
        <v>82</v>
      </c>
      <c r="AE5" s="84"/>
      <c r="AF5" s="84"/>
      <c r="AH5" s="132"/>
      <c r="AI5" s="132"/>
    </row>
    <row r="6" customFormat="false" ht="11.1" hidden="false" customHeight="true" outlineLevel="0" collapsed="false">
      <c r="A6" s="68"/>
      <c r="B6" s="68"/>
      <c r="C6" s="69"/>
      <c r="D6" s="68"/>
      <c r="E6" s="69"/>
      <c r="F6" s="68"/>
      <c r="G6" s="68"/>
      <c r="H6" s="14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9"/>
      <c r="U6" s="68"/>
      <c r="V6" s="68"/>
      <c r="W6" s="69"/>
      <c r="X6" s="68"/>
      <c r="Y6" s="68"/>
      <c r="Z6" s="68"/>
      <c r="AA6" s="55"/>
      <c r="AB6" s="57"/>
      <c r="AC6" s="57"/>
      <c r="AD6" s="57"/>
      <c r="AE6" s="85"/>
      <c r="AF6" s="85"/>
      <c r="AG6" s="86"/>
      <c r="AH6" s="132"/>
      <c r="AI6" s="132"/>
    </row>
    <row r="7" customFormat="false" ht="11.1" hidden="false" customHeight="true" outlineLevel="0" collapsed="false">
      <c r="A7" s="51" t="s">
        <v>44</v>
      </c>
      <c r="B7" s="51"/>
      <c r="C7" s="52"/>
      <c r="D7" s="52"/>
      <c r="E7" s="52"/>
      <c r="F7" s="52" t="n">
        <f aca="false">[1]SEP!F44</f>
        <v>-51128.8127048147</v>
      </c>
      <c r="G7" s="52" t="n">
        <f aca="false">[1]SEP!G44</f>
        <v>100576</v>
      </c>
      <c r="H7" s="150" t="n">
        <f aca="false">[1]SEP!H44</f>
        <v>1956.67</v>
      </c>
      <c r="I7" s="52" t="n">
        <f aca="false">[1]SEP!I44</f>
        <v>102532.67</v>
      </c>
      <c r="J7" s="52" t="n">
        <f aca="false">[1]SEP!J44</f>
        <v>10856.877471641</v>
      </c>
      <c r="K7" s="52" t="n">
        <f aca="false">[1]SEP!K44</f>
        <v>113389.547471641</v>
      </c>
      <c r="L7" s="52" t="n">
        <f aca="false">[1]SEP!L44</f>
        <v>5559.17729518528</v>
      </c>
      <c r="M7" s="52" t="n">
        <f aca="false">[1]SEP!M44</f>
        <v>48771.3</v>
      </c>
      <c r="N7" s="52" t="n">
        <f aca="false">[1]SEP!N44</f>
        <v>204.87</v>
      </c>
      <c r="O7" s="52" t="n">
        <f aca="false">[1]SEP!O44</f>
        <v>11053.4015</v>
      </c>
      <c r="P7" s="52" t="n">
        <f aca="false">[1]SEP!P44</f>
        <v>37513.0285</v>
      </c>
      <c r="Q7" s="52" t="n">
        <f aca="false">[1]SEP!Q44</f>
        <v>22644</v>
      </c>
      <c r="R7" s="52" t="n">
        <f aca="false">[1]SEP!R44</f>
        <v>11840.1</v>
      </c>
      <c r="S7" s="52" t="n">
        <f aca="false">[1]SEP!S44</f>
        <v>71997.1285</v>
      </c>
      <c r="T7" s="52" t="n">
        <f aca="false">[1]SEP!T44</f>
        <v>-23247.400408243</v>
      </c>
      <c r="U7" s="52" t="n">
        <f aca="false">[1]SEP!U44</f>
        <v>28843.26</v>
      </c>
      <c r="V7" s="52" t="n">
        <f aca="false">[1]SEP!V44</f>
        <v>47122</v>
      </c>
      <c r="W7" s="52"/>
      <c r="X7" s="52" t="n">
        <f aca="false">[1]SEP!X44</f>
        <v>159220.66</v>
      </c>
      <c r="Y7" s="52" t="n">
        <f aca="false">[1]SEP!Y44</f>
        <v>5297.70017645576</v>
      </c>
      <c r="Z7" s="52" t="n">
        <f aca="false">[1]SEP!Z44</f>
        <v>164518.360176456</v>
      </c>
      <c r="AA7" s="55"/>
      <c r="AB7" s="56"/>
      <c r="AC7" s="56"/>
      <c r="AD7" s="57"/>
      <c r="AE7" s="85"/>
      <c r="AF7" s="86"/>
      <c r="AG7" s="86"/>
    </row>
    <row r="8" s="45" customFormat="true" ht="11.1" hidden="false" customHeight="true" outlineLevel="0" collapsed="false">
      <c r="A8" s="52" t="s">
        <v>45</v>
      </c>
      <c r="B8" s="71" t="n">
        <f aca="false">[1]SEP!B39</f>
        <v>6883.59</v>
      </c>
      <c r="C8" s="52" t="n">
        <f aca="false">[1]SEP!C39</f>
        <v>227215</v>
      </c>
      <c r="D8" s="52" t="n">
        <f aca="false">[1]SEP!D48</f>
        <v>-102465</v>
      </c>
      <c r="E8" s="52" t="n">
        <f aca="false">[1]SEP!E48</f>
        <v>75237</v>
      </c>
      <c r="F8" s="52" t="n">
        <f aca="false">[1]SEP!F47</f>
        <v>-51658.6841441896</v>
      </c>
      <c r="G8" s="52" t="n">
        <f aca="false">[1]SEP!G47</f>
        <v>110160</v>
      </c>
      <c r="H8" s="148" t="n">
        <f aca="false">[1]SEP!H47</f>
        <v>2221.95</v>
      </c>
      <c r="I8" s="52" t="n">
        <f aca="false">[1]SEP!I47</f>
        <v>112381.95</v>
      </c>
      <c r="J8" s="52" t="n">
        <f aca="false">[1]SEP!J47</f>
        <v>13205.0384471893</v>
      </c>
      <c r="K8" s="52" t="n">
        <f aca="false">[1]SEP!K47</f>
        <v>125583.255702042</v>
      </c>
      <c r="L8" s="52" t="n">
        <f aca="false">[1]SEP!L47</f>
        <v>7236.75585581044</v>
      </c>
      <c r="M8" s="52" t="n">
        <f aca="false">[1]SEP!M47</f>
        <v>51210.06</v>
      </c>
      <c r="N8" s="52" t="n">
        <f aca="false">[1]SEP!N47</f>
        <v>271.25</v>
      </c>
      <c r="O8" s="52" t="n">
        <f aca="false">[1]SEP!O47</f>
        <v>11494.742</v>
      </c>
      <c r="P8" s="52" t="n">
        <f aca="false">[1]SEP!P47</f>
        <v>39444.068</v>
      </c>
      <c r="Q8" s="52" t="n">
        <f aca="false">[1]SEP!Q47</f>
        <v>23688</v>
      </c>
      <c r="R8" s="52" t="n">
        <f aca="false">[1]SEP!R47</f>
        <v>12400.1</v>
      </c>
      <c r="S8" s="52" t="n">
        <f aca="false">[1]SEP!S47</f>
        <v>75532.168</v>
      </c>
      <c r="T8" s="52" t="n">
        <f aca="false">[1]SEP!T47</f>
        <v>-23247.400408243</v>
      </c>
      <c r="U8" s="52" t="n">
        <f aca="false">[1]SEP!U47</f>
        <v>28843.26</v>
      </c>
      <c r="V8" s="52" t="n">
        <f aca="false">[1]SEP!V47</f>
        <v>55135.97</v>
      </c>
      <c r="W8" s="52" t="n">
        <f aca="false">[1]SEP!W47</f>
        <v>7651</v>
      </c>
      <c r="X8" s="52" t="n">
        <f aca="false">[1]SEP!X47</f>
        <v>171277.39</v>
      </c>
      <c r="Y8" s="52" t="n">
        <f aca="false">[1]SEP!Y47</f>
        <v>5968.28259137888</v>
      </c>
      <c r="Z8" s="52" t="n">
        <f aca="false">[1]SEP!Z47</f>
        <v>177245.672591379</v>
      </c>
      <c r="AA8" s="78" t="n">
        <f aca="false">[1]SEP!AA47</f>
        <v>10.05</v>
      </c>
      <c r="AB8" s="56"/>
      <c r="AC8" s="56"/>
      <c r="AD8" s="57"/>
      <c r="AE8" s="85"/>
      <c r="AF8" s="85"/>
      <c r="AG8" s="86"/>
      <c r="AH8" s="44"/>
      <c r="AI8" s="44"/>
    </row>
    <row r="9" customFormat="false" ht="3" hidden="false" customHeight="true" outlineLevel="0" collapsed="false">
      <c r="A9" s="72"/>
      <c r="B9" s="73"/>
      <c r="C9" s="74"/>
      <c r="D9" s="72"/>
      <c r="E9" s="74"/>
      <c r="F9" s="72"/>
      <c r="G9" s="72"/>
      <c r="H9" s="151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4"/>
      <c r="U9" s="72"/>
      <c r="V9" s="72"/>
      <c r="W9" s="74"/>
      <c r="X9" s="72"/>
      <c r="Y9" s="72"/>
      <c r="Z9" s="72"/>
      <c r="AA9" s="106"/>
      <c r="AB9" s="76"/>
      <c r="AC9" s="76"/>
      <c r="AD9" s="77"/>
      <c r="AE9" s="85"/>
      <c r="AF9" s="85"/>
      <c r="AG9" s="86"/>
    </row>
    <row r="10" customFormat="false" ht="11.1" hidden="false" customHeight="true" outlineLevel="0" collapsed="false">
      <c r="A10" s="57" t="n">
        <v>1</v>
      </c>
      <c r="B10" s="71" t="n">
        <v>6883.47</v>
      </c>
      <c r="C10" s="52" t="n">
        <v>226806</v>
      </c>
      <c r="D10" s="56" t="n">
        <f aca="false">C10-C8</f>
        <v>-409</v>
      </c>
      <c r="E10" s="52" t="n">
        <f aca="false">C10-152000</f>
        <v>74806</v>
      </c>
      <c r="F10" s="51" t="n">
        <f aca="false">D10/$D$2</f>
        <v>-206.201159566423</v>
      </c>
      <c r="G10" s="51" t="n">
        <v>67</v>
      </c>
      <c r="H10" s="148" t="n">
        <v>0</v>
      </c>
      <c r="I10" s="51" t="n">
        <f aca="false">G10+H10</f>
        <v>67</v>
      </c>
      <c r="J10" s="78" t="n">
        <f aca="false">IF(L10&gt;0,L10,0)</f>
        <v>0</v>
      </c>
      <c r="K10" s="51" t="n">
        <f aca="false">I10+J10</f>
        <v>67</v>
      </c>
      <c r="L10" s="51" t="n">
        <f aca="false">F10-(I10-X10)</f>
        <v>-25.201159566423</v>
      </c>
      <c r="M10" s="51" t="n">
        <v>148</v>
      </c>
      <c r="N10" s="51" t="n">
        <v>1</v>
      </c>
      <c r="O10" s="51" t="n">
        <v>16.5</v>
      </c>
      <c r="P10" s="6" t="n">
        <f aca="false">M10-(N10+O10)</f>
        <v>130.5</v>
      </c>
      <c r="Q10" s="51" t="n">
        <v>10</v>
      </c>
      <c r="R10" s="51" t="n">
        <v>45</v>
      </c>
      <c r="S10" s="51" t="n">
        <f aca="false">SUM(P10:R10)</f>
        <v>185.5</v>
      </c>
      <c r="T10" s="52" t="n">
        <f aca="false">(I10-S10)+T7</f>
        <v>-23365.900408243</v>
      </c>
      <c r="U10" s="51" t="n">
        <v>0</v>
      </c>
      <c r="V10" s="51" t="n">
        <v>45</v>
      </c>
      <c r="W10" s="52" t="n">
        <f aca="false">W8-40</f>
        <v>7611</v>
      </c>
      <c r="X10" s="6" t="n">
        <f aca="false">N10+O10+S10+U10+V10</f>
        <v>248</v>
      </c>
      <c r="Y10" s="51" t="n">
        <f aca="false">IF(L10&lt;0,L10*-1,0)</f>
        <v>25.201159566423</v>
      </c>
      <c r="Z10" s="51" t="n">
        <f aca="false">X10+Y10</f>
        <v>273.201159566423</v>
      </c>
      <c r="AA10" s="55" t="n">
        <v>0</v>
      </c>
      <c r="AB10" s="56" t="n">
        <v>79</v>
      </c>
      <c r="AC10" s="56" t="n">
        <v>45</v>
      </c>
      <c r="AD10" s="57" t="n">
        <v>1</v>
      </c>
      <c r="AE10" s="85"/>
      <c r="AF10" s="87"/>
      <c r="AG10" s="87"/>
    </row>
    <row r="11" customFormat="false" ht="11.1" hidden="false" customHeight="true" outlineLevel="0" collapsed="false">
      <c r="A11" s="57" t="n">
        <f aca="false">A10+1</f>
        <v>2</v>
      </c>
      <c r="B11" s="71" t="n">
        <v>6883.35</v>
      </c>
      <c r="C11" s="52" t="n">
        <v>226460</v>
      </c>
      <c r="D11" s="56" t="n">
        <f aca="false">C11-C10</f>
        <v>-346</v>
      </c>
      <c r="E11" s="52" t="n">
        <f aca="false">C11-152000</f>
        <v>74460</v>
      </c>
      <c r="F11" s="51" t="n">
        <f aca="false">D11/$D$2</f>
        <v>-174.439122762793</v>
      </c>
      <c r="G11" s="51" t="n">
        <v>58</v>
      </c>
      <c r="H11" s="148" t="n">
        <v>0</v>
      </c>
      <c r="I11" s="51" t="n">
        <f aca="false">G11+H11</f>
        <v>58</v>
      </c>
      <c r="J11" s="78" t="n">
        <f aca="false">IF(L11&gt;0,L11,0)</f>
        <v>0</v>
      </c>
      <c r="K11" s="51" t="n">
        <f aca="false">I11+J11</f>
        <v>58</v>
      </c>
      <c r="L11" s="51" t="n">
        <f aca="false">F11-(I11-X11)</f>
        <v>-38.439122762793</v>
      </c>
      <c r="M11" s="51" t="n">
        <v>136</v>
      </c>
      <c r="N11" s="51" t="n">
        <v>1</v>
      </c>
      <c r="O11" s="51" t="n">
        <v>15.5</v>
      </c>
      <c r="P11" s="6" t="n">
        <f aca="false">M11-(N11+O11)</f>
        <v>119.5</v>
      </c>
      <c r="Q11" s="51" t="n">
        <v>0</v>
      </c>
      <c r="R11" s="51" t="n">
        <v>16</v>
      </c>
      <c r="S11" s="51" t="n">
        <f aca="false">SUM(P11:R11)</f>
        <v>135.5</v>
      </c>
      <c r="T11" s="52" t="n">
        <f aca="false">(I11-S11)+T10</f>
        <v>-23443.400408243</v>
      </c>
      <c r="U11" s="51" t="n">
        <v>0</v>
      </c>
      <c r="V11" s="51" t="n">
        <v>42</v>
      </c>
      <c r="W11" s="52" t="n">
        <f aca="false">W10-V11</f>
        <v>7569</v>
      </c>
      <c r="X11" s="6" t="n">
        <f aca="false">N11+O11+S11+U11+V11</f>
        <v>194</v>
      </c>
      <c r="Y11" s="51" t="n">
        <f aca="false">IF(L11&lt;0,L11*-1,0)</f>
        <v>38.439122762793</v>
      </c>
      <c r="Z11" s="51" t="n">
        <f aca="false">X11+Y11</f>
        <v>232.439122762793</v>
      </c>
      <c r="AA11" s="55" t="n">
        <v>0</v>
      </c>
      <c r="AB11" s="56" t="n">
        <v>79</v>
      </c>
      <c r="AC11" s="56" t="n">
        <v>44</v>
      </c>
      <c r="AD11" s="57" t="n">
        <f aca="false">AD10+1</f>
        <v>2</v>
      </c>
      <c r="AE11" s="85"/>
      <c r="AF11" s="87"/>
      <c r="AG11" s="87"/>
    </row>
    <row r="12" customFormat="false" ht="11.1" hidden="false" customHeight="true" outlineLevel="0" collapsed="false">
      <c r="A12" s="57" t="n">
        <f aca="false">A11+1</f>
        <v>3</v>
      </c>
      <c r="B12" s="71" t="n">
        <v>6883.3</v>
      </c>
      <c r="C12" s="52" t="n">
        <v>226303</v>
      </c>
      <c r="D12" s="56" t="n">
        <f aca="false">C12-C11</f>
        <v>-157</v>
      </c>
      <c r="E12" s="52" t="n">
        <f aca="false">C12-152000</f>
        <v>74303</v>
      </c>
      <c r="F12" s="51" t="n">
        <f aca="false">D12/$D$2</f>
        <v>-79.1530123519032</v>
      </c>
      <c r="G12" s="51" t="n">
        <v>54</v>
      </c>
      <c r="H12" s="148" t="n">
        <v>0</v>
      </c>
      <c r="I12" s="51" t="n">
        <f aca="false">G12+H12</f>
        <v>54</v>
      </c>
      <c r="J12" s="78" t="n">
        <f aca="false">IF(L12&gt;0,L12,0)</f>
        <v>3.8469876480968</v>
      </c>
      <c r="K12" s="51" t="n">
        <f aca="false">I12+J12</f>
        <v>57.8469876480968</v>
      </c>
      <c r="L12" s="51" t="n">
        <f aca="false">F12-(I12-X12)</f>
        <v>3.8469876480968</v>
      </c>
      <c r="M12" s="51" t="n">
        <v>80</v>
      </c>
      <c r="N12" s="51" t="n">
        <v>1</v>
      </c>
      <c r="O12" s="51" t="n">
        <v>17.4</v>
      </c>
      <c r="P12" s="6" t="n">
        <f aca="false">M12-(N12+O12)</f>
        <v>61.6</v>
      </c>
      <c r="Q12" s="51" t="n">
        <v>0</v>
      </c>
      <c r="R12" s="51" t="n">
        <v>15</v>
      </c>
      <c r="S12" s="51" t="n">
        <f aca="false">SUM(P12:R12)</f>
        <v>76.6</v>
      </c>
      <c r="T12" s="52" t="n">
        <f aca="false">(I12-S12)+T11</f>
        <v>-23466.000408243</v>
      </c>
      <c r="U12" s="51" t="n">
        <v>0</v>
      </c>
      <c r="V12" s="51" t="n">
        <v>42</v>
      </c>
      <c r="W12" s="52" t="n">
        <f aca="false">W11-V12</f>
        <v>7527</v>
      </c>
      <c r="X12" s="6" t="n">
        <f aca="false">N12+O12+S12+U12+V12</f>
        <v>137</v>
      </c>
      <c r="Y12" s="51" t="n">
        <f aca="false">IF(L12&lt;0,L12*-1,0)</f>
        <v>0</v>
      </c>
      <c r="Z12" s="51" t="n">
        <f aca="false">X12+Y12</f>
        <v>137</v>
      </c>
      <c r="AA12" s="55" t="n">
        <v>0</v>
      </c>
      <c r="AB12" s="56" t="n">
        <v>68</v>
      </c>
      <c r="AC12" s="56" t="n">
        <v>46</v>
      </c>
      <c r="AD12" s="57" t="n">
        <f aca="false">AD11+1</f>
        <v>3</v>
      </c>
      <c r="AE12" s="85"/>
      <c r="AF12" s="87"/>
      <c r="AG12" s="87"/>
    </row>
    <row r="13" customFormat="false" ht="11.1" hidden="false" customHeight="true" outlineLevel="0" collapsed="false">
      <c r="A13" s="57" t="n">
        <f aca="false">A12+1</f>
        <v>4</v>
      </c>
      <c r="B13" s="71" t="n">
        <v>6883.17</v>
      </c>
      <c r="C13" s="52" t="n">
        <v>225894</v>
      </c>
      <c r="D13" s="56" t="n">
        <f aca="false">C13-C12</f>
        <v>-409</v>
      </c>
      <c r="E13" s="52" t="n">
        <f aca="false">C13-152000</f>
        <v>73894</v>
      </c>
      <c r="F13" s="51" t="n">
        <f aca="false">D13/$D$2</f>
        <v>-206.201159566423</v>
      </c>
      <c r="G13" s="51" t="n">
        <v>54</v>
      </c>
      <c r="H13" s="148" t="n">
        <v>0</v>
      </c>
      <c r="I13" s="51" t="n">
        <f aca="false">G13+H13</f>
        <v>54</v>
      </c>
      <c r="J13" s="78" t="n">
        <f aca="false">IF(L13&gt;0,L13,0)</f>
        <v>23.798840433577</v>
      </c>
      <c r="K13" s="51" t="n">
        <f aca="false">I13+J13</f>
        <v>77.798840433577</v>
      </c>
      <c r="L13" s="51" t="n">
        <f aca="false">F13-(I13-X13)</f>
        <v>23.798840433577</v>
      </c>
      <c r="M13" s="51" t="n">
        <v>97</v>
      </c>
      <c r="N13" s="51" t="n">
        <v>1</v>
      </c>
      <c r="O13" s="51" t="n">
        <v>14.8</v>
      </c>
      <c r="P13" s="6" t="n">
        <f aca="false">M13-(N13+O13)</f>
        <v>81.2</v>
      </c>
      <c r="Q13" s="51" t="n">
        <v>0</v>
      </c>
      <c r="R13" s="51" t="n">
        <v>13</v>
      </c>
      <c r="S13" s="51" t="n">
        <f aca="false">SUM(P13:R13)</f>
        <v>94.2</v>
      </c>
      <c r="T13" s="52" t="n">
        <f aca="false">(I13-S13)+T12</f>
        <v>-23506.200408243</v>
      </c>
      <c r="U13" s="51" t="n">
        <v>0</v>
      </c>
      <c r="V13" s="51" t="n">
        <v>174</v>
      </c>
      <c r="W13" s="52" t="n">
        <f aca="false">W12-V13</f>
        <v>7353</v>
      </c>
      <c r="X13" s="6" t="n">
        <f aca="false">N13+O13+S13+U13+V13</f>
        <v>284</v>
      </c>
      <c r="Y13" s="51" t="n">
        <f aca="false">IF(L13&lt;0,L13*-1,0)</f>
        <v>0</v>
      </c>
      <c r="Z13" s="51" t="n">
        <f aca="false">X13+Y13</f>
        <v>284</v>
      </c>
      <c r="AA13" s="55" t="n">
        <v>0.19</v>
      </c>
      <c r="AB13" s="56" t="n">
        <v>64</v>
      </c>
      <c r="AC13" s="56" t="n">
        <v>42</v>
      </c>
      <c r="AD13" s="57" t="n">
        <f aca="false">AD12+1</f>
        <v>4</v>
      </c>
      <c r="AE13" s="85"/>
      <c r="AF13" s="87"/>
      <c r="AG13" s="87"/>
    </row>
    <row r="14" customFormat="false" ht="11.1" hidden="false" customHeight="true" outlineLevel="0" collapsed="false">
      <c r="A14" s="57" t="n">
        <f aca="false">A13+1</f>
        <v>5</v>
      </c>
      <c r="B14" s="71" t="n">
        <v>6883.1</v>
      </c>
      <c r="C14" s="52" t="n">
        <v>225674</v>
      </c>
      <c r="D14" s="56" t="n">
        <f aca="false">C14-C13</f>
        <v>-220</v>
      </c>
      <c r="E14" s="52" t="n">
        <f aca="false">C14-152000</f>
        <v>73674</v>
      </c>
      <c r="F14" s="51" t="n">
        <f aca="false">D14/$D$2</f>
        <v>-110.915049155533</v>
      </c>
      <c r="G14" s="51" t="n">
        <v>60</v>
      </c>
      <c r="H14" s="148" t="n">
        <v>0</v>
      </c>
      <c r="I14" s="51" t="n">
        <f aca="false">G14+H14</f>
        <v>60</v>
      </c>
      <c r="J14" s="78" t="n">
        <f aca="false">IF(L14&gt;0,L14,0)</f>
        <v>17.3849508444669</v>
      </c>
      <c r="K14" s="51" t="n">
        <f aca="false">I14+J14</f>
        <v>77.3849508444669</v>
      </c>
      <c r="L14" s="51" t="n">
        <f aca="false">F14-(I14-X14)</f>
        <v>17.3849508444669</v>
      </c>
      <c r="M14" s="51" t="n">
        <v>90</v>
      </c>
      <c r="N14" s="51" t="n">
        <v>5</v>
      </c>
      <c r="O14" s="51" t="n">
        <v>18</v>
      </c>
      <c r="P14" s="6" t="n">
        <f aca="false">M14-(N14+O14)</f>
        <v>67</v>
      </c>
      <c r="Q14" s="51" t="n">
        <v>14</v>
      </c>
      <c r="R14" s="51" t="n">
        <v>13</v>
      </c>
      <c r="S14" s="51" t="n">
        <f aca="false">SUM(P14:R14)</f>
        <v>94</v>
      </c>
      <c r="T14" s="52" t="n">
        <f aca="false">(I14-S14)+T13</f>
        <v>-23540.200408243</v>
      </c>
      <c r="U14" s="51" t="n">
        <v>18.3</v>
      </c>
      <c r="V14" s="51" t="n">
        <v>53</v>
      </c>
      <c r="W14" s="52" t="n">
        <f aca="false">W13-50</f>
        <v>7303</v>
      </c>
      <c r="X14" s="6" t="n">
        <f aca="false">N14+O14+S14+U14+V14</f>
        <v>188.3</v>
      </c>
      <c r="Y14" s="51" t="n">
        <f aca="false">IF(L14&lt;0,L14*-1,0)</f>
        <v>0</v>
      </c>
      <c r="Z14" s="51" t="n">
        <f aca="false">X14+Y14</f>
        <v>188.3</v>
      </c>
      <c r="AA14" s="55" t="n">
        <v>0.01</v>
      </c>
      <c r="AB14" s="56" t="n">
        <v>71</v>
      </c>
      <c r="AC14" s="56" t="n">
        <v>40</v>
      </c>
      <c r="AD14" s="57" t="n">
        <f aca="false">AD13+1</f>
        <v>5</v>
      </c>
      <c r="AE14" s="85"/>
      <c r="AF14" s="87"/>
      <c r="AG14" s="87"/>
    </row>
    <row r="15" customFormat="false" ht="11.1" hidden="false" customHeight="true" outlineLevel="0" collapsed="false">
      <c r="A15" s="57" t="n">
        <f aca="false">A14+1</f>
        <v>6</v>
      </c>
      <c r="B15" s="71" t="n">
        <v>6883.02</v>
      </c>
      <c r="C15" s="52" t="n">
        <v>225422</v>
      </c>
      <c r="D15" s="56" t="n">
        <f aca="false">C15-C14</f>
        <v>-252</v>
      </c>
      <c r="E15" s="52" t="n">
        <f aca="false">C15-152000</f>
        <v>73422</v>
      </c>
      <c r="F15" s="51" t="n">
        <f aca="false">D15/$D$2</f>
        <v>-127.04814721452</v>
      </c>
      <c r="G15" s="51" t="n">
        <v>67</v>
      </c>
      <c r="H15" s="148" t="n">
        <v>0</v>
      </c>
      <c r="I15" s="51" t="n">
        <f aca="false">G15+H15</f>
        <v>67</v>
      </c>
      <c r="J15" s="78" t="n">
        <f aca="false">IF(L15&gt;0,L15,0)</f>
        <v>10.8518527854802</v>
      </c>
      <c r="K15" s="51" t="n">
        <f aca="false">I15+J15</f>
        <v>77.8518527854802</v>
      </c>
      <c r="L15" s="51" t="n">
        <f aca="false">F15-(I15-X15)</f>
        <v>10.8518527854802</v>
      </c>
      <c r="M15" s="51" t="n">
        <v>87</v>
      </c>
      <c r="N15" s="51" t="n">
        <v>5</v>
      </c>
      <c r="O15" s="51" t="n">
        <v>16.3</v>
      </c>
      <c r="P15" s="6" t="n">
        <f aca="false">M15-(N15+O15)</f>
        <v>65.7</v>
      </c>
      <c r="Q15" s="51" t="n">
        <v>33</v>
      </c>
      <c r="R15" s="51" t="n">
        <v>13</v>
      </c>
      <c r="S15" s="51" t="n">
        <f aca="false">SUM(P15:R15)</f>
        <v>111.7</v>
      </c>
      <c r="T15" s="52" t="n">
        <f aca="false">(I15-S15)+T14</f>
        <v>-23584.900408243</v>
      </c>
      <c r="U15" s="51" t="n">
        <v>18.9</v>
      </c>
      <c r="V15" s="51" t="n">
        <v>53</v>
      </c>
      <c r="W15" s="52" t="n">
        <f aca="false">W14-50</f>
        <v>7253</v>
      </c>
      <c r="X15" s="6" t="n">
        <f aca="false">N15+O15+S15+U15+V15</f>
        <v>204.9</v>
      </c>
      <c r="Y15" s="51" t="n">
        <f aca="false">IF(L15&lt;0,L15*-1,0)</f>
        <v>0</v>
      </c>
      <c r="Z15" s="51" t="n">
        <f aca="false">X15+Y15</f>
        <v>204.9</v>
      </c>
      <c r="AA15" s="55" t="n">
        <v>0</v>
      </c>
      <c r="AB15" s="56" t="n">
        <v>74</v>
      </c>
      <c r="AC15" s="56" t="n">
        <v>42</v>
      </c>
      <c r="AD15" s="57" t="n">
        <f aca="false">AD14+1</f>
        <v>6</v>
      </c>
      <c r="AE15" s="85"/>
      <c r="AF15" s="87"/>
      <c r="AG15" s="87"/>
    </row>
    <row r="16" customFormat="false" ht="11.1" hidden="false" customHeight="true" outlineLevel="0" collapsed="false">
      <c r="A16" s="57" t="n">
        <f aca="false">A15+1</f>
        <v>7</v>
      </c>
      <c r="B16" s="71" t="n">
        <v>6882.95</v>
      </c>
      <c r="C16" s="52" t="n">
        <v>225204</v>
      </c>
      <c r="D16" s="56" t="n">
        <f aca="false">C16-C15</f>
        <v>-218</v>
      </c>
      <c r="E16" s="52" t="n">
        <f aca="false">C16-152000</f>
        <v>73204</v>
      </c>
      <c r="F16" s="51" t="n">
        <f aca="false">D16/$D$2</f>
        <v>-109.906730526847</v>
      </c>
      <c r="G16" s="51" t="n">
        <v>63</v>
      </c>
      <c r="H16" s="148" t="n">
        <v>0</v>
      </c>
      <c r="I16" s="51" t="n">
        <f aca="false">G16+H16</f>
        <v>63</v>
      </c>
      <c r="J16" s="78" t="n">
        <f aca="false">IF(L16&gt;0,L16,0)</f>
        <v>17.0932694731535</v>
      </c>
      <c r="K16" s="51" t="n">
        <f aca="false">I16+J16</f>
        <v>80.0932694731535</v>
      </c>
      <c r="L16" s="51" t="n">
        <f aca="false">F16-(I16-X16)</f>
        <v>17.0932694731535</v>
      </c>
      <c r="M16" s="51" t="n">
        <v>80</v>
      </c>
      <c r="N16" s="51" t="n">
        <v>5</v>
      </c>
      <c r="O16" s="51" t="n">
        <v>16.5</v>
      </c>
      <c r="P16" s="6" t="n">
        <f aca="false">M16-(N16+O16)</f>
        <v>58.5</v>
      </c>
      <c r="Q16" s="51" t="n">
        <v>44</v>
      </c>
      <c r="R16" s="51" t="n">
        <v>13</v>
      </c>
      <c r="S16" s="51" t="n">
        <f aca="false">SUM(P16:R16)</f>
        <v>115.5</v>
      </c>
      <c r="T16" s="52" t="n">
        <f aca="false">(I16-S16)+T15</f>
        <v>-23637.400408243</v>
      </c>
      <c r="U16" s="51" t="n">
        <v>0</v>
      </c>
      <c r="V16" s="51" t="n">
        <v>53</v>
      </c>
      <c r="W16" s="52" t="n">
        <f aca="false">W15-50</f>
        <v>7203</v>
      </c>
      <c r="X16" s="6" t="n">
        <f aca="false">N16+O16+S16+U16+V16</f>
        <v>190</v>
      </c>
      <c r="Y16" s="51" t="n">
        <f aca="false">IF(L16&lt;0,L16*-1,0)</f>
        <v>0</v>
      </c>
      <c r="Z16" s="51" t="n">
        <f aca="false">X16+Y16</f>
        <v>190</v>
      </c>
      <c r="AA16" s="55" t="n">
        <v>0</v>
      </c>
      <c r="AB16" s="56" t="n">
        <v>73</v>
      </c>
      <c r="AC16" s="56" t="n">
        <v>45</v>
      </c>
      <c r="AD16" s="57" t="n">
        <f aca="false">AD15+1</f>
        <v>7</v>
      </c>
      <c r="AE16" s="85"/>
      <c r="AF16" s="87"/>
      <c r="AG16" s="87"/>
    </row>
    <row r="17" customFormat="false" ht="11.1" hidden="false" customHeight="true" outlineLevel="0" collapsed="false">
      <c r="A17" s="57" t="n">
        <f aca="false">A16+1</f>
        <v>8</v>
      </c>
      <c r="B17" s="71" t="n">
        <v>6882.88</v>
      </c>
      <c r="C17" s="52" t="n">
        <v>224986</v>
      </c>
      <c r="D17" s="56" t="n">
        <f aca="false">C17-C16</f>
        <v>-218</v>
      </c>
      <c r="E17" s="52" t="n">
        <f aca="false">C17-152000</f>
        <v>72986</v>
      </c>
      <c r="F17" s="51" t="n">
        <f aca="false">D17/$D$2</f>
        <v>-109.906730526847</v>
      </c>
      <c r="G17" s="51" t="n">
        <v>60</v>
      </c>
      <c r="H17" s="148" t="n">
        <v>0</v>
      </c>
      <c r="I17" s="51" t="n">
        <f aca="false">G17+H17</f>
        <v>60</v>
      </c>
      <c r="J17" s="78" t="n">
        <f aca="false">IF(L17&gt;0,L17,0)</f>
        <v>34.0932694731535</v>
      </c>
      <c r="K17" s="51" t="n">
        <f aca="false">I17+J17</f>
        <v>94.0932694731535</v>
      </c>
      <c r="L17" s="51" t="n">
        <f aca="false">F17-(I17-X17)</f>
        <v>34.0932694731535</v>
      </c>
      <c r="M17" s="51" t="n">
        <v>92</v>
      </c>
      <c r="N17" s="51" t="n">
        <v>5</v>
      </c>
      <c r="O17" s="51" t="n">
        <v>19.5</v>
      </c>
      <c r="P17" s="6" t="n">
        <f aca="false">M17-(N17+O17)</f>
        <v>67.5</v>
      </c>
      <c r="Q17" s="51" t="n">
        <v>46</v>
      </c>
      <c r="R17" s="51" t="n">
        <v>13</v>
      </c>
      <c r="S17" s="51" t="n">
        <f aca="false">SUM(P17:R17)</f>
        <v>126.5</v>
      </c>
      <c r="T17" s="52" t="n">
        <f aca="false">(I17-S17)+T16</f>
        <v>-23703.900408243</v>
      </c>
      <c r="U17" s="51" t="n">
        <v>0</v>
      </c>
      <c r="V17" s="51" t="n">
        <v>53</v>
      </c>
      <c r="W17" s="52" t="n">
        <f aca="false">W16-50</f>
        <v>7153</v>
      </c>
      <c r="X17" s="6" t="n">
        <f aca="false">N17+O17+S17+U17+V17</f>
        <v>204</v>
      </c>
      <c r="Y17" s="51" t="n">
        <f aca="false">IF(L17&lt;0,L17*-1,0)</f>
        <v>0</v>
      </c>
      <c r="Z17" s="51" t="n">
        <f aca="false">X17+Y17</f>
        <v>204</v>
      </c>
      <c r="AA17" s="55" t="n">
        <v>0</v>
      </c>
      <c r="AB17" s="56" t="n">
        <v>54</v>
      </c>
      <c r="AC17" s="56" t="n">
        <v>51</v>
      </c>
      <c r="AD17" s="57" t="n">
        <f aca="false">AD16+1</f>
        <v>8</v>
      </c>
      <c r="AE17" s="85"/>
      <c r="AF17" s="87"/>
      <c r="AG17" s="87"/>
    </row>
    <row r="18" customFormat="false" ht="11.1" hidden="false" customHeight="true" outlineLevel="0" collapsed="false">
      <c r="A18" s="57" t="n">
        <f aca="false">A17+1</f>
        <v>9</v>
      </c>
      <c r="B18" s="71" t="n">
        <v>6882.79</v>
      </c>
      <c r="C18" s="52" t="n">
        <v>224707</v>
      </c>
      <c r="D18" s="56" t="n">
        <f aca="false">C18-C17</f>
        <v>-279</v>
      </c>
      <c r="E18" s="52" t="n">
        <f aca="false">C18-152000</f>
        <v>72707</v>
      </c>
      <c r="F18" s="51" t="n">
        <f aca="false">D18/$D$2</f>
        <v>-140.66044870179</v>
      </c>
      <c r="G18" s="51" t="n">
        <v>64</v>
      </c>
      <c r="H18" s="148" t="n">
        <v>0</v>
      </c>
      <c r="I18" s="51" t="n">
        <f aca="false">G18+H18</f>
        <v>64</v>
      </c>
      <c r="J18" s="78" t="n">
        <f aca="false">IF(L18&gt;0,L18,0)</f>
        <v>0</v>
      </c>
      <c r="K18" s="51" t="n">
        <f aca="false">I18+J18</f>
        <v>64</v>
      </c>
      <c r="L18" s="51" t="n">
        <f aca="false">F18-(I18-X18)</f>
        <v>-15.6604487017898</v>
      </c>
      <c r="M18" s="51" t="n">
        <v>75</v>
      </c>
      <c r="N18" s="51" t="n">
        <v>5</v>
      </c>
      <c r="O18" s="51" t="n">
        <v>18.8</v>
      </c>
      <c r="P18" s="6" t="n">
        <f aca="false">M18-(N18+O18)</f>
        <v>51.2</v>
      </c>
      <c r="Q18" s="51" t="n">
        <v>48</v>
      </c>
      <c r="R18" s="51" t="n">
        <v>13</v>
      </c>
      <c r="S18" s="51" t="n">
        <f aca="false">SUM(P18:R18)</f>
        <v>112.2</v>
      </c>
      <c r="T18" s="52" t="n">
        <f aca="false">(I18-S18)+T17</f>
        <v>-23752.100408243</v>
      </c>
      <c r="U18" s="51" t="n">
        <v>0</v>
      </c>
      <c r="V18" s="51" t="n">
        <v>53</v>
      </c>
      <c r="W18" s="52" t="n">
        <f aca="false">W17-50</f>
        <v>7103</v>
      </c>
      <c r="X18" s="6" t="n">
        <f aca="false">N18+O18+S18+U18+V18</f>
        <v>189</v>
      </c>
      <c r="Y18" s="51" t="n">
        <f aca="false">IF(L18&lt;0,L18*-1,0)</f>
        <v>15.6604487017898</v>
      </c>
      <c r="Z18" s="51" t="n">
        <f aca="false">X18+Y18</f>
        <v>204.66044870179</v>
      </c>
      <c r="AA18" s="55" t="n">
        <v>0.12</v>
      </c>
      <c r="AB18" s="79" t="n">
        <v>59</v>
      </c>
      <c r="AC18" s="56" t="n">
        <v>38</v>
      </c>
      <c r="AD18" s="57" t="n">
        <f aca="false">AD17+1</f>
        <v>9</v>
      </c>
      <c r="AE18" s="85"/>
      <c r="AF18" s="87"/>
      <c r="AG18" s="87"/>
    </row>
    <row r="19" customFormat="false" ht="11.1" hidden="false" customHeight="true" outlineLevel="0" collapsed="false">
      <c r="A19" s="57" t="n">
        <f aca="false">A18+1</f>
        <v>10</v>
      </c>
      <c r="B19" s="71" t="n">
        <v>6882.71</v>
      </c>
      <c r="C19" s="52" t="n">
        <v>224458</v>
      </c>
      <c r="D19" s="56" t="n">
        <f aca="false">C19-C18</f>
        <v>-249</v>
      </c>
      <c r="E19" s="52" t="n">
        <f aca="false">C19-152000</f>
        <v>72458</v>
      </c>
      <c r="F19" s="51" t="n">
        <f aca="false">D19/$D$2</f>
        <v>-125.53566927149</v>
      </c>
      <c r="G19" s="51" t="n">
        <v>71</v>
      </c>
      <c r="H19" s="148" t="n">
        <v>0</v>
      </c>
      <c r="I19" s="51" t="n">
        <f aca="false">G19+H19</f>
        <v>71</v>
      </c>
      <c r="J19" s="78" t="n">
        <f aca="false">IF(L19&gt;0,L19,0)</f>
        <v>0</v>
      </c>
      <c r="K19" s="51" t="n">
        <f aca="false">I19+J19</f>
        <v>71</v>
      </c>
      <c r="L19" s="51" t="n">
        <f aca="false">F19-(I19-X19)</f>
        <v>-7.53566927148979</v>
      </c>
      <c r="M19" s="51" t="n">
        <v>77</v>
      </c>
      <c r="N19" s="51" t="n">
        <v>5</v>
      </c>
      <c r="O19" s="51" t="n">
        <v>15.54</v>
      </c>
      <c r="P19" s="6" t="n">
        <f aca="false">M19-(N19+O19)</f>
        <v>56.46</v>
      </c>
      <c r="Q19" s="51" t="n">
        <v>48</v>
      </c>
      <c r="R19" s="51" t="n">
        <v>11</v>
      </c>
      <c r="S19" s="51" t="n">
        <f aca="false">SUM(P19:R19)</f>
        <v>115.46</v>
      </c>
      <c r="T19" s="52" t="n">
        <f aca="false">(I19-S19)+T18</f>
        <v>-23796.560408243</v>
      </c>
      <c r="U19" s="51" t="n">
        <v>0</v>
      </c>
      <c r="V19" s="51" t="n">
        <v>53</v>
      </c>
      <c r="W19" s="52" t="n">
        <f aca="false">W18-50</f>
        <v>7053</v>
      </c>
      <c r="X19" s="6" t="n">
        <f aca="false">N19+O19+S19+U19+V19</f>
        <v>189</v>
      </c>
      <c r="Y19" s="51" t="n">
        <f aca="false">IF(L19&lt;0,L19*-1,0)</f>
        <v>7.53566927148979</v>
      </c>
      <c r="Z19" s="51" t="n">
        <f aca="false">X19+Y19</f>
        <v>196.53566927149</v>
      </c>
      <c r="AA19" s="55" t="n">
        <v>0.23</v>
      </c>
      <c r="AB19" s="56" t="n">
        <v>52</v>
      </c>
      <c r="AC19" s="56" t="n">
        <v>41</v>
      </c>
      <c r="AD19" s="57" t="n">
        <f aca="false">AD18+1</f>
        <v>10</v>
      </c>
      <c r="AE19" s="85"/>
      <c r="AF19" s="87"/>
      <c r="AG19" s="87"/>
    </row>
    <row r="20" customFormat="false" ht="11.1" hidden="false" customHeight="true" outlineLevel="0" collapsed="false">
      <c r="A20" s="57" t="n">
        <f aca="false">A19+1</f>
        <v>11</v>
      </c>
      <c r="B20" s="71" t="n">
        <v>6882.62</v>
      </c>
      <c r="C20" s="52" t="n">
        <v>224179</v>
      </c>
      <c r="D20" s="56" t="n">
        <f aca="false">C20-C19</f>
        <v>-279</v>
      </c>
      <c r="E20" s="52" t="n">
        <f aca="false">C20-152000</f>
        <v>72179</v>
      </c>
      <c r="F20" s="51" t="n">
        <f aca="false">D20/$D$2</f>
        <v>-140.66044870179</v>
      </c>
      <c r="G20" s="51" t="n">
        <v>78</v>
      </c>
      <c r="H20" s="148" t="n">
        <v>0</v>
      </c>
      <c r="I20" s="51" t="n">
        <f aca="false">G20+H20</f>
        <v>78</v>
      </c>
      <c r="J20" s="78" t="n">
        <f aca="false">IF(L20&gt;0,L20,0)</f>
        <v>0</v>
      </c>
      <c r="K20" s="51" t="n">
        <f aca="false">I20+J20</f>
        <v>78</v>
      </c>
      <c r="L20" s="51" t="n">
        <f aca="false">F20-(I20-X20)</f>
        <v>-46.7604487017898</v>
      </c>
      <c r="M20" s="51" t="n">
        <v>61</v>
      </c>
      <c r="N20" s="51" t="n">
        <v>5</v>
      </c>
      <c r="O20" s="51" t="n">
        <v>10.7</v>
      </c>
      <c r="P20" s="6" t="n">
        <f aca="false">M20-(N20+O20)</f>
        <v>45.3</v>
      </c>
      <c r="Q20" s="51" t="n">
        <v>48</v>
      </c>
      <c r="R20" s="51" t="n">
        <v>9.9</v>
      </c>
      <c r="S20" s="51" t="n">
        <f aca="false">SUM(P20:R20)</f>
        <v>103.2</v>
      </c>
      <c r="T20" s="52" t="n">
        <f aca="false">(I20-S20)+T19</f>
        <v>-23821.760408243</v>
      </c>
      <c r="U20" s="51" t="n">
        <v>0</v>
      </c>
      <c r="V20" s="51" t="n">
        <v>53</v>
      </c>
      <c r="W20" s="52" t="n">
        <f aca="false">W19-50</f>
        <v>7003</v>
      </c>
      <c r="X20" s="6" t="n">
        <f aca="false">N20+O20+S20+U20+V20</f>
        <v>171.9</v>
      </c>
      <c r="Y20" s="51" t="n">
        <f aca="false">IF(L20&lt;0,L20*-1,0)</f>
        <v>46.7604487017898</v>
      </c>
      <c r="Z20" s="51" t="n">
        <f aca="false">X20+Y20</f>
        <v>218.66044870179</v>
      </c>
      <c r="AA20" s="55" t="n">
        <v>0.39</v>
      </c>
      <c r="AB20" s="56" t="n">
        <v>60</v>
      </c>
      <c r="AC20" s="56" t="n">
        <v>44</v>
      </c>
      <c r="AD20" s="57" t="n">
        <f aca="false">AD19+1</f>
        <v>11</v>
      </c>
      <c r="AE20" s="85"/>
      <c r="AF20" s="87"/>
      <c r="AG20" s="87"/>
      <c r="AH20" s="129"/>
      <c r="AI20" s="129"/>
      <c r="AJ20" s="129"/>
    </row>
    <row r="21" customFormat="false" ht="11.1" hidden="false" customHeight="true" outlineLevel="0" collapsed="false">
      <c r="A21" s="57" t="n">
        <f aca="false">A20+1</f>
        <v>12</v>
      </c>
      <c r="B21" s="71" t="n">
        <v>6882.56</v>
      </c>
      <c r="C21" s="52" t="n">
        <v>223992</v>
      </c>
      <c r="D21" s="56" t="n">
        <f aca="false">C21-C20</f>
        <v>-187</v>
      </c>
      <c r="E21" s="52" t="n">
        <f aca="false">C21-152000</f>
        <v>71992</v>
      </c>
      <c r="F21" s="51" t="n">
        <f aca="false">D21/$D$2</f>
        <v>-94.2777917822032</v>
      </c>
      <c r="G21" s="51" t="n">
        <v>98</v>
      </c>
      <c r="H21" s="148" t="n">
        <v>0</v>
      </c>
      <c r="I21" s="51" t="n">
        <f aca="false">G21+H21</f>
        <v>98</v>
      </c>
      <c r="J21" s="78" t="n">
        <f aca="false">IF(L21&gt;0,L21,0)</f>
        <v>0</v>
      </c>
      <c r="K21" s="51" t="n">
        <f aca="false">I21+J21</f>
        <v>98</v>
      </c>
      <c r="L21" s="51" t="n">
        <f aca="false">F21-(I21-X21)</f>
        <v>-20.3777917822032</v>
      </c>
      <c r="M21" s="51" t="n">
        <v>61</v>
      </c>
      <c r="N21" s="51" t="n">
        <v>5</v>
      </c>
      <c r="O21" s="51" t="n">
        <v>11.6</v>
      </c>
      <c r="P21" s="6" t="n">
        <f aca="false">M21-(N21+O21)</f>
        <v>44.4</v>
      </c>
      <c r="Q21" s="51" t="n">
        <v>48</v>
      </c>
      <c r="R21" s="51" t="n">
        <v>9.9</v>
      </c>
      <c r="S21" s="51" t="n">
        <f aca="false">SUM(P21:R21)</f>
        <v>102.3</v>
      </c>
      <c r="T21" s="52" t="n">
        <f aca="false">(I21-S21)+T20</f>
        <v>-23826.060408243</v>
      </c>
      <c r="U21" s="51" t="n">
        <v>0</v>
      </c>
      <c r="V21" s="51" t="n">
        <v>53</v>
      </c>
      <c r="W21" s="52" t="n">
        <f aca="false">W20-50</f>
        <v>6953</v>
      </c>
      <c r="X21" s="6" t="n">
        <f aca="false">N21+O21+S21+U21+V21</f>
        <v>171.9</v>
      </c>
      <c r="Y21" s="51" t="n">
        <f aca="false">IF(L21&lt;0,L21*-1,0)</f>
        <v>20.3777917822032</v>
      </c>
      <c r="Z21" s="51" t="n">
        <f aca="false">X21+Y21</f>
        <v>192.277791782203</v>
      </c>
      <c r="AA21" s="55" t="n">
        <v>0</v>
      </c>
      <c r="AB21" s="56" t="n">
        <v>50</v>
      </c>
      <c r="AC21" s="56" t="n">
        <v>30</v>
      </c>
      <c r="AD21" s="57" t="n">
        <f aca="false">AD20+1</f>
        <v>12</v>
      </c>
      <c r="AE21" s="85"/>
      <c r="AF21" s="85"/>
      <c r="AG21" s="87"/>
    </row>
    <row r="22" customFormat="false" ht="11.1" hidden="false" customHeight="true" outlineLevel="0" collapsed="false">
      <c r="A22" s="57" t="n">
        <f aca="false">A21+1</f>
        <v>13</v>
      </c>
      <c r="B22" s="71" t="n">
        <v>6882.51</v>
      </c>
      <c r="C22" s="52" t="n">
        <v>223837</v>
      </c>
      <c r="D22" s="56" t="n">
        <f aca="false">C22-C21</f>
        <v>-155</v>
      </c>
      <c r="E22" s="52" t="n">
        <f aca="false">C22-152000</f>
        <v>71837</v>
      </c>
      <c r="F22" s="51" t="n">
        <f aca="false">D22/$D$2</f>
        <v>-78.1446937232165</v>
      </c>
      <c r="G22" s="51" t="n">
        <v>92</v>
      </c>
      <c r="H22" s="148" t="n">
        <v>0</v>
      </c>
      <c r="I22" s="51" t="n">
        <f aca="false">G22+H22</f>
        <v>92</v>
      </c>
      <c r="J22" s="78" t="n">
        <f aca="false">IF(L22&gt;0,L22,0)</f>
        <v>0</v>
      </c>
      <c r="K22" s="51" t="n">
        <f aca="false">I22+J22</f>
        <v>92</v>
      </c>
      <c r="L22" s="51" t="n">
        <f aca="false">F22-(I22-X22)</f>
        <v>-3.34469372321652</v>
      </c>
      <c r="M22" s="51" t="n">
        <v>57</v>
      </c>
      <c r="N22" s="51" t="n">
        <v>5</v>
      </c>
      <c r="O22" s="51" t="n">
        <v>13.1</v>
      </c>
      <c r="P22" s="6" t="n">
        <f aca="false">M22-(N22+O22)</f>
        <v>38.9</v>
      </c>
      <c r="Q22" s="51" t="n">
        <v>48</v>
      </c>
      <c r="R22" s="51" t="n">
        <v>9.8</v>
      </c>
      <c r="S22" s="51" t="n">
        <f aca="false">SUM(P22:R22)</f>
        <v>96.7</v>
      </c>
      <c r="T22" s="52" t="n">
        <f aca="false">(I22-S22)+T21</f>
        <v>-23830.760408243</v>
      </c>
      <c r="U22" s="51" t="n">
        <v>0</v>
      </c>
      <c r="V22" s="51" t="n">
        <v>52</v>
      </c>
      <c r="W22" s="52" t="n">
        <f aca="false">W21-50</f>
        <v>6903</v>
      </c>
      <c r="X22" s="6" t="n">
        <f aca="false">N22+O22+S22+U22+V22</f>
        <v>166.8</v>
      </c>
      <c r="Y22" s="51" t="n">
        <f aca="false">IF(L22&lt;0,L22*-1,0)</f>
        <v>3.34469372321652</v>
      </c>
      <c r="Z22" s="51" t="n">
        <f aca="false">X22+Y22</f>
        <v>170.144693723217</v>
      </c>
      <c r="AA22" s="55" t="n">
        <v>0</v>
      </c>
      <c r="AB22" s="56" t="n">
        <v>54</v>
      </c>
      <c r="AC22" s="56" t="n">
        <v>28</v>
      </c>
      <c r="AD22" s="57" t="n">
        <f aca="false">AD21+1</f>
        <v>13</v>
      </c>
      <c r="AE22" s="85"/>
      <c r="AF22" s="85"/>
      <c r="AG22" s="87"/>
    </row>
    <row r="23" customFormat="false" ht="11.1" hidden="false" customHeight="true" outlineLevel="0" collapsed="false">
      <c r="A23" s="57" t="n">
        <f aca="false">A22+1</f>
        <v>14</v>
      </c>
      <c r="B23" s="71" t="n">
        <v>6882.44</v>
      </c>
      <c r="C23" s="52" t="n">
        <v>223620</v>
      </c>
      <c r="D23" s="56" t="n">
        <f aca="false">C23-C22</f>
        <v>-217</v>
      </c>
      <c r="E23" s="52" t="n">
        <f aca="false">C23-152000</f>
        <v>71620</v>
      </c>
      <c r="F23" s="51" t="n">
        <f aca="false">D23/$D$2</f>
        <v>-109.402571212503</v>
      </c>
      <c r="G23" s="51" t="n">
        <v>79</v>
      </c>
      <c r="H23" s="148" t="n">
        <v>0</v>
      </c>
      <c r="I23" s="51" t="n">
        <f aca="false">G23+H23</f>
        <v>79</v>
      </c>
      <c r="J23" s="78" t="n">
        <f aca="false">IF(L23&gt;0,L23,0)</f>
        <v>0</v>
      </c>
      <c r="K23" s="51" t="n">
        <f aca="false">I23+J23</f>
        <v>79</v>
      </c>
      <c r="L23" s="51" t="n">
        <f aca="false">F23-(I23-X23)</f>
        <v>-17.7025712125032</v>
      </c>
      <c r="M23" s="51" t="n">
        <v>61</v>
      </c>
      <c r="N23" s="51" t="n">
        <v>5</v>
      </c>
      <c r="O23" s="51" t="n">
        <v>11.4</v>
      </c>
      <c r="P23" s="6" t="n">
        <f aca="false">M23-(N23+O23)</f>
        <v>44.6</v>
      </c>
      <c r="Q23" s="51" t="n">
        <v>48</v>
      </c>
      <c r="R23" s="92" t="n">
        <v>9.7</v>
      </c>
      <c r="S23" s="51" t="n">
        <f aca="false">SUM(P23:R23)</f>
        <v>102.3</v>
      </c>
      <c r="T23" s="52" t="n">
        <f aca="false">(I23-S23)+T22</f>
        <v>-23854.060408243</v>
      </c>
      <c r="U23" s="51" t="n">
        <v>0</v>
      </c>
      <c r="V23" s="51" t="n">
        <v>52</v>
      </c>
      <c r="W23" s="52" t="n">
        <f aca="false">W22-50</f>
        <v>6853</v>
      </c>
      <c r="X23" s="6" t="n">
        <f aca="false">N23+O23+S23+U23+V23</f>
        <v>170.7</v>
      </c>
      <c r="Y23" s="51" t="n">
        <f aca="false">IF(L23&lt;0,L23*-1,0)</f>
        <v>17.7025712125032</v>
      </c>
      <c r="Z23" s="51" t="n">
        <f aca="false">X23+Y23</f>
        <v>188.402571212503</v>
      </c>
      <c r="AA23" s="55" t="n">
        <v>0</v>
      </c>
      <c r="AB23" s="79" t="n">
        <v>58</v>
      </c>
      <c r="AC23" s="56" t="n">
        <v>33</v>
      </c>
      <c r="AD23" s="57" t="n">
        <f aca="false">AD22+1</f>
        <v>14</v>
      </c>
      <c r="AE23" s="85"/>
      <c r="AF23" s="85"/>
      <c r="AG23" s="87"/>
    </row>
    <row r="24" customFormat="false" ht="11.1" hidden="false" customHeight="true" outlineLevel="0" collapsed="false">
      <c r="A24" s="57" t="n">
        <f aca="false">A23+1</f>
        <v>15</v>
      </c>
      <c r="B24" s="71" t="n">
        <v>6882.34</v>
      </c>
      <c r="C24" s="52" t="n">
        <v>223309</v>
      </c>
      <c r="D24" s="56" t="n">
        <f aca="false">C24-C23</f>
        <v>-311</v>
      </c>
      <c r="E24" s="52" t="n">
        <f aca="false">C24-152000</f>
        <v>71309</v>
      </c>
      <c r="F24" s="51" t="n">
        <f aca="false">D24/$D$2</f>
        <v>-156.793546760776</v>
      </c>
      <c r="G24" s="51" t="n">
        <v>71</v>
      </c>
      <c r="H24" s="148" t="n">
        <v>0</v>
      </c>
      <c r="I24" s="51" t="n">
        <f aca="false">G24+H24</f>
        <v>71</v>
      </c>
      <c r="J24" s="78" t="n">
        <f aca="false">IF(L24&gt;0,L24,0)</f>
        <v>0</v>
      </c>
      <c r="K24" s="51" t="n">
        <f aca="false">I24+J24</f>
        <v>71</v>
      </c>
      <c r="L24" s="51" t="n">
        <f aca="false">F24-(I24-X24)</f>
        <v>-42.0935467607764</v>
      </c>
      <c r="M24" s="51" t="n">
        <v>76</v>
      </c>
      <c r="N24" s="51" t="n">
        <v>5</v>
      </c>
      <c r="O24" s="51" t="n">
        <v>18.8</v>
      </c>
      <c r="P24" s="6" t="n">
        <f aca="false">M24-(N24+O24)</f>
        <v>52.2</v>
      </c>
      <c r="Q24" s="51" t="n">
        <v>48</v>
      </c>
      <c r="R24" s="92" t="n">
        <v>9.7</v>
      </c>
      <c r="S24" s="51" t="n">
        <f aca="false">SUM(P24:R24)</f>
        <v>109.9</v>
      </c>
      <c r="T24" s="52" t="n">
        <f aca="false">(I24-S24)+T23</f>
        <v>-23892.960408243</v>
      </c>
      <c r="U24" s="51" t="n">
        <v>0</v>
      </c>
      <c r="V24" s="51" t="n">
        <v>52</v>
      </c>
      <c r="W24" s="52" t="n">
        <f aca="false">W23-50</f>
        <v>6803</v>
      </c>
      <c r="X24" s="6" t="n">
        <f aca="false">N24+O24+S24+U24+V24</f>
        <v>185.7</v>
      </c>
      <c r="Y24" s="51" t="n">
        <f aca="false">IF(L24&lt;0,L24*-1,0)</f>
        <v>42.0935467607764</v>
      </c>
      <c r="Z24" s="51" t="n">
        <f aca="false">X24+Y24</f>
        <v>227.793546760776</v>
      </c>
      <c r="AA24" s="55" t="n">
        <v>0</v>
      </c>
      <c r="AB24" s="79" t="n">
        <v>62</v>
      </c>
      <c r="AC24" s="56" t="n">
        <v>34</v>
      </c>
      <c r="AD24" s="57" t="n">
        <f aca="false">AD23+1</f>
        <v>15</v>
      </c>
      <c r="AE24" s="85"/>
      <c r="AF24" s="85"/>
      <c r="AG24" s="87"/>
    </row>
    <row r="25" customFormat="false" ht="11.1" hidden="false" customHeight="true" outlineLevel="0" collapsed="false">
      <c r="A25" s="57" t="n">
        <f aca="false">A24+1</f>
        <v>16</v>
      </c>
      <c r="B25" s="71" t="n">
        <v>6882.22</v>
      </c>
      <c r="C25" s="52" t="n">
        <v>222936</v>
      </c>
      <c r="D25" s="56" t="n">
        <f aca="false">C25-C24</f>
        <v>-373</v>
      </c>
      <c r="E25" s="52" t="n">
        <f aca="false">C25-152000</f>
        <v>70936</v>
      </c>
      <c r="F25" s="51" t="n">
        <f aca="false">D25/$D$2</f>
        <v>-188.051424250063</v>
      </c>
      <c r="G25" s="51" t="n">
        <v>66</v>
      </c>
      <c r="H25" s="148" t="n">
        <v>0</v>
      </c>
      <c r="I25" s="51" t="n">
        <f aca="false">G25+H25</f>
        <v>66</v>
      </c>
      <c r="J25" s="78" t="n">
        <f aca="false">IF(L25&gt;0,L25,0)</f>
        <v>0</v>
      </c>
      <c r="K25" s="51" t="n">
        <f aca="false">I25+J25</f>
        <v>66</v>
      </c>
      <c r="L25" s="51" t="n">
        <f aca="false">F25-(I25-X25)</f>
        <v>-13.751424250063</v>
      </c>
      <c r="M25" s="51" t="n">
        <v>110</v>
      </c>
      <c r="N25" s="51" t="n">
        <v>5</v>
      </c>
      <c r="O25" s="51" t="n">
        <v>47.7</v>
      </c>
      <c r="P25" s="6" t="n">
        <f aca="false">M25-(N25+O25)</f>
        <v>57.3</v>
      </c>
      <c r="Q25" s="51" t="n">
        <v>69</v>
      </c>
      <c r="R25" s="51" t="n">
        <v>9.3</v>
      </c>
      <c r="S25" s="51" t="n">
        <f aca="false">SUM(P25:R25)</f>
        <v>135.6</v>
      </c>
      <c r="T25" s="52" t="n">
        <f aca="false">(I25-S25)+T24</f>
        <v>-23962.560408243</v>
      </c>
      <c r="U25" s="51" t="n">
        <v>0</v>
      </c>
      <c r="V25" s="51" t="n">
        <v>52</v>
      </c>
      <c r="W25" s="52" t="n">
        <f aca="false">W24-50</f>
        <v>6753</v>
      </c>
      <c r="X25" s="6" t="n">
        <f aca="false">N25+O25+S25+U25+V25</f>
        <v>240.3</v>
      </c>
      <c r="Y25" s="51" t="n">
        <f aca="false">IF(L25&lt;0,L25*-1,0)</f>
        <v>13.751424250063</v>
      </c>
      <c r="Z25" s="51" t="n">
        <f aca="false">X25+Y25</f>
        <v>254.051424250063</v>
      </c>
      <c r="AA25" s="55" t="n">
        <v>0</v>
      </c>
      <c r="AB25" s="79" t="n">
        <v>64</v>
      </c>
      <c r="AC25" s="56" t="n">
        <v>36</v>
      </c>
      <c r="AD25" s="57" t="n">
        <f aca="false">AD24+1</f>
        <v>16</v>
      </c>
      <c r="AE25" s="85"/>
      <c r="AF25" s="85"/>
      <c r="AG25" s="87"/>
    </row>
    <row r="26" customFormat="false" ht="11.1" hidden="false" customHeight="true" outlineLevel="0" collapsed="false">
      <c r="A26" s="57" t="n">
        <f aca="false">A25+1</f>
        <v>17</v>
      </c>
      <c r="B26" s="71" t="n">
        <v>6882.02</v>
      </c>
      <c r="C26" s="52" t="n">
        <v>222315</v>
      </c>
      <c r="D26" s="56" t="n">
        <f aca="false">C26-C25</f>
        <v>-621</v>
      </c>
      <c r="E26" s="52" t="n">
        <f aca="false">C26-152000</f>
        <v>70315</v>
      </c>
      <c r="F26" s="51" t="n">
        <f aca="false">D26/$D$2</f>
        <v>-313.082934207209</v>
      </c>
      <c r="G26" s="51" t="n">
        <v>64</v>
      </c>
      <c r="H26" s="148" t="n">
        <v>0</v>
      </c>
      <c r="I26" s="51" t="n">
        <f aca="false">G26+H26</f>
        <v>64</v>
      </c>
      <c r="J26" s="78" t="n">
        <f aca="false">IF(L26&gt;0,L26,0)</f>
        <v>0</v>
      </c>
      <c r="K26" s="51" t="n">
        <f aca="false">I26+J26</f>
        <v>64</v>
      </c>
      <c r="L26" s="51" t="n">
        <f aca="false">F26-(I26-X26)</f>
        <v>-45.7829342072095</v>
      </c>
      <c r="M26" s="51" t="n">
        <v>115</v>
      </c>
      <c r="N26" s="51" t="n">
        <v>5</v>
      </c>
      <c r="O26" s="51" t="n">
        <v>63.5</v>
      </c>
      <c r="P26" s="6" t="n">
        <f aca="false">M26-(N26+O26)</f>
        <v>46.5</v>
      </c>
      <c r="Q26" s="51" t="n">
        <v>155</v>
      </c>
      <c r="R26" s="51" t="n">
        <v>9.3</v>
      </c>
      <c r="S26" s="51" t="n">
        <f aca="false">SUM(P26:R26)</f>
        <v>210.8</v>
      </c>
      <c r="T26" s="52" t="n">
        <f aca="false">(I26-S26)+T25</f>
        <v>-24109.360408243</v>
      </c>
      <c r="U26" s="51" t="n">
        <v>0</v>
      </c>
      <c r="V26" s="51" t="n">
        <v>52</v>
      </c>
      <c r="W26" s="52" t="n">
        <f aca="false">W25-50</f>
        <v>6703</v>
      </c>
      <c r="X26" s="6" t="n">
        <f aca="false">N26+O26+S26+U26+V26</f>
        <v>331.3</v>
      </c>
      <c r="Y26" s="51" t="n">
        <f aca="false">IF(L26&lt;0,L26*-1,0)</f>
        <v>45.7829342072095</v>
      </c>
      <c r="Z26" s="51" t="n">
        <f aca="false">X26+Y26</f>
        <v>377.082934207209</v>
      </c>
      <c r="AA26" s="55" t="n">
        <v>0</v>
      </c>
      <c r="AB26" s="79" t="n">
        <v>70</v>
      </c>
      <c r="AC26" s="56" t="n">
        <v>30</v>
      </c>
      <c r="AD26" s="57" t="n">
        <f aca="false">AD25+1</f>
        <v>17</v>
      </c>
      <c r="AE26" s="85"/>
      <c r="AF26" s="85"/>
      <c r="AG26" s="87"/>
    </row>
    <row r="27" customFormat="false" ht="11.1" hidden="false" customHeight="true" outlineLevel="0" collapsed="false">
      <c r="A27" s="57" t="n">
        <f aca="false">A26+1</f>
        <v>18</v>
      </c>
      <c r="B27" s="71" t="n">
        <v>6881.84</v>
      </c>
      <c r="C27" s="52" t="n">
        <v>221763</v>
      </c>
      <c r="D27" s="56" t="n">
        <f aca="false">C27-C26</f>
        <v>-552</v>
      </c>
      <c r="E27" s="52" t="n">
        <f aca="false">C27-152000</f>
        <v>69763</v>
      </c>
      <c r="F27" s="51" t="n">
        <f aca="false">D27/$D$2</f>
        <v>-278.295941517519</v>
      </c>
      <c r="G27" s="51" t="n">
        <v>62</v>
      </c>
      <c r="H27" s="148" t="n">
        <v>0</v>
      </c>
      <c r="I27" s="51" t="n">
        <f aca="false">G27+H27</f>
        <v>62</v>
      </c>
      <c r="J27" s="78" t="n">
        <f aca="false">IF(L27&gt;0,L27,0)</f>
        <v>0</v>
      </c>
      <c r="K27" s="51" t="n">
        <f aca="false">I27+J27</f>
        <v>62</v>
      </c>
      <c r="L27" s="51" t="n">
        <f aca="false">F27-(I27-X27)</f>
        <v>-8.9959415175195</v>
      </c>
      <c r="M27" s="51" t="n">
        <v>115</v>
      </c>
      <c r="N27" s="51" t="n">
        <v>5</v>
      </c>
      <c r="O27" s="51" t="n">
        <v>70.2</v>
      </c>
      <c r="P27" s="6" t="n">
        <f aca="false">M27-(N27+O27)</f>
        <v>39.8</v>
      </c>
      <c r="Q27" s="51" t="n">
        <v>155</v>
      </c>
      <c r="R27" s="51" t="n">
        <v>9.3</v>
      </c>
      <c r="S27" s="51" t="n">
        <f aca="false">SUM(P27:R27)</f>
        <v>204.1</v>
      </c>
      <c r="T27" s="52" t="n">
        <f aca="false">(I27-S27)+T26</f>
        <v>-24251.460408243</v>
      </c>
      <c r="U27" s="51" t="n">
        <v>0</v>
      </c>
      <c r="V27" s="51" t="n">
        <v>52</v>
      </c>
      <c r="W27" s="52" t="n">
        <f aca="false">W26-50</f>
        <v>6653</v>
      </c>
      <c r="X27" s="6" t="n">
        <f aca="false">N27+O27+S27+U27+V27</f>
        <v>331.3</v>
      </c>
      <c r="Y27" s="51" t="n">
        <f aca="false">IF(L27&lt;0,L27*-1,0)</f>
        <v>8.9959415175195</v>
      </c>
      <c r="Z27" s="51" t="n">
        <f aca="false">X27+Y27</f>
        <v>340.29594151752</v>
      </c>
      <c r="AA27" s="55" t="n">
        <v>0</v>
      </c>
      <c r="AB27" s="79" t="n">
        <v>72</v>
      </c>
      <c r="AC27" s="56" t="n">
        <v>28</v>
      </c>
      <c r="AD27" s="57" t="n">
        <f aca="false">AD26+1</f>
        <v>18</v>
      </c>
      <c r="AE27" s="85"/>
      <c r="AF27" s="85"/>
      <c r="AG27" s="87"/>
    </row>
    <row r="28" customFormat="false" ht="11.1" hidden="false" customHeight="true" outlineLevel="0" collapsed="false">
      <c r="A28" s="57" t="n">
        <f aca="false">A27+1</f>
        <v>19</v>
      </c>
      <c r="B28" s="71" t="n">
        <v>6881.65</v>
      </c>
      <c r="C28" s="91" t="n">
        <v>221180</v>
      </c>
      <c r="D28" s="56" t="n">
        <f aca="false">C28-C27</f>
        <v>-583</v>
      </c>
      <c r="E28" s="52" t="n">
        <f aca="false">C28-152000</f>
        <v>69180</v>
      </c>
      <c r="F28" s="51" t="n">
        <f aca="false">D28/$D$2</f>
        <v>-293.924880262163</v>
      </c>
      <c r="G28" s="51" t="n">
        <v>61</v>
      </c>
      <c r="H28" s="148" t="n">
        <v>0</v>
      </c>
      <c r="I28" s="51" t="n">
        <f aca="false">G28+H28</f>
        <v>61</v>
      </c>
      <c r="J28" s="78" t="n">
        <f aca="false">IF(L28&gt;0,L28,0)</f>
        <v>4.17511973783718</v>
      </c>
      <c r="K28" s="51" t="n">
        <f aca="false">I28+J28</f>
        <v>65.1751197378372</v>
      </c>
      <c r="L28" s="51" t="n">
        <f aca="false">F28-(I28-X28)</f>
        <v>4.17511973783718</v>
      </c>
      <c r="M28" s="51" t="n">
        <v>129</v>
      </c>
      <c r="N28" s="51" t="n">
        <v>5</v>
      </c>
      <c r="O28" s="51" t="n">
        <v>70.1</v>
      </c>
      <c r="P28" s="6" t="n">
        <f aca="false">M28-(N28+O28)</f>
        <v>53.9</v>
      </c>
      <c r="Q28" s="51" t="n">
        <v>168</v>
      </c>
      <c r="R28" s="51" t="n">
        <v>9.1</v>
      </c>
      <c r="S28" s="51" t="n">
        <f aca="false">SUM(P28:R28)</f>
        <v>231</v>
      </c>
      <c r="T28" s="52" t="n">
        <f aca="false">(I28-S28)+T27</f>
        <v>-24421.460408243</v>
      </c>
      <c r="U28" s="51" t="n">
        <v>0</v>
      </c>
      <c r="V28" s="51" t="n">
        <v>53</v>
      </c>
      <c r="W28" s="52" t="n">
        <f aca="false">W27-50</f>
        <v>6603</v>
      </c>
      <c r="X28" s="6" t="n">
        <f aca="false">N28+O28+S28+U28+V28</f>
        <v>359.1</v>
      </c>
      <c r="Y28" s="51" t="n">
        <f aca="false">IF(L28&lt;0,L28*-1,0)</f>
        <v>0</v>
      </c>
      <c r="Z28" s="51" t="n">
        <f aca="false">X28+Y28</f>
        <v>359.1</v>
      </c>
      <c r="AA28" s="55" t="n">
        <v>0</v>
      </c>
      <c r="AB28" s="79" t="n">
        <v>58</v>
      </c>
      <c r="AC28" s="56" t="n">
        <v>44</v>
      </c>
      <c r="AD28" s="57" t="n">
        <f aca="false">AD27+1</f>
        <v>19</v>
      </c>
      <c r="AE28" s="85"/>
      <c r="AF28" s="85"/>
      <c r="AG28" s="87"/>
    </row>
    <row r="29" customFormat="false" ht="11.1" hidden="false" customHeight="true" outlineLevel="0" collapsed="false">
      <c r="A29" s="57" t="n">
        <f aca="false">A28+1</f>
        <v>20</v>
      </c>
      <c r="B29" s="71" t="n">
        <v>6881.47</v>
      </c>
      <c r="C29" s="52" t="n">
        <v>220629</v>
      </c>
      <c r="D29" s="56" t="n">
        <f aca="false">C29-C28</f>
        <v>-551</v>
      </c>
      <c r="E29" s="52" t="n">
        <f aca="false">C29-152000</f>
        <v>68629</v>
      </c>
      <c r="F29" s="51" t="n">
        <f aca="false">D29/$D$2</f>
        <v>-277.791782203176</v>
      </c>
      <c r="G29" s="51" t="n">
        <v>60</v>
      </c>
      <c r="H29" s="148" t="n">
        <v>0</v>
      </c>
      <c r="I29" s="51" t="n">
        <f aca="false">G29+H29</f>
        <v>60</v>
      </c>
      <c r="J29" s="78" t="n">
        <f aca="false">IF(L29&gt;0,L29,0)</f>
        <v>0</v>
      </c>
      <c r="K29" s="51" t="n">
        <f aca="false">I29+J29</f>
        <v>60</v>
      </c>
      <c r="L29" s="51" t="n">
        <f aca="false">F29-(I29-X29)</f>
        <v>-8.89178220317621</v>
      </c>
      <c r="M29" s="51" t="n">
        <v>85</v>
      </c>
      <c r="N29" s="51" t="n">
        <v>5</v>
      </c>
      <c r="O29" s="51" t="n">
        <v>43.99</v>
      </c>
      <c r="P29" s="6" t="n">
        <f aca="false">M29-(N29+O29)</f>
        <v>36.01</v>
      </c>
      <c r="Q29" s="51" t="n">
        <v>182</v>
      </c>
      <c r="R29" s="51" t="n">
        <v>8.9</v>
      </c>
      <c r="S29" s="51" t="n">
        <f aca="false">SUM(P29:R29)</f>
        <v>226.91</v>
      </c>
      <c r="T29" s="52" t="n">
        <f aca="false">(I29-S29)+T28</f>
        <v>-24588.370408243</v>
      </c>
      <c r="U29" s="51" t="n">
        <v>0</v>
      </c>
      <c r="V29" s="51" t="n">
        <v>53</v>
      </c>
      <c r="W29" s="52" t="n">
        <f aca="false">W28-50</f>
        <v>6553</v>
      </c>
      <c r="X29" s="6" t="n">
        <f aca="false">N29+O29+S29+U29+V29</f>
        <v>328.9</v>
      </c>
      <c r="Y29" s="51" t="n">
        <f aca="false">IF(L29&lt;0,L29*-1,0)</f>
        <v>8.89178220317621</v>
      </c>
      <c r="Z29" s="51" t="n">
        <f aca="false">X29+Y29</f>
        <v>337.791782203176</v>
      </c>
      <c r="AA29" s="55" t="n">
        <v>0</v>
      </c>
      <c r="AB29" s="79" t="n">
        <v>52</v>
      </c>
      <c r="AC29" s="56" t="n">
        <v>38</v>
      </c>
      <c r="AD29" s="57" t="n">
        <f aca="false">AD28+1</f>
        <v>20</v>
      </c>
      <c r="AE29" s="85"/>
      <c r="AF29" s="85"/>
      <c r="AG29" s="87"/>
    </row>
    <row r="30" customFormat="false" ht="11.1" hidden="false" customHeight="true" outlineLevel="0" collapsed="false">
      <c r="A30" s="57" t="n">
        <f aca="false">A29+1</f>
        <v>21</v>
      </c>
      <c r="B30" s="71" t="n">
        <v>6881.31</v>
      </c>
      <c r="C30" s="52" t="n">
        <v>220138</v>
      </c>
      <c r="D30" s="56" t="n">
        <f aca="false">C30-C29</f>
        <v>-491</v>
      </c>
      <c r="E30" s="52" t="n">
        <f aca="false">C30-152000</f>
        <v>68138</v>
      </c>
      <c r="F30" s="51" t="n">
        <f aca="false">D30/$D$2</f>
        <v>-247.542223342576</v>
      </c>
      <c r="G30" s="51" t="n">
        <v>58</v>
      </c>
      <c r="H30" s="148" t="n">
        <v>0</v>
      </c>
      <c r="I30" s="51" t="n">
        <f aca="false">G30+H30</f>
        <v>58</v>
      </c>
      <c r="J30" s="78" t="n">
        <f aca="false">IF(L30&gt;0,L30,0)</f>
        <v>0</v>
      </c>
      <c r="K30" s="51" t="n">
        <f aca="false">I30+J30</f>
        <v>58</v>
      </c>
      <c r="L30" s="51" t="n">
        <f aca="false">F30-(I30-X30)</f>
        <v>-9.7422233425763</v>
      </c>
      <c r="M30" s="51" t="n">
        <v>52</v>
      </c>
      <c r="N30" s="51" t="n">
        <v>5</v>
      </c>
      <c r="O30" s="51" t="n">
        <v>10.7</v>
      </c>
      <c r="P30" s="6" t="n">
        <f aca="false">M30-(N30+O30)</f>
        <v>36.3</v>
      </c>
      <c r="Q30" s="51" t="n">
        <v>182</v>
      </c>
      <c r="R30" s="51" t="n">
        <v>8.8</v>
      </c>
      <c r="S30" s="51" t="n">
        <f aca="false">SUM(P30:R30)</f>
        <v>227.1</v>
      </c>
      <c r="T30" s="52" t="n">
        <f aca="false">(I30-S30)+T29</f>
        <v>-24757.470408243</v>
      </c>
      <c r="U30" s="51" t="n">
        <v>0</v>
      </c>
      <c r="V30" s="51" t="n">
        <v>53</v>
      </c>
      <c r="W30" s="52" t="n">
        <f aca="false">W29-50</f>
        <v>6503</v>
      </c>
      <c r="X30" s="6" t="n">
        <f aca="false">N30+O30+S30+U30+V30</f>
        <v>295.8</v>
      </c>
      <c r="Y30" s="51" t="n">
        <f aca="false">IF(L30&lt;0,L30*-1,0)</f>
        <v>9.7422233425763</v>
      </c>
      <c r="Z30" s="51" t="n">
        <f aca="false">X30+Y30</f>
        <v>305.542223342576</v>
      </c>
      <c r="AA30" s="55" t="n">
        <v>0.06</v>
      </c>
      <c r="AB30" s="56" t="n">
        <v>50</v>
      </c>
      <c r="AC30" s="56" t="n">
        <v>34</v>
      </c>
      <c r="AD30" s="57" t="n">
        <f aca="false">AD29+1</f>
        <v>21</v>
      </c>
      <c r="AE30" s="85"/>
      <c r="AF30" s="85"/>
      <c r="AG30" s="87"/>
    </row>
    <row r="31" customFormat="false" ht="11.1" hidden="false" customHeight="true" outlineLevel="0" collapsed="false">
      <c r="A31" s="57" t="n">
        <f aca="false">A30+1</f>
        <v>22</v>
      </c>
      <c r="B31" s="71" t="n">
        <v>6881.17</v>
      </c>
      <c r="C31" s="52" t="n">
        <v>219709</v>
      </c>
      <c r="D31" s="56" t="n">
        <f aca="false">C31-C30</f>
        <v>-429</v>
      </c>
      <c r="E31" s="52" t="n">
        <f aca="false">C31-152000</f>
        <v>67709</v>
      </c>
      <c r="F31" s="51" t="n">
        <f aca="false">D31/$D$2</f>
        <v>-216.28434585329</v>
      </c>
      <c r="G31" s="51" t="n">
        <v>67</v>
      </c>
      <c r="H31" s="148" t="n">
        <v>0</v>
      </c>
      <c r="I31" s="51" t="n">
        <f aca="false">G31+H31</f>
        <v>67</v>
      </c>
      <c r="J31" s="78" t="n">
        <f aca="false">IF(L31&gt;0,L31,0)</f>
        <v>13.4156541467104</v>
      </c>
      <c r="K31" s="51" t="n">
        <f aca="false">I31+J31</f>
        <v>80.4156541467104</v>
      </c>
      <c r="L31" s="51" t="n">
        <f aca="false">F31-(I31-X31)</f>
        <v>13.4156541467104</v>
      </c>
      <c r="M31" s="51" t="n">
        <v>52</v>
      </c>
      <c r="N31" s="51" t="n">
        <v>5</v>
      </c>
      <c r="O31" s="51" t="n">
        <v>10.7</v>
      </c>
      <c r="P31" s="6" t="n">
        <f aca="false">M31-(N31+O31)</f>
        <v>36.3</v>
      </c>
      <c r="Q31" s="51" t="n">
        <v>182</v>
      </c>
      <c r="R31" s="51" t="n">
        <v>8.7</v>
      </c>
      <c r="S31" s="51" t="n">
        <f aca="false">SUM(P31:R31)</f>
        <v>227</v>
      </c>
      <c r="T31" s="52" t="n">
        <f aca="false">(I31-S31)+T30</f>
        <v>-24917.470408243</v>
      </c>
      <c r="U31" s="51" t="n">
        <v>0</v>
      </c>
      <c r="V31" s="51" t="n">
        <v>54</v>
      </c>
      <c r="W31" s="52" t="n">
        <f aca="false">W30-50</f>
        <v>6453</v>
      </c>
      <c r="X31" s="6" t="n">
        <f aca="false">N31+O31+S31+U31+V31</f>
        <v>296.7</v>
      </c>
      <c r="Y31" s="51" t="n">
        <f aca="false">IF(L31&lt;0,L31*-1,0)</f>
        <v>0</v>
      </c>
      <c r="Z31" s="51" t="n">
        <f aca="false">X31+Y31</f>
        <v>296.7</v>
      </c>
      <c r="AA31" s="55" t="n">
        <v>0.35</v>
      </c>
      <c r="AB31" s="56" t="n">
        <v>70</v>
      </c>
      <c r="AC31" s="56" t="n">
        <v>36</v>
      </c>
      <c r="AD31" s="57" t="n">
        <f aca="false">AD30+1</f>
        <v>22</v>
      </c>
      <c r="AE31" s="85"/>
      <c r="AF31" s="85"/>
      <c r="AG31" s="87"/>
      <c r="AH31" s="129"/>
      <c r="AI31" s="129"/>
      <c r="AJ31" s="129"/>
    </row>
    <row r="32" customFormat="false" ht="11.1" hidden="false" customHeight="true" outlineLevel="0" collapsed="false">
      <c r="A32" s="57" t="n">
        <f aca="false">A31+1</f>
        <v>23</v>
      </c>
      <c r="B32" s="71" t="n">
        <v>6881.07</v>
      </c>
      <c r="C32" s="52" t="n">
        <v>219403</v>
      </c>
      <c r="D32" s="56" t="n">
        <f aca="false">C32-C31</f>
        <v>-306</v>
      </c>
      <c r="E32" s="52" t="n">
        <f aca="false">C32-152000</f>
        <v>67403</v>
      </c>
      <c r="F32" s="51" t="n">
        <f aca="false">D32/$D$2</f>
        <v>-154.27275018906</v>
      </c>
      <c r="G32" s="51" t="n">
        <v>85</v>
      </c>
      <c r="H32" s="148" t="n">
        <v>0.02</v>
      </c>
      <c r="I32" s="51" t="n">
        <f aca="false">G32+H32</f>
        <v>85.02</v>
      </c>
      <c r="J32" s="78" t="n">
        <f aca="false">IF(L32&gt;0,L32,0)</f>
        <v>77.3072498109403</v>
      </c>
      <c r="K32" s="51" t="n">
        <f aca="false">I32+J32</f>
        <v>162.32724981094</v>
      </c>
      <c r="L32" s="51" t="n">
        <f aca="false">F32-(I32-X32)</f>
        <v>77.3072498109403</v>
      </c>
      <c r="M32" s="51" t="n">
        <v>56</v>
      </c>
      <c r="N32" s="51" t="n">
        <v>1</v>
      </c>
      <c r="O32" s="51" t="n">
        <v>26.5</v>
      </c>
      <c r="P32" s="6" t="n">
        <f aca="false">M32-(N32+O32)</f>
        <v>28.5</v>
      </c>
      <c r="Q32" s="51" t="n">
        <v>198</v>
      </c>
      <c r="R32" s="51" t="n">
        <v>8.6</v>
      </c>
      <c r="S32" s="51" t="n">
        <f aca="false">SUM(P32:R32)</f>
        <v>235.1</v>
      </c>
      <c r="T32" s="52" t="n">
        <f aca="false">(I32-S32)+T31</f>
        <v>-25067.550408243</v>
      </c>
      <c r="U32" s="51" t="n">
        <v>0</v>
      </c>
      <c r="V32" s="51" t="n">
        <v>54</v>
      </c>
      <c r="W32" s="52" t="n">
        <f aca="false">W31-50</f>
        <v>6403</v>
      </c>
      <c r="X32" s="6" t="n">
        <f aca="false">N32+O32+S32+U32+V32</f>
        <v>316.6</v>
      </c>
      <c r="Y32" s="51" t="n">
        <f aca="false">IF(L32&lt;0,L32*-1,0)</f>
        <v>0</v>
      </c>
      <c r="Z32" s="51" t="n">
        <f aca="false">X32+Y32</f>
        <v>316.6</v>
      </c>
      <c r="AA32" s="55" t="n">
        <v>0.49</v>
      </c>
      <c r="AB32" s="56" t="n">
        <v>52</v>
      </c>
      <c r="AC32" s="79" t="n">
        <v>36</v>
      </c>
      <c r="AD32" s="57" t="n">
        <f aca="false">AD31+1</f>
        <v>23</v>
      </c>
      <c r="AE32" s="85"/>
      <c r="AF32" s="85"/>
      <c r="AG32" s="87"/>
    </row>
    <row r="33" customFormat="false" ht="11.1" hidden="false" customHeight="true" outlineLevel="0" collapsed="false">
      <c r="A33" s="57" t="n">
        <f aca="false">A32+1</f>
        <v>24</v>
      </c>
      <c r="B33" s="71" t="n">
        <v>6880.99</v>
      </c>
      <c r="C33" s="52" t="n">
        <v>219158</v>
      </c>
      <c r="D33" s="56" t="n">
        <f aca="false">C33-C32</f>
        <v>-245</v>
      </c>
      <c r="E33" s="52" t="n">
        <f aca="false">C33-152000</f>
        <v>67158</v>
      </c>
      <c r="F33" s="51" t="n">
        <f aca="false">D33/$D$2</f>
        <v>-123.519032014116</v>
      </c>
      <c r="G33" s="51" t="n">
        <v>149</v>
      </c>
      <c r="H33" s="148" t="n">
        <v>0</v>
      </c>
      <c r="I33" s="51" t="n">
        <f aca="false">G33+H33</f>
        <v>149</v>
      </c>
      <c r="J33" s="78" t="n">
        <f aca="false">IF(L33&gt;0,L33,0)</f>
        <v>56.5809679858836</v>
      </c>
      <c r="K33" s="51" t="n">
        <f aca="false">I33+J33</f>
        <v>205.580967985884</v>
      </c>
      <c r="L33" s="51" t="n">
        <f aca="false">F33-(I33-X33)</f>
        <v>56.5809679858836</v>
      </c>
      <c r="M33" s="51" t="n">
        <v>56</v>
      </c>
      <c r="N33" s="51" t="n">
        <v>1</v>
      </c>
      <c r="O33" s="51" t="n">
        <v>35.5</v>
      </c>
      <c r="P33" s="6" t="n">
        <f aca="false">M33-(N33+O33)</f>
        <v>19.5</v>
      </c>
      <c r="Q33" s="51" t="n">
        <v>211</v>
      </c>
      <c r="R33" s="51" t="n">
        <v>9.1</v>
      </c>
      <c r="S33" s="51" t="n">
        <f aca="false">SUM(P33:R33)</f>
        <v>239.6</v>
      </c>
      <c r="T33" s="52" t="n">
        <f aca="false">(I33-S33)+T32</f>
        <v>-25158.150408243</v>
      </c>
      <c r="U33" s="51" t="n">
        <v>0</v>
      </c>
      <c r="V33" s="51" t="n">
        <v>53</v>
      </c>
      <c r="W33" s="52" t="n">
        <f aca="false">W32-50</f>
        <v>6353</v>
      </c>
      <c r="X33" s="6" t="n">
        <f aca="false">N33+O33+S33+U33+V33</f>
        <v>329.1</v>
      </c>
      <c r="Y33" s="51" t="n">
        <f aca="false">IF(L33&lt;0,L33*-1,0)</f>
        <v>0</v>
      </c>
      <c r="Z33" s="51" t="n">
        <f aca="false">X33+Y33</f>
        <v>329.1</v>
      </c>
      <c r="AA33" s="55" t="n">
        <v>0.25</v>
      </c>
      <c r="AB33" s="56" t="n">
        <v>44</v>
      </c>
      <c r="AC33" s="79" t="n">
        <v>34</v>
      </c>
      <c r="AD33" s="57" t="n">
        <f aca="false">AD32+1</f>
        <v>24</v>
      </c>
      <c r="AE33" s="85"/>
      <c r="AF33" s="85"/>
      <c r="AG33" s="87"/>
    </row>
    <row r="34" customFormat="false" ht="11.1" hidden="false" customHeight="true" outlineLevel="0" collapsed="false">
      <c r="A34" s="57" t="n">
        <v>25</v>
      </c>
      <c r="B34" s="71" t="n">
        <v>6880.84</v>
      </c>
      <c r="C34" s="52" t="n">
        <v>218704</v>
      </c>
      <c r="D34" s="56" t="n">
        <f aca="false">C34-C33</f>
        <v>-454</v>
      </c>
      <c r="E34" s="52" t="n">
        <f aca="false">C34-152000</f>
        <v>66704</v>
      </c>
      <c r="F34" s="51" t="n">
        <f aca="false">D34/$D$2</f>
        <v>-228.888328711873</v>
      </c>
      <c r="G34" s="51" t="n">
        <v>123</v>
      </c>
      <c r="H34" s="148" t="n">
        <v>0</v>
      </c>
      <c r="I34" s="51" t="n">
        <f aca="false">G34+H34</f>
        <v>123</v>
      </c>
      <c r="J34" s="78" t="n">
        <f aca="false">IF(L34&gt;0,L34,0)</f>
        <v>0</v>
      </c>
      <c r="K34" s="51" t="n">
        <f aca="false">I34+J34</f>
        <v>123</v>
      </c>
      <c r="L34" s="51" t="n">
        <f aca="false">F34-(I34-X34)</f>
        <v>-25.488328711873</v>
      </c>
      <c r="M34" s="51" t="n">
        <v>54</v>
      </c>
      <c r="N34" s="51" t="n">
        <v>1</v>
      </c>
      <c r="O34" s="51" t="n">
        <v>31</v>
      </c>
      <c r="P34" s="6" t="n">
        <f aca="false">M34-(N34+O34)</f>
        <v>22</v>
      </c>
      <c r="Q34" s="51" t="n">
        <v>209</v>
      </c>
      <c r="R34" s="51" t="n">
        <v>9.4</v>
      </c>
      <c r="S34" s="51" t="n">
        <f aca="false">SUM(P34:R34)</f>
        <v>240.4</v>
      </c>
      <c r="T34" s="52" t="n">
        <f aca="false">(I34-S34)+T33</f>
        <v>-25275.550408243</v>
      </c>
      <c r="U34" s="51" t="n">
        <v>0</v>
      </c>
      <c r="V34" s="51" t="n">
        <v>54</v>
      </c>
      <c r="W34" s="52" t="n">
        <f aca="false">W33-50</f>
        <v>6303</v>
      </c>
      <c r="X34" s="6" t="n">
        <f aca="false">N34+O34+S34+U34+V34</f>
        <v>326.4</v>
      </c>
      <c r="Y34" s="51" t="n">
        <f aca="false">IF(L34&lt;0,L34*-1,0)</f>
        <v>25.488328711873</v>
      </c>
      <c r="Z34" s="51" t="n">
        <f aca="false">X34+Y34</f>
        <v>351.888328711873</v>
      </c>
      <c r="AA34" s="55" t="n">
        <v>0.03</v>
      </c>
      <c r="AB34" s="56" t="n">
        <v>50</v>
      </c>
      <c r="AC34" s="79" t="n">
        <v>30</v>
      </c>
      <c r="AD34" s="57" t="n">
        <v>25</v>
      </c>
      <c r="AE34" s="85"/>
      <c r="AF34" s="85"/>
      <c r="AG34" s="87"/>
    </row>
    <row r="35" customFormat="false" ht="11.1" hidden="false" customHeight="true" outlineLevel="0" collapsed="false">
      <c r="A35" s="57" t="n">
        <v>26</v>
      </c>
      <c r="B35" s="71" t="n">
        <v>6880.7</v>
      </c>
      <c r="C35" s="52" t="n">
        <v>218281</v>
      </c>
      <c r="D35" s="56" t="n">
        <f aca="false">C35-C34</f>
        <v>-423</v>
      </c>
      <c r="E35" s="52" t="n">
        <f aca="false">C35-152000</f>
        <v>66281</v>
      </c>
      <c r="F35" s="51" t="n">
        <f aca="false">D35/$D$2</f>
        <v>-213.25938996723</v>
      </c>
      <c r="G35" s="51" t="n">
        <v>99</v>
      </c>
      <c r="H35" s="148" t="n">
        <v>0</v>
      </c>
      <c r="I35" s="51" t="n">
        <f aca="false">G35+H35</f>
        <v>99</v>
      </c>
      <c r="J35" s="78" t="n">
        <f aca="false">IF(L35&gt;0,L35,0)</f>
        <v>17.0406100327704</v>
      </c>
      <c r="K35" s="51" t="n">
        <f aca="false">I35+J35</f>
        <v>116.04061003277</v>
      </c>
      <c r="L35" s="51" t="n">
        <f aca="false">F35-(I35-X35)</f>
        <v>17.0406100327704</v>
      </c>
      <c r="M35" s="51" t="n">
        <v>58</v>
      </c>
      <c r="N35" s="51" t="n">
        <v>1</v>
      </c>
      <c r="O35" s="51" t="n">
        <v>35.6</v>
      </c>
      <c r="P35" s="6" t="n">
        <f aca="false">M35-(N35+O35)</f>
        <v>21.4</v>
      </c>
      <c r="Q35" s="51" t="n">
        <v>208</v>
      </c>
      <c r="R35" s="51" t="n">
        <v>9.3</v>
      </c>
      <c r="S35" s="51" t="n">
        <f aca="false">SUM(P35:R35)</f>
        <v>238.7</v>
      </c>
      <c r="T35" s="52" t="n">
        <f aca="false">(I35-S35)+T34</f>
        <v>-25415.250408243</v>
      </c>
      <c r="U35" s="51" t="n">
        <v>0</v>
      </c>
      <c r="V35" s="51" t="n">
        <v>54</v>
      </c>
      <c r="W35" s="52" t="n">
        <f aca="false">W34-50</f>
        <v>6253</v>
      </c>
      <c r="X35" s="6" t="n">
        <f aca="false">N35+O35+S35+U35+V35</f>
        <v>329.3</v>
      </c>
      <c r="Y35" s="51" t="n">
        <f aca="false">IF(L35&lt;0,L35*-1,0)</f>
        <v>0</v>
      </c>
      <c r="Z35" s="51" t="n">
        <f aca="false">X35+Y35</f>
        <v>329.3</v>
      </c>
      <c r="AA35" s="55" t="n">
        <v>0</v>
      </c>
      <c r="AB35" s="56" t="n">
        <v>52</v>
      </c>
      <c r="AC35" s="79" t="n">
        <v>28</v>
      </c>
      <c r="AD35" s="57" t="n">
        <v>26</v>
      </c>
      <c r="AE35" s="85"/>
      <c r="AF35" s="85"/>
      <c r="AG35" s="87"/>
    </row>
    <row r="36" customFormat="false" ht="11.1" hidden="false" customHeight="true" outlineLevel="0" collapsed="false">
      <c r="A36" s="57" t="n">
        <v>27</v>
      </c>
      <c r="B36" s="71" t="n">
        <v>6880.56</v>
      </c>
      <c r="C36" s="52" t="n">
        <v>217858</v>
      </c>
      <c r="D36" s="56" t="n">
        <f aca="false">C36-C35</f>
        <v>-423</v>
      </c>
      <c r="E36" s="52" t="n">
        <f aca="false">C36-152000</f>
        <v>65858</v>
      </c>
      <c r="F36" s="51" t="n">
        <f aca="false">D36/$D$2</f>
        <v>-213.25938996723</v>
      </c>
      <c r="G36" s="51" t="n">
        <v>92</v>
      </c>
      <c r="H36" s="148" t="n">
        <v>0</v>
      </c>
      <c r="I36" s="51" t="n">
        <f aca="false">G36+H36</f>
        <v>92</v>
      </c>
      <c r="J36" s="78" t="n">
        <f aca="false">IF(L36&gt;0,L36,0)</f>
        <v>10.0406100327704</v>
      </c>
      <c r="K36" s="51" t="n">
        <f aca="false">I36+J36</f>
        <v>102.04061003277</v>
      </c>
      <c r="L36" s="51" t="n">
        <f aca="false">F36-(I36-X36)</f>
        <v>10.0406100327704</v>
      </c>
      <c r="M36" s="51" t="n">
        <v>44</v>
      </c>
      <c r="N36" s="51" t="n">
        <v>1</v>
      </c>
      <c r="O36" s="51" t="n">
        <v>21</v>
      </c>
      <c r="P36" s="6" t="n">
        <f aca="false">M36-(N36+O36)</f>
        <v>22</v>
      </c>
      <c r="Q36" s="51" t="n">
        <v>208</v>
      </c>
      <c r="R36" s="51" t="n">
        <v>9.3</v>
      </c>
      <c r="S36" s="51" t="n">
        <f aca="false">SUM(P36:R36)</f>
        <v>239.3</v>
      </c>
      <c r="T36" s="52" t="n">
        <f aca="false">(I36-S36)+T35</f>
        <v>-25562.550408243</v>
      </c>
      <c r="U36" s="51" t="n">
        <v>0</v>
      </c>
      <c r="V36" s="51" t="n">
        <v>54</v>
      </c>
      <c r="W36" s="52" t="n">
        <f aca="false">W35-50</f>
        <v>6203</v>
      </c>
      <c r="X36" s="6" t="n">
        <f aca="false">N36+O36+S36+U36+V36</f>
        <v>315.3</v>
      </c>
      <c r="Y36" s="51" t="n">
        <f aca="false">IF(L36&lt;0,L36*-1,0)</f>
        <v>0</v>
      </c>
      <c r="Z36" s="51" t="n">
        <f aca="false">X36+Y36</f>
        <v>315.3</v>
      </c>
      <c r="AA36" s="55" t="n">
        <v>0</v>
      </c>
      <c r="AB36" s="56" t="n">
        <v>48</v>
      </c>
      <c r="AC36" s="79" t="n">
        <v>34</v>
      </c>
      <c r="AD36" s="57" t="n">
        <v>27</v>
      </c>
      <c r="AE36" s="85"/>
      <c r="AF36" s="85"/>
      <c r="AG36" s="87"/>
    </row>
    <row r="37" customFormat="false" ht="11.1" hidden="false" customHeight="true" outlineLevel="0" collapsed="false">
      <c r="A37" s="57" t="n">
        <v>28</v>
      </c>
      <c r="B37" s="71" t="n">
        <v>6880.45</v>
      </c>
      <c r="C37" s="52" t="n">
        <v>217525</v>
      </c>
      <c r="D37" s="56" t="n">
        <f aca="false">C37-C36</f>
        <v>-333</v>
      </c>
      <c r="E37" s="52" t="n">
        <f aca="false">C37-152000</f>
        <v>65525</v>
      </c>
      <c r="F37" s="51" t="n">
        <f aca="false">D37/$D$2</f>
        <v>-167.88505167633</v>
      </c>
      <c r="G37" s="51" t="n">
        <v>111</v>
      </c>
      <c r="H37" s="148" t="n">
        <v>0</v>
      </c>
      <c r="I37" s="51" t="n">
        <f aca="false">G37+H37</f>
        <v>111</v>
      </c>
      <c r="J37" s="78" t="n">
        <f aca="false">IF(L37&gt;0,L37,0)</f>
        <v>27.3149483236703</v>
      </c>
      <c r="K37" s="51" t="n">
        <f aca="false">I37+J37</f>
        <v>138.31494832367</v>
      </c>
      <c r="L37" s="51" t="n">
        <f aca="false">F37-(I37-X37)</f>
        <v>27.3149483236703</v>
      </c>
      <c r="M37" s="51" t="n">
        <v>35</v>
      </c>
      <c r="N37" s="51" t="n">
        <v>1</v>
      </c>
      <c r="O37" s="51" t="n">
        <v>12.2</v>
      </c>
      <c r="P37" s="6" t="n">
        <f aca="false">M37-(N37+O37)</f>
        <v>21.8</v>
      </c>
      <c r="Q37" s="51" t="n">
        <v>208</v>
      </c>
      <c r="R37" s="51" t="n">
        <v>9.2</v>
      </c>
      <c r="S37" s="51" t="n">
        <f aca="false">SUM(P37:R37)</f>
        <v>239</v>
      </c>
      <c r="T37" s="52" t="n">
        <f aca="false">(I37-S37)+T36</f>
        <v>-25690.550408243</v>
      </c>
      <c r="U37" s="51" t="n">
        <v>0</v>
      </c>
      <c r="V37" s="51" t="n">
        <v>54</v>
      </c>
      <c r="W37" s="52" t="n">
        <f aca="false">W36-50</f>
        <v>6153</v>
      </c>
      <c r="X37" s="6" t="n">
        <f aca="false">N37+O37+S37+U37+V37</f>
        <v>306.2</v>
      </c>
      <c r="Y37" s="51" t="n">
        <f aca="false">IF(L37&lt;0,L37*-1,0)</f>
        <v>0</v>
      </c>
      <c r="Z37" s="51" t="n">
        <f aca="false">X37+Y37</f>
        <v>306.2</v>
      </c>
      <c r="AA37" s="55" t="n">
        <v>0.48</v>
      </c>
      <c r="AB37" s="56" t="n">
        <v>48</v>
      </c>
      <c r="AC37" s="79" t="n">
        <v>34</v>
      </c>
      <c r="AD37" s="57" t="n">
        <v>28</v>
      </c>
      <c r="AE37" s="85"/>
      <c r="AF37" s="85"/>
      <c r="AG37" s="87"/>
    </row>
    <row r="38" customFormat="false" ht="11.1" hidden="false" customHeight="true" outlineLevel="0" collapsed="false">
      <c r="A38" s="57" t="n">
        <v>29</v>
      </c>
      <c r="B38" s="71" t="n">
        <v>6880.33</v>
      </c>
      <c r="C38" s="52" t="n">
        <v>217162</v>
      </c>
      <c r="D38" s="56" t="n">
        <f aca="false">C38-C37</f>
        <v>-363</v>
      </c>
      <c r="E38" s="52" t="n">
        <f aca="false">C38-152000</f>
        <v>65162</v>
      </c>
      <c r="F38" s="51" t="n">
        <f aca="false">D38/$D$2</f>
        <v>-183.00983110663</v>
      </c>
      <c r="G38" s="51" t="n">
        <v>111</v>
      </c>
      <c r="H38" s="148" t="n">
        <v>0</v>
      </c>
      <c r="I38" s="51" t="n">
        <f aca="false">G38+H38</f>
        <v>111</v>
      </c>
      <c r="J38" s="78" t="n">
        <f aca="false">IF(L38&gt;0,L38,0)</f>
        <v>12.0901688933703</v>
      </c>
      <c r="K38" s="51" t="n">
        <f aca="false">I38+J38</f>
        <v>123.09016889337</v>
      </c>
      <c r="L38" s="51" t="n">
        <f aca="false">F38-(I38-X38)</f>
        <v>12.0901688933703</v>
      </c>
      <c r="M38" s="51" t="n">
        <v>36</v>
      </c>
      <c r="N38" s="51" t="n">
        <v>1</v>
      </c>
      <c r="O38" s="51" t="n">
        <v>11.2</v>
      </c>
      <c r="P38" s="6" t="n">
        <f aca="false">M38-(N38+O38)</f>
        <v>23.8</v>
      </c>
      <c r="Q38" s="51" t="n">
        <v>207</v>
      </c>
      <c r="R38" s="51" t="n">
        <v>9.1</v>
      </c>
      <c r="S38" s="51" t="n">
        <f aca="false">SUM(P38:R38)</f>
        <v>239.9</v>
      </c>
      <c r="T38" s="52" t="n">
        <f aca="false">(I38-S38)+T37</f>
        <v>-25819.450408243</v>
      </c>
      <c r="U38" s="51" t="n">
        <v>0</v>
      </c>
      <c r="V38" s="51" t="n">
        <v>54</v>
      </c>
      <c r="W38" s="52" t="n">
        <f aca="false">W37-50</f>
        <v>6103</v>
      </c>
      <c r="X38" s="6" t="n">
        <f aca="false">N38+O38+S38+U38+V38</f>
        <v>306.1</v>
      </c>
      <c r="Y38" s="51" t="n">
        <f aca="false">IF(L38&lt;0,L38*-1,0)</f>
        <v>0</v>
      </c>
      <c r="Z38" s="51" t="n">
        <f aca="false">X38+Y38</f>
        <v>306.1</v>
      </c>
      <c r="AA38" s="55" t="n">
        <v>0.04</v>
      </c>
      <c r="AB38" s="56" t="n">
        <v>50</v>
      </c>
      <c r="AC38" s="79" t="n">
        <v>32</v>
      </c>
      <c r="AD38" s="57" t="n">
        <v>29</v>
      </c>
      <c r="AE38" s="85"/>
      <c r="AF38" s="85"/>
      <c r="AG38" s="87"/>
    </row>
    <row r="39" customFormat="false" ht="11.1" hidden="false" customHeight="true" outlineLevel="0" collapsed="false">
      <c r="A39" s="57" t="n">
        <v>30</v>
      </c>
      <c r="B39" s="71" t="n">
        <v>6880.34</v>
      </c>
      <c r="C39" s="52" t="n">
        <v>217193</v>
      </c>
      <c r="D39" s="56" t="n">
        <f aca="false">C39-C38</f>
        <v>31</v>
      </c>
      <c r="E39" s="52" t="n">
        <f aca="false">C39-152000</f>
        <v>65193</v>
      </c>
      <c r="F39" s="51" t="n">
        <f aca="false">D39/$D$2</f>
        <v>15.6289387446433</v>
      </c>
      <c r="G39" s="51" t="n">
        <v>99</v>
      </c>
      <c r="H39" s="148" t="n">
        <v>0</v>
      </c>
      <c r="I39" s="51" t="n">
        <f aca="false">G39+H39</f>
        <v>99</v>
      </c>
      <c r="J39" s="78" t="n">
        <f aca="false">IF(L39&gt;0,L39,0)</f>
        <v>104.328938744643</v>
      </c>
      <c r="K39" s="51" t="n">
        <f aca="false">I39+J39</f>
        <v>203.328938744643</v>
      </c>
      <c r="L39" s="51" t="n">
        <f aca="false">F39-(I39-X39)</f>
        <v>104.328938744643</v>
      </c>
      <c r="M39" s="51" t="n">
        <v>42</v>
      </c>
      <c r="N39" s="51" t="n">
        <v>1</v>
      </c>
      <c r="O39" s="51" t="n">
        <v>8.7</v>
      </c>
      <c r="P39" s="6" t="n">
        <f aca="false">M39-(N39+O39)</f>
        <v>32.3</v>
      </c>
      <c r="Q39" s="51" t="n">
        <v>89</v>
      </c>
      <c r="R39" s="51" t="n">
        <v>2.7</v>
      </c>
      <c r="S39" s="51" t="n">
        <f aca="false">SUM(P39:R39)</f>
        <v>124</v>
      </c>
      <c r="T39" s="52" t="n">
        <f aca="false">(I39-S39)+T38</f>
        <v>-25844.450408243</v>
      </c>
      <c r="U39" s="51" t="n">
        <v>0</v>
      </c>
      <c r="V39" s="51" t="n">
        <v>54</v>
      </c>
      <c r="W39" s="52" t="n">
        <f aca="false">W38-50</f>
        <v>6053</v>
      </c>
      <c r="X39" s="6" t="n">
        <f aca="false">N39+O39+S39+U39+V39</f>
        <v>187.7</v>
      </c>
      <c r="Y39" s="51" t="n">
        <f aca="false">IF(L39&lt;0,L39*-1,0)</f>
        <v>0</v>
      </c>
      <c r="Z39" s="51" t="n">
        <f aca="false">X39+Y39</f>
        <v>187.7</v>
      </c>
      <c r="AA39" s="55" t="n">
        <v>0.27</v>
      </c>
      <c r="AB39" s="56" t="n">
        <v>50</v>
      </c>
      <c r="AC39" s="79" t="n">
        <v>44</v>
      </c>
      <c r="AD39" s="57" t="n">
        <v>30</v>
      </c>
      <c r="AE39" s="85"/>
      <c r="AF39" s="85"/>
      <c r="AG39" s="87"/>
    </row>
    <row r="40" customFormat="false" ht="10.5" hidden="false" customHeight="true" outlineLevel="0" collapsed="false">
      <c r="A40" s="57" t="n">
        <v>31</v>
      </c>
      <c r="B40" s="71" t="n">
        <v>6880.43</v>
      </c>
      <c r="C40" s="52" t="n">
        <v>217465</v>
      </c>
      <c r="D40" s="56" t="n">
        <f aca="false">C40-C39</f>
        <v>272</v>
      </c>
      <c r="E40" s="52" t="n">
        <f aca="false">C40-152000</f>
        <v>65465</v>
      </c>
      <c r="F40" s="51" t="n">
        <f aca="false">D40/$D$2</f>
        <v>137.131333501386</v>
      </c>
      <c r="G40" s="51" t="n">
        <v>104</v>
      </c>
      <c r="H40" s="148" t="n">
        <v>0</v>
      </c>
      <c r="I40" s="51" t="n">
        <f aca="false">G40+H40</f>
        <v>104</v>
      </c>
      <c r="J40" s="78" t="n">
        <f aca="false">IF(L40&gt;0,L40,0)</f>
        <v>119.131333501386</v>
      </c>
      <c r="K40" s="51" t="n">
        <f aca="false">I40+J40</f>
        <v>223.131333501386</v>
      </c>
      <c r="L40" s="51" t="n">
        <f aca="false">F40-(I40-X40)</f>
        <v>119.131333501386</v>
      </c>
      <c r="M40" s="51" t="n">
        <v>32</v>
      </c>
      <c r="N40" s="51" t="n">
        <v>1</v>
      </c>
      <c r="O40" s="51" t="n">
        <v>12.6</v>
      </c>
      <c r="P40" s="6" t="n">
        <f aca="false">M40-(N40+O40)</f>
        <v>18.4</v>
      </c>
      <c r="Q40" s="51" t="n">
        <v>0</v>
      </c>
      <c r="R40" s="51" t="n">
        <v>0</v>
      </c>
      <c r="S40" s="51" t="n">
        <f aca="false">SUM(P40:R40)</f>
        <v>18.4</v>
      </c>
      <c r="T40" s="52" t="n">
        <f aca="false">(I40-S40)+T39</f>
        <v>-25758.850408243</v>
      </c>
      <c r="U40" s="51" t="n">
        <v>0</v>
      </c>
      <c r="V40" s="51" t="n">
        <v>54</v>
      </c>
      <c r="W40" s="52" t="n">
        <f aca="false">W39-50</f>
        <v>6003</v>
      </c>
      <c r="X40" s="6" t="n">
        <f aca="false">N40+O40+S40+U40+V40</f>
        <v>86</v>
      </c>
      <c r="Y40" s="51" t="n">
        <f aca="false">IF(L40&lt;0,L40*-1,0)</f>
        <v>0</v>
      </c>
      <c r="Z40" s="51" t="n">
        <f aca="false">X40+Y40</f>
        <v>86</v>
      </c>
      <c r="AA40" s="55" t="n">
        <v>0.22</v>
      </c>
      <c r="AB40" s="56" t="n">
        <v>34</v>
      </c>
      <c r="AC40" s="79" t="n">
        <v>28</v>
      </c>
      <c r="AD40" s="57" t="n">
        <v>31</v>
      </c>
      <c r="AE40" s="85"/>
      <c r="AF40" s="85"/>
      <c r="AG40" s="87"/>
    </row>
    <row r="41" customFormat="false" ht="2.25" hidden="false" customHeight="true" outlineLevel="0" collapsed="false">
      <c r="A41" s="72"/>
      <c r="B41" s="72"/>
      <c r="C41" s="74"/>
      <c r="D41" s="72"/>
      <c r="E41" s="74"/>
      <c r="F41" s="72"/>
      <c r="G41" s="72"/>
      <c r="H41" s="151" t="n">
        <v>0</v>
      </c>
      <c r="I41" s="72"/>
      <c r="J41" s="72"/>
      <c r="K41" s="72"/>
      <c r="L41" s="72"/>
      <c r="M41" s="72" t="n">
        <v>0</v>
      </c>
      <c r="N41" s="72"/>
      <c r="O41" s="72"/>
      <c r="P41" s="72"/>
      <c r="Q41" s="72"/>
      <c r="R41" s="72" t="n">
        <v>0</v>
      </c>
      <c r="S41" s="72"/>
      <c r="T41" s="74"/>
      <c r="U41" s="72"/>
      <c r="V41" s="72" t="n">
        <v>0</v>
      </c>
      <c r="W41" s="72"/>
      <c r="X41" s="72"/>
      <c r="Y41" s="72"/>
      <c r="Z41" s="72"/>
      <c r="AA41" s="106"/>
      <c r="AB41" s="76"/>
      <c r="AC41" s="76"/>
      <c r="AD41" s="77"/>
      <c r="AE41" s="85"/>
      <c r="AF41" s="85"/>
      <c r="AG41" s="86"/>
    </row>
    <row r="42" customFormat="false" ht="11.1" hidden="false" customHeight="true" outlineLevel="0" collapsed="false">
      <c r="A42" s="51" t="s">
        <v>46</v>
      </c>
      <c r="B42" s="51"/>
      <c r="C42" s="52"/>
      <c r="D42" s="52"/>
      <c r="E42" s="52"/>
      <c r="F42" s="52" t="n">
        <f aca="false">SUM(F10:F40)</f>
        <v>-4915.55331484749</v>
      </c>
      <c r="G42" s="52" t="n">
        <f aca="false">SUM(G10:G40)</f>
        <v>2447</v>
      </c>
      <c r="H42" s="148" t="n">
        <f aca="false">SUM(H10:H40)</f>
        <v>0.02</v>
      </c>
      <c r="I42" s="52" t="n">
        <f aca="false">SUM(I10:I40)</f>
        <v>2447.02</v>
      </c>
      <c r="J42" s="52" t="n">
        <f aca="false">SUM(J10:J40)</f>
        <v>548.49477186791</v>
      </c>
      <c r="K42" s="52" t="n">
        <f aca="false">SUM(K10:K40)</f>
        <v>2995.51477186791</v>
      </c>
      <c r="L42" s="52" t="n">
        <f aca="false">SUM(L10:L40)</f>
        <v>218.726685152508</v>
      </c>
      <c r="M42" s="52" t="n">
        <f aca="false">SUM(M10:M40)</f>
        <v>2349</v>
      </c>
      <c r="N42" s="52" t="n">
        <f aca="false">SUM(N10:N40)</f>
        <v>103</v>
      </c>
      <c r="O42" s="52" t="n">
        <f aca="false">SUM(O10:O40)</f>
        <v>745.63</v>
      </c>
      <c r="P42" s="52" t="n">
        <f aca="false">SUM(P10:P40)</f>
        <v>1500.37</v>
      </c>
      <c r="Q42" s="52" t="n">
        <f aca="false">SUM(Q10:Q40)</f>
        <v>3114</v>
      </c>
      <c r="R42" s="52" t="n">
        <f aca="false">SUM(R10:R40)</f>
        <v>344.1</v>
      </c>
      <c r="S42" s="52" t="n">
        <f aca="false">SUM(S10:S40)</f>
        <v>4958.47</v>
      </c>
      <c r="T42" s="52"/>
      <c r="U42" s="52" t="n">
        <f aca="false">SUM(U10:U40)</f>
        <v>37.2</v>
      </c>
      <c r="V42" s="52" t="n">
        <f aca="false">SUM(V10:V40)</f>
        <v>1737</v>
      </c>
      <c r="W42" s="52"/>
      <c r="X42" s="52" t="n">
        <f aca="false">SUM(X10:X40)</f>
        <v>7581.3</v>
      </c>
      <c r="Y42" s="52" t="n">
        <f aca="false">SUM(Y10:Y40)</f>
        <v>329.768086715402</v>
      </c>
      <c r="Z42" s="52" t="n">
        <f aca="false">SUM(Z10:Z40)</f>
        <v>7911.0680867154</v>
      </c>
      <c r="AA42" s="55" t="n">
        <f aca="false">SUM(AA10:AA40)</f>
        <v>3.13</v>
      </c>
      <c r="AB42" s="56" t="n">
        <f aca="false">AVERAGE(AB10:AB40)</f>
        <v>58.741935483871</v>
      </c>
      <c r="AC42" s="56" t="n">
        <f aca="false">AVERAGE(AC10:AC40)</f>
        <v>37.0645161290323</v>
      </c>
      <c r="AD42" s="57" t="s">
        <v>71</v>
      </c>
      <c r="AE42" s="85"/>
      <c r="AF42" s="85"/>
      <c r="AG42" s="86"/>
    </row>
    <row r="43" customFormat="false" ht="12" hidden="false" customHeight="true" outlineLevel="0" collapsed="false">
      <c r="A43" s="51" t="s">
        <v>48</v>
      </c>
      <c r="B43" s="51"/>
      <c r="C43" s="52"/>
      <c r="D43" s="52" t="n">
        <f aca="false">SUM(D10:D40)</f>
        <v>-9750</v>
      </c>
      <c r="E43" s="52"/>
      <c r="F43" s="52" t="n">
        <f aca="false">F42*$D$2</f>
        <v>-9750</v>
      </c>
      <c r="G43" s="52" t="n">
        <f aca="false">G42*$D$2</f>
        <v>4853.6245</v>
      </c>
      <c r="H43" s="148" t="n">
        <f aca="false">H42*$D$2</f>
        <v>0.03967</v>
      </c>
      <c r="I43" s="52" t="n">
        <f aca="false">I42*$D$2</f>
        <v>4853.66417</v>
      </c>
      <c r="J43" s="52" t="n">
        <f aca="false">J42*$D$2</f>
        <v>1087.93938</v>
      </c>
      <c r="K43" s="52" t="n">
        <f aca="false">K42*$D$2</f>
        <v>5941.60355</v>
      </c>
      <c r="L43" s="52" t="n">
        <f aca="false">L42*$D$2</f>
        <v>433.844380000001</v>
      </c>
      <c r="M43" s="52" t="n">
        <f aca="false">M42*$D$2</f>
        <v>4659.2415</v>
      </c>
      <c r="N43" s="52" t="n">
        <f aca="false">N42*$D$2</f>
        <v>204.3005</v>
      </c>
      <c r="O43" s="52" t="n">
        <f aca="false">O42*$D$2</f>
        <v>1478.957105</v>
      </c>
      <c r="P43" s="52" t="n">
        <f aca="false">P42*$D$2</f>
        <v>2975.983895</v>
      </c>
      <c r="Q43" s="52" t="n">
        <f aca="false">Q42*$D$2</f>
        <v>6176.619</v>
      </c>
      <c r="R43" s="52" t="n">
        <f aca="false">R42*$D$2</f>
        <v>682.52235</v>
      </c>
      <c r="S43" s="52" t="n">
        <f aca="false">S42*$D$2</f>
        <v>9835.125245</v>
      </c>
      <c r="T43" s="52"/>
      <c r="U43" s="52" t="n">
        <f aca="false">U42*$D$2</f>
        <v>73.7862</v>
      </c>
      <c r="V43" s="52" t="n">
        <f aca="false">V42*$D$2</f>
        <v>3445.3395</v>
      </c>
      <c r="W43" s="52"/>
      <c r="X43" s="52" t="n">
        <f aca="false">X42*$D$2</f>
        <v>15037.50855</v>
      </c>
      <c r="Y43" s="52" t="n">
        <f aca="false">Y42*$D$2</f>
        <v>654.095</v>
      </c>
      <c r="Z43" s="52" t="n">
        <f aca="false">Z42*$D$2</f>
        <v>15691.60355</v>
      </c>
      <c r="AA43" s="55"/>
      <c r="AB43" s="56" t="n">
        <f aca="false">MAX(AB10:AB40)</f>
        <v>79</v>
      </c>
      <c r="AC43" s="56" t="n">
        <f aca="false">MAX(AC10:AC40)</f>
        <v>51</v>
      </c>
      <c r="AD43" s="57" t="s">
        <v>49</v>
      </c>
      <c r="AE43" s="85"/>
      <c r="AF43" s="85"/>
      <c r="AG43" s="86"/>
    </row>
    <row r="44" customFormat="false" ht="2.25" hidden="false" customHeight="true" outlineLevel="0" collapsed="false">
      <c r="A44" s="72"/>
      <c r="B44" s="72"/>
      <c r="C44" s="74"/>
      <c r="D44" s="74"/>
      <c r="E44" s="74"/>
      <c r="F44" s="74"/>
      <c r="G44" s="74"/>
      <c r="H44" s="151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2"/>
      <c r="X44" s="74"/>
      <c r="Y44" s="74"/>
      <c r="Z44" s="74"/>
      <c r="AA44" s="55"/>
      <c r="AB44" s="56"/>
      <c r="AC44" s="56"/>
      <c r="AD44" s="57"/>
      <c r="AE44" s="85"/>
      <c r="AF44" s="85"/>
      <c r="AG44" s="86"/>
    </row>
    <row r="45" customFormat="false" ht="11.1" hidden="false" customHeight="true" outlineLevel="0" collapsed="false">
      <c r="A45" s="51" t="s">
        <v>50</v>
      </c>
      <c r="B45" s="51"/>
      <c r="C45" s="52"/>
      <c r="D45" s="52"/>
      <c r="E45" s="52"/>
      <c r="F45" s="52" t="n">
        <f aca="false">F7+F42</f>
        <v>-56044.3660196622</v>
      </c>
      <c r="G45" s="52" t="n">
        <f aca="false">G7+G42</f>
        <v>103023</v>
      </c>
      <c r="H45" s="148" t="n">
        <f aca="false">H7+H42</f>
        <v>1956.69</v>
      </c>
      <c r="I45" s="52" t="n">
        <f aca="false">I7+I42</f>
        <v>104979.69</v>
      </c>
      <c r="J45" s="52" t="n">
        <f aca="false">J7+J42</f>
        <v>11405.3722435089</v>
      </c>
      <c r="K45" s="52" t="n">
        <f aca="false">K7+K42</f>
        <v>116385.062243509</v>
      </c>
      <c r="L45" s="52" t="n">
        <f aca="false">L7+L42</f>
        <v>5777.90398033779</v>
      </c>
      <c r="M45" s="52" t="n">
        <f aca="false">M7+M42</f>
        <v>51120.3</v>
      </c>
      <c r="N45" s="52" t="n">
        <f aca="false">N7+N42</f>
        <v>307.87</v>
      </c>
      <c r="O45" s="52" t="n">
        <f aca="false">O7+O42</f>
        <v>11799.0315</v>
      </c>
      <c r="P45" s="52" t="n">
        <f aca="false">P7+P42</f>
        <v>39013.3985</v>
      </c>
      <c r="Q45" s="52" t="n">
        <f aca="false">Q7+Q42</f>
        <v>25758</v>
      </c>
      <c r="R45" s="52" t="n">
        <f aca="false">R7+R42</f>
        <v>12184.2</v>
      </c>
      <c r="S45" s="52" t="n">
        <f aca="false">S7+S42</f>
        <v>76955.5985</v>
      </c>
      <c r="T45" s="52" t="n">
        <f aca="false">T40</f>
        <v>-25758.850408243</v>
      </c>
      <c r="U45" s="52" t="n">
        <f aca="false">U7+U42</f>
        <v>28880.46</v>
      </c>
      <c r="V45" s="52" t="n">
        <f aca="false">V7+V42</f>
        <v>48859</v>
      </c>
      <c r="W45" s="52"/>
      <c r="X45" s="52" t="n">
        <f aca="false">X7+X42</f>
        <v>166801.96</v>
      </c>
      <c r="Y45" s="52" t="n">
        <f aca="false">Y7+Y42</f>
        <v>5627.46826317116</v>
      </c>
      <c r="Z45" s="52" t="n">
        <f aca="false">Z7+Z42</f>
        <v>172429.428263171</v>
      </c>
      <c r="AA45" s="55"/>
      <c r="AB45" s="56" t="n">
        <f aca="false">MIN(AB10:AB40)</f>
        <v>34</v>
      </c>
      <c r="AC45" s="56" t="n">
        <f aca="false">MIN(AC10:AC40)</f>
        <v>28</v>
      </c>
      <c r="AD45" s="57" t="s">
        <v>51</v>
      </c>
      <c r="AE45" s="85"/>
      <c r="AF45" s="85"/>
      <c r="AG45" s="86"/>
    </row>
    <row r="46" customFormat="false" ht="10.5" hidden="false" customHeight="true" outlineLevel="0" collapsed="false">
      <c r="A46" s="51" t="s">
        <v>52</v>
      </c>
      <c r="B46" s="51"/>
      <c r="C46" s="52"/>
      <c r="D46" s="52"/>
      <c r="E46" s="52"/>
      <c r="F46" s="52" t="n">
        <f aca="false">F45*$D$2</f>
        <v>-111164</v>
      </c>
      <c r="G46" s="52" t="n">
        <f aca="false">G45*$D$2</f>
        <v>204346.1205</v>
      </c>
      <c r="H46" s="148" t="n">
        <f aca="false">H45*$D$2</f>
        <v>3881.094615</v>
      </c>
      <c r="I46" s="52" t="n">
        <f aca="false">I45*$D$2</f>
        <v>208227.215115</v>
      </c>
      <c r="J46" s="52" t="n">
        <f aca="false">J45*$D$2</f>
        <v>22622.555845</v>
      </c>
      <c r="K46" s="52" t="n">
        <f aca="false">K45*$D$2</f>
        <v>230849.77096</v>
      </c>
      <c r="L46" s="52" t="n">
        <f aca="false">L45*$D$2</f>
        <v>11460.472545</v>
      </c>
      <c r="M46" s="52" t="n">
        <f aca="false">M45*$D$2</f>
        <v>101397.11505</v>
      </c>
      <c r="N46" s="52" t="n">
        <f aca="false">N45*$D$2</f>
        <v>610.660145</v>
      </c>
      <c r="O46" s="52" t="n">
        <f aca="false">O45*$D$2</f>
        <v>23403.37898025</v>
      </c>
      <c r="P46" s="52" t="n">
        <f aca="false">P45*$D$2</f>
        <v>77383.07592475</v>
      </c>
      <c r="Q46" s="52" t="n">
        <f aca="false">Q45*$D$2</f>
        <v>51090.993</v>
      </c>
      <c r="R46" s="52" t="n">
        <f aca="false">R45*$D$2</f>
        <v>24167.3607</v>
      </c>
      <c r="S46" s="52" t="n">
        <f aca="false">S45*$D$2</f>
        <v>152641.42962475</v>
      </c>
      <c r="T46" s="52" t="n">
        <f aca="false">T45*$D$2</f>
        <v>-51092.67978475</v>
      </c>
      <c r="U46" s="52" t="n">
        <f aca="false">U45*$D$2</f>
        <v>57284.39241</v>
      </c>
      <c r="V46" s="52" t="n">
        <f aca="false">V45*$D$2</f>
        <v>96911.8265</v>
      </c>
      <c r="W46" s="52"/>
      <c r="X46" s="52" t="n">
        <f aca="false">X45*$D$2</f>
        <v>330851.68766</v>
      </c>
      <c r="Y46" s="52" t="n">
        <f aca="false">Y45*$D$2</f>
        <v>11162.0833</v>
      </c>
      <c r="Z46" s="52" t="n">
        <f aca="false">Z45*$D$2</f>
        <v>342013.77096</v>
      </c>
      <c r="AA46" s="55"/>
      <c r="AB46" s="56"/>
      <c r="AC46" s="56"/>
      <c r="AD46" s="57"/>
      <c r="AE46" s="85"/>
      <c r="AF46" s="85"/>
      <c r="AG46" s="86"/>
    </row>
    <row r="47" customFormat="false" ht="1.5" hidden="false" customHeight="true" outlineLevel="0" collapsed="false">
      <c r="A47" s="72"/>
      <c r="B47" s="72"/>
      <c r="C47" s="74"/>
      <c r="D47" s="74"/>
      <c r="E47" s="74"/>
      <c r="F47" s="74"/>
      <c r="G47" s="74"/>
      <c r="H47" s="151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106"/>
      <c r="AB47" s="56"/>
      <c r="AC47" s="56"/>
      <c r="AD47" s="57"/>
      <c r="AE47" s="85"/>
      <c r="AF47" s="85"/>
      <c r="AG47" s="86"/>
    </row>
    <row r="48" customFormat="false" ht="12.75" hidden="false" customHeight="true" outlineLevel="0" collapsed="false">
      <c r="A48" s="51" t="s">
        <v>53</v>
      </c>
      <c r="B48" s="51"/>
      <c r="C48" s="52"/>
      <c r="D48" s="52"/>
      <c r="E48" s="52"/>
      <c r="F48" s="52" t="n">
        <f aca="false">F8+F42</f>
        <v>-56574.2374590371</v>
      </c>
      <c r="G48" s="52" t="n">
        <f aca="false">G8+G42</f>
        <v>112607</v>
      </c>
      <c r="H48" s="148" t="n">
        <f aca="false">H8+H42</f>
        <v>2221.97</v>
      </c>
      <c r="I48" s="52" t="n">
        <f aca="false">I8+I42</f>
        <v>114828.97</v>
      </c>
      <c r="J48" s="52" t="n">
        <f aca="false">J8+J42</f>
        <v>13753.5332190572</v>
      </c>
      <c r="K48" s="52" t="n">
        <f aca="false">K8+K42</f>
        <v>128578.77047391</v>
      </c>
      <c r="L48" s="52" t="n">
        <f aca="false">L8+L42</f>
        <v>7455.48254096295</v>
      </c>
      <c r="M48" s="52" t="n">
        <f aca="false">M8+M42</f>
        <v>53559.06</v>
      </c>
      <c r="N48" s="52" t="n">
        <f aca="false">N8+N42</f>
        <v>374.25</v>
      </c>
      <c r="O48" s="52" t="n">
        <f aca="false">O8+O42</f>
        <v>12240.372</v>
      </c>
      <c r="P48" s="52" t="n">
        <f aca="false">P8+P42</f>
        <v>40944.438</v>
      </c>
      <c r="Q48" s="52" t="n">
        <f aca="false">Q8+Q42</f>
        <v>26802</v>
      </c>
      <c r="R48" s="52" t="n">
        <f aca="false">R8+R42</f>
        <v>12744.2</v>
      </c>
      <c r="S48" s="52" t="n">
        <f aca="false">S8+S42</f>
        <v>80490.638</v>
      </c>
      <c r="T48" s="52" t="n">
        <f aca="false">T45</f>
        <v>-25758.850408243</v>
      </c>
      <c r="U48" s="52" t="n">
        <f aca="false">U8+U42</f>
        <v>28880.46</v>
      </c>
      <c r="V48" s="52" t="n">
        <f aca="false">V8+V42</f>
        <v>56872.97</v>
      </c>
      <c r="W48" s="52" t="n">
        <f aca="false">W40</f>
        <v>6003</v>
      </c>
      <c r="X48" s="52" t="n">
        <f aca="false">X8+X42</f>
        <v>178858.69</v>
      </c>
      <c r="Y48" s="52" t="n">
        <f aca="false">Y8+Y42</f>
        <v>6298.05067809428</v>
      </c>
      <c r="Z48" s="52" t="n">
        <f aca="false">Z8+Z42</f>
        <v>185156.740678094</v>
      </c>
      <c r="AA48" s="78" t="n">
        <f aca="false">AA8+AA42</f>
        <v>13.18</v>
      </c>
      <c r="AB48" s="56"/>
      <c r="AC48" s="56"/>
      <c r="AD48" s="57"/>
      <c r="AE48" s="85"/>
      <c r="AF48" s="85"/>
      <c r="AG48" s="86"/>
    </row>
    <row r="49" customFormat="false" ht="10.5" hidden="false" customHeight="true" outlineLevel="0" collapsed="false">
      <c r="A49" s="51" t="s">
        <v>54</v>
      </c>
      <c r="B49" s="51"/>
      <c r="C49" s="52"/>
      <c r="D49" s="52" t="n">
        <f aca="false">D8+D43</f>
        <v>-112215</v>
      </c>
      <c r="E49" s="52" t="n">
        <f aca="false">E40</f>
        <v>65465</v>
      </c>
      <c r="F49" s="52" t="n">
        <f aca="false">F48*$D$2</f>
        <v>-112215</v>
      </c>
      <c r="G49" s="52" t="n">
        <f aca="false">G48*$D$2</f>
        <v>223355.9845</v>
      </c>
      <c r="H49" s="148" t="n">
        <f aca="false">H48*$D$2</f>
        <v>4407.277495</v>
      </c>
      <c r="I49" s="52" t="n">
        <f aca="false">I48*$D$2</f>
        <v>227763.261995</v>
      </c>
      <c r="J49" s="52" t="n">
        <f aca="false">J48*$D$2</f>
        <v>27280.13314</v>
      </c>
      <c r="K49" s="52" t="n">
        <f aca="false">K48*$D$2</f>
        <v>255035.991235</v>
      </c>
      <c r="L49" s="52" t="n">
        <f aca="false">L48*$D$2</f>
        <v>14787.94962</v>
      </c>
      <c r="M49" s="52" t="n">
        <f aca="false">M48*$D$2</f>
        <v>106234.39551</v>
      </c>
      <c r="N49" s="52" t="n">
        <f aca="false">N48*$D$2</f>
        <v>742.324875</v>
      </c>
      <c r="O49" s="52" t="n">
        <f aca="false">O48*$D$2</f>
        <v>24278.777862</v>
      </c>
      <c r="P49" s="52" t="n">
        <f aca="false">P48*$D$2</f>
        <v>81213.292773</v>
      </c>
      <c r="Q49" s="52" t="n">
        <f aca="false">Q48*$D$2</f>
        <v>53161.767</v>
      </c>
      <c r="R49" s="52" t="n">
        <f aca="false">R48*$D$2</f>
        <v>25278.1207</v>
      </c>
      <c r="S49" s="52" t="n">
        <f aca="false">S48*$D$2</f>
        <v>159653.180473</v>
      </c>
      <c r="T49" s="52" t="n">
        <f aca="false">T48*$D$2</f>
        <v>-51092.67978475</v>
      </c>
      <c r="U49" s="52" t="n">
        <f aca="false">U48*$D$2</f>
        <v>57284.39241</v>
      </c>
      <c r="V49" s="52" t="n">
        <f aca="false">V48*$D$2</f>
        <v>112807.535995</v>
      </c>
      <c r="W49" s="52" t="n">
        <f aca="false">W48*$D$2</f>
        <v>11906.9505</v>
      </c>
      <c r="X49" s="52" t="n">
        <f aca="false">X48*$D$2</f>
        <v>354766.211615</v>
      </c>
      <c r="Y49" s="52" t="n">
        <f aca="false">Y48*$D$2</f>
        <v>12492.18352</v>
      </c>
      <c r="Z49" s="52" t="n">
        <f aca="false">Z48*$D$2</f>
        <v>367258.395135</v>
      </c>
      <c r="AA49" s="55"/>
      <c r="AB49" s="56"/>
      <c r="AC49" s="56"/>
      <c r="AD49" s="57"/>
      <c r="AE49" s="85"/>
      <c r="AF49" s="85"/>
      <c r="AG49" s="86"/>
    </row>
    <row r="50" customFormat="false" ht="3" hidden="false" customHeight="true" outlineLevel="0" collapsed="false">
      <c r="A50" s="72"/>
      <c r="B50" s="72"/>
      <c r="C50" s="74"/>
      <c r="D50" s="72"/>
      <c r="E50" s="74"/>
      <c r="F50" s="72"/>
      <c r="G50" s="72"/>
      <c r="H50" s="151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4"/>
      <c r="U50" s="72"/>
      <c r="V50" s="72"/>
      <c r="W50" s="74"/>
      <c r="X50" s="72"/>
      <c r="Y50" s="72"/>
      <c r="Z50" s="72"/>
      <c r="AA50" s="55"/>
      <c r="AB50" s="56"/>
      <c r="AC50" s="56"/>
      <c r="AD50" s="57"/>
      <c r="AE50" s="85"/>
      <c r="AF50" s="85"/>
      <c r="AG50" s="86"/>
    </row>
    <row r="51" customFormat="false" ht="11.1" hidden="false" customHeight="true" outlineLevel="0" collapsed="false">
      <c r="A51" s="139"/>
      <c r="B51" s="81"/>
      <c r="C51" s="52"/>
      <c r="D51" s="51"/>
      <c r="E51" s="52"/>
      <c r="F51" s="51"/>
      <c r="G51" s="51"/>
      <c r="H51" s="148"/>
      <c r="I51" s="51"/>
      <c r="J51" s="51"/>
      <c r="K51" s="51" t="n">
        <f aca="false">SUM(K10:K24)</f>
        <v>1143.06917065793</v>
      </c>
      <c r="L51" s="51" t="n">
        <f aca="false">K51*$D$2</f>
        <v>2267.2777</v>
      </c>
      <c r="M51" s="51"/>
      <c r="N51" s="51"/>
      <c r="O51" s="51"/>
      <c r="P51" s="152" t="n">
        <f aca="false">N49+O49+P49</f>
        <v>106234.39551</v>
      </c>
      <c r="Q51" s="51"/>
      <c r="R51" s="51" t="s">
        <v>83</v>
      </c>
      <c r="S51" s="52" t="n">
        <v>3588</v>
      </c>
      <c r="T51" s="52"/>
      <c r="U51" s="51" t="str">
        <f aca="false">"spill ="</f>
        <v>spill =</v>
      </c>
      <c r="V51" s="52" t="n">
        <f aca="false">V49-W52</f>
        <v>91364.486495</v>
      </c>
      <c r="W51" s="153" t="n">
        <v>33350</v>
      </c>
      <c r="X51" s="51" t="str">
        <f aca="false">"= total pool"</f>
        <v>= total pool</v>
      </c>
      <c r="Y51" s="51"/>
      <c r="Z51" s="51"/>
      <c r="AA51" s="55"/>
      <c r="AB51" s="56"/>
      <c r="AC51" s="56"/>
      <c r="AD51" s="57"/>
      <c r="AE51" s="84"/>
      <c r="AF51" s="84"/>
    </row>
    <row r="52" customFormat="false" ht="11.1" hidden="false" customHeight="true" outlineLevel="0" collapsed="false">
      <c r="A52" s="51"/>
      <c r="B52" s="71"/>
      <c r="C52" s="52"/>
      <c r="D52" s="79"/>
      <c r="E52" s="52"/>
      <c r="F52" s="51"/>
      <c r="G52" s="51"/>
      <c r="H52" s="148"/>
      <c r="I52" s="82"/>
      <c r="J52" s="51"/>
      <c r="K52" s="51" t="n">
        <f aca="false">SUM(K25:K40)</f>
        <v>1852.44560120998</v>
      </c>
      <c r="L52" s="51" t="n">
        <f aca="false">K52*$D$2</f>
        <v>3674.32585</v>
      </c>
      <c r="M52" s="51"/>
      <c r="N52" s="51"/>
      <c r="O52" s="44"/>
      <c r="P52" s="154" t="n">
        <f aca="false">SUM(P49:R49)</f>
        <v>159653.180473</v>
      </c>
      <c r="R52" s="142" t="s">
        <v>84</v>
      </c>
      <c r="S52" s="52" t="n">
        <v>713</v>
      </c>
      <c r="T52" s="52"/>
      <c r="V52" s="52"/>
      <c r="W52" s="52" t="n">
        <f aca="false">W51-W49</f>
        <v>21443.0495</v>
      </c>
      <c r="X52" s="51" t="str">
        <f aca="false">"= released"</f>
        <v>= released</v>
      </c>
      <c r="Y52" s="51"/>
      <c r="Z52" s="55"/>
      <c r="AA52" s="56"/>
      <c r="AB52" s="56"/>
      <c r="AC52" s="57"/>
      <c r="AD52" s="84"/>
      <c r="AE52" s="84"/>
    </row>
    <row r="53" customFormat="false" ht="11.1" hidden="false" customHeight="true" outlineLevel="0" collapsed="false">
      <c r="A53" s="79"/>
      <c r="B53" s="79"/>
      <c r="C53" s="52"/>
      <c r="D53" s="52"/>
      <c r="E53" s="52"/>
      <c r="F53" s="79"/>
      <c r="G53" s="79"/>
      <c r="H53" s="148"/>
      <c r="I53" s="79"/>
      <c r="J53" s="79"/>
      <c r="K53" s="79"/>
      <c r="L53" s="51" t="n">
        <f aca="false">L51+L52</f>
        <v>5941.60355</v>
      </c>
      <c r="M53" s="78"/>
      <c r="N53" s="78"/>
      <c r="O53" s="78"/>
      <c r="P53" s="51"/>
      <c r="Q53" s="51"/>
      <c r="R53" s="52" t="s">
        <v>85</v>
      </c>
      <c r="S53" s="155" t="n">
        <v>1271</v>
      </c>
      <c r="T53" s="156"/>
      <c r="V53" s="52"/>
      <c r="W53" s="79"/>
      <c r="X53" s="79"/>
      <c r="Y53" s="79"/>
      <c r="Z53" s="55"/>
      <c r="AA53" s="56"/>
      <c r="AB53" s="56"/>
      <c r="AC53" s="57"/>
      <c r="AD53" s="89"/>
      <c r="AE53" s="89"/>
    </row>
    <row r="54" customFormat="false" ht="11.1" hidden="false" customHeight="true" outlineLevel="0" collapsed="false">
      <c r="A54" s="79"/>
      <c r="B54" s="55"/>
      <c r="C54" s="52"/>
      <c r="D54" s="52"/>
      <c r="E54" s="52"/>
      <c r="F54" s="79"/>
      <c r="G54" s="79"/>
      <c r="H54" s="148"/>
      <c r="I54" s="79"/>
      <c r="J54" s="79"/>
      <c r="K54" s="79"/>
      <c r="L54" s="79"/>
      <c r="M54" s="78"/>
      <c r="N54" s="78"/>
      <c r="O54" s="78"/>
      <c r="P54" s="79"/>
      <c r="Q54" s="79" t="s">
        <v>86</v>
      </c>
      <c r="R54" s="52"/>
      <c r="S54" s="52" t="n">
        <f aca="false">S49-SUM(S51:S53)</f>
        <v>154081.180473</v>
      </c>
      <c r="T54" s="79"/>
      <c r="V54" s="52"/>
      <c r="W54" s="79"/>
      <c r="X54" s="79"/>
      <c r="Y54" s="79"/>
      <c r="Z54" s="55"/>
      <c r="AA54" s="56"/>
      <c r="AB54" s="56"/>
      <c r="AC54" s="57"/>
      <c r="AD54" s="89"/>
      <c r="AE54" s="89"/>
    </row>
    <row r="55" customFormat="false" ht="11.1" hidden="false" customHeight="true" outlineLevel="0" collapsed="false">
      <c r="A55" s="79"/>
      <c r="B55" s="79"/>
      <c r="C55" s="52"/>
      <c r="D55" s="79"/>
      <c r="E55" s="52"/>
      <c r="F55" s="79"/>
      <c r="G55" s="83"/>
      <c r="H55" s="148"/>
      <c r="I55" s="79"/>
      <c r="J55" s="79"/>
      <c r="K55" s="79"/>
      <c r="L55" s="79"/>
      <c r="M55" s="78"/>
      <c r="N55" s="78"/>
      <c r="O55" s="78"/>
      <c r="P55" s="79"/>
      <c r="Q55" s="79"/>
      <c r="R55" s="52"/>
      <c r="S55" s="52"/>
      <c r="T55" s="79"/>
      <c r="V55" s="52"/>
      <c r="W55" s="79"/>
      <c r="X55" s="79"/>
      <c r="Y55" s="79"/>
      <c r="Z55" s="55"/>
      <c r="AA55" s="56"/>
      <c r="AB55" s="56"/>
      <c r="AC55" s="57"/>
      <c r="AD55" s="89"/>
      <c r="AE55" s="89"/>
    </row>
    <row r="56" customFormat="false" ht="11.1" hidden="false" customHeight="true" outlineLevel="0" collapsed="false">
      <c r="S56" s="45" t="n">
        <v>22108</v>
      </c>
    </row>
    <row r="57" customFormat="false" ht="11.1" hidden="false" customHeight="true" outlineLevel="0" collapsed="false">
      <c r="S57" s="45" t="n">
        <v>28616</v>
      </c>
    </row>
    <row r="58" customFormat="false" ht="11.1" hidden="false" customHeight="true" outlineLevel="0" collapsed="false">
      <c r="S58" s="45" t="n">
        <v>19263</v>
      </c>
    </row>
    <row r="59" customFormat="false" ht="11.1" hidden="false" customHeight="true" outlineLevel="0" collapsed="false">
      <c r="S59" s="45" t="n">
        <v>9835</v>
      </c>
    </row>
    <row r="60" customFormat="false" ht="11.1" hidden="false" customHeight="true" outlineLevel="0" collapsed="false">
      <c r="S60" s="45" t="n">
        <f aca="false">SUM(S56:S59)</f>
        <v>79822</v>
      </c>
    </row>
    <row r="61" customFormat="false" ht="11.1" hidden="false" customHeight="true" outlineLevel="0" collapsed="false">
      <c r="S61" s="157" t="n">
        <v>0.299</v>
      </c>
    </row>
    <row r="62" customFormat="false" ht="11.1" hidden="false" customHeight="true" outlineLevel="0" collapsed="false">
      <c r="S62" s="45" t="n">
        <f aca="false">S60*S61</f>
        <v>23866.778</v>
      </c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1997-11-03T15:03:40Z</dcterms:created>
  <dc:creator>JOHN PORTER</dc:creator>
  <dc:description/>
  <dc:language>en-US</dc:language>
  <cp:lastModifiedBy>La Von Millard</cp:lastModifiedBy>
  <cp:lastPrinted>2002-04-02T13:51:45Z</cp:lastPrinted>
  <dcterms:modified xsi:type="dcterms:W3CDTF">2014-03-26T14:21:57Z</dcterms:modified>
  <cp:revision>0</cp:revision>
  <dc:subject>MCPHEE IN/OUT FLOW</dc:subject>
  <dc:title>RIVER</dc:title>
</cp:coreProperties>
</file>