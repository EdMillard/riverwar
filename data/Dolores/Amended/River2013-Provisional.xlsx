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comments8.xml" ContentType="application/vnd.openxmlformats-officedocument.spreadsheetml.comments+xml"/>
  <Override PartName="/xl/comments7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10.vml" ContentType="application/vnd.openxmlformats-officedocument.vmlDrawing"/>
  <Override PartName="/xl/drawings/vmlDrawing6.vml" ContentType="application/vnd.openxmlformats-officedocument.vmlDrawing"/>
  <Override PartName="/xl/drawings/vmlDrawing11.vml" ContentType="application/vnd.openxmlformats-officedocument.vmlDrawing"/>
  <Override PartName="/xl/drawings/vmlDrawing7.vml" ContentType="application/vnd.openxmlformats-officedocument.vmlDrawing"/>
  <Override PartName="/xl/drawings/vmlDrawing12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comments2.xml" ContentType="application/vnd.openxmlformats-officedocument.spreadsheetml.comment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9.xml" ContentType="application/vnd.openxmlformats-officedocument.spreadsheetml.comment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definedNames>
    <definedName function="false" hidden="false" localSheetId="5" name="_xlnm.Print_Area" vbProcedure="false">APR!$A$1:$AZ$56</definedName>
    <definedName function="false" hidden="false" localSheetId="9" name="_xlnm.Print_Area" vbProcedure="false">AUG!$A$1:$BB$60</definedName>
    <definedName function="false" hidden="false" localSheetId="1" name="_xlnm.Print_Area" vbProcedure="false">DEC!$A$1:$AZ$60</definedName>
    <definedName function="false" hidden="false" localSheetId="3" name="_xlnm.Print_Area" vbProcedure="false">FEB!$A$1:$AZ$60</definedName>
    <definedName function="false" hidden="false" localSheetId="2" name="_xlnm.Print_Area" vbProcedure="false">JAN!$A$1:$AZ$60</definedName>
    <definedName function="false" hidden="false" localSheetId="8" name="_xlnm.Print_Area" vbProcedure="false">JUL!$A$1:$AZ$59</definedName>
    <definedName function="false" hidden="false" localSheetId="7" name="_xlnm.Print_Area" vbProcedure="false">JUN!$A$1:$AZ$56</definedName>
    <definedName function="false" hidden="false" localSheetId="4" name="_xlnm.Print_Area" vbProcedure="false">MAR!$A$1:$AZ$60</definedName>
    <definedName function="false" hidden="false" localSheetId="6" name="_xlnm.Print_Area" vbProcedure="false">MAY!$A$1:$AZ$60</definedName>
    <definedName function="false" hidden="false" localSheetId="11" name="_xlnm.Print_Area" vbProcedure="false">OCT!$A$1:$BA$60</definedName>
    <definedName function="false" hidden="false" localSheetId="10" name="_xlnm.Print_Area" vbProcedure="false">SEP!$A$1:$BB$60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40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River Frozen Over</t>
        </r>
      </text>
    </comment>
    <comment ref="O46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CFS on 11/1 &amp; 11/5 are calculated into October 31st previous water year.</t>
        </r>
      </text>
    </commen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=((daily reading)*1.04)-Col T # gives you more than 4.20, you need to enter the following formula in the Cortez Project column. =(((daily reading)*1.04)-col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V1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start Stock Water</t>
        </r>
      </text>
    </comment>
    <comment ref="V21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9 a.m. Start Narrig. Fill
18.0 cfs going to Narrig.</t>
        </r>
      </text>
    </comment>
    <comment ref="W1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MVIC start Stock Water</t>
        </r>
      </text>
    </comment>
    <comment ref="W23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Stop all stock Water @ 4:00 Pm</t>
        </r>
      </text>
    </comment>
    <comment ref="X1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Ute F&amp;R removed from formula. Ute use was placed on Oct.</t>
        </r>
      </text>
    </comment>
    <comment ref="X1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Ute F&amp;R removed from formula. Ute use was placed on Oct.</t>
        </r>
      </text>
    </comment>
    <comment ref="AI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This column runs from April 1st to March 31th as according to contract.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=((daily reading)*1.04)-Col T # gives you more than 4.20, you need to enter the following formula in the Cortez Project column. =(((daily reading)*1.04)-col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AI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This column runs from April 1st to March 31th as according to contract.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=((daily reading)*1.04)-Col T # gives you more than 4.20, you need to enter the following formula in the Cortez Project column. =(((daily reading)*1.04)-col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AI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This column runs from April 1st to March 31th as according to contract.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=((daily reading)*1.04)-Col T # gives you more than 4.20, you need to enter the following formula in the Cortez Project column. =(((daily reading)*1.04)-col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AI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This column runs from April 1st to March 31th as according to contract.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=((daily reading)*1.04)-Col T # gives you more than 4.20, you need to enter the following formula in the Cortez Project column. =(((daily reading)*1.04)-col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AI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This column runs from April 1st to March 31th as according to contract.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N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Of the 800 Ac. Ft. of Fish &amp; Wildlife water 400 Ac. Ft.goes into the Wetlands &amp; 400 Ac. ft. goes into Totten.</t>
        </r>
      </text>
    </commen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=((daily reading)*1.04)-Col T # gives you more than 4.20, you need to enter the following formula in the Cortez Project column. =(((daily reading)*1.04)-col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V39" authorId="0">
      <text>
        <r>
          <rPr>
            <b val="true"/>
            <sz val="8"/>
            <color rgb="FF000000"/>
            <rFont val="Tahoma"/>
            <family val="2"/>
          </rPr>
          <t xml:space="preserve">Jody:
</t>
        </r>
        <r>
          <rPr>
            <sz val="8"/>
            <color rgb="FF000000"/>
            <rFont val="Tahoma"/>
            <family val="2"/>
          </rPr>
          <t xml:space="preserve">End of Narraguinnep run through the lone Pine. Continuing Narraguinnep fill in McPhee in Column AC.
</t>
        </r>
      </text>
    </comment>
    <comment ref="AC13" authorId="0">
      <text>
        <r>
          <rPr>
            <b val="true"/>
            <sz val="8"/>
            <color rgb="FF000000"/>
            <rFont val="Tahoma"/>
            <family val="2"/>
          </rPr>
          <t xml:space="preserve">Jody:
</t>
        </r>
        <r>
          <rPr>
            <sz val="8"/>
            <color rgb="FF000000"/>
            <rFont val="Tahoma"/>
            <family val="2"/>
          </rPr>
          <t xml:space="preserve">Recovery of Narraguinnep account due to winter gauge revisions.
</t>
        </r>
      </text>
    </comment>
    <comment ref="AC15" authorId="0">
      <text>
        <r>
          <rPr>
            <b val="true"/>
            <sz val="8"/>
            <color rgb="FF000000"/>
            <rFont val="Tahoma"/>
            <family val="2"/>
          </rPr>
          <t xml:space="preserve">Jody:
</t>
        </r>
        <r>
          <rPr>
            <sz val="8"/>
            <color rgb="FF000000"/>
            <rFont val="Tahoma"/>
            <family val="2"/>
          </rPr>
          <t xml:space="preserve">Begin Totten Fill
</t>
        </r>
      </text>
    </comment>
    <comment ref="AC36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USGS numbers changed 7/3/13 upwards. Totten exchange ends @ 1714 cfs - 10.6 cfs for evap. Begin Narraguinep storage 24.6 cfs.</t>
        </r>
      </text>
    </comment>
    <comment ref="AC44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End Narraguinep fill @ 3673 cfs = 7286 AC FT less evap 19 cfs. Total Totten + Narraguinep = 3400 + 7286 = 10686 AF - 59 AF evap = 10627 AF = 5357 cfs.</t>
        </r>
      </text>
    </comment>
    <comment ref="AE38" authorId="0">
      <text>
        <r>
          <rPr>
            <b val="true"/>
            <sz val="8"/>
            <color rgb="FF000000"/>
            <rFont val="Tahoma"/>
            <family val="2"/>
          </rPr>
          <t xml:space="preserve">Jody:
</t>
        </r>
        <r>
          <rPr>
            <sz val="8"/>
            <color rgb="FF000000"/>
            <rFont val="Tahoma"/>
            <family val="2"/>
          </rPr>
          <t xml:space="preserve">Start Dove Creek fill
</t>
        </r>
      </text>
    </comment>
    <comment ref="AI5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This column runs from April 1st to March 31th as according to contract.</t>
        </r>
      </text>
    </comment>
    <comment ref="AI7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August 1st Fish Pool allocation amount. Updated 10/3/13. From Ken's Alloc Sheet.</t>
        </r>
      </text>
    </comment>
    <comment ref="AI8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Old Fish Pool Allocation Amount
</t>
        </r>
      </text>
    </comment>
    <comment ref="AI9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August 1st Fish Pool allocation amount. Updated 8/5/13.</t>
        </r>
      </text>
    </comment>
    <comment ref="AN36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USGS numbers changed upwards 7/3/13. Moved from 7/24 to 7/22. Narraguinep begin filling in McPhee and Lone Pine.</t>
        </r>
      </text>
    </comment>
    <comment ref="AN44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Final fill of Narr in McPhee.</t>
        </r>
      </text>
    </comment>
    <comment ref="AT7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Of the 800 Ac. Ft. of Fish &amp; Wildlife water 400 Ac. Ft. goes into Totten.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=((daily reading)*1.04)-Col T # gives you more than 4.20, you need to enter the following formula in the Cortez Project column. =(((daily reading)*1.04)-col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P33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Questar cut off at 14 AF total.</t>
        </r>
      </text>
    </commen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=(daily reading*1.04)-Col T # gives you more than 4.20, you need to enter the following formula in the Cortez Project column. =((daily reading*1.04)-col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AS25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MVI releasing for U/S exchange.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23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Adjusted down 0.05 feet to correct calc inflow.</t>
        </r>
      </text>
    </comment>
    <comment ref="N25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Vernon Harrell: Wetland water turned off 7/11/13. City of Cortez using 0.25 CFS/day for Denny Lake from here on out until Fish &amp; Wildlife water exhausted.</t>
        </r>
      </text>
    </comment>
    <comment ref="N45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One day run for Vern H. into Wetlands.</t>
        </r>
      </text>
    </comment>
    <comment ref="O17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UTE F&amp;R PW &amp; SJFW water complete 5200 AF, start 1200 AF lease from DWCD M&amp;I. (Column AU)</t>
        </r>
      </text>
    </comment>
    <comment ref="O43" authorId="0">
      <text>
        <r>
          <rPr>
            <b val="true"/>
            <sz val="8"/>
            <color rgb="FF000000"/>
            <rFont val="Tahoma"/>
            <family val="2"/>
          </rPr>
          <t xml:space="preserve">Ken Curtis:
</t>
        </r>
        <r>
          <rPr>
            <sz val="8"/>
            <color rgb="FF000000"/>
            <rFont val="Tahoma"/>
            <family val="2"/>
          </rPr>
          <t xml:space="preserve">Spill at 605 from Reach 2
Rain &amp; Narr Release.
</t>
        </r>
      </text>
    </commen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=((daily reading)*1.04)-Col T # gives you more than 4.20, you need to enter the following formula in the Cortez Project column. =(((daily reading)*1.04)-col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X43" authorId="0">
      <text>
        <r>
          <rPr>
            <b val="true"/>
            <sz val="8"/>
            <color rgb="FF000000"/>
            <rFont val="Tahoma"/>
            <family val="2"/>
          </rPr>
          <t xml:space="preserve">Ken Curtis:
</t>
        </r>
        <r>
          <rPr>
            <sz val="8"/>
            <color rgb="FF000000"/>
            <rFont val="Tahoma"/>
            <family val="2"/>
          </rPr>
          <t xml:space="preserve">Retracted the Additional 2 CFS from spill moved down to Reach 3.</t>
        </r>
      </text>
    </comment>
    <comment ref="AC36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MVI CALL STOR exhausted. Switched to drawing from this column. For today only eqn is +Z35 for remaining 45 AF MVI CALL STOR. Tomorrow &amp; future eqn will include just the corresponding AP cell. For example tomorrow's eqn: "=AC36-(AQ36/1.9835)+AS37+AP37" where AP37 adjusts for exhausted MVI CALL STOR.</t>
        </r>
      </text>
    </comment>
    <comment ref="AC44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Due to 29ths high inflow, MVI credited for 11.34 AF evap - this equation reflects this (removal of evap subtraction.) Credited on this day due to nature of equation pulling evap from previous day.
</t>
        </r>
      </text>
    </comment>
    <comment ref="AD11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Amount of Project Water calculated on Sept. 9th. 6,905 AF.  Removed extra Aug 8 &amp; 11 Inflows that were not diverted, 4.4 &amp; 85.4 CFS &amp; added 600 AF of Stockwater
</t>
        </r>
      </text>
    </comment>
    <comment ref="AD12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This is the above 6,905
 AF converted into cfs.</t>
        </r>
      </text>
    </comment>
    <comment ref="AP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After June 30th MVIC can not store water in Narr. by contact, so this column only shows what the river produced in relationship to what MVIC used.</t>
        </r>
      </text>
    </comment>
    <comment ref="AP43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=((daily reading)*1.04)-Col T # gives you more than 4.20, you need to enter the following formula in the Cortez Project column. =(((daily reading)*1.04)-col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AC23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Due to 8ths high inflow, MVI credited for 5.53 AF evap - this equation reflects this (removal of evap subtraction.) Credited on this day due to nature of equation pulling evap from previous day.</t>
        </r>
      </text>
    </comment>
    <comment ref="AC26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Due to 11ths high inflow, MVI credited for 5.63 AF evap - this equation reflects this (removal of evap subtraction.) Credited on this day due to nature of equation pulling evap from previous day.</t>
        </r>
      </text>
    </comment>
    <comment ref="AD36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Totten &amp; U/S Exchange water exhausted. Switched over to pulling from MVI Non-Project Water.</t>
        </r>
      </text>
    </comment>
    <comment ref="AP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After June 30th MVIC can not store water in Narr. by contact, so this column only shows what the river produced in relationship to what MVIC used.</t>
        </r>
      </text>
    </comment>
    <comment ref="AP22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 Would've stored 4.4 cfs.</t>
        </r>
      </text>
    </comment>
    <comment ref="AP25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 Would've stored 85.4 cfs.</t>
        </r>
      </text>
    </comment>
    <comment ref="AP40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 Would've stored 90.1 cfs.</t>
        </r>
      </text>
    </comment>
    <comment ref="AP41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 Would've stored 92.3 cfs.</t>
        </r>
      </text>
    </comment>
    <comment ref="AS41" authorId="0">
      <text>
        <r>
          <rPr>
            <b val="true"/>
            <sz val="8"/>
            <color rgb="FF000000"/>
            <rFont val="Tahoma"/>
            <family val="2"/>
          </rPr>
          <t xml:space="preserve">Vernon Lamb: </t>
        </r>
        <r>
          <rPr>
            <sz val="8"/>
            <color rgb="FF000000"/>
            <rFont val="Tahoma"/>
            <family val="2"/>
          </rPr>
          <t xml:space="preserve">10/21/13
Final U/S Exch = 1535 AF + 7.4 AF = 1542.4 AF for late Line Camp SWSP.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23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Estimated value. Estimate Made on Sept 10th: "McPhee Plant Offline - No electronic elevation reading available. Physical measured elevation of 6858.60' @ 15:30 Hrs. Sept 8th's elevation is 6858.70' @ 0:00 Hrs. -0.10' over 15.5 Hrs = -0.0064516129'/1 Hr * 24 Hrs = -0.1548387097' + 6858.70' = 6858.545161' ~ 6858.55' with 159,795 AF capacity." 
Updated Estimate Made on Sept 11th: 9/9/13 measured elevation 6858.60' @ 15:30 Hrs. 9/10/13 measured elevation 6858.56' @ 14:30 Hrs. -0.04' over 23 Hrs = -0.0017391304'/1 Hr. For 9/9 midnight elev take (-0.0017... * 8.5 Hrs) + 6858.60' = 6858.59'. For interpolated 9/10 midnight elev take (-0.0017... * 9.5 Hrs) + 6858.56' = 6858.54'.</t>
        </r>
      </text>
    </comment>
    <comment ref="B24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Estimated Value.
Estimate made on Sept 11th: "McPhee plant still offline, will be offline for a week or so. 9/9/13 measured elevation 6858.60' @ 15:30 Hrs. 9/10/13 measured elevation 6858.56' @ 14:30 Hrs. -0.04' over 23 Hrs = -0.0017391304'/1 Hr. For 9/9 midnight elev take (-0.0017... * 8.5 Hrs) + 6858.60' = 6858.59'. For interpolated 9/10 midnight elev take (-0.0017... * 9.5 Hrs) + 6858.56' = 6858.54' with 159,772 AF capacity."
Updated estimate made on Sept 12th: 9/10/13 measured elevation 6858.56' @ 14:30 Hrs. 9/11/13 measured elevation 6858.59' @ 15:00 Hrs. +0.03' over 24.5 Hrs = +0.0012244898'/1 Hr. For 9/10 midnight elev take (+0.00122... * 9.5 Hrs) + 6858.56' = 6858.57'. For interpolated 9/11 midnight elev take (+0.00122... * 9.0 Hrs) + 6858.59' = 6858.60'.</t>
        </r>
      </text>
    </comment>
    <comment ref="B25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Estimated value.
Estimate made on Sept 12th: 9/10/13 measured elevation 6858.56' @ 14:30 Hrs. 9/11/13 measured elevation 6858.59' @ 15:00 Hrs. +0.03' over 24.5 Hrs = +0.0012244898'/1 Hr. For 9/10 midnight elev take (+0.00122... * 9.5 Hrs) + 6858.56' = 6858.57'. For interpolated 9/11 midnight elev take (+0.00122... * 9.0 Hrs) + 6858.59' = 6858.60'.
Updated estimate made on Sept 13th: 9/11/13 measured elevation 6858.59' @ 15:00 Hrs. 9/12/13 measured elevation 6858.77' @ 09:15 Hrs. +0.18' over 18.25 Hrs = +0.0098630137'/1 Hr. For 9/11 midnight elev take (+0.00986... * 9 Hrs) + 6858.59' = 6858.68'.</t>
        </r>
      </text>
    </comment>
    <comment ref="B26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Estimated value: Sept 16th measured elevation 6861.07' @ 09:15 Hrs. Sept 12th measured elevation 6858.77' @ 09:15 Hrs. +2.3'/96 Hrs = (+0.0239583333'/Hr * 14.75 Hrs) + 6858.77' = 6859.12'.  </t>
        </r>
      </text>
    </comment>
    <comment ref="B27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Estimated value: Sept 16th measured elevation 6861.07' @ 09:15 Hrs. Sept 12th measured elevation 6858.77' @ 09:15 Hrs. +2.3'/96 Hrs = (+0.0239583333'/Hr * 38.75 Hrs) + 6858.77' = 6859.70'.  </t>
        </r>
      </text>
    </comment>
    <comment ref="B28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Estimated value: Sept 16th measured elevation 6861.07' @ 09:15 Hrs. Sept 12th measured elevation 6858.77' @ 09:15 Hrs. +2.3'/96 Hrs = (+0.0239583333'/Hr * 62.75 Hrs) + 6858.77' = 6860.27'.  </t>
        </r>
      </text>
    </comment>
    <comment ref="B29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Estimated value: Sept 16th measured elevation 6861.07' @ 09:15 Hrs. Sept 12th measured elevation 6858.77' @ 09:15 Hrs. +2.3'/96 Hrs = (+0.0239583333'/Hr * 86.75 Hrs) + 6858.77' = 6860.85'.  </t>
        </r>
      </text>
    </comment>
    <comment ref="B30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Projected value: Sept 16th measured elevation 6861.07' @ 09:15 Hrs. Sept 12th measured elevation 6858.77' @ 09:15 Hrs. +2.3'/96 Hrs = (+0.0239583333'/Hr * 14.75 Hrs) + 6861.07' = 6861.42'. 166,344 AF capacity. This value will most likely change with next elevation measurement.
Updated Sept 19th estimate: Sept 19th measured elevation 6862.31' @ 08:45 Hrs. Sept 16th measured elevation 6861.07' @ 09:15 Hrs.  +1.24'/71.5 Hrs = (+0.0173426573'/Hr * 14.75 Hrs) + 6861.07' = 6861.33'.</t>
        </r>
      </text>
    </comment>
    <comment ref="B31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Projected value: Sept 16th measured elevation 6861.07' @ 09:15 Hrs. Sept 12th measured elevation 6858.77' @ 09:15 Hrs. +2.3'/96 Hrs = (+0.0239583333'/Hr * 38.75 Hrs) + 6861.07' = 6862.00'. 167,699 AF capacity. This value will most likely change with next elevation measurement.
Updated Sept 19th estimate: Sept 19th measured elevation 6862.31' @ 08:45 Hrs. Sept 16th measured elevation 6861.07' @ 09:15 Hrs.  +1.24'/71.5 Hrs = (+0.0173426573'/Hr * 38.75 Hrs) + 6861.07' = 6861.74'.</t>
        </r>
      </text>
    </comment>
    <comment ref="B32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Projected value: Sept 16th measured elevation 6861.07' @ 09:15 Hrs. Sept 12th measured elevation 6858.77' @ 09:15 Hrs. +2.3'/96 Hrs = (+0.0239583333'/Hr * 62.75 Hrs) + 6861.07' = 6862.57'. 169,054 AF capacity. This value will most likely change with next elevation measurement.
Updated Sept 19th estimate: Sept 19th measured elevation 6862.31' @ 08:45 Hrs. Sept 16th measured elevation 6861.07' @ 09:15 Hrs.  +1.24'/71.5 Hrs = (+0.0173426573'/Hr *62.75Hrs)+6861.07' = 6862.16'.</t>
        </r>
      </text>
    </comment>
    <comment ref="B33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Projected value: Sept 19th measured elevation 6862.31' @ 08:45 Hrs. Sept 16th measured elevation 6861.07' @ 09:15 Hrs. +1.24'/71.5 Hrs = (+0.0173426573'/Hr * 15.25 Hrs) + 6862.31' = 6862.57'. 169,054 AF capacity. This value will most likely change with next elevation measurement.
Updated Sept 23rd estimate: Sept 23rd measured elevation 6863.67' @ 10:45 Hrs. Sept 19th measured elevation 6862.31' @ 08:45 Hrs. +1.36'/98 Hrs = (+0.013877551'/Hr *15.25Hrs)+6862.31' = 6862.52'. 168,935 AF capacity.</t>
        </r>
      </text>
    </comment>
    <comment ref="B34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Projected value: Sept 19th measured elevation 6862.31' @ 08:45 Hrs. Sept 16th measured elevation 6861.07' @ 09:15 Hrs. +1.24'/71.5 Hrs = (+0.0173426573'/Hr * 39.25 Hrs) + 6862.31' = 6862.99'. 170,053 AF capacity. This value will most likely change with next elevation measurement.
Updated Sept 23rd estimate: Sept 23rd measured elevation 6863.67' @ 10:45 Hrs. Sept 19th measured elevation 6862.31' @ 08:45 Hrs. +1.36'/98 Hrs = (+0.013877551'/Hr *39.25Hrs)+6862.31' = 6862.85'. 169,720 AF capacity.</t>
        </r>
      </text>
    </comment>
    <comment ref="B35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Projected value: Sept 19th measured elevation 6862.31' @ 08:45 Hrs. Sept 16th measured elevation 6861.07' @ 09:15 Hrs. +1.24'/71.5 Hrs = (+0.0173426573'/Hr * 63.25 Hrs) + 6862.31' = 6863.41'. 171,067 AF capacity. This value will most likely change with next elevation measurement.
Updated Sept 23rd estimate: Sept 23rd measured elevation 6863.67' @ 10:45 Hrs. Sept 19th measured elevation 6862.31' @ 08:45 Hrs. +1.36'/98 Hrs = (+0.013877551'/Hr *63.25Hrs)+6862.31' = 6863.19'. 170,536 AF capacity.</t>
        </r>
      </text>
    </comment>
    <comment ref="B36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Projected value: Sept 19th measured elevation 6862.31' @ 08:45 Hrs. Sept 16th measured elevation 6861.07' @ 09:15 Hrs. +1.24'/71.5 Hrs = (+0.0173426573'/Hr * 87.25 Hrs) + 6862.31' = 6863.82'. 172,058 AF capacity. This value will most likely change with next elevation measurement.
Updated Sept 23rd estimate: Sept 23rd measured elevation 6863.67' @ 10:45 Hrs. Sept 19th measured elevation 6862.31' @ 08:45 Hrs. +1.36'/98 Hrs = (+0.013877551'/Hr *87.25Hrs)+6862.31' = 6863.52'. 171,333 AF capacity.</t>
        </r>
      </text>
    </comment>
    <comment ref="B37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Projected value: Sept 23rd measured elevation 6863.67' @ 10:45 Hrs. Sept 19th measured elevation 6862.31' @ 08:45 Hrs. +1.36'/98 Hrs = (+0.013877551'/Hr *13.25Hrs)+6863.67' = 6863.85'. 172,131 AF capacity. This value will most likely change with next elevation measurement.
Updated Sept 25th estimate: Sept 25th measured elevation 6864.48' @ 14:00 Hrs. Sept 23rd measured elevation 6863.67' @ 10:45 Hrs.  +0.81'/51.25 Hrs = (+0.015804878'/Hr *13.25Hrs)+6863.67' = 6863.88'. 172,203 AF capacity.</t>
        </r>
      </text>
    </comment>
    <comment ref="B38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Projected value: Sept 23rd measured elevation 6863.67' @ 10:45 Hrs. Sept 19th measured elevation 6862.31' @ 08:45 Hrs. +1.36'/98 Hrs = (+0.013877551'/Hr *37.25Hrs)+6863.67' = 6864.19'. 172,960 AF capacity. This value will most likely change with next elevation measurement.
Updated Sept 25th estimate: Sept 25th measured elevation 6864.48' @ 14:00 Hrs. Sept 23rd measured elevation 6863.67' @ 10:45 Hrs.  +0.81'/51.25 Hrs = (+0.015804878'/Hr *37.25Hrs)+6863.67' = 6864.26'. 173,132 AF capacity.</t>
        </r>
      </text>
    </comment>
    <comment ref="B39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Projected value: Sept 25th measured elevation 6864.48' @ 14:00 Hrs. Sept 23rd measured elevation 6863.67' @ 10:45 Hrs.  +0.81'/51.25 Hrs = (+0.015804878'/Hr *61.25Hrs)+6863.67' = 6864.64'. 174,066 AF capacity. This value will most likely change with next elevation measurement.
Updated Sept 26th estimate: Sept 26th measured elevation 6864.61' @ 11:15 Hrs. Sept 25th measured elevation 6864.48' @ 14:00 Hrs.   +0.13'/21.25 Hrs = (+0.0061176471'/Hr *10.00Hrs)+6864.48' = 6864.54'. 173,820 AF capacity.</t>
        </r>
      </text>
    </comment>
    <comment ref="B40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No communication with McPhee station, estimated value: Sept 30th measured elevation 6864.73' @ 09:30 Hrs. Sept 26th measured elevation 6864.61' @ 11:15 Hrs.  +0.12'/94.25 Hrs = (+0.0012732095'/Hr *12.75Hrs)+6864.61' = 6864.63'. 174,041 AF capacity.</t>
        </r>
      </text>
    </comment>
    <comment ref="B41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No communication with McPhee station, estimated value: Sept 30th measured elevation 6864.73' @ 09:30 Hrs. Sept 26th measured elevation 6864.61' @ 11:15 Hrs.  +0.12'/94.25 Hrs = (+0.0012732095'/Hr *36.75Hrs)+6864.61' = 6864.66'. 174,115 AF capacity.</t>
        </r>
      </text>
    </comment>
    <comment ref="B42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No communication with McPhee station, estimated value: Sept 30th measured elevation 6864.73' @ 09:30 Hrs. Sept 26th measured elevation 6864.61' @ 11:15 Hrs.  +0.12'/94.25 Hrs = (+0.0012732095'/Hr *60.75Hrs)+6864.61' = 6864.69'. 174,188 AF capacity.</t>
        </r>
      </text>
    </comment>
    <comment ref="B43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No communication with McPhee station, estimated value: Sept 30th measured elevation 6864.73' @ 09:30 Hrs. Sept 26th measured elevation 6864.61' @ 11:15 Hrs.  +0.12'/94.25 Hrs = (+0.0012732095'/Hr *84.75Hrs)+6864.61' = 6864.72'. 174,262 AF capacity.</t>
        </r>
      </text>
    </comment>
    <comment ref="B44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No communication with McPhee station, estimated value: Sept 30th measured elevation 6864.73' @ 09:30 Hrs. Sept 26th measured elevation 6864.61' @ 11:15 Hrs.  +0.12'/94.25 Hrs = (+0.0012732095'/Hr *14.50Hrs)+6864.73' = 6864.75'. 174,336 AF capacity. This value will most likely change with next elevation measurement.
Updated Oct 2nd estimate; McPhee station back online: Oct 1 midnight elevation 6864.59'. Sept 30th measured elevation 6864.73' @ 09:30 Hrs.  -0.14'/38.50 Hrs = (-0.0036363636'/Hr *14.50Hrs)+6864.73' = 6864.68'. 174,164 AF capacity.</t>
        </r>
      </text>
    </commen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=((daily reading)*1.04)-Col T # gives you more than 4.20, you need to enter the following formula in the Cortez Project column. =(((daily reading)*1.04)-col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V39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Begin Narraguinnep fill for 2014. High inflow, Lone Pine diverting less than Dolores River making.</t>
        </r>
      </text>
    </comment>
    <comment ref="X38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MVIC shut off on this day.</t>
        </r>
      </text>
    </comment>
    <comment ref="X39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Ute F&amp;R diversions more than tunnel diversions therefore larger impact on diversions for MVIC.</t>
        </r>
      </text>
    </comment>
    <comment ref="AD38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MVIC done irrigating, Project Water complete.</t>
        </r>
      </text>
    </comment>
    <comment ref="AN39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Begin Narraguinnep fill for 2014. High inflow, Lone Pine diverting less than Dolores River making.</t>
        </r>
      </text>
    </comment>
    <comment ref="AP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After June 30th MVIC can not store water in Narr. by contact, so this column only shows what the river produced in relationship to what MVIC used.</t>
        </r>
      </text>
    </comment>
    <comment ref="AP25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 Would've stored 154.7 cfs.</t>
        </r>
      </text>
    </comment>
    <comment ref="AP26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 Would've stored 280.2 cfs.</t>
        </r>
      </text>
    </comment>
    <comment ref="AP27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 Would've stored 677.5 cfs.</t>
        </r>
      </text>
    </comment>
    <comment ref="AP28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 Would've stored 492.5 cfs.</t>
        </r>
      </text>
    </comment>
    <comment ref="AP29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 Would've stored 762.9 cfs.</t>
        </r>
      </text>
    </comment>
    <comment ref="AP30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 Would've stored 724.6 cfs.</t>
        </r>
      </text>
    </comment>
    <comment ref="AP31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 Would've stored 509.0 cfs.</t>
        </r>
      </text>
    </comment>
    <comment ref="AP32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 Would've stored 386.1 cfs.</t>
        </r>
      </text>
    </comment>
    <comment ref="AP33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 Would've stored 543.6 cfs.</t>
        </r>
      </text>
    </comment>
    <comment ref="AP34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 Would've stored 365.9 cfs.</t>
        </r>
      </text>
    </comment>
    <comment ref="AP35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 Would've stored 258.6 cfs.</t>
        </r>
      </text>
    </comment>
    <comment ref="AP36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 Would've stored 274.2 cfs.</t>
        </r>
      </text>
    </comment>
    <comment ref="AP37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 Would've stored 637.3 cfs.</t>
        </r>
      </text>
    </comment>
    <comment ref="AP38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 Would've stored 529.7 cfs.</t>
        </r>
      </text>
    </comment>
    <comment ref="AP39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High inflow on this day, resulted in MVI storage of water. MVI cannot store water at this time, special equation inserted to account for this. Would've stored 264.5 cfs.</t>
        </r>
      </text>
    </comment>
    <comment ref="AP40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128.4 cfs.</t>
        </r>
      </text>
    </comment>
    <comment ref="AP41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112.9 cfs.</t>
        </r>
      </text>
    </comment>
    <comment ref="AP42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87.2 cfs.</t>
        </r>
      </text>
    </comment>
    <comment ref="AP43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49.9 cfs.</t>
        </r>
      </text>
    </comment>
    <comment ref="AP44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7.9 cfs.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5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McPhee station back online. End of estimated elevation values.</t>
        </r>
      </text>
    </comment>
    <comment ref="B24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McPhee elevation offline. 
Interpolated value. McPhee elevation measured 14 Oct 2013: 6863.08' @ 10:45 Hrs. 6863.08' - 6863.38' = -0.30' / 106.75 Hrs = -0.0028103044'/1 Hr * 24 Hrs = -0.0674473068' + 6863.38' = 6863.31'.</t>
        </r>
      </text>
    </comment>
    <comment ref="B25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McPhee elevation offline. 
Interpolated value. McPhee elevation measured 14 Oct 2013: 6863.08' @ 10:45 Hrs. 6863.08' - 6863.38' = -0.30' / 106.75 Hrs = -0.0028103044'/1 Hr * 48 Hrs = -0.1348946136' + 6863.38' = 6863.25'.</t>
        </r>
      </text>
    </comment>
    <comment ref="B26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McPhee elevation offline. 
Interpolated value. McPhee elevation measured 14 Oct 2013: 6863.08' @ 10:45 Hrs. 6863.08' - 6863.38' = -0.30' / 106.75 Hrs = -0.0028103044'/1 Hr * 72 Hrs = -0.2023419204' + 6863.38' = 6863.18'.</t>
        </r>
      </text>
    </comment>
    <comment ref="B27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McPhee elevation offline. 
Interpolated value. McPhee elevation measured 14 Oct 2013: 6863.08' @ 10:45 Hrs. 6863.08' - 6863.38' = -0.30' / 106.75 Hrs = -0.0028103044'/1 Hr * 96 Hrs = -0.2697892272' + 6863.38' = 6863.11'.</t>
        </r>
      </text>
    </comment>
    <comment ref="B28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McPhee elevation back online.</t>
        </r>
      </text>
    </comment>
    <comment ref="R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If the formula =((daily reading)*1.04)-Col T # gives you more than 4.20, you need to enter the following formula in the Cortez Project column. =(((daily reading)*1.04)-col T #)-4.20. Then just enter 4.20 in this column.</t>
        </r>
      </text>
    </comment>
    <comment ref="R9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Cortez Non-project water is limited to 4.20 cfs/day.</t>
        </r>
      </text>
    </comment>
    <comment ref="T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The formula is =(daily use from the Towaoc file*1.06)*1.04</t>
        </r>
      </text>
    </comment>
    <comment ref="Y35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Begin MVIC Stock Run.</t>
        </r>
      </text>
    </comment>
    <comment ref="AN15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Diverting more than the Dolores River is making. Difference: 28.0 CFS.
</t>
        </r>
      </text>
    </comment>
    <comment ref="AN16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Diverting more than the Dolores River is making. Difference: 52.0 CFS.</t>
        </r>
      </text>
    </comment>
    <comment ref="AN17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Diverting more than the Dolores River is making. Difference: 72.0 CFS.</t>
        </r>
      </text>
    </comment>
    <comment ref="AN18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Diverting more than the Dolores River is making. Difference: 104.0 CFS.</t>
        </r>
      </text>
    </comment>
    <comment ref="AN19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Diverting more than the Dolores River is making. Difference: 123.0 CFS.</t>
        </r>
      </text>
    </comment>
    <comment ref="AN20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Diverting more than the Dolores River is making. Difference: 132.0 CFS.</t>
        </r>
      </text>
    </comment>
    <comment ref="AN21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Diverting more than the Dolores River is making. Difference: 129.0 CFS.</t>
        </r>
      </text>
    </comment>
    <comment ref="AN22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Diverting more than the Dolores River is making. Difference: 131.0 CFS.</t>
        </r>
      </text>
    </comment>
    <comment ref="AN23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Diverting more than the Dolores River is making. Difference: 139.0 CFS.</t>
        </r>
      </text>
    </comment>
    <comment ref="AN24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Diverting more than the Dolores River is making. Difference: 87 CFS.</t>
        </r>
      </text>
    </comment>
    <comment ref="AN25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Diverting more than the Dolores River is making. Difference: 98 CFS.</t>
        </r>
      </text>
    </comment>
    <comment ref="AN26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Diverting more than the Dolores River is making. Difference: 113 CFS.</t>
        </r>
      </text>
    </comment>
    <comment ref="AN27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Diverting more than the Dolores River is making. Difference: 99 CFS.</t>
        </r>
      </text>
    </comment>
    <comment ref="AN28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Boat Ramp elevation 62.4'.</t>
        </r>
      </text>
    </comment>
    <comment ref="AO35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Start MVIC Stock Run. East Lateral 12.0 CFS and West Lateral 7.41 CFS.</t>
        </r>
      </text>
    </comment>
    <comment ref="AO36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East Lateral 10.74 CFS and West Lateral 17.78 CFS.</t>
        </r>
      </text>
    </comment>
    <comment ref="AO37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East Lateral 10.69 CFS and West Lateral 15.29 CFS.</t>
        </r>
      </text>
    </comment>
    <comment ref="AO38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East Lateral 9.51 CFS and West Lateral 15.32 CFS. Last day of MVIC Stock Run. East &amp; West Lateral reduced to 0 cfs at Midnight.</t>
        </r>
      </text>
    </comment>
    <comment ref="AP8" authorId="0">
      <text>
        <r>
          <rPr>
            <b val="true"/>
            <sz val="8"/>
            <color rgb="FF000000"/>
            <rFont val="Tahoma"/>
            <family val="2"/>
          </rPr>
          <t xml:space="preserve">E. A. Birk:
</t>
        </r>
        <r>
          <rPr>
            <sz val="8"/>
            <color rgb="FF000000"/>
            <rFont val="Tahoma"/>
            <family val="2"/>
          </rPr>
          <t xml:space="preserve">After June 30th MVIC can not store water in Narr. by contact, so this column only shows what the river produced in relationship to what MVIC used.</t>
        </r>
      </text>
    </comment>
    <comment ref="AP28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114.7 cfs.</t>
        </r>
      </text>
    </comment>
    <comment ref="AP29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214.1 cfs.</t>
        </r>
      </text>
    </comment>
    <comment ref="AP30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180.6 cfs.</t>
        </r>
      </text>
    </comment>
    <comment ref="AP31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178.5 cfs.</t>
        </r>
      </text>
    </comment>
    <comment ref="AP32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172.6 cfs.</t>
        </r>
      </text>
    </comment>
    <comment ref="AP33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157.5 cfs.</t>
        </r>
      </text>
    </comment>
    <comment ref="AP34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162.3 cfs.</t>
        </r>
      </text>
    </comment>
    <comment ref="AP35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112.5 cfs.</t>
        </r>
      </text>
    </comment>
    <comment ref="AP36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90.7 cfs.</t>
        </r>
      </text>
    </comment>
    <comment ref="AP37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114.0 cfs.</t>
        </r>
      </text>
    </comment>
    <comment ref="AP38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123.6 cfs.</t>
        </r>
      </text>
    </comment>
    <comment ref="AP39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175.7 cfs.</t>
        </r>
      </text>
    </comment>
    <comment ref="AP40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182.8 cfs.</t>
        </r>
      </text>
    </comment>
    <comment ref="AP41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174.7 cfs.</t>
        </r>
      </text>
    </comment>
    <comment ref="AP42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182.8 cfs.</t>
        </r>
      </text>
    </comment>
    <comment ref="AP43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176.0 cfs.</t>
        </r>
      </text>
    </comment>
    <comment ref="AP44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167.5 cfs.</t>
        </r>
      </text>
    </comment>
    <comment ref="AP45" authorId="0">
      <text>
        <r>
          <rPr>
            <b val="true"/>
            <sz val="8"/>
            <color rgb="FF000000"/>
            <rFont val="Tahoma"/>
            <family val="2"/>
          </rPr>
          <t xml:space="preserve">Vernon Lamb:
</t>
        </r>
        <r>
          <rPr>
            <sz val="8"/>
            <color rgb="FF000000"/>
            <rFont val="Tahoma"/>
            <family val="2"/>
          </rPr>
          <t xml:space="preserve">Numbers resulted in MVI storage of water. MVI cannot store water at this time, special equation inserted to account for this. Would've stored 169.2 cfs.</t>
        </r>
      </text>
    </comment>
  </commentList>
</comments>
</file>

<file path=xl/sharedStrings.xml><?xml version="1.0" encoding="utf-8"?>
<sst xmlns="http://schemas.openxmlformats.org/spreadsheetml/2006/main" count="2244" uniqueCount="151">
  <si>
    <t xml:space="preserve">MCPHEE  RESERVOIR  INFLOW/OUTFLOW  TABULATION</t>
  </si>
  <si>
    <t xml:space="preserve">AF/cfs  CONVERT FACTOR</t>
  </si>
  <si>
    <t xml:space="preserve">                     NOVEMBER  "2012"</t>
  </si>
  <si>
    <t xml:space="preserve">RESERVOIR</t>
  </si>
  <si>
    <t xml:space="preserve">      INFLOW</t>
  </si>
  <si>
    <t xml:space="preserve">OUTFLOW </t>
  </si>
  <si>
    <t xml:space="preserve">ADJUSTMENTS</t>
  </si>
  <si>
    <t xml:space="preserve">WEATHER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</si>
  <si>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</si>
  <si>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</si>
  <si>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</si>
  <si>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</si>
  <si>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</si>
  <si>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</si>
  <si>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</si>
  <si>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</t>
  </si>
  <si>
    <t xml:space="preserve">CALC</t>
  </si>
  <si>
    <t xml:space="preserve">TOTAL</t>
  </si>
  <si>
    <t xml:space="preserve">DOLORES TUNNEL</t>
  </si>
  <si>
    <t xml:space="preserve">LONE</t>
  </si>
  <si>
    <t xml:space="preserve">U</t>
  </si>
  <si>
    <t xml:space="preserve">MVI</t>
  </si>
  <si>
    <t xml:space="preserve">TO EX &amp;</t>
  </si>
  <si>
    <t xml:space="preserve">DV  CR</t>
  </si>
  <si>
    <t xml:space="preserve">       D/S SENIOR </t>
  </si>
  <si>
    <t xml:space="preserve">BELOW</t>
  </si>
  <si>
    <t xml:space="preserve">FISH</t>
  </si>
  <si>
    <t xml:space="preserve">SPILL</t>
  </si>
  <si>
    <t xml:space="preserve">NAR</t>
  </si>
  <si>
    <t xml:space="preserve">MVI </t>
  </si>
  <si>
    <t xml:space="preserve">DIST.</t>
  </si>
  <si>
    <t xml:space="preserve">U/S</t>
  </si>
  <si>
    <t xml:space="preserve">TOTTEN</t>
  </si>
  <si>
    <t xml:space="preserve">UTES</t>
  </si>
  <si>
    <t xml:space="preserve">RAIN</t>
  </si>
  <si>
    <t xml:space="preserve">MAX</t>
  </si>
  <si>
    <t xml:space="preserve">MIN</t>
  </si>
  <si>
    <t xml:space="preserve">NOV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</si>
  <si>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</si>
  <si>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</si>
  <si>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</si>
  <si>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</si>
  <si>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</si>
  <si>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</t>
  </si>
  <si>
    <t xml:space="preserve">INFLOW</t>
  </si>
  <si>
    <t xml:space="preserve">INF/OTF</t>
  </si>
  <si>
    <t xml:space="preserve">TOT DIV</t>
  </si>
  <si>
    <t xml:space="preserve">WET</t>
  </si>
  <si>
    <t xml:space="preserve">UTE</t>
  </si>
  <si>
    <t xml:space="preserve">QUEST</t>
  </si>
  <si>
    <t xml:space="preserve">MWC</t>
  </si>
  <si>
    <t xml:space="preserve">         CORTEZ</t>
  </si>
  <si>
    <t xml:space="preserve">F-BAY</t>
  </si>
  <si>
    <t xml:space="preserve">PINE</t>
  </si>
  <si>
    <t xml:space="preserve">LAT</t>
  </si>
  <si>
    <t xml:space="preserve">CALL</t>
  </si>
  <si>
    <t xml:space="preserve">APR-</t>
  </si>
  <si>
    <t xml:space="preserve">U/S EX</t>
  </si>
  <si>
    <t xml:space="preserve">PROJ </t>
  </si>
  <si>
    <t xml:space="preserve">CANAL</t>
  </si>
  <si>
    <t xml:space="preserve">MVIC</t>
  </si>
  <si>
    <t xml:space="preserve">PROJ</t>
  </si>
  <si>
    <t xml:space="preserve">MCP</t>
  </si>
  <si>
    <t xml:space="preserve">LEFT</t>
  </si>
  <si>
    <t xml:space="preserve">OTF</t>
  </si>
  <si>
    <t xml:space="preserve">FILL</t>
  </si>
  <si>
    <t xml:space="preserve">STOCK</t>
  </si>
  <si>
    <t xml:space="preserve">STORED</t>
  </si>
  <si>
    <t xml:space="preserve">CLASS</t>
  </si>
  <si>
    <t xml:space="preserve">USERS</t>
  </si>
  <si>
    <t xml:space="preserve">(FRESH</t>
  </si>
  <si>
    <t xml:space="preserve">FROM</t>
  </si>
  <si>
    <t xml:space="preserve">TMP</t>
  </si>
  <si>
    <t xml:space="preserve">TUNNEL</t>
  </si>
  <si>
    <t xml:space="preserve">LAND</t>
  </si>
  <si>
    <t xml:space="preserve">F&amp;R</t>
  </si>
  <si>
    <t xml:space="preserve">NON -</t>
  </si>
  <si>
    <t xml:space="preserve">BAL</t>
  </si>
  <si>
    <t xml:space="preserve">WATER</t>
  </si>
  <si>
    <t xml:space="preserve">IRRIG.</t>
  </si>
  <si>
    <t xml:space="preserve">STOR</t>
  </si>
  <si>
    <t xml:space="preserve">SPILLED</t>
  </si>
  <si>
    <t xml:space="preserve">JUNE</t>
  </si>
  <si>
    <t xml:space="preserve">Apr - Jun</t>
  </si>
  <si>
    <t xml:space="preserve">EVAP</t>
  </si>
  <si>
    <t xml:space="preserve">"B"</t>
  </si>
  <si>
    <t xml:space="preserve">EXCH</t>
  </si>
  <si>
    <t xml:space="preserve">WATER)</t>
  </si>
  <si>
    <t xml:space="preserve">DWCD</t>
  </si>
  <si>
    <t xml:space="preserve">Misc.</t>
  </si>
  <si>
    <t xml:space="preserve">USED</t>
  </si>
  <si>
    <t xml:space="preserve">OR </t>
  </si>
  <si>
    <t xml:space="preserve">(DIV+</t>
  </si>
  <si>
    <t xml:space="preserve">CALL)</t>
  </si>
  <si>
    <t xml:space="preserve">AC. Ft.</t>
  </si>
  <si>
    <t xml:space="preserve">AC FT</t>
  </si>
  <si>
    <t xml:space="preserve">AC.FT.</t>
  </si>
  <si>
    <t xml:space="preserve">Outflow </t>
  </si>
  <si>
    <t xml:space="preserve">Ac. Ft.</t>
  </si>
  <si>
    <t xml:space="preserve">SEASON BAL</t>
  </si>
  <si>
    <t xml:space="preserve">YTD</t>
  </si>
  <si>
    <t xml:space="preserve">MONTH / CFS</t>
  </si>
  <si>
    <t xml:space="preserve">Avg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</si>
  <si>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</si>
  <si>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</si>
  <si>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</si>
  <si>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</si>
  <si>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</si>
  <si>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</si>
  <si>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</si>
  <si>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                                      DECEMBER  "2012"</t>
  </si>
  <si>
    <t xml:space="preserve">       INFLOW</t>
  </si>
  <si>
    <t xml:space="preserve">DEC</t>
  </si>
  <si>
    <t xml:space="preserve">FILLL</t>
  </si>
  <si>
    <t xml:space="preserve"> </t>
  </si>
  <si>
    <t xml:space="preserve">                                       JANUARY  "2013"</t>
  </si>
  <si>
    <t xml:space="preserve">                           FEBRUARY  "2013"</t>
  </si>
  <si>
    <t xml:space="preserve">OUTFLOW</t>
  </si>
  <si>
    <t xml:space="preserve">FEB</t>
  </si>
  <si>
    <t xml:space="preserve">AVE</t>
  </si>
  <si>
    <t xml:space="preserve">MARCH  "2013"</t>
  </si>
  <si>
    <t xml:space="preserve">MAR</t>
  </si>
  <si>
    <t xml:space="preserve">Apr  "2013"</t>
  </si>
  <si>
    <t xml:space="preserve">     INFLOW</t>
  </si>
  <si>
    <t xml:space="preserve">D/S SENIOR </t>
  </si>
  <si>
    <t xml:space="preserve">APR</t>
  </si>
  <si>
    <t xml:space="preserve">AVG</t>
  </si>
  <si>
    <t xml:space="preserve">                                  MAY  "2013"</t>
  </si>
  <si>
    <t xml:space="preserve">       D/S SENIOR</t>
  </si>
  <si>
    <t xml:space="preserve">FISH </t>
  </si>
  <si>
    <t xml:space="preserve">MAY</t>
  </si>
  <si>
    <t xml:space="preserve">M - S</t>
  </si>
  <si>
    <t xml:space="preserve">JUNE  "2013"</t>
  </si>
  <si>
    <t xml:space="preserve">GRNDHOG</t>
  </si>
  <si>
    <t xml:space="preserve">JUN</t>
  </si>
  <si>
    <t xml:space="preserve">DISCHARGE</t>
  </si>
  <si>
    <t xml:space="preserve">CAPACITY</t>
  </si>
  <si>
    <t xml:space="preserve">FP = 5394</t>
  </si>
  <si>
    <t xml:space="preserve">.</t>
  </si>
  <si>
    <t xml:space="preserve">JULY  "2013"</t>
  </si>
  <si>
    <t xml:space="preserve">         INFLOW</t>
  </si>
  <si>
    <t xml:space="preserve">JUL</t>
  </si>
  <si>
    <t xml:space="preserve">AUGUST  "2013"</t>
  </si>
  <si>
    <t xml:space="preserve">AUG</t>
  </si>
  <si>
    <t xml:space="preserve">SEPTEMBER  "2013"</t>
  </si>
  <si>
    <t xml:space="preserve">SEPT</t>
  </si>
  <si>
    <t xml:space="preserve">c</t>
  </si>
  <si>
    <t xml:space="preserve">                                 OCTOBER  "2013"</t>
  </si>
  <si>
    <t xml:space="preserve">OCT</t>
  </si>
  <si>
    <t xml:space="preserve">Carry-</t>
  </si>
  <si>
    <t xml:space="preserve">over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</si>
</sst>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"/>
    <numFmt numFmtId="166" formatCode="0.00_);\(0.00\)"/>
    <numFmt numFmtId="167" formatCode="0.0"/>
    <numFmt numFmtId="168" formatCode="0.00"/>
    <numFmt numFmtId="169" formatCode="0"/>
    <numFmt numFmtId="170" formatCode="#,##0.0"/>
    <numFmt numFmtId="171" formatCode="##0.0"/>
    <numFmt numFmtId="172" formatCode="0.0000"/>
    <numFmt numFmtId="173" formatCode="0.000"/>
    <numFmt numFmtId="174" formatCode="#,##0.0_);\(#,##0.0\)"/>
    <numFmt numFmtId="175" formatCode="#,##0.00"/>
    <numFmt numFmtId="176" formatCode="[$-409]d\-mmm"/>
    <numFmt numFmtId="177" formatCode="0%"/>
    <numFmt numFmtId="178" formatCode="0.0_);\(0.0\)"/>
    <numFmt numFmtId="179" formatCode="0_);\(0\)"/>
    <numFmt numFmtId="180" formatCode="[$-409]mmm\-yy"/>
    <numFmt numFmtId="181" formatCode="#,##0.0000"/>
    <numFmt numFmtId="182" formatCode="0.00_);[RED]\(0.00\)"/>
    <numFmt numFmtId="183" formatCode="0_);[RED]\(0\)"/>
  </numFmts>
  <fonts count="14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2"/>
    </font>
    <font>
      <b val="true"/>
      <i val="true"/>
      <sz val="12"/>
      <name val="Arial Narrow"/>
      <family val="2"/>
    </font>
    <font>
      <sz val="6"/>
      <name val="Arial Narrow"/>
      <family val="2"/>
    </font>
    <font>
      <b val="true"/>
      <sz val="8"/>
      <name val="Arial Narrow"/>
      <family val="2"/>
    </font>
    <font>
      <b val="true"/>
      <sz val="6"/>
      <name val="Arial Narrow"/>
      <family val="2"/>
    </font>
    <font>
      <b val="true"/>
      <sz val="9"/>
      <name val="Arial Narrow"/>
      <family val="2"/>
    </font>
    <font>
      <b val="true"/>
      <sz val="8"/>
      <color rgb="FF000000"/>
      <name val="Tahoma"/>
      <family val="2"/>
    </font>
    <font>
      <sz val="8"/>
      <color rgb="FF000000"/>
      <name val="Tahoma"/>
      <family val="2"/>
    </font>
    <font>
      <sz val="6"/>
      <name val="LinePrinter"/>
      <family val="0"/>
    </font>
    <font>
      <b val="true"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464648"/>
        <bgColor rgb="FF333300"/>
      </patternFill>
    </fill>
  </fills>
  <borders count="36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EEEEEC"/>
      </bottom>
      <diagonal/>
    </border>
    <border diagonalUp="false" diagonalDown="false">
      <left/>
      <right style="thick">
        <color rgb="FFEEEEEC"/>
      </right>
      <top style="thick">
        <color rgb="FFEEEEEC"/>
      </top>
      <bottom/>
      <diagonal/>
    </border>
    <border diagonalUp="false" diagonalDown="false">
      <left style="thick">
        <color rgb="FFEEEEEC"/>
      </left>
      <right/>
      <top style="thick">
        <color rgb="FFEEEEEC"/>
      </top>
      <bottom/>
      <diagonal/>
    </border>
    <border diagonalUp="false" diagonalDown="false">
      <left/>
      <right/>
      <top style="thick">
        <color rgb="FFEEEEEC"/>
      </top>
      <bottom/>
      <diagonal/>
    </border>
    <border diagonalUp="false" diagonalDown="false">
      <left/>
      <right style="medium">
        <color rgb="FFEEEEEC"/>
      </right>
      <top style="thick">
        <color rgb="FFEEEEEC"/>
      </top>
      <bottom/>
      <diagonal/>
    </border>
    <border diagonalUp="false" diagonalDown="false">
      <left style="thick">
        <color rgb="FFEEEEEC"/>
      </left>
      <right style="thick">
        <color rgb="FFEEEEEC"/>
      </right>
      <top style="thick">
        <color rgb="FFEEEEEC"/>
      </top>
      <bottom/>
      <diagonal/>
    </border>
    <border diagonalUp="false" diagonalDown="false">
      <left style="thick">
        <color rgb="FFEEEEEC"/>
      </left>
      <right/>
      <top/>
      <bottom/>
      <diagonal/>
    </border>
    <border diagonalUp="false" diagonalDown="false">
      <left/>
      <right style="thick">
        <color rgb="FFEEEEEC"/>
      </right>
      <top/>
      <bottom/>
      <diagonal/>
    </border>
    <border diagonalUp="false" diagonalDown="false">
      <left style="medium">
        <color rgb="FFEEEEEC"/>
      </left>
      <right style="medium">
        <color rgb="FFEEEEEC"/>
      </right>
      <top style="medium">
        <color rgb="FFEEEEEC"/>
      </top>
      <bottom/>
      <diagonal/>
    </border>
    <border diagonalUp="false" diagonalDown="false">
      <left style="thick">
        <color rgb="FFEEEEEC"/>
      </left>
      <right style="thick">
        <color rgb="FFEEEEEC"/>
      </right>
      <top/>
      <bottom/>
      <diagonal/>
    </border>
    <border diagonalUp="false" diagonalDown="false">
      <left style="medium">
        <color rgb="FFEEEEEC"/>
      </left>
      <right/>
      <top/>
      <bottom/>
      <diagonal/>
    </border>
    <border diagonalUp="false" diagonalDown="false">
      <left/>
      <right style="medium">
        <color rgb="FFEEEEEC"/>
      </right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ck">
        <color rgb="FFEEEEEC"/>
      </left>
      <right/>
      <top style="thin">
        <color rgb="FFEEEEEC"/>
      </top>
      <bottom style="thin">
        <color rgb="FFEEEEEC"/>
      </bottom>
      <diagonal/>
    </border>
    <border diagonalUp="false" diagonalDown="false">
      <left/>
      <right style="thick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 style="medium">
        <color rgb="FFEEEEEC"/>
      </left>
      <right/>
      <top style="thin">
        <color rgb="FFEEEEEC"/>
      </top>
      <bottom style="thin">
        <color rgb="FFEEEEEC"/>
      </bottom>
      <diagonal/>
    </border>
    <border diagonalUp="false" diagonalDown="false">
      <left/>
      <right style="medium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  <border diagonalUp="false" diagonalDown="false">
      <left style="thick">
        <color rgb="FFEEEEEC"/>
      </left>
      <right/>
      <top style="thin">
        <color rgb="FFEEEEEC"/>
      </top>
      <bottom/>
      <diagonal/>
    </border>
    <border diagonalUp="false" diagonalDown="false">
      <left style="thick">
        <color rgb="FFEEEEEC"/>
      </left>
      <right/>
      <top/>
      <bottom style="thin">
        <color rgb="FFEEEEEC"/>
      </bottom>
      <diagonal/>
    </border>
    <border diagonalUp="false" diagonalDown="false">
      <left/>
      <right style="thick">
        <color rgb="FFEEEEEC"/>
      </right>
      <top/>
      <bottom style="thin">
        <color rgb="FFEEEEEC"/>
      </bottom>
      <diagonal/>
    </border>
    <border diagonalUp="false" diagonalDown="false">
      <left/>
      <right/>
      <top/>
      <bottom style="thin">
        <color rgb="FFEEEEEC"/>
      </bottom>
      <diagonal/>
    </border>
    <border diagonalUp="false" diagonalDown="false">
      <left style="thick">
        <color rgb="FFEEEEEC"/>
      </left>
      <right style="thick">
        <color rgb="FFEEEEEC"/>
      </right>
      <top/>
      <bottom style="thin">
        <color rgb="FFEEEEEC"/>
      </bottom>
      <diagonal/>
    </border>
    <border diagonalUp="false" diagonalDown="false">
      <left style="thick">
        <color rgb="FFEEEEEC"/>
      </left>
      <right style="thick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 style="medium">
        <color rgb="FFEEEEEC"/>
      </right>
      <top style="medium">
        <color rgb="FFEEEEEC"/>
      </top>
      <bottom/>
      <diagonal/>
    </border>
    <border diagonalUp="false" diagonalDown="false">
      <left/>
      <right style="medium">
        <color rgb="FFEEEEEC"/>
      </right>
      <top/>
      <bottom style="thin">
        <color rgb="FFEEEEEC"/>
      </bottom>
      <diagonal/>
    </border>
    <border diagonalUp="false" diagonalDown="false">
      <left style="medium">
        <color rgb="FFEEEEEC"/>
      </left>
      <right/>
      <top/>
      <bottom style="thin">
        <color rgb="FFEEEEEC"/>
      </bottom>
      <diagonal/>
    </border>
    <border diagonalUp="false" diagonalDown="false">
      <left style="medium">
        <color rgb="FFEEEEEC"/>
      </left>
      <right/>
      <top style="thin">
        <color rgb="FFEEEEEC"/>
      </top>
      <bottom/>
      <diagonal/>
    </border>
    <border diagonalUp="false" diagonalDown="false">
      <left/>
      <right style="medium">
        <color rgb="FFEEEEEC"/>
      </right>
      <top style="thin">
        <color rgb="FFEEEEEC"/>
      </top>
      <bottom/>
      <diagonal/>
    </border>
    <border diagonalUp="false" diagonalDown="false">
      <left/>
      <right style="thick">
        <color rgb="FFEEEEEC"/>
      </right>
      <top style="thin">
        <color rgb="FFEEEEEC"/>
      </top>
      <bottom/>
      <diagonal/>
    </border>
    <border diagonalUp="false" diagonalDown="false">
      <left/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 style="thick">
        <color rgb="FFEEEEEC"/>
      </left>
      <right style="medium">
        <color rgb="FFEEEEEC"/>
      </right>
      <top style="thick">
        <color rgb="FFEEEEEC"/>
      </top>
      <bottom/>
      <diagonal/>
    </border>
    <border diagonalUp="false" diagonalDown="false">
      <left style="medium">
        <color rgb="FFEEEEEC"/>
      </left>
      <right style="thick">
        <color rgb="FFEEEEEC"/>
      </right>
      <top style="thick">
        <color rgb="FFEEEEEC"/>
      </top>
      <bottom/>
      <diagonal/>
    </border>
    <border diagonalUp="false" diagonalDown="false">
      <left/>
      <right/>
      <top style="hair">
        <color rgb="FFEEEEEC"/>
      </top>
      <bottom style="hair">
        <color rgb="FFEEEEEC"/>
      </bottom>
      <diagonal/>
    </border>
    <border diagonalUp="false" diagonalDown="false">
      <left/>
      <right style="hair">
        <color rgb="FFEEEEEC"/>
      </right>
      <top style="thin">
        <color rgb="FFEEEEEC"/>
      </top>
      <bottom style="thin">
        <color rgb="FFEEEEE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5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7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5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8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2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2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3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2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3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2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3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2" borderId="1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3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2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2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2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2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2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2" borderId="1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2" borderId="2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2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3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2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2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2" borderId="1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1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2" borderId="1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9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8" fillId="0" borderId="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4" fillId="0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" fillId="0" borderId="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3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9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1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2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2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2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3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3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3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3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3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4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4" fillId="2" borderId="1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4" fillId="2" borderId="1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2" borderId="3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646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5" activeCellId="0" sqref="A15"/>
    </sheetView>
  </sheetViews>
  <sheetFormatPr defaultColWidth="9.2890625" defaultRowHeight="11.1" zeroHeight="false" outlineLevelRow="0" outlineLevelCol="0"/>
  <cols>
    <col collapsed="false" customWidth="true" hidden="false" outlineLevel="0" max="1" min="1" style="1" width="4.66"/>
    <col collapsed="false" customWidth="true" hidden="false" outlineLevel="0" max="2" min="2" style="1" width="6.99"/>
    <col collapsed="false" customWidth="true" hidden="false" outlineLevel="0" max="3" min="3" style="2" width="6.32"/>
    <col collapsed="false" customWidth="true" hidden="false" outlineLevel="0" max="4" min="4" style="1" width="6.32"/>
    <col collapsed="false" customWidth="true" hidden="false" outlineLevel="0" max="5" min="5" style="2" width="6.99"/>
    <col collapsed="false" customWidth="true" hidden="false" outlineLevel="0" max="6" min="6" style="1" width="7.32"/>
    <col collapsed="false" customWidth="true" hidden="false" outlineLevel="0" max="7" min="7" style="1" width="6.82"/>
    <col collapsed="false" customWidth="true" hidden="false" outlineLevel="0" max="8" min="8" style="3" width="5.66"/>
    <col collapsed="false" customWidth="true" hidden="false" outlineLevel="0" max="11" min="9" style="1" width="6.32"/>
    <col collapsed="false" customWidth="true" hidden="false" outlineLevel="0" max="12" min="12" style="1" width="6.82"/>
    <col collapsed="false" customWidth="true" hidden="false" outlineLevel="0" max="13" min="13" style="4" width="5.49"/>
    <col collapsed="false" customWidth="true" hidden="false" outlineLevel="0" max="14" min="14" style="4" width="4.49"/>
    <col collapsed="false" customWidth="true" hidden="false" outlineLevel="0" max="15" min="15" style="4" width="5.49"/>
    <col collapsed="false" customWidth="true" hidden="false" outlineLevel="0" max="16" min="16" style="5" width="4.82"/>
    <col collapsed="false" customWidth="true" hidden="false" outlineLevel="0" max="18" min="17" style="4" width="4.32"/>
    <col collapsed="false" customWidth="true" hidden="false" outlineLevel="0" max="20" min="19" style="1" width="4.32"/>
    <col collapsed="false" customWidth="true" hidden="false" outlineLevel="0" max="21" min="21" style="6" width="5.16"/>
    <col collapsed="false" customWidth="true" hidden="false" outlineLevel="0" max="23" min="22" style="1" width="5.49"/>
    <col collapsed="false" customWidth="true" hidden="false" outlineLevel="0" max="24" min="24" style="2" width="6.32"/>
    <col collapsed="false" customWidth="true" hidden="false" outlineLevel="0" max="25" min="25" style="4" width="6.32"/>
    <col collapsed="false" customWidth="true" hidden="false" outlineLevel="0" max="26" min="26" style="1" width="5.49"/>
    <col collapsed="false" customWidth="true" hidden="false" outlineLevel="0" max="27" min="27" style="4" width="6.32"/>
    <col collapsed="false" customWidth="true" hidden="false" outlineLevel="0" max="28" min="28" style="1" width="5.49"/>
    <col collapsed="false" customWidth="true" hidden="false" outlineLevel="0" max="29" min="29" style="1" width="5.82"/>
    <col collapsed="false" customWidth="true" hidden="false" outlineLevel="0" max="31" min="30" style="1" width="5.49"/>
    <col collapsed="false" customWidth="true" hidden="false" outlineLevel="0" max="33" min="32" style="2" width="5.49"/>
    <col collapsed="false" customWidth="true" hidden="false" outlineLevel="0" max="34" min="34" style="2" width="6.32"/>
    <col collapsed="false" customWidth="true" hidden="false" outlineLevel="0" max="35" min="35" style="1" width="5.49"/>
    <col collapsed="false" customWidth="true" hidden="false" outlineLevel="0" max="37" min="36" style="1" width="6.32"/>
    <col collapsed="false" customWidth="true" hidden="false" outlineLevel="0" max="38" min="38" style="1" width="6.82"/>
    <col collapsed="false" customWidth="true" hidden="false" outlineLevel="0" max="39" min="39" style="3" width="6.82"/>
    <col collapsed="false" customWidth="true" hidden="false" outlineLevel="0" max="41" min="40" style="4" width="5.49"/>
    <col collapsed="false" customWidth="true" hidden="false" outlineLevel="0" max="42" min="42" style="1" width="6.32"/>
    <col collapsed="false" customWidth="true" hidden="false" outlineLevel="0" max="43" min="43" style="7" width="6.32"/>
    <col collapsed="false" customWidth="true" hidden="false" outlineLevel="0" max="44" min="44" style="7" width="5.49"/>
    <col collapsed="false" customWidth="true" hidden="false" outlineLevel="0" max="45" min="45" style="1" width="5.32"/>
    <col collapsed="false" customWidth="true" hidden="false" outlineLevel="0" max="46" min="46" style="1" width="5.82"/>
    <col collapsed="false" customWidth="true" hidden="false" outlineLevel="0" max="47" min="47" style="8" width="4.99"/>
    <col collapsed="false" customWidth="true" hidden="false" outlineLevel="0" max="48" min="48" style="3" width="5.32"/>
    <col collapsed="false" customWidth="true" hidden="false" outlineLevel="0" max="49" min="49" style="9" width="3.82"/>
    <col collapsed="false" customWidth="true" hidden="false" outlineLevel="0" max="51" min="50" style="10" width="3.82"/>
    <col collapsed="false" customWidth="true" hidden="false" outlineLevel="0" max="52" min="52" style="4" width="5.49"/>
  </cols>
  <sheetData>
    <row r="1" customFormat="false" ht="14.1" hidden="false" customHeight="true" outlineLevel="0" collapsed="false">
      <c r="A1" s="11"/>
      <c r="B1" s="11"/>
      <c r="D1" s="11"/>
      <c r="F1" s="11"/>
      <c r="G1" s="11"/>
      <c r="H1" s="12"/>
      <c r="I1" s="11"/>
      <c r="J1" s="11"/>
      <c r="K1" s="13" t="s">
        <v>0</v>
      </c>
      <c r="L1" s="11"/>
      <c r="M1" s="11"/>
      <c r="N1" s="11"/>
      <c r="O1" s="11"/>
      <c r="Q1" s="11"/>
      <c r="R1" s="11"/>
      <c r="S1" s="11"/>
      <c r="T1" s="11"/>
      <c r="V1" s="11"/>
      <c r="W1" s="11"/>
      <c r="Z1" s="11"/>
      <c r="AB1" s="11"/>
      <c r="AC1" s="11"/>
      <c r="AD1" s="11"/>
      <c r="AE1" s="11"/>
      <c r="AI1" s="11"/>
      <c r="AJ1" s="11"/>
      <c r="AK1" s="11"/>
      <c r="AL1" s="11"/>
      <c r="AM1" s="5"/>
    </row>
    <row r="2" customFormat="false" ht="14.1" hidden="false" customHeight="true" outlineLevel="0" collapsed="false">
      <c r="A2" s="14" t="s">
        <v>1</v>
      </c>
      <c r="B2" s="11"/>
      <c r="D2" s="15" t="n">
        <v>1.9835</v>
      </c>
      <c r="F2" s="11"/>
      <c r="G2" s="11"/>
      <c r="H2" s="12"/>
      <c r="I2" s="11"/>
      <c r="J2" s="11"/>
      <c r="K2" s="11"/>
      <c r="L2" s="13" t="s">
        <v>2</v>
      </c>
      <c r="M2" s="11"/>
      <c r="N2" s="11"/>
      <c r="O2" s="11"/>
      <c r="Q2" s="11"/>
      <c r="R2" s="11"/>
      <c r="S2" s="11"/>
      <c r="T2" s="11"/>
      <c r="V2" s="11"/>
      <c r="W2" s="11"/>
      <c r="Z2" s="11"/>
      <c r="AB2" s="11"/>
      <c r="AC2" s="11"/>
      <c r="AD2" s="11"/>
      <c r="AE2" s="11"/>
      <c r="AI2" s="11"/>
      <c r="AJ2" s="11"/>
      <c r="AK2" s="11"/>
      <c r="AL2" s="11"/>
      <c r="AM2" s="5"/>
    </row>
    <row r="3" customFormat="false" ht="14.1" hidden="false" customHeight="true" outlineLevel="0" collapsed="false">
      <c r="A3" s="16"/>
      <c r="B3" s="16"/>
      <c r="C3" s="17"/>
      <c r="D3" s="18"/>
      <c r="E3" s="17"/>
      <c r="F3" s="16"/>
      <c r="G3" s="16"/>
      <c r="H3" s="19"/>
      <c r="I3" s="16"/>
      <c r="J3" s="16"/>
      <c r="K3" s="16"/>
      <c r="L3" s="16"/>
      <c r="M3" s="16"/>
      <c r="N3" s="16"/>
      <c r="O3" s="16"/>
      <c r="P3" s="20"/>
      <c r="Q3" s="16"/>
      <c r="R3" s="16"/>
      <c r="S3" s="16"/>
      <c r="T3" s="16"/>
      <c r="U3" s="21"/>
      <c r="V3" s="16"/>
      <c r="W3" s="16"/>
      <c r="X3" s="17"/>
      <c r="Y3" s="22"/>
      <c r="Z3" s="16"/>
      <c r="AA3" s="22"/>
      <c r="AB3" s="16"/>
      <c r="AC3" s="16"/>
      <c r="AD3" s="16"/>
      <c r="AE3" s="16"/>
      <c r="AF3" s="17"/>
      <c r="AG3" s="17"/>
      <c r="AH3" s="17"/>
      <c r="AI3" s="16"/>
      <c r="AJ3" s="16"/>
      <c r="AK3" s="16"/>
      <c r="AL3" s="16"/>
      <c r="AM3" s="20"/>
      <c r="AN3" s="22"/>
      <c r="AO3" s="22"/>
      <c r="AP3" s="23"/>
      <c r="AQ3" s="24"/>
      <c r="AR3" s="25"/>
      <c r="AS3" s="26"/>
      <c r="AV3" s="27"/>
      <c r="AW3" s="28"/>
      <c r="AX3" s="29"/>
      <c r="AY3" s="30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6" t="s">
        <v>4</v>
      </c>
      <c r="J4" s="35"/>
      <c r="K4" s="35"/>
      <c r="L4" s="37"/>
      <c r="M4" s="35"/>
      <c r="N4" s="35"/>
      <c r="O4" s="35"/>
      <c r="P4" s="38"/>
      <c r="Q4" s="35"/>
      <c r="R4" s="35"/>
      <c r="S4" s="35"/>
      <c r="T4" s="35"/>
      <c r="U4" s="38"/>
      <c r="V4" s="35"/>
      <c r="W4" s="35"/>
      <c r="X4" s="39" t="s">
        <v>5</v>
      </c>
      <c r="Y4" s="39"/>
      <c r="Z4" s="40"/>
      <c r="AA4" s="39"/>
      <c r="AB4" s="40"/>
      <c r="AC4" s="40"/>
      <c r="AD4" s="41"/>
      <c r="AE4" s="35"/>
      <c r="AF4" s="35"/>
      <c r="AG4" s="35"/>
      <c r="AH4" s="33"/>
      <c r="AI4" s="35"/>
      <c r="AJ4" s="42"/>
      <c r="AK4" s="35"/>
      <c r="AL4" s="35"/>
      <c r="AM4" s="38"/>
      <c r="AN4" s="43"/>
      <c r="AO4" s="44"/>
      <c r="AP4" s="45" t="s">
        <v>6</v>
      </c>
      <c r="AQ4" s="46"/>
      <c r="AR4" s="47"/>
      <c r="AS4" s="48"/>
      <c r="AT4" s="49"/>
      <c r="AU4" s="50"/>
      <c r="AV4" s="51"/>
      <c r="AW4" s="52" t="s">
        <v>7</v>
      </c>
      <c r="AX4" s="53"/>
      <c r="AY4" s="53"/>
      <c r="AZ4" s="54"/>
    </row>
    <row r="5" customFormat="false" ht="12.95" hidden="false" customHeight="true" outlineLevel="0" collapsed="false">
      <c r="A5" s="55" t="s">
        <v>8</v>
      </c>
      <c r="B5" s="56" t="s">
        <v>9</v>
      </c>
      <c r="C5" s="57" t="s">
        <v>9</v>
      </c>
      <c r="D5" s="58" t="s">
        <v>10</v>
      </c>
      <c r="E5" s="57" t="s">
        <v>11</v>
      </c>
      <c r="F5" s="59" t="s">
        <v>12</v>
      </c>
      <c r="G5" s="55" t="s">
        <v>13</v>
      </c>
      <c r="H5" s="55" t="s">
        <v>14</v>
      </c>
      <c r="I5" s="55" t="s">
        <v>15</v>
      </c>
      <c r="J5" s="55" t="s">
        <v>16</v>
      </c>
      <c r="K5" s="55" t="s">
        <v>17</v>
      </c>
      <c r="L5" s="55" t="s">
        <v>16</v>
      </c>
      <c r="M5" s="60" t="s">
        <v>18</v>
      </c>
      <c r="N5" s="60"/>
      <c r="O5" s="60"/>
      <c r="P5" s="60"/>
      <c r="Q5" s="60"/>
      <c r="R5" s="60"/>
      <c r="S5" s="60"/>
      <c r="T5" s="60"/>
      <c r="U5" s="60"/>
      <c r="V5" s="55" t="s">
        <v>19</v>
      </c>
      <c r="W5" s="5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61" t="s">
        <v>22</v>
      </c>
      <c r="AD5" s="62" t="s">
        <v>21</v>
      </c>
      <c r="AE5" s="55" t="s">
        <v>23</v>
      </c>
      <c r="AF5" s="63" t="s">
        <v>24</v>
      </c>
      <c r="AG5" s="64"/>
      <c r="AH5" s="55" t="s">
        <v>25</v>
      </c>
      <c r="AI5" s="65" t="s">
        <v>26</v>
      </c>
      <c r="AJ5" s="65" t="s">
        <v>27</v>
      </c>
      <c r="AK5" s="55" t="s">
        <v>15</v>
      </c>
      <c r="AL5" s="55" t="s">
        <v>16</v>
      </c>
      <c r="AM5" s="58" t="s">
        <v>17</v>
      </c>
      <c r="AN5" s="66" t="s">
        <v>28</v>
      </c>
      <c r="AO5" s="62" t="s">
        <v>21</v>
      </c>
      <c r="AP5" s="61" t="s">
        <v>29</v>
      </c>
      <c r="AQ5" s="67" t="s">
        <v>29</v>
      </c>
      <c r="AR5" s="62" t="s">
        <v>30</v>
      </c>
      <c r="AS5" s="68" t="s">
        <v>31</v>
      </c>
      <c r="AT5" s="68" t="s">
        <v>32</v>
      </c>
      <c r="AU5" s="69" t="s">
        <v>33</v>
      </c>
      <c r="AV5" s="70" t="s">
        <v>34</v>
      </c>
      <c r="AW5" s="71" t="s">
        <v>35</v>
      </c>
      <c r="AX5" s="71" t="s">
        <v>36</v>
      </c>
      <c r="AY5" s="71"/>
      <c r="AZ5" s="72" t="s">
        <v>17</v>
      </c>
    </row>
    <row r="6" customFormat="false" ht="12.95" hidden="false" customHeight="true" outlineLevel="0" collapsed="false">
      <c r="A6" s="73" t="s">
        <v>37</v>
      </c>
      <c r="B6" s="56" t="s">
        <v>38</v>
      </c>
      <c r="C6" s="57"/>
      <c r="D6" s="58" t="s">
        <v>39</v>
      </c>
      <c r="E6" s="57" t="s">
        <v>40</v>
      </c>
      <c r="F6" s="59" t="s">
        <v>41</v>
      </c>
      <c r="G6" s="55" t="s">
        <v>42</v>
      </c>
      <c r="H6" s="55" t="s">
        <v>43</v>
      </c>
      <c r="I6" s="55" t="s">
        <v>44</v>
      </c>
      <c r="J6" s="55" t="s">
        <v>44</v>
      </c>
      <c r="K6" s="55" t="s">
        <v>44</v>
      </c>
      <c r="L6" s="55" t="s">
        <v>45</v>
      </c>
      <c r="M6" s="74" t="s">
        <v>46</v>
      </c>
      <c r="N6" s="58" t="s">
        <v>47</v>
      </c>
      <c r="O6" s="58" t="s">
        <v>48</v>
      </c>
      <c r="P6" s="75" t="s">
        <v>49</v>
      </c>
      <c r="Q6" s="58" t="s">
        <v>50</v>
      </c>
      <c r="R6" s="58" t="s">
        <v>51</v>
      </c>
      <c r="S6" s="58"/>
      <c r="T6" s="58" t="s">
        <v>48</v>
      </c>
      <c r="U6" s="76" t="s">
        <v>52</v>
      </c>
      <c r="V6" s="55" t="s">
        <v>53</v>
      </c>
      <c r="W6" s="5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61" t="s">
        <v>57</v>
      </c>
      <c r="AD6" s="62" t="s">
        <v>58</v>
      </c>
      <c r="AE6" s="55" t="s">
        <v>59</v>
      </c>
      <c r="AF6" s="74" t="s">
        <v>60</v>
      </c>
      <c r="AG6" s="77" t="s">
        <v>61</v>
      </c>
      <c r="AH6" s="55" t="s">
        <v>62</v>
      </c>
      <c r="AI6" s="65" t="s">
        <v>63</v>
      </c>
      <c r="AJ6" s="65"/>
      <c r="AK6" s="55" t="s">
        <v>64</v>
      </c>
      <c r="AL6" s="55" t="s">
        <v>64</v>
      </c>
      <c r="AM6" s="58" t="s">
        <v>64</v>
      </c>
      <c r="AN6" s="66" t="s">
        <v>65</v>
      </c>
      <c r="AO6" s="62" t="s">
        <v>66</v>
      </c>
      <c r="AP6" s="61" t="s">
        <v>67</v>
      </c>
      <c r="AQ6" s="67" t="s">
        <v>67</v>
      </c>
      <c r="AR6" s="62" t="s">
        <v>68</v>
      </c>
      <c r="AS6" s="68" t="s">
        <v>69</v>
      </c>
      <c r="AT6" s="68" t="s">
        <v>70</v>
      </c>
      <c r="AU6" s="69" t="s">
        <v>71</v>
      </c>
      <c r="AV6" s="78"/>
      <c r="AW6" s="71" t="s">
        <v>72</v>
      </c>
      <c r="AX6" s="71" t="s">
        <v>72</v>
      </c>
      <c r="AY6" s="71"/>
      <c r="AZ6" s="72" t="s">
        <v>73</v>
      </c>
    </row>
    <row r="7" customFormat="false" ht="12.95" hidden="false" customHeight="true" outlineLevel="0" collapsed="false">
      <c r="A7" s="55"/>
      <c r="B7" s="56"/>
      <c r="C7" s="57"/>
      <c r="D7" s="58"/>
      <c r="E7" s="57"/>
      <c r="F7" s="59"/>
      <c r="G7" s="55"/>
      <c r="H7" s="55"/>
      <c r="I7" s="55"/>
      <c r="J7" s="55"/>
      <c r="K7" s="55"/>
      <c r="L7" s="77"/>
      <c r="M7" s="58"/>
      <c r="N7" s="58" t="s">
        <v>74</v>
      </c>
      <c r="O7" s="58" t="s">
        <v>75</v>
      </c>
      <c r="P7" s="75"/>
      <c r="Q7" s="58" t="s">
        <v>76</v>
      </c>
      <c r="R7" s="58" t="s">
        <v>76</v>
      </c>
      <c r="S7" s="58" t="s">
        <v>61</v>
      </c>
      <c r="T7" s="58" t="s">
        <v>61</v>
      </c>
      <c r="U7" s="76" t="s">
        <v>77</v>
      </c>
      <c r="V7" s="55"/>
      <c r="W7" s="5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61"/>
      <c r="AD7" s="62"/>
      <c r="AE7" s="77"/>
      <c r="AF7" s="79" t="n">
        <v>1.7</v>
      </c>
      <c r="AG7" s="79" t="n">
        <v>1.3</v>
      </c>
      <c r="AH7" s="74"/>
      <c r="AI7" s="80" t="n">
        <v>31798</v>
      </c>
      <c r="AJ7" s="65"/>
      <c r="AK7" s="55"/>
      <c r="AL7" s="55"/>
      <c r="AM7" s="58"/>
      <c r="AN7" s="66"/>
      <c r="AO7" s="62"/>
      <c r="AP7" s="61" t="s">
        <v>83</v>
      </c>
      <c r="AQ7" s="67" t="s">
        <v>84</v>
      </c>
      <c r="AR7" s="62" t="s">
        <v>85</v>
      </c>
      <c r="AS7" s="68" t="s">
        <v>86</v>
      </c>
      <c r="AT7" s="68" t="s">
        <v>87</v>
      </c>
      <c r="AU7" s="69" t="s">
        <v>88</v>
      </c>
      <c r="AV7" s="78"/>
      <c r="AW7" s="71"/>
      <c r="AX7" s="71"/>
      <c r="AY7" s="71"/>
      <c r="AZ7" s="72" t="s">
        <v>89</v>
      </c>
    </row>
    <row r="8" customFormat="false" ht="12.95" hidden="false" customHeight="true" outlineLevel="0" collapsed="false">
      <c r="A8" s="55"/>
      <c r="B8" s="56"/>
      <c r="C8" s="57"/>
      <c r="D8" s="58"/>
      <c r="E8" s="57"/>
      <c r="F8" s="59"/>
      <c r="G8" s="55"/>
      <c r="H8" s="55"/>
      <c r="I8" s="55"/>
      <c r="J8" s="55"/>
      <c r="K8" s="55"/>
      <c r="L8" s="77"/>
      <c r="M8" s="58"/>
      <c r="N8" s="58"/>
      <c r="O8" s="58"/>
      <c r="P8" s="75"/>
      <c r="Q8" s="58" t="s">
        <v>61</v>
      </c>
      <c r="R8" s="58" t="s">
        <v>61</v>
      </c>
      <c r="S8" s="58"/>
      <c r="T8" s="58"/>
      <c r="U8" s="76"/>
      <c r="V8" s="55"/>
      <c r="W8" s="5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61"/>
      <c r="AD8" s="62"/>
      <c r="AE8" s="77"/>
      <c r="AF8" s="79"/>
      <c r="AG8" s="79"/>
      <c r="AH8" s="74"/>
      <c r="AI8" s="80"/>
      <c r="AJ8" s="65"/>
      <c r="AK8" s="55"/>
      <c r="AL8" s="55"/>
      <c r="AM8" s="58"/>
      <c r="AN8" s="66"/>
      <c r="AO8" s="62"/>
      <c r="AP8" s="61"/>
      <c r="AQ8" s="67"/>
      <c r="AR8" s="62"/>
      <c r="AS8" s="68"/>
      <c r="AT8" s="68"/>
      <c r="AU8" s="69"/>
      <c r="AV8" s="78"/>
      <c r="AW8" s="71"/>
      <c r="AX8" s="71"/>
      <c r="AY8" s="71"/>
      <c r="AZ8" s="72"/>
    </row>
    <row r="9" customFormat="false" ht="12.95" hidden="false" customHeight="true" outlineLevel="0" collapsed="false">
      <c r="A9" s="55"/>
      <c r="B9" s="56"/>
      <c r="C9" s="57"/>
      <c r="D9" s="58"/>
      <c r="E9" s="57"/>
      <c r="F9" s="59"/>
      <c r="G9" s="55"/>
      <c r="H9" s="55"/>
      <c r="I9" s="55"/>
      <c r="J9" s="55"/>
      <c r="K9" s="55"/>
      <c r="L9" s="77"/>
      <c r="M9" s="58"/>
      <c r="N9" s="58"/>
      <c r="O9" s="58"/>
      <c r="P9" s="75"/>
      <c r="Q9" s="58"/>
      <c r="R9" s="81" t="n">
        <v>4.2</v>
      </c>
      <c r="S9" s="58"/>
      <c r="T9" s="58"/>
      <c r="U9" s="76"/>
      <c r="V9" s="55"/>
      <c r="W9" s="55"/>
      <c r="X9" s="65"/>
      <c r="Y9" s="57" t="s">
        <v>90</v>
      </c>
      <c r="Z9" s="61"/>
      <c r="AA9" s="57" t="s">
        <v>90</v>
      </c>
      <c r="AB9" s="61" t="s">
        <v>93</v>
      </c>
      <c r="AC9" s="61"/>
      <c r="AD9" s="62"/>
      <c r="AE9" s="77"/>
      <c r="AF9" s="79"/>
      <c r="AG9" s="79"/>
      <c r="AH9" s="74"/>
      <c r="AI9" s="80"/>
      <c r="AJ9" s="65"/>
      <c r="AK9" s="55"/>
      <c r="AL9" s="55"/>
      <c r="AM9" s="58"/>
      <c r="AN9" s="66"/>
      <c r="AO9" s="62"/>
      <c r="AP9" s="61"/>
      <c r="AQ9" s="67"/>
      <c r="AR9" s="62"/>
      <c r="AS9" s="68"/>
      <c r="AT9" s="68"/>
      <c r="AU9" s="69"/>
      <c r="AV9" s="78"/>
      <c r="AW9" s="71"/>
      <c r="AX9" s="71"/>
      <c r="AY9" s="71"/>
      <c r="AZ9" s="72"/>
    </row>
    <row r="10" customFormat="false" ht="12.95" hidden="false" customHeight="true" outlineLevel="0" collapsed="false">
      <c r="A10" s="55"/>
      <c r="B10" s="56"/>
      <c r="C10" s="57" t="s">
        <v>94</v>
      </c>
      <c r="D10" s="58"/>
      <c r="E10" s="57" t="s">
        <v>95</v>
      </c>
      <c r="F10" s="59"/>
      <c r="G10" s="58" t="s">
        <v>41</v>
      </c>
      <c r="H10" s="58" t="s">
        <v>41</v>
      </c>
      <c r="I10" s="58" t="s">
        <v>41</v>
      </c>
      <c r="J10" s="58" t="s">
        <v>41</v>
      </c>
      <c r="K10" s="58" t="s">
        <v>41</v>
      </c>
      <c r="L10" s="77" t="s">
        <v>41</v>
      </c>
      <c r="M10" s="58" t="s">
        <v>41</v>
      </c>
      <c r="N10" s="58" t="s">
        <v>41</v>
      </c>
      <c r="O10" s="58" t="s">
        <v>41</v>
      </c>
      <c r="P10" s="5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77" t="s">
        <v>41</v>
      </c>
      <c r="V10" s="58" t="s">
        <v>41</v>
      </c>
      <c r="W10" s="58" t="s">
        <v>41</v>
      </c>
      <c r="X10" s="57" t="n">
        <v>153400</v>
      </c>
      <c r="Y10" s="57" t="n">
        <v>150400</v>
      </c>
      <c r="Z10" s="58"/>
      <c r="AA10" s="57"/>
      <c r="AB10" s="57" t="n">
        <v>72000</v>
      </c>
      <c r="AC10" s="58" t="s">
        <v>41</v>
      </c>
      <c r="AD10" s="58" t="s">
        <v>41</v>
      </c>
      <c r="AE10" s="77" t="s">
        <v>41</v>
      </c>
      <c r="AF10" s="58" t="s">
        <v>41</v>
      </c>
      <c r="AG10" s="58" t="s">
        <v>41</v>
      </c>
      <c r="AH10" s="74" t="s">
        <v>41</v>
      </c>
      <c r="AI10" s="58" t="s">
        <v>41</v>
      </c>
      <c r="AJ10" s="58" t="s">
        <v>41</v>
      </c>
      <c r="AK10" s="58" t="s">
        <v>41</v>
      </c>
      <c r="AL10" s="58" t="s">
        <v>41</v>
      </c>
      <c r="AM10" s="59" t="s">
        <v>41</v>
      </c>
      <c r="AN10" s="62" t="s">
        <v>41</v>
      </c>
      <c r="AO10" s="62" t="s">
        <v>41</v>
      </c>
      <c r="AP10" s="62" t="s">
        <v>41</v>
      </c>
      <c r="AQ10" s="67" t="s">
        <v>96</v>
      </c>
      <c r="AR10" s="62" t="s">
        <v>41</v>
      </c>
      <c r="AS10" s="62" t="s">
        <v>41</v>
      </c>
      <c r="AT10" s="62" t="s">
        <v>41</v>
      </c>
      <c r="AU10" s="67" t="s">
        <v>41</v>
      </c>
      <c r="AV10" s="78"/>
      <c r="AW10" s="71"/>
      <c r="AX10" s="71"/>
      <c r="AY10" s="71"/>
      <c r="AZ10" s="72" t="s">
        <v>97</v>
      </c>
    </row>
    <row r="11" customFormat="false" ht="12.95" hidden="false" customHeight="true" outlineLevel="0" collapsed="false">
      <c r="A11" s="55"/>
      <c r="B11" s="56"/>
      <c r="C11" s="57"/>
      <c r="D11" s="58"/>
      <c r="E11" s="57"/>
      <c r="F11" s="59"/>
      <c r="G11" s="55"/>
      <c r="H11" s="55"/>
      <c r="I11" s="55"/>
      <c r="J11" s="55"/>
      <c r="K11" s="55"/>
      <c r="L11" s="77"/>
      <c r="M11" s="58"/>
      <c r="N11" s="46" t="n">
        <v>1.03</v>
      </c>
      <c r="O11" s="46" t="n">
        <v>1.05</v>
      </c>
      <c r="P11" s="46" t="n">
        <v>1.02</v>
      </c>
      <c r="Q11" s="82" t="n">
        <v>1.02</v>
      </c>
      <c r="R11" s="83" t="n">
        <v>1.04</v>
      </c>
      <c r="S11" s="58"/>
      <c r="T11" s="82" t="n">
        <v>1.04</v>
      </c>
      <c r="U11" s="76"/>
      <c r="V11" s="55"/>
      <c r="W11" s="5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61"/>
      <c r="AD11" s="61"/>
      <c r="AE11" s="85"/>
      <c r="AF11" s="79"/>
      <c r="AG11" s="79"/>
      <c r="AH11" s="74"/>
      <c r="AI11" s="80"/>
      <c r="AJ11" s="86"/>
      <c r="AK11" s="55"/>
      <c r="AL11" s="55"/>
      <c r="AM11" s="58"/>
      <c r="AN11" s="66"/>
      <c r="AO11" s="62"/>
      <c r="AP11" s="61"/>
      <c r="AQ11" s="67"/>
      <c r="AR11" s="67"/>
      <c r="AS11" s="87"/>
      <c r="AT11" s="87"/>
      <c r="AU11" s="88"/>
      <c r="AV11" s="78"/>
      <c r="AW11" s="71"/>
      <c r="AX11" s="71"/>
      <c r="AY11" s="71"/>
      <c r="AZ11" s="72" t="s">
        <v>41</v>
      </c>
    </row>
    <row r="12" customFormat="false" ht="12.95" hidden="false" customHeight="true" outlineLevel="0" collapsed="false">
      <c r="A12" s="14" t="s">
        <v>99</v>
      </c>
      <c r="B12" s="89"/>
      <c r="C12" s="90"/>
      <c r="D12" s="90"/>
      <c r="E12" s="90"/>
      <c r="F12" s="91"/>
      <c r="G12" s="2"/>
      <c r="H12" s="9"/>
      <c r="I12" s="2"/>
      <c r="J12" s="2"/>
      <c r="K12" s="2"/>
      <c r="L12" s="2"/>
      <c r="M12" s="92"/>
      <c r="N12" s="90"/>
      <c r="O12" s="90"/>
      <c r="P12" s="93"/>
      <c r="Q12" s="94"/>
      <c r="R12" s="95"/>
      <c r="S12" s="94"/>
      <c r="T12" s="94"/>
      <c r="U12" s="96"/>
      <c r="V12" s="80"/>
      <c r="W12" s="80"/>
      <c r="X12" s="80"/>
      <c r="Y12" s="97"/>
      <c r="Z12" s="80"/>
      <c r="AA12" s="97"/>
      <c r="AB12" s="80"/>
      <c r="AC12" s="80"/>
      <c r="AD12" s="80"/>
      <c r="AE12" s="80"/>
      <c r="AF12" s="98"/>
      <c r="AG12" s="99"/>
      <c r="AH12" s="80"/>
      <c r="AI12" s="86"/>
      <c r="AJ12" s="86"/>
      <c r="AK12" s="80"/>
      <c r="AL12" s="80"/>
      <c r="AM12" s="80"/>
      <c r="AN12" s="100"/>
      <c r="AO12" s="97"/>
      <c r="AP12" s="101"/>
      <c r="AQ12" s="101"/>
      <c r="AR12" s="101"/>
      <c r="AS12" s="101"/>
      <c r="AV12" s="102"/>
      <c r="AW12" s="103"/>
      <c r="AX12" s="103"/>
      <c r="AY12" s="103"/>
      <c r="AZ12" s="104"/>
    </row>
    <row r="13" s="108" customFormat="true" ht="12.95" hidden="false" customHeight="true" outlineLevel="0" collapsed="false">
      <c r="A13" s="105" t="s">
        <v>100</v>
      </c>
      <c r="B13" s="106" t="n">
        <v>6872.71</v>
      </c>
      <c r="C13" s="107" t="n">
        <v>195155</v>
      </c>
      <c r="D13" s="90"/>
      <c r="E13" s="90"/>
      <c r="F13" s="91"/>
      <c r="G13" s="2"/>
      <c r="H13" s="9"/>
      <c r="I13" s="2"/>
      <c r="J13" s="2"/>
      <c r="K13" s="2"/>
      <c r="L13" s="2"/>
      <c r="M13" s="92"/>
      <c r="N13" s="90"/>
      <c r="O13" s="90"/>
      <c r="P13" s="93"/>
      <c r="Q13" s="94"/>
      <c r="R13" s="94"/>
      <c r="S13" s="94"/>
      <c r="T13" s="94"/>
      <c r="U13" s="96"/>
      <c r="V13" s="80"/>
      <c r="W13" s="80"/>
      <c r="X13" s="80"/>
      <c r="Y13" s="97"/>
      <c r="Z13" s="80"/>
      <c r="AA13" s="97"/>
      <c r="AB13" s="80"/>
      <c r="AC13" s="80"/>
      <c r="AD13" s="80"/>
      <c r="AE13" s="80"/>
      <c r="AF13" s="98"/>
      <c r="AG13" s="99"/>
      <c r="AH13" s="107"/>
      <c r="AI13" s="107" t="n">
        <v>4247</v>
      </c>
      <c r="AJ13" s="107"/>
      <c r="AK13" s="80"/>
      <c r="AL13" s="80"/>
      <c r="AM13" s="80"/>
      <c r="AN13" s="100"/>
      <c r="AO13" s="97"/>
      <c r="AP13" s="80"/>
      <c r="AQ13" s="80"/>
      <c r="AR13" s="80"/>
      <c r="AS13" s="80"/>
      <c r="AT13" s="2"/>
      <c r="AU13" s="8"/>
      <c r="AV13" s="102"/>
      <c r="AW13" s="103"/>
      <c r="AX13" s="103"/>
      <c r="AY13" s="103"/>
      <c r="AZ13" s="104"/>
    </row>
    <row r="14" customFormat="false" ht="3" hidden="false" customHeight="true" outlineLevel="0" collapsed="false">
      <c r="A14" s="109"/>
      <c r="B14" s="110"/>
      <c r="C14" s="111"/>
      <c r="D14" s="109"/>
      <c r="E14" s="111"/>
      <c r="F14" s="112"/>
      <c r="G14" s="109"/>
      <c r="H14" s="113"/>
      <c r="I14" s="109"/>
      <c r="J14" s="109"/>
      <c r="K14" s="109"/>
      <c r="L14" s="109"/>
      <c r="M14" s="114"/>
      <c r="N14" s="109"/>
      <c r="O14" s="109"/>
      <c r="P14" s="115"/>
      <c r="Q14" s="116"/>
      <c r="R14" s="116"/>
      <c r="S14" s="116"/>
      <c r="T14" s="116"/>
      <c r="U14" s="117"/>
      <c r="V14" s="116"/>
      <c r="W14" s="116"/>
      <c r="X14" s="116"/>
      <c r="Y14" s="118"/>
      <c r="Z14" s="119"/>
      <c r="AA14" s="118"/>
      <c r="AB14" s="119"/>
      <c r="AC14" s="119"/>
      <c r="AD14" s="119"/>
      <c r="AE14" s="116"/>
      <c r="AF14" s="120"/>
      <c r="AG14" s="121"/>
      <c r="AH14" s="116"/>
      <c r="AI14" s="119"/>
      <c r="AJ14" s="119"/>
      <c r="AK14" s="116"/>
      <c r="AL14" s="116"/>
      <c r="AM14" s="116"/>
      <c r="AN14" s="122"/>
      <c r="AO14" s="118"/>
      <c r="AP14" s="123"/>
      <c r="AQ14" s="123"/>
      <c r="AR14" s="123"/>
      <c r="AS14" s="123"/>
      <c r="AT14" s="123"/>
      <c r="AU14" s="124"/>
      <c r="AV14" s="125"/>
      <c r="AW14" s="123"/>
      <c r="AX14" s="123"/>
      <c r="AY14" s="123"/>
      <c r="AZ14" s="118"/>
    </row>
    <row r="15" customFormat="false" ht="12.95" hidden="false" customHeight="true" outlineLevel="0" collapsed="false">
      <c r="A15" s="10" t="n">
        <v>1</v>
      </c>
      <c r="B15" s="126" t="n">
        <v>6872.7</v>
      </c>
      <c r="C15" s="90" t="n">
        <v>195127</v>
      </c>
      <c r="D15" s="127" t="n">
        <f aca="false">C15-C13</f>
        <v>-28</v>
      </c>
      <c r="E15" s="90" t="n">
        <f aca="false">C15-152000</f>
        <v>43127</v>
      </c>
      <c r="F15" s="128" t="n">
        <f aca="false">D15/$D$2</f>
        <v>-14.1164608016133</v>
      </c>
      <c r="G15" s="11" t="n">
        <v>29</v>
      </c>
      <c r="H15" s="12" t="n">
        <v>0</v>
      </c>
      <c r="I15" s="11" t="n">
        <f aca="false">G15+H15</f>
        <v>29</v>
      </c>
      <c r="J15" s="4" t="n">
        <f aca="false">IF(L15&gt;0,L15,0)</f>
        <v>0</v>
      </c>
      <c r="K15" s="11" t="n">
        <f aca="false">I15+J15</f>
        <v>29</v>
      </c>
      <c r="L15" s="11" t="n">
        <f aca="false">F15-(I15-AK15)</f>
        <v>-9.81646080161331</v>
      </c>
      <c r="M15" s="129" t="n">
        <v>4.27</v>
      </c>
      <c r="N15" s="130" t="n">
        <v>0</v>
      </c>
      <c r="O15" s="130" t="n">
        <f aca="false">4.6*1.05</f>
        <v>4.83</v>
      </c>
      <c r="P15" s="93" t="n">
        <v>0</v>
      </c>
      <c r="Q15" s="131" t="n">
        <f aca="false">924900/325851/1.9835*1.02</f>
        <v>1.45963304956213</v>
      </c>
      <c r="R15" s="131" t="n">
        <f aca="false">((2.3)*1.04)-T15</f>
        <v>1.97926144</v>
      </c>
      <c r="S15" s="132" t="n">
        <v>0</v>
      </c>
      <c r="T15" s="133" t="n">
        <f aca="false">(0.3744*1.06)*1.04</f>
        <v>0.41273856</v>
      </c>
      <c r="U15" s="96" t="n">
        <f aca="false">M15-(Q15+R15+S15+T15)</f>
        <v>0.418366950437865</v>
      </c>
      <c r="V15" s="134" t="n">
        <v>0</v>
      </c>
      <c r="W15" s="134" t="n">
        <v>0</v>
      </c>
      <c r="X15" s="135" t="n">
        <f aca="false">M15-N15-P15-Q15-R15-S15-T15-U15+V15+W15</f>
        <v>0</v>
      </c>
      <c r="Y15" s="136" t="n">
        <f aca="false">X15-AO15</f>
        <v>0</v>
      </c>
      <c r="Z15" s="80"/>
      <c r="AA15" s="136"/>
      <c r="AB15" s="80"/>
      <c r="AC15" s="134"/>
      <c r="AD15" s="80"/>
      <c r="AE15" s="134" t="n">
        <v>0</v>
      </c>
      <c r="AF15" s="137"/>
      <c r="AG15" s="138"/>
      <c r="AH15" s="134" t="n">
        <v>24.2</v>
      </c>
      <c r="AI15" s="80" t="n">
        <f aca="false">AI13-AH15</f>
        <v>4222.8</v>
      </c>
      <c r="AJ15" s="80"/>
      <c r="AK15" s="134" t="n">
        <f aca="false">N15+O15+P15+Q15+R15+S15+T15+U15+X15+AE15+AH15</f>
        <v>33.3</v>
      </c>
      <c r="AL15" s="134" t="n">
        <f aca="false">IF(L15&lt;0,L15*-1,0)</f>
        <v>9.81646080161331</v>
      </c>
      <c r="AM15" s="134" t="n">
        <f aca="false">AK15+AL15</f>
        <v>43.1164608016133</v>
      </c>
      <c r="AN15" s="100"/>
      <c r="AO15" s="97"/>
      <c r="AP15" s="101"/>
      <c r="AQ15" s="101"/>
      <c r="AR15" s="101"/>
      <c r="AS15" s="101"/>
      <c r="AU15" s="5"/>
      <c r="AV15" s="139" t="n">
        <v>0</v>
      </c>
      <c r="AW15" s="103" t="n">
        <v>71</v>
      </c>
      <c r="AX15" s="103" t="n">
        <v>34</v>
      </c>
      <c r="AY15" s="103"/>
      <c r="AZ15" s="104" t="n">
        <f aca="false">SUM(N15,P15:U15)</f>
        <v>4.27</v>
      </c>
    </row>
    <row r="16" customFormat="false" ht="12.95" hidden="false" customHeight="true" outlineLevel="0" collapsed="false">
      <c r="A16" s="10" t="n">
        <f aca="false">A15+1</f>
        <v>2</v>
      </c>
      <c r="B16" s="126" t="n">
        <v>6872.69</v>
      </c>
      <c r="C16" s="90" t="n">
        <v>195100</v>
      </c>
      <c r="D16" s="127" t="n">
        <f aca="false">C16-C15</f>
        <v>-27</v>
      </c>
      <c r="E16" s="90" t="n">
        <f aca="false">C16-152000</f>
        <v>43100</v>
      </c>
      <c r="F16" s="128" t="n">
        <f aca="false">D16/$D$2</f>
        <v>-13.61230148727</v>
      </c>
      <c r="G16" s="11" t="n">
        <v>29</v>
      </c>
      <c r="H16" s="12" t="n">
        <v>0</v>
      </c>
      <c r="I16" s="11" t="n">
        <f aca="false">G16+H16</f>
        <v>29</v>
      </c>
      <c r="J16" s="4" t="n">
        <f aca="false">IF(L16&gt;0,L16,0)</f>
        <v>0</v>
      </c>
      <c r="K16" s="11" t="n">
        <f aca="false">I16+J16</f>
        <v>29</v>
      </c>
      <c r="L16" s="11" t="n">
        <f aca="false">F16-(I16-AK16)</f>
        <v>-14.83230148727</v>
      </c>
      <c r="M16" s="129" t="n">
        <v>3.58</v>
      </c>
      <c r="N16" s="130" t="n">
        <v>0</v>
      </c>
      <c r="O16" s="130" t="n">
        <v>0</v>
      </c>
      <c r="P16" s="93" t="n">
        <v>0</v>
      </c>
      <c r="Q16" s="131" t="n">
        <f aca="false">982700/325851/1.9835*1.02</f>
        <v>1.55085025170798</v>
      </c>
      <c r="R16" s="131" t="n">
        <f aca="false">((2.3)*1.04)-T16</f>
        <v>1.85590288</v>
      </c>
      <c r="S16" s="131" t="n">
        <v>0</v>
      </c>
      <c r="T16" s="133" t="n">
        <f aca="false">(0.4863*1.06)*1.04</f>
        <v>0.53609712</v>
      </c>
      <c r="U16" s="96" t="n">
        <f aca="false">M16-(Q16+R16+S16+T16)</f>
        <v>-0.362850251707979</v>
      </c>
      <c r="V16" s="134" t="n">
        <v>0</v>
      </c>
      <c r="W16" s="134" t="n">
        <v>0</v>
      </c>
      <c r="X16" s="135" t="n">
        <f aca="false">M16-N16-P16-O16-Q16-R16-S16-T16-U16+V16+W16</f>
        <v>0</v>
      </c>
      <c r="Y16" s="136" t="n">
        <f aca="false">X16-AO16</f>
        <v>0</v>
      </c>
      <c r="Z16" s="80"/>
      <c r="AA16" s="136"/>
      <c r="AB16" s="80"/>
      <c r="AC16" s="134"/>
      <c r="AD16" s="80"/>
      <c r="AE16" s="134" t="n">
        <v>0</v>
      </c>
      <c r="AF16" s="137"/>
      <c r="AG16" s="138"/>
      <c r="AH16" s="134" t="n">
        <v>24.2</v>
      </c>
      <c r="AI16" s="80" t="n">
        <f aca="false">AI15-AH16</f>
        <v>4198.6</v>
      </c>
      <c r="AJ16" s="80"/>
      <c r="AK16" s="134" t="n">
        <f aca="false">N16+O16+P16+Q16+R16+S16+T16+U16+X16+AE16+AH16</f>
        <v>27.78</v>
      </c>
      <c r="AL16" s="134" t="n">
        <f aca="false">IF(L16&lt;0,L16*-1,0)</f>
        <v>14.83230148727</v>
      </c>
      <c r="AM16" s="134" t="n">
        <f aca="false">AK16+AL16</f>
        <v>42.61230148727</v>
      </c>
      <c r="AN16" s="100"/>
      <c r="AO16" s="97"/>
      <c r="AP16" s="101"/>
      <c r="AQ16" s="101"/>
      <c r="AR16" s="101"/>
      <c r="AS16" s="101"/>
      <c r="AU16" s="5"/>
      <c r="AV16" s="102" t="n">
        <v>0</v>
      </c>
      <c r="AW16" s="103" t="n">
        <v>65</v>
      </c>
      <c r="AX16" s="103" t="n">
        <v>35</v>
      </c>
      <c r="AY16" s="103"/>
      <c r="AZ16" s="104" t="n">
        <f aca="false">SUM(N16,P16:U16)</f>
        <v>3.58</v>
      </c>
    </row>
    <row r="17" customFormat="false" ht="12.95" hidden="false" customHeight="true" outlineLevel="0" collapsed="false">
      <c r="A17" s="10" t="n">
        <f aca="false">A16+1</f>
        <v>3</v>
      </c>
      <c r="B17" s="126" t="n">
        <v>6872.69</v>
      </c>
      <c r="C17" s="90" t="n">
        <v>195100</v>
      </c>
      <c r="D17" s="127" t="n">
        <f aca="false">C17-C16</f>
        <v>0</v>
      </c>
      <c r="E17" s="90" t="n">
        <f aca="false">C17-152000</f>
        <v>43100</v>
      </c>
      <c r="F17" s="128" t="n">
        <f aca="false">D17/$D$2</f>
        <v>0</v>
      </c>
      <c r="G17" s="11" t="n">
        <v>28</v>
      </c>
      <c r="H17" s="12" t="n">
        <v>0</v>
      </c>
      <c r="I17" s="11" t="n">
        <f aca="false">G17+H17</f>
        <v>28</v>
      </c>
      <c r="J17" s="4" t="n">
        <f aca="false">IF(L17&gt;0,L17,0)</f>
        <v>0.799999999999997</v>
      </c>
      <c r="K17" s="11" t="n">
        <f aca="false">I17+J17</f>
        <v>28.8</v>
      </c>
      <c r="L17" s="11" t="n">
        <f aca="false">F17-(I17-AK17)</f>
        <v>0.799999999999997</v>
      </c>
      <c r="M17" s="129" t="n">
        <v>4.4</v>
      </c>
      <c r="N17" s="130" t="n">
        <v>0</v>
      </c>
      <c r="O17" s="130" t="n">
        <v>0</v>
      </c>
      <c r="P17" s="93" t="n">
        <v>0</v>
      </c>
      <c r="Q17" s="131" t="n">
        <f aca="false">1131900/325851/1.9835*1.02</f>
        <v>1.78631057281801</v>
      </c>
      <c r="R17" s="131" t="n">
        <f aca="false">((2.3)*1.04)-T17</f>
        <v>1.85590288</v>
      </c>
      <c r="S17" s="131" t="n">
        <v>0</v>
      </c>
      <c r="T17" s="133" t="n">
        <f aca="false">(0.4863*1.06)*1.04</f>
        <v>0.53609712</v>
      </c>
      <c r="U17" s="96" t="n">
        <f aca="false">M17-(Q17+R17+S17+T17)</f>
        <v>0.221689427181987</v>
      </c>
      <c r="V17" s="134" t="n">
        <v>0</v>
      </c>
      <c r="W17" s="134" t="n">
        <v>0</v>
      </c>
      <c r="X17" s="135" t="n">
        <f aca="false">M17-N17-P17-O17-Q17-R17-S17-T17-U17+V17+W17</f>
        <v>0</v>
      </c>
      <c r="Y17" s="136" t="n">
        <f aca="false">X17-AO17</f>
        <v>0</v>
      </c>
      <c r="Z17" s="80"/>
      <c r="AA17" s="136"/>
      <c r="AB17" s="80"/>
      <c r="AC17" s="134"/>
      <c r="AD17" s="80"/>
      <c r="AE17" s="134" t="n">
        <v>0</v>
      </c>
      <c r="AF17" s="137"/>
      <c r="AG17" s="138"/>
      <c r="AH17" s="134" t="n">
        <v>24.4</v>
      </c>
      <c r="AI17" s="80" t="n">
        <f aca="false">AI16-AH17</f>
        <v>4174.2</v>
      </c>
      <c r="AJ17" s="80"/>
      <c r="AK17" s="134" t="n">
        <f aca="false">N17+O17+P17+Q17+R17+S17+T17+U17+X17+AE17+AH17</f>
        <v>28.8</v>
      </c>
      <c r="AL17" s="134" t="n">
        <f aca="false">IF(L17&lt;0,L17*-1,0)</f>
        <v>0</v>
      </c>
      <c r="AM17" s="134" t="n">
        <f aca="false">AK17+AL17</f>
        <v>28.8</v>
      </c>
      <c r="AN17" s="100"/>
      <c r="AO17" s="97"/>
      <c r="AP17" s="101"/>
      <c r="AQ17" s="101"/>
      <c r="AR17" s="101"/>
      <c r="AS17" s="101"/>
      <c r="AU17" s="5"/>
      <c r="AV17" s="102" t="n">
        <v>0</v>
      </c>
      <c r="AW17" s="103" t="n">
        <v>66</v>
      </c>
      <c r="AX17" s="103" t="n">
        <v>31</v>
      </c>
      <c r="AY17" s="103"/>
      <c r="AZ17" s="104" t="n">
        <f aca="false">SUM(N17,P17:U17)</f>
        <v>4.4</v>
      </c>
    </row>
    <row r="18" customFormat="false" ht="12.95" hidden="false" customHeight="true" outlineLevel="0" collapsed="false">
      <c r="A18" s="10" t="n">
        <f aca="false">A17+1</f>
        <v>4</v>
      </c>
      <c r="B18" s="126" t="n">
        <v>6872.69</v>
      </c>
      <c r="C18" s="90" t="n">
        <v>195100</v>
      </c>
      <c r="D18" s="127" t="n">
        <f aca="false">C18-C17</f>
        <v>0</v>
      </c>
      <c r="E18" s="90" t="n">
        <f aca="false">C18-152000</f>
        <v>43100</v>
      </c>
      <c r="F18" s="128" t="n">
        <f aca="false">D18/$D$2</f>
        <v>0</v>
      </c>
      <c r="G18" s="11" t="n">
        <v>27</v>
      </c>
      <c r="H18" s="12" t="n">
        <v>0</v>
      </c>
      <c r="I18" s="11" t="n">
        <f aca="false">G18+H18</f>
        <v>27</v>
      </c>
      <c r="J18" s="4" t="n">
        <f aca="false">IF(L18&gt;0,L18,0)</f>
        <v>1.79</v>
      </c>
      <c r="K18" s="11" t="n">
        <f aca="false">I18+J18</f>
        <v>28.79</v>
      </c>
      <c r="L18" s="11" t="n">
        <f aca="false">F18-(I18-AK18)</f>
        <v>1.79</v>
      </c>
      <c r="M18" s="129" t="n">
        <v>4.19</v>
      </c>
      <c r="N18" s="130" t="n">
        <v>0</v>
      </c>
      <c r="O18" s="130" t="n">
        <v>0</v>
      </c>
      <c r="P18" s="93" t="n">
        <v>0</v>
      </c>
      <c r="Q18" s="131" t="n">
        <f aca="false">1211700/325851/1.9835*1.02</f>
        <v>1.91224712526158</v>
      </c>
      <c r="R18" s="131" t="n">
        <f aca="false">((2.3)*1.04)-T18</f>
        <v>1.85590288</v>
      </c>
      <c r="S18" s="131" t="n">
        <v>0</v>
      </c>
      <c r="T18" s="133" t="n">
        <f aca="false">(0.4863*1.06)*1.04</f>
        <v>0.53609712</v>
      </c>
      <c r="U18" s="96" t="n">
        <f aca="false">M18-(Q18+R18+S18+T18)</f>
        <v>-0.114247125261583</v>
      </c>
      <c r="V18" s="134" t="n">
        <v>0</v>
      </c>
      <c r="W18" s="134" t="n">
        <v>0</v>
      </c>
      <c r="X18" s="135" t="n">
        <f aca="false">M18-N18-P18-O18-Q18-R18-S18-T18-U18+V18+W18</f>
        <v>-4.44089209850063E-016</v>
      </c>
      <c r="Y18" s="136" t="n">
        <f aca="false">X18-AO18</f>
        <v>-4.44089209850063E-016</v>
      </c>
      <c r="Z18" s="80"/>
      <c r="AA18" s="136"/>
      <c r="AB18" s="80"/>
      <c r="AC18" s="134"/>
      <c r="AD18" s="80"/>
      <c r="AE18" s="134" t="n">
        <v>0</v>
      </c>
      <c r="AF18" s="137"/>
      <c r="AG18" s="138"/>
      <c r="AH18" s="134" t="n">
        <v>24.6</v>
      </c>
      <c r="AI18" s="80" t="n">
        <f aca="false">AI17-AH18</f>
        <v>4149.6</v>
      </c>
      <c r="AJ18" s="80"/>
      <c r="AK18" s="134" t="n">
        <f aca="false">N18+O18+P18+Q18+R18+S18+T18+U18+X18+AE18+AH18</f>
        <v>28.79</v>
      </c>
      <c r="AL18" s="134" t="n">
        <f aca="false">IF(L18&lt;0,L18*-1,0)</f>
        <v>0</v>
      </c>
      <c r="AM18" s="134" t="n">
        <f aca="false">AK18+AL18</f>
        <v>28.79</v>
      </c>
      <c r="AN18" s="100"/>
      <c r="AO18" s="97"/>
      <c r="AP18" s="101"/>
      <c r="AQ18" s="101"/>
      <c r="AR18" s="101"/>
      <c r="AS18" s="101"/>
      <c r="AU18" s="5"/>
      <c r="AV18" s="102" t="n">
        <v>0</v>
      </c>
      <c r="AW18" s="103" t="n">
        <v>67</v>
      </c>
      <c r="AX18" s="103" t="n">
        <v>30</v>
      </c>
      <c r="AY18" s="103"/>
      <c r="AZ18" s="104" t="n">
        <f aca="false">SUM(N18,P18:U18)</f>
        <v>4.19</v>
      </c>
    </row>
    <row r="19" customFormat="false" ht="12.95" hidden="false" customHeight="true" outlineLevel="0" collapsed="false">
      <c r="A19" s="10" t="n">
        <f aca="false">A18+1</f>
        <v>5</v>
      </c>
      <c r="B19" s="126" t="n">
        <v>6872.64</v>
      </c>
      <c r="C19" s="90" t="n">
        <v>194962</v>
      </c>
      <c r="D19" s="127" t="n">
        <f aca="false">C19-C18</f>
        <v>-138</v>
      </c>
      <c r="E19" s="90" t="n">
        <f aca="false">C19-152000</f>
        <v>42962</v>
      </c>
      <c r="F19" s="128" t="n">
        <f aca="false">D19/$D$2</f>
        <v>-69.5739853793799</v>
      </c>
      <c r="G19" s="11" t="n">
        <v>29</v>
      </c>
      <c r="H19" s="12" t="n">
        <v>0</v>
      </c>
      <c r="I19" s="11" t="n">
        <f aca="false">G19+H19</f>
        <v>29</v>
      </c>
      <c r="J19" s="4" t="n">
        <f aca="false">IF(L19&gt;0,L19,0)</f>
        <v>0</v>
      </c>
      <c r="K19" s="11" t="n">
        <f aca="false">I19+J19</f>
        <v>29</v>
      </c>
      <c r="L19" s="11" t="n">
        <f aca="false">F19-(I19-AK19)</f>
        <v>-5.06848537937987</v>
      </c>
      <c r="M19" s="129" t="n">
        <v>31</v>
      </c>
      <c r="N19" s="130" t="n">
        <v>0</v>
      </c>
      <c r="O19" s="130" t="n">
        <f aca="false">3.91*1.05</f>
        <v>4.1055</v>
      </c>
      <c r="P19" s="93" t="n">
        <v>0</v>
      </c>
      <c r="Q19" s="131" t="n">
        <f aca="false">1029600/325851/1.9835*1.02</f>
        <v>1.62486559393359</v>
      </c>
      <c r="R19" s="131" t="n">
        <f aca="false">((2.3)*1.04)-T19</f>
        <v>1.85590288</v>
      </c>
      <c r="S19" s="131" t="n">
        <v>0</v>
      </c>
      <c r="T19" s="133" t="n">
        <f aca="false">(0.4863*1.06)*1.04</f>
        <v>0.53609712</v>
      </c>
      <c r="U19" s="96" t="n">
        <v>0</v>
      </c>
      <c r="V19" s="134" t="n">
        <v>20.1</v>
      </c>
      <c r="W19" s="134" t="n">
        <v>13.6</v>
      </c>
      <c r="X19" s="135" t="n">
        <f aca="false">M19-N19-P19-Q19-R19-S19-T19-U19+V19+W19</f>
        <v>60.6831344060664</v>
      </c>
      <c r="Y19" s="136" t="n">
        <f aca="false">X19-AO19</f>
        <v>0</v>
      </c>
      <c r="Z19" s="80"/>
      <c r="AA19" s="136"/>
      <c r="AB19" s="80"/>
      <c r="AC19" s="134"/>
      <c r="AD19" s="80"/>
      <c r="AE19" s="134" t="n">
        <v>0</v>
      </c>
      <c r="AF19" s="137"/>
      <c r="AG19" s="138"/>
      <c r="AH19" s="134" t="n">
        <v>24.7</v>
      </c>
      <c r="AI19" s="80" t="n">
        <f aca="false">AI18-AH19</f>
        <v>4124.9</v>
      </c>
      <c r="AJ19" s="80"/>
      <c r="AK19" s="134" t="n">
        <f aca="false">N19+O19+P19+Q19+R19+S19+T19+U19+X19+AE19+AH19</f>
        <v>93.5055</v>
      </c>
      <c r="AL19" s="134" t="n">
        <f aca="false">IF(L19&lt;0,L19*-1,0)</f>
        <v>5.06848537937987</v>
      </c>
      <c r="AM19" s="134" t="n">
        <f aca="false">AK19+AL19</f>
        <v>98.5739853793799</v>
      </c>
      <c r="AN19" s="100"/>
      <c r="AO19" s="97" t="n">
        <f aca="false">X19-AN19</f>
        <v>60.6831344060664</v>
      </c>
      <c r="AP19" s="101"/>
      <c r="AQ19" s="101"/>
      <c r="AR19" s="101"/>
      <c r="AS19" s="101"/>
      <c r="AU19" s="5"/>
      <c r="AV19" s="102" t="n">
        <v>0</v>
      </c>
      <c r="AW19" s="103" t="n">
        <v>71</v>
      </c>
      <c r="AX19" s="103" t="n">
        <v>38</v>
      </c>
      <c r="AY19" s="103"/>
      <c r="AZ19" s="104" t="n">
        <f aca="false">SUM(N19,P19:U19)</f>
        <v>4.01686559393359</v>
      </c>
    </row>
    <row r="20" customFormat="false" ht="12.95" hidden="false" customHeight="true" outlineLevel="0" collapsed="false">
      <c r="A20" s="10" t="n">
        <f aca="false">A19+1</f>
        <v>6</v>
      </c>
      <c r="B20" s="126" t="n">
        <v>6872.56</v>
      </c>
      <c r="C20" s="90" t="n">
        <v>194742</v>
      </c>
      <c r="D20" s="127" t="n">
        <f aca="false">C20-C19</f>
        <v>-220</v>
      </c>
      <c r="E20" s="90" t="n">
        <f aca="false">C20-152000</f>
        <v>42742</v>
      </c>
      <c r="F20" s="128" t="n">
        <f aca="false">D20/$D$2</f>
        <v>-110.915049155533</v>
      </c>
      <c r="G20" s="11" t="n">
        <v>29</v>
      </c>
      <c r="H20" s="12" t="n">
        <v>0</v>
      </c>
      <c r="I20" s="11" t="n">
        <f aca="false">G20+H20</f>
        <v>29</v>
      </c>
      <c r="J20" s="4" t="n">
        <f aca="false">IF(L20&gt;0,L20,0)</f>
        <v>0</v>
      </c>
      <c r="K20" s="11" t="n">
        <f aca="false">I20+J20</f>
        <v>29</v>
      </c>
      <c r="L20" s="11" t="n">
        <f aca="false">F20-(I20-AK20)</f>
        <v>-20.7150491555331</v>
      </c>
      <c r="M20" s="129" t="n">
        <v>46.2</v>
      </c>
      <c r="N20" s="130" t="n">
        <v>0</v>
      </c>
      <c r="O20" s="130" t="n">
        <v>0</v>
      </c>
      <c r="P20" s="93" t="n">
        <v>0</v>
      </c>
      <c r="Q20" s="131" t="n">
        <f aca="false">1071200/325851/1.9835*1.02</f>
        <v>1.69051672904201</v>
      </c>
      <c r="R20" s="131" t="n">
        <f aca="false">((2.4)*1.04)-T20</f>
        <v>1.95990288</v>
      </c>
      <c r="S20" s="131" t="n">
        <v>0</v>
      </c>
      <c r="T20" s="133" t="n">
        <f aca="false">(0.4863*1.06)*1.04</f>
        <v>0.53609712</v>
      </c>
      <c r="U20" s="96" t="n">
        <v>0</v>
      </c>
      <c r="V20" s="134" t="n">
        <v>29</v>
      </c>
      <c r="W20" s="134" t="n">
        <v>19.2</v>
      </c>
      <c r="X20" s="135" t="n">
        <f aca="false">M20-N20-P20-O20-Q20-R20-S20-T20-U20+V20+W20</f>
        <v>90.213483270958</v>
      </c>
      <c r="Y20" s="136" t="n">
        <f aca="false">X20-AO20</f>
        <v>0</v>
      </c>
      <c r="Z20" s="80"/>
      <c r="AA20" s="136"/>
      <c r="AB20" s="80"/>
      <c r="AC20" s="134"/>
      <c r="AD20" s="80"/>
      <c r="AE20" s="134" t="n">
        <v>0</v>
      </c>
      <c r="AF20" s="137"/>
      <c r="AG20" s="138"/>
      <c r="AH20" s="134" t="n">
        <v>24.8</v>
      </c>
      <c r="AI20" s="80" t="n">
        <f aca="false">AI19-AH20</f>
        <v>4100.1</v>
      </c>
      <c r="AJ20" s="80"/>
      <c r="AK20" s="134" t="n">
        <f aca="false">N20+O20+P20+Q20+R20+S20+T20+U20+X20+AE20+AH20</f>
        <v>119.2</v>
      </c>
      <c r="AL20" s="134" t="n">
        <f aca="false">IF(L20&lt;0,L20*-1,0)</f>
        <v>20.7150491555331</v>
      </c>
      <c r="AM20" s="134" t="n">
        <f aca="false">AK20+AL20</f>
        <v>139.915049155533</v>
      </c>
      <c r="AN20" s="100"/>
      <c r="AO20" s="97" t="n">
        <f aca="false">X20-AN20</f>
        <v>90.213483270958</v>
      </c>
      <c r="AP20" s="101"/>
      <c r="AQ20" s="101"/>
      <c r="AR20" s="101"/>
      <c r="AS20" s="101"/>
      <c r="AU20" s="5"/>
      <c r="AV20" s="102" t="n">
        <v>0</v>
      </c>
      <c r="AW20" s="103" t="n">
        <v>71</v>
      </c>
      <c r="AX20" s="103" t="n">
        <v>38</v>
      </c>
      <c r="AY20" s="103"/>
      <c r="AZ20" s="104" t="n">
        <f aca="false">SUM(N20,P20:U20)</f>
        <v>4.18651672904201</v>
      </c>
    </row>
    <row r="21" customFormat="false" ht="12.75" hidden="false" customHeight="true" outlineLevel="0" collapsed="false">
      <c r="A21" s="10" t="n">
        <f aca="false">A20+1</f>
        <v>7</v>
      </c>
      <c r="B21" s="126" t="n">
        <v>6872.49</v>
      </c>
      <c r="C21" s="90" t="n">
        <v>194549</v>
      </c>
      <c r="D21" s="127" t="n">
        <f aca="false">C21-C20</f>
        <v>-193</v>
      </c>
      <c r="E21" s="90" t="n">
        <f aca="false">C21-152000</f>
        <v>42549</v>
      </c>
      <c r="F21" s="128" t="n">
        <f aca="false">D21/$D$2</f>
        <v>-97.3027476682632</v>
      </c>
      <c r="G21" s="11" t="n">
        <v>29</v>
      </c>
      <c r="H21" s="12" t="n">
        <v>0</v>
      </c>
      <c r="I21" s="11" t="n">
        <f aca="false">G21+H21</f>
        <v>29</v>
      </c>
      <c r="J21" s="4" t="n">
        <f aca="false">IF(L21&gt;0,L21,0)</f>
        <v>0</v>
      </c>
      <c r="K21" s="11" t="n">
        <f aca="false">I21+J21</f>
        <v>29</v>
      </c>
      <c r="L21" s="11" t="n">
        <f aca="false">F21-(I21-AK21)</f>
        <v>-8.10274766826316</v>
      </c>
      <c r="M21" s="129" t="n">
        <v>45.3</v>
      </c>
      <c r="N21" s="130" t="n">
        <v>0</v>
      </c>
      <c r="O21" s="130" t="n">
        <v>0</v>
      </c>
      <c r="P21" s="93" t="n">
        <v>0</v>
      </c>
      <c r="Q21" s="131" t="n">
        <f aca="false">1066900/325851/1.9835*1.02</f>
        <v>1.68373067421109</v>
      </c>
      <c r="R21" s="131" t="n">
        <f aca="false">((2.3)*1.04)-T21</f>
        <v>1.85590288</v>
      </c>
      <c r="S21" s="131" t="n">
        <v>0</v>
      </c>
      <c r="T21" s="133" t="n">
        <f aca="false">(0.4863*1.06)*1.04</f>
        <v>0.53609712</v>
      </c>
      <c r="U21" s="96" t="n">
        <v>0</v>
      </c>
      <c r="V21" s="134" t="n">
        <v>28.8</v>
      </c>
      <c r="W21" s="134" t="n">
        <v>19.3</v>
      </c>
      <c r="X21" s="135" t="n">
        <f aca="false">M21-N21-P21-O21-Q21-R21-S21-T21-U21+V21+W21</f>
        <v>89.3242693257889</v>
      </c>
      <c r="Y21" s="136" t="n">
        <f aca="false">X21-AO21</f>
        <v>18</v>
      </c>
      <c r="Z21" s="80"/>
      <c r="AA21" s="136"/>
      <c r="AB21" s="80"/>
      <c r="AC21" s="134"/>
      <c r="AD21" s="80"/>
      <c r="AE21" s="134" t="n">
        <v>0</v>
      </c>
      <c r="AF21" s="137"/>
      <c r="AG21" s="138"/>
      <c r="AH21" s="134" t="n">
        <v>24.8</v>
      </c>
      <c r="AI21" s="80" t="n">
        <f aca="false">AI20-AH21</f>
        <v>4075.3</v>
      </c>
      <c r="AJ21" s="80"/>
      <c r="AK21" s="134" t="n">
        <f aca="false">N21+O21+P21+Q21+R21+S21+T21+U21+X21+AE21+AH21</f>
        <v>118.2</v>
      </c>
      <c r="AL21" s="134" t="n">
        <f aca="false">IF(L21&lt;0,L21*-1,0)</f>
        <v>8.10274766826316</v>
      </c>
      <c r="AM21" s="134" t="n">
        <f aca="false">AK21+AL21</f>
        <v>126.302747668263</v>
      </c>
      <c r="AN21" s="100" t="n">
        <v>18</v>
      </c>
      <c r="AO21" s="97" t="n">
        <f aca="false">X21-AN21</f>
        <v>71.3242693257889</v>
      </c>
      <c r="AP21" s="101"/>
      <c r="AQ21" s="101"/>
      <c r="AR21" s="101"/>
      <c r="AS21" s="101"/>
      <c r="AU21" s="5"/>
      <c r="AV21" s="102" t="n">
        <v>0</v>
      </c>
      <c r="AW21" s="103" t="n">
        <v>69</v>
      </c>
      <c r="AX21" s="103" t="n">
        <v>33</v>
      </c>
      <c r="AY21" s="103"/>
      <c r="AZ21" s="104" t="n">
        <f aca="false">SUM(N21,P21:U21)</f>
        <v>4.07573067421109</v>
      </c>
    </row>
    <row r="22" customFormat="false" ht="12.75" hidden="false" customHeight="true" outlineLevel="0" collapsed="false">
      <c r="A22" s="10" t="n">
        <f aca="false">A21+1</f>
        <v>8</v>
      </c>
      <c r="B22" s="126" t="n">
        <v>6872.43</v>
      </c>
      <c r="C22" s="90" t="n">
        <v>194384</v>
      </c>
      <c r="D22" s="127" t="n">
        <f aca="false">C22-C21</f>
        <v>-165</v>
      </c>
      <c r="E22" s="90" t="n">
        <f aca="false">C22-152000</f>
        <v>42384</v>
      </c>
      <c r="F22" s="128" t="n">
        <f aca="false">D22/$D$2</f>
        <v>-83.1862868666499</v>
      </c>
      <c r="G22" s="11" t="n">
        <v>28</v>
      </c>
      <c r="H22" s="12" t="n">
        <v>0</v>
      </c>
      <c r="I22" s="11" t="n">
        <f aca="false">G22+H22</f>
        <v>28</v>
      </c>
      <c r="J22" s="4" t="n">
        <f aca="false">IF(L22&gt;0,L22,0)</f>
        <v>12.4137131333501</v>
      </c>
      <c r="K22" s="11" t="n">
        <f aca="false">I22+J22</f>
        <v>40.4137131333501</v>
      </c>
      <c r="L22" s="11" t="n">
        <f aca="false">F22-(I22-AK22)</f>
        <v>12.4137131333501</v>
      </c>
      <c r="M22" s="129" t="n">
        <v>45</v>
      </c>
      <c r="N22" s="130" t="n">
        <v>0</v>
      </c>
      <c r="O22" s="130" t="n">
        <v>0</v>
      </c>
      <c r="P22" s="93" t="n">
        <v>0</v>
      </c>
      <c r="Q22" s="131" t="n">
        <f aca="false">1015700/325851/1.9835*1.02</f>
        <v>1.60292927715457</v>
      </c>
      <c r="R22" s="131" t="n">
        <f aca="false">((2.3)*1.04)-T22</f>
        <v>1.85590288</v>
      </c>
      <c r="S22" s="131" t="n">
        <v>0</v>
      </c>
      <c r="T22" s="133" t="n">
        <f aca="false">(0.4863*1.06)*1.04</f>
        <v>0.53609712</v>
      </c>
      <c r="U22" s="96" t="n">
        <v>0</v>
      </c>
      <c r="V22" s="134" t="n">
        <v>34.5</v>
      </c>
      <c r="W22" s="134" t="n">
        <v>19.4</v>
      </c>
      <c r="X22" s="135" t="n">
        <f aca="false">M22-N22-P22-O22-Q22-R22-S22-T22-U22+V22+W22</f>
        <v>94.9050707228454</v>
      </c>
      <c r="Y22" s="136" t="n">
        <f aca="false">X22-AO22</f>
        <v>34.5</v>
      </c>
      <c r="Z22" s="80"/>
      <c r="AA22" s="136"/>
      <c r="AB22" s="80"/>
      <c r="AC22" s="134"/>
      <c r="AD22" s="80"/>
      <c r="AE22" s="134" t="n">
        <v>0</v>
      </c>
      <c r="AF22" s="137"/>
      <c r="AG22" s="138"/>
      <c r="AH22" s="134" t="n">
        <v>24.7</v>
      </c>
      <c r="AI22" s="80" t="n">
        <f aca="false">AI21-AH22</f>
        <v>4050.6</v>
      </c>
      <c r="AJ22" s="80"/>
      <c r="AK22" s="134" t="n">
        <f aca="false">N22+O22+P22+Q22+R22+S22+T22+U22+X22+AE22+AH22</f>
        <v>123.6</v>
      </c>
      <c r="AL22" s="134" t="n">
        <f aca="false">IF(L22&lt;0,L22*-1,0)</f>
        <v>0</v>
      </c>
      <c r="AM22" s="134" t="n">
        <f aca="false">AK22+AL22</f>
        <v>123.6</v>
      </c>
      <c r="AN22" s="100" t="n">
        <f aca="false">V22</f>
        <v>34.5</v>
      </c>
      <c r="AO22" s="97" t="n">
        <f aca="false">X22-AN22</f>
        <v>60.4050707228454</v>
      </c>
      <c r="AP22" s="101"/>
      <c r="AQ22" s="101"/>
      <c r="AR22" s="101"/>
      <c r="AS22" s="101"/>
      <c r="AU22" s="5"/>
      <c r="AV22" s="102" t="n">
        <v>0</v>
      </c>
      <c r="AW22" s="103" t="n">
        <v>67</v>
      </c>
      <c r="AX22" s="103" t="n">
        <v>37</v>
      </c>
      <c r="AY22" s="103"/>
      <c r="AZ22" s="104" t="n">
        <f aca="false">SUM(N22,P22:U22)</f>
        <v>3.99492927715457</v>
      </c>
    </row>
    <row r="23" customFormat="false" ht="12.75" hidden="false" customHeight="true" outlineLevel="0" collapsed="false">
      <c r="A23" s="10" t="n">
        <f aca="false">A22+1</f>
        <v>9</v>
      </c>
      <c r="B23" s="126" t="n">
        <v>6872.42</v>
      </c>
      <c r="C23" s="90" t="n">
        <v>194357</v>
      </c>
      <c r="D23" s="127" t="n">
        <f aca="false">C23-C22</f>
        <v>-27</v>
      </c>
      <c r="E23" s="90" t="n">
        <f aca="false">C23-152000</f>
        <v>42357</v>
      </c>
      <c r="F23" s="128" t="n">
        <f aca="false">D23/$D$2</f>
        <v>-13.61230148727</v>
      </c>
      <c r="G23" s="11" t="n">
        <v>35</v>
      </c>
      <c r="H23" s="12" t="n">
        <v>0</v>
      </c>
      <c r="I23" s="11" t="n">
        <f aca="false">G23+H23</f>
        <v>35</v>
      </c>
      <c r="J23" s="4" t="n">
        <f aca="false">IF(L23&gt;0,L23,0)</f>
        <v>51.78769851273</v>
      </c>
      <c r="K23" s="11" t="n">
        <f aca="false">I23+J23</f>
        <v>86.78769851273</v>
      </c>
      <c r="L23" s="11" t="n">
        <f aca="false">F23-(I23-AK23)</f>
        <v>51.78769851273</v>
      </c>
      <c r="M23" s="129" t="n">
        <v>32.1</v>
      </c>
      <c r="N23" s="130" t="n">
        <v>0</v>
      </c>
      <c r="O23" s="130" t="n">
        <v>0</v>
      </c>
      <c r="P23" s="93" t="n">
        <v>0</v>
      </c>
      <c r="Q23" s="131" t="n">
        <f aca="false">805700/325851/1.9835*1.02</f>
        <v>1.27151729703991</v>
      </c>
      <c r="R23" s="131" t="n">
        <f aca="false">((2.3)*1.04)-T23</f>
        <v>1.82933504</v>
      </c>
      <c r="S23" s="131" t="n">
        <v>0</v>
      </c>
      <c r="T23" s="133" t="n">
        <f aca="false">(0.5104*1.06)*1.04</f>
        <v>0.56266496</v>
      </c>
      <c r="U23" s="96" t="n">
        <v>0</v>
      </c>
      <c r="V23" s="134" t="n">
        <v>30.5</v>
      </c>
      <c r="W23" s="134" t="n">
        <v>12.9</v>
      </c>
      <c r="X23" s="135" t="n">
        <f aca="false">M23-N23-P23-O23-Q23-R23-S23-T23-U23+V23+W23</f>
        <v>71.8364827029601</v>
      </c>
      <c r="Y23" s="136" t="n">
        <f aca="false">X23-AO23</f>
        <v>30.5</v>
      </c>
      <c r="Z23" s="80"/>
      <c r="AA23" s="136"/>
      <c r="AB23" s="80"/>
      <c r="AC23" s="134"/>
      <c r="AD23" s="80"/>
      <c r="AE23" s="134" t="n">
        <v>0</v>
      </c>
      <c r="AF23" s="137"/>
      <c r="AG23" s="138"/>
      <c r="AH23" s="134" t="n">
        <v>24.9</v>
      </c>
      <c r="AI23" s="80" t="n">
        <f aca="false">AI22-AH23</f>
        <v>4025.7</v>
      </c>
      <c r="AJ23" s="80"/>
      <c r="AK23" s="134" t="n">
        <f aca="false">N23+O23+P23+Q23+R23+S23+T23+U23+X23+AE23+AH23</f>
        <v>100.4</v>
      </c>
      <c r="AL23" s="134" t="n">
        <f aca="false">IF(L23&lt;0,L23*-1,0)</f>
        <v>0</v>
      </c>
      <c r="AM23" s="134" t="n">
        <f aca="false">AK23+AL23</f>
        <v>100.4</v>
      </c>
      <c r="AN23" s="100" t="n">
        <f aca="false">V23</f>
        <v>30.5</v>
      </c>
      <c r="AO23" s="97" t="n">
        <f aca="false">X23-AN23</f>
        <v>41.3364827029601</v>
      </c>
      <c r="AP23" s="101"/>
      <c r="AQ23" s="101"/>
      <c r="AR23" s="101"/>
      <c r="AS23" s="101"/>
      <c r="AU23" s="5"/>
      <c r="AV23" s="102" t="n">
        <v>0.23</v>
      </c>
      <c r="AW23" s="103" t="n">
        <v>62</v>
      </c>
      <c r="AX23" s="140" t="n">
        <v>42</v>
      </c>
      <c r="AY23" s="140"/>
      <c r="AZ23" s="104" t="n">
        <f aca="false">SUM(N23,P23:U23)</f>
        <v>3.66351729703991</v>
      </c>
    </row>
    <row r="24" customFormat="false" ht="12.95" hidden="false" customHeight="true" outlineLevel="0" collapsed="false">
      <c r="A24" s="10" t="n">
        <f aca="false">A23+1</f>
        <v>10</v>
      </c>
      <c r="B24" s="126" t="n">
        <v>6872.46</v>
      </c>
      <c r="C24" s="90" t="n">
        <v>194467</v>
      </c>
      <c r="D24" s="127" t="n">
        <f aca="false">C24-C23</f>
        <v>110</v>
      </c>
      <c r="E24" s="90" t="n">
        <f aca="false">C24-152000</f>
        <v>42467</v>
      </c>
      <c r="F24" s="128" t="n">
        <f aca="false">D24/$D$2</f>
        <v>55.4575245777666</v>
      </c>
      <c r="G24" s="11" t="n">
        <v>53</v>
      </c>
      <c r="H24" s="12" t="n">
        <v>0</v>
      </c>
      <c r="I24" s="11" t="n">
        <f aca="false">G24+H24</f>
        <v>53</v>
      </c>
      <c r="J24" s="4" t="n">
        <f aca="false">IF(L24&gt;0,L24,0)</f>
        <v>52.0275245777666</v>
      </c>
      <c r="K24" s="11" t="n">
        <f aca="false">I24+J24</f>
        <v>105.027524577767</v>
      </c>
      <c r="L24" s="11" t="n">
        <f aca="false">F24-(I24-AK24)</f>
        <v>52.0275245777666</v>
      </c>
      <c r="M24" s="129" t="n">
        <v>4.27</v>
      </c>
      <c r="N24" s="130" t="n">
        <v>0</v>
      </c>
      <c r="O24" s="130" t="n">
        <v>0</v>
      </c>
      <c r="P24" s="93" t="n">
        <v>0</v>
      </c>
      <c r="Q24" s="131" t="n">
        <f aca="false">1065500/325851/1.9835*1.02</f>
        <v>1.68152126101033</v>
      </c>
      <c r="R24" s="131" t="n">
        <f aca="false">((2.3)*1.04)-T24</f>
        <v>1.82933504</v>
      </c>
      <c r="S24" s="131" t="n">
        <v>0</v>
      </c>
      <c r="T24" s="133" t="n">
        <f aca="false">(0.5104*1.06)*1.04</f>
        <v>0.56266496</v>
      </c>
      <c r="U24" s="96" t="n">
        <f aca="false">M24-(Q24+R24+S24+T24)</f>
        <v>0.196478738989669</v>
      </c>
      <c r="V24" s="134" t="n">
        <v>20.3</v>
      </c>
      <c r="W24" s="134" t="n">
        <v>0</v>
      </c>
      <c r="X24" s="135" t="n">
        <f aca="false">M24-N24-P24-O24-Q24-R24-S24-T24-U24+V24+W24</f>
        <v>20.3</v>
      </c>
      <c r="Y24" s="136" t="n">
        <f aca="false">X24-AO24</f>
        <v>20.3</v>
      </c>
      <c r="Z24" s="80"/>
      <c r="AA24" s="136"/>
      <c r="AB24" s="80"/>
      <c r="AC24" s="134"/>
      <c r="AD24" s="80"/>
      <c r="AE24" s="134" t="n">
        <v>0</v>
      </c>
      <c r="AF24" s="137"/>
      <c r="AG24" s="138"/>
      <c r="AH24" s="134" t="n">
        <v>25</v>
      </c>
      <c r="AI24" s="80" t="n">
        <f aca="false">AI23-AH24</f>
        <v>4000.7</v>
      </c>
      <c r="AJ24" s="80"/>
      <c r="AK24" s="134" t="n">
        <f aca="false">N24+O24+P24+Q24+R24+S24+T24+U24+X24+AE24+AH24</f>
        <v>49.57</v>
      </c>
      <c r="AL24" s="134" t="n">
        <f aca="false">IF(L24&lt;0,L24*-1,0)</f>
        <v>0</v>
      </c>
      <c r="AM24" s="134" t="n">
        <f aca="false">AK24+AL24</f>
        <v>49.57</v>
      </c>
      <c r="AN24" s="100" t="n">
        <f aca="false">V24</f>
        <v>20.3</v>
      </c>
      <c r="AO24" s="97" t="n">
        <f aca="false">X24-AN24</f>
        <v>0</v>
      </c>
      <c r="AP24" s="101"/>
      <c r="AQ24" s="101"/>
      <c r="AR24" s="101"/>
      <c r="AS24" s="101"/>
      <c r="AU24" s="5"/>
      <c r="AV24" s="102" t="n">
        <v>0.12</v>
      </c>
      <c r="AW24" s="103" t="n">
        <v>50</v>
      </c>
      <c r="AX24" s="103" t="n">
        <v>16</v>
      </c>
      <c r="AY24" s="103"/>
      <c r="AZ24" s="104" t="n">
        <f aca="false">SUM(N24,P24:U24)</f>
        <v>4.27</v>
      </c>
    </row>
    <row r="25" customFormat="false" ht="12.95" hidden="false" customHeight="true" outlineLevel="0" collapsed="false">
      <c r="A25" s="10" t="n">
        <f aca="false">A24+1</f>
        <v>11</v>
      </c>
      <c r="B25" s="126" t="n">
        <v>6872.42</v>
      </c>
      <c r="C25" s="90" t="n">
        <v>194357</v>
      </c>
      <c r="D25" s="127" t="n">
        <f aca="false">C25-C24</f>
        <v>-110</v>
      </c>
      <c r="E25" s="90" t="n">
        <f aca="false">C25-152000</f>
        <v>42357</v>
      </c>
      <c r="F25" s="128" t="n">
        <f aca="false">D25/$D$2</f>
        <v>-55.4575245777666</v>
      </c>
      <c r="G25" s="11" t="n">
        <v>38</v>
      </c>
      <c r="H25" s="12" t="n">
        <v>0</v>
      </c>
      <c r="I25" s="11" t="n">
        <f aca="false">G25+H25</f>
        <v>38</v>
      </c>
      <c r="J25" s="4" t="n">
        <f aca="false">IF(L25&gt;0,L25,0)</f>
        <v>0</v>
      </c>
      <c r="K25" s="11" t="n">
        <f aca="false">I25+J25</f>
        <v>38</v>
      </c>
      <c r="L25" s="11" t="n">
        <f aca="false">F25-(I25-AK25)</f>
        <v>-41.9175245777666</v>
      </c>
      <c r="M25" s="129" t="n">
        <v>3.94</v>
      </c>
      <c r="N25" s="130" t="n">
        <v>0</v>
      </c>
      <c r="O25" s="130" t="n">
        <v>0</v>
      </c>
      <c r="P25" s="93" t="n">
        <v>0</v>
      </c>
      <c r="Q25" s="131" t="n">
        <f aca="false">1072500/325851/1.9835*1.02</f>
        <v>1.69256832701415</v>
      </c>
      <c r="R25" s="131" t="n">
        <f aca="false">((2.3)*1.04)-T25</f>
        <v>1.82933504</v>
      </c>
      <c r="S25" s="131" t="n">
        <v>0</v>
      </c>
      <c r="T25" s="133" t="n">
        <f aca="false">(0.5104*1.06)*1.04</f>
        <v>0.56266496</v>
      </c>
      <c r="U25" s="96" t="n">
        <f aca="false">M25-(Q25+R25+S25+T25)</f>
        <v>-0.144568327014153</v>
      </c>
      <c r="V25" s="134" t="n">
        <v>22.7</v>
      </c>
      <c r="W25" s="134" t="n">
        <v>0</v>
      </c>
      <c r="X25" s="135" t="n">
        <f aca="false">M25-N25-P25-O25-Q25-R25-S25-T25-U25+V25+W25</f>
        <v>22.7</v>
      </c>
      <c r="Y25" s="136" t="n">
        <f aca="false">X25-AO25</f>
        <v>22.7</v>
      </c>
      <c r="Z25" s="80"/>
      <c r="AA25" s="136"/>
      <c r="AB25" s="80"/>
      <c r="AC25" s="134"/>
      <c r="AD25" s="80"/>
      <c r="AE25" s="134" t="n">
        <v>0</v>
      </c>
      <c r="AF25" s="137"/>
      <c r="AG25" s="138"/>
      <c r="AH25" s="134" t="n">
        <v>24.9</v>
      </c>
      <c r="AI25" s="80" t="n">
        <f aca="false">AI24-AH25</f>
        <v>3975.8</v>
      </c>
      <c r="AJ25" s="80"/>
      <c r="AK25" s="134" t="n">
        <f aca="false">N25+O25+P25+Q25+R25+S25+T25+U25+X25+AE25+AH25</f>
        <v>51.54</v>
      </c>
      <c r="AL25" s="134" t="n">
        <f aca="false">IF(L25&lt;0,L25*-1,0)</f>
        <v>41.9175245777666</v>
      </c>
      <c r="AM25" s="134" t="n">
        <f aca="false">AK25+AL25</f>
        <v>93.4575245777666</v>
      </c>
      <c r="AN25" s="100" t="n">
        <f aca="false">V25</f>
        <v>22.7</v>
      </c>
      <c r="AO25" s="97" t="n">
        <f aca="false">X25-AN25</f>
        <v>0</v>
      </c>
      <c r="AP25" s="101"/>
      <c r="AQ25" s="101"/>
      <c r="AR25" s="101"/>
      <c r="AS25" s="101"/>
      <c r="AU25" s="5"/>
      <c r="AV25" s="102" t="n">
        <v>0</v>
      </c>
      <c r="AW25" s="103" t="n">
        <v>33</v>
      </c>
      <c r="AX25" s="103" t="n">
        <v>12</v>
      </c>
      <c r="AY25" s="103"/>
      <c r="AZ25" s="104" t="n">
        <f aca="false">SUM(N25,P25:U25)</f>
        <v>3.94</v>
      </c>
    </row>
    <row r="26" customFormat="false" ht="12.95" hidden="false" customHeight="true" outlineLevel="0" collapsed="false">
      <c r="A26" s="10" t="n">
        <f aca="false">A25+1</f>
        <v>12</v>
      </c>
      <c r="B26" s="126" t="n">
        <v>6872.41</v>
      </c>
      <c r="C26" s="90" t="n">
        <v>194329</v>
      </c>
      <c r="D26" s="127" t="n">
        <f aca="false">C26-C25</f>
        <v>-28</v>
      </c>
      <c r="E26" s="90" t="n">
        <f aca="false">C26-152000</f>
        <v>42329</v>
      </c>
      <c r="F26" s="128" t="n">
        <f aca="false">D26/$D$2</f>
        <v>-14.1164608016133</v>
      </c>
      <c r="G26" s="11" t="n">
        <v>27</v>
      </c>
      <c r="H26" s="12" t="n">
        <v>0</v>
      </c>
      <c r="I26" s="11" t="n">
        <f aca="false">G26+H26</f>
        <v>27</v>
      </c>
      <c r="J26" s="4" t="n">
        <f aca="false">IF(L26&gt;0,L26,0)</f>
        <v>0</v>
      </c>
      <c r="K26" s="11" t="n">
        <f aca="false">I26+J26</f>
        <v>27</v>
      </c>
      <c r="L26" s="11" t="n">
        <f aca="false">F26-(I26-AK26)</f>
        <v>-1.80646080161331</v>
      </c>
      <c r="M26" s="129" t="n">
        <v>3.91</v>
      </c>
      <c r="N26" s="130" t="n">
        <v>0</v>
      </c>
      <c r="O26" s="130" t="n">
        <v>0</v>
      </c>
      <c r="P26" s="93" t="n">
        <v>0</v>
      </c>
      <c r="Q26" s="131" t="n">
        <f aca="false">1116500/325851/1.9835*1.02</f>
        <v>1.7620070276096</v>
      </c>
      <c r="R26" s="131" t="n">
        <f aca="false">((2.3)*1.04)-T26</f>
        <v>1.82933504</v>
      </c>
      <c r="S26" s="131" t="n">
        <v>0</v>
      </c>
      <c r="T26" s="133" t="n">
        <f aca="false">(0.5104*1.06)*1.04</f>
        <v>0.56266496</v>
      </c>
      <c r="U26" s="96" t="n">
        <f aca="false">M26-(Q26+R26+S26+T26)</f>
        <v>-0.244007027609604</v>
      </c>
      <c r="V26" s="134" t="n">
        <v>10.5</v>
      </c>
      <c r="W26" s="134" t="n">
        <v>0</v>
      </c>
      <c r="X26" s="135" t="n">
        <f aca="false">M26-N26-P26-O26-Q26-R26-S26-T26-U26+V26+W26</f>
        <v>10.5</v>
      </c>
      <c r="Y26" s="136" t="n">
        <f aca="false">X26-AO26</f>
        <v>10.5</v>
      </c>
      <c r="Z26" s="80"/>
      <c r="AA26" s="136"/>
      <c r="AB26" s="80"/>
      <c r="AC26" s="134"/>
      <c r="AD26" s="80"/>
      <c r="AE26" s="134" t="n">
        <v>0</v>
      </c>
      <c r="AF26" s="137"/>
      <c r="AG26" s="138"/>
      <c r="AH26" s="134" t="n">
        <v>24.9</v>
      </c>
      <c r="AI26" s="80" t="n">
        <f aca="false">AI25-AH26</f>
        <v>3950.9</v>
      </c>
      <c r="AJ26" s="80"/>
      <c r="AK26" s="134" t="n">
        <f aca="false">N26+O26+P26+Q26+R26+S26+T26+U26+X26+AE26+AH26</f>
        <v>39.31</v>
      </c>
      <c r="AL26" s="134" t="n">
        <f aca="false">IF(L26&lt;0,L26*-1,0)</f>
        <v>1.80646080161331</v>
      </c>
      <c r="AM26" s="134" t="n">
        <f aca="false">AK26+AL26</f>
        <v>41.1164608016133</v>
      </c>
      <c r="AN26" s="100" t="n">
        <f aca="false">V26</f>
        <v>10.5</v>
      </c>
      <c r="AO26" s="97" t="n">
        <f aca="false">X26-AN26</f>
        <v>0</v>
      </c>
      <c r="AP26" s="101"/>
      <c r="AQ26" s="101"/>
      <c r="AR26" s="101"/>
      <c r="AS26" s="101"/>
      <c r="AU26" s="5"/>
      <c r="AV26" s="102" t="n">
        <v>0.03</v>
      </c>
      <c r="AW26" s="103" t="n">
        <v>45</v>
      </c>
      <c r="AX26" s="103" t="n">
        <v>12</v>
      </c>
      <c r="AY26" s="103"/>
      <c r="AZ26" s="104" t="n">
        <f aca="false">SUM(N26,P26:U26)</f>
        <v>3.91</v>
      </c>
    </row>
    <row r="27" customFormat="false" ht="12.95" hidden="false" customHeight="true" outlineLevel="0" collapsed="false">
      <c r="A27" s="10" t="n">
        <f aca="false">A26+1</f>
        <v>13</v>
      </c>
      <c r="B27" s="126" t="n">
        <v>6872.4</v>
      </c>
      <c r="C27" s="90" t="n">
        <v>194302</v>
      </c>
      <c r="D27" s="127" t="n">
        <f aca="false">C27-C26</f>
        <v>-27</v>
      </c>
      <c r="E27" s="90" t="n">
        <f aca="false">C27-152000</f>
        <v>42302</v>
      </c>
      <c r="F27" s="128" t="n">
        <f aca="false">D27/$D$2</f>
        <v>-13.61230148727</v>
      </c>
      <c r="G27" s="11" t="n">
        <v>35</v>
      </c>
      <c r="H27" s="12" t="n">
        <v>0</v>
      </c>
      <c r="I27" s="11" t="n">
        <f aca="false">G27+H27</f>
        <v>35</v>
      </c>
      <c r="J27" s="4" t="n">
        <f aca="false">IF(L27&gt;0,L27,0)</f>
        <v>0</v>
      </c>
      <c r="K27" s="11" t="n">
        <f aca="false">I27+J27</f>
        <v>35</v>
      </c>
      <c r="L27" s="11" t="n">
        <f aca="false">F27-(I27-AK27)</f>
        <v>-18.80230148727</v>
      </c>
      <c r="M27" s="129" t="n">
        <v>3.44</v>
      </c>
      <c r="N27" s="130" t="n">
        <v>0</v>
      </c>
      <c r="O27" s="130" t="n">
        <v>0</v>
      </c>
      <c r="P27" s="93" t="n">
        <v>0</v>
      </c>
      <c r="Q27" s="131" t="n">
        <f aca="false">841800/325851/1.9835*1.02</f>
        <v>1.32848859457391</v>
      </c>
      <c r="R27" s="131" t="n">
        <f aca="false">((0)*1.04)-T27</f>
        <v>-0.56266496</v>
      </c>
      <c r="S27" s="131" t="n">
        <v>0</v>
      </c>
      <c r="T27" s="133" t="n">
        <f aca="false">(0.5104*1.06)*1.04</f>
        <v>0.56266496</v>
      </c>
      <c r="U27" s="96" t="n">
        <f aca="false">M27-(Q27+R27+S27+T27)</f>
        <v>2.11151140542609</v>
      </c>
      <c r="V27" s="134" t="n">
        <v>2.07</v>
      </c>
      <c r="W27" s="134" t="n">
        <v>0</v>
      </c>
      <c r="X27" s="135" t="n">
        <f aca="false">M27-N27-P27-O27-Q27-R27-S27-T27-U27+V27+W27</f>
        <v>2.07</v>
      </c>
      <c r="Y27" s="136" t="n">
        <f aca="false">X27-AO27</f>
        <v>2.07</v>
      </c>
      <c r="Z27" s="80"/>
      <c r="AA27" s="136"/>
      <c r="AB27" s="80"/>
      <c r="AC27" s="134"/>
      <c r="AD27" s="80"/>
      <c r="AE27" s="134" t="n">
        <v>0</v>
      </c>
      <c r="AF27" s="137"/>
      <c r="AG27" s="138"/>
      <c r="AH27" s="134" t="n">
        <v>24.3</v>
      </c>
      <c r="AI27" s="80" t="n">
        <f aca="false">AI26-AH27</f>
        <v>3926.6</v>
      </c>
      <c r="AJ27" s="80"/>
      <c r="AK27" s="134" t="n">
        <f aca="false">N27+O27+P27+Q27+R27+S27+T27+U27+X27+AE27+AH27</f>
        <v>29.81</v>
      </c>
      <c r="AL27" s="134" t="n">
        <f aca="false">IF(L27&lt;0,L27*-1,0)</f>
        <v>18.80230148727</v>
      </c>
      <c r="AM27" s="134" t="n">
        <f aca="false">AK27+AL27</f>
        <v>48.61230148727</v>
      </c>
      <c r="AN27" s="100" t="n">
        <f aca="false">V27</f>
        <v>2.07</v>
      </c>
      <c r="AO27" s="97" t="n">
        <f aca="false">X27-AN27</f>
        <v>0</v>
      </c>
      <c r="AP27" s="101"/>
      <c r="AQ27" s="101"/>
      <c r="AR27" s="101"/>
      <c r="AS27" s="101"/>
      <c r="AU27" s="5"/>
      <c r="AV27" s="102" t="n">
        <v>0.01</v>
      </c>
      <c r="AW27" s="103" t="n">
        <v>54</v>
      </c>
      <c r="AX27" s="103" t="n">
        <v>22</v>
      </c>
      <c r="AY27" s="103"/>
      <c r="AZ27" s="104" t="n">
        <f aca="false">SUM(N27,P27:U27)</f>
        <v>3.44</v>
      </c>
    </row>
    <row r="28" customFormat="false" ht="12.95" hidden="false" customHeight="true" outlineLevel="0" collapsed="false">
      <c r="A28" s="10" t="n">
        <f aca="false">A27+1</f>
        <v>14</v>
      </c>
      <c r="B28" s="126" t="n">
        <v>6872.39</v>
      </c>
      <c r="C28" s="90" t="n">
        <v>194279</v>
      </c>
      <c r="D28" s="127" t="n">
        <f aca="false">C28-C27</f>
        <v>-23</v>
      </c>
      <c r="E28" s="90" t="n">
        <f aca="false">C28-152000</f>
        <v>42279</v>
      </c>
      <c r="F28" s="128" t="n">
        <f aca="false">D28/$D$2</f>
        <v>-11.5956642298966</v>
      </c>
      <c r="G28" s="11" t="n">
        <v>40</v>
      </c>
      <c r="H28" s="12" t="n">
        <v>0</v>
      </c>
      <c r="I28" s="11" t="n">
        <f aca="false">G28+H28</f>
        <v>40</v>
      </c>
      <c r="J28" s="4" t="n">
        <f aca="false">IF(L28&gt;0,L28,0)</f>
        <v>0</v>
      </c>
      <c r="K28" s="11" t="n">
        <f aca="false">I28+J28</f>
        <v>40</v>
      </c>
      <c r="L28" s="11" t="n">
        <f aca="false">F28-(I28-AK28)</f>
        <v>-24.1356642298966</v>
      </c>
      <c r="M28" s="129" t="n">
        <v>4.36</v>
      </c>
      <c r="N28" s="130" t="n">
        <v>0</v>
      </c>
      <c r="O28" s="130" t="n">
        <v>0</v>
      </c>
      <c r="P28" s="93" t="n">
        <v>0</v>
      </c>
      <c r="Q28" s="131" t="n">
        <f aca="false">943200/325851/1.9835*1.02</f>
        <v>1.4885132364007</v>
      </c>
      <c r="R28" s="131" t="n">
        <f aca="false">((2.3)*1.04)-T28</f>
        <v>1.82933504</v>
      </c>
      <c r="S28" s="131" t="n">
        <v>0</v>
      </c>
      <c r="T28" s="133" t="n">
        <f aca="false">(0.5104*1.06)*1.04</f>
        <v>0.56266496</v>
      </c>
      <c r="U28" s="96" t="n">
        <f aca="false">M28-(Q28+R28+S28+T28)</f>
        <v>0.479486763599303</v>
      </c>
      <c r="V28" s="134" t="n">
        <v>0</v>
      </c>
      <c r="W28" s="134" t="n">
        <v>0</v>
      </c>
      <c r="X28" s="135" t="n">
        <f aca="false">M28-N28-P28-O28-Q28-R28-S28-T28-U28+V28+W28</f>
        <v>0</v>
      </c>
      <c r="Y28" s="136" t="n">
        <f aca="false">X28-AO28</f>
        <v>0</v>
      </c>
      <c r="Z28" s="80"/>
      <c r="AA28" s="136"/>
      <c r="AB28" s="80"/>
      <c r="AC28" s="134"/>
      <c r="AD28" s="80"/>
      <c r="AE28" s="134" t="n">
        <v>0</v>
      </c>
      <c r="AF28" s="137"/>
      <c r="AG28" s="138"/>
      <c r="AH28" s="134" t="n">
        <v>23.1</v>
      </c>
      <c r="AI28" s="80" t="n">
        <f aca="false">AI27-AH28</f>
        <v>3903.5</v>
      </c>
      <c r="AJ28" s="80"/>
      <c r="AK28" s="134" t="n">
        <f aca="false">N28+O28+P28+Q28+R28+S28+T28+U28+X28+AE28+AH28</f>
        <v>27.46</v>
      </c>
      <c r="AL28" s="134" t="n">
        <f aca="false">IF(L28&lt;0,L28*-1,0)</f>
        <v>24.1356642298966</v>
      </c>
      <c r="AM28" s="134" t="n">
        <f aca="false">AK28+AL28</f>
        <v>51.5956642298966</v>
      </c>
      <c r="AN28" s="100" t="n">
        <f aca="false">V28</f>
        <v>0</v>
      </c>
      <c r="AO28" s="97" t="n">
        <f aca="false">X28-AN28</f>
        <v>0</v>
      </c>
      <c r="AP28" s="101"/>
      <c r="AQ28" s="101"/>
      <c r="AR28" s="101"/>
      <c r="AS28" s="101"/>
      <c r="AU28" s="5"/>
      <c r="AV28" s="102" t="n">
        <v>0</v>
      </c>
      <c r="AW28" s="103" t="n">
        <v>57</v>
      </c>
      <c r="AX28" s="103" t="n">
        <v>24</v>
      </c>
      <c r="AY28" s="103"/>
      <c r="AZ28" s="104" t="n">
        <f aca="false">SUM(N28,P28:U28)</f>
        <v>4.36</v>
      </c>
    </row>
    <row r="29" customFormat="false" ht="12.95" hidden="false" customHeight="true" outlineLevel="0" collapsed="false">
      <c r="A29" s="10" t="n">
        <f aca="false">A28+1</f>
        <v>15</v>
      </c>
      <c r="B29" s="126" t="n">
        <v>6872.38</v>
      </c>
      <c r="C29" s="90" t="n">
        <v>194246</v>
      </c>
      <c r="D29" s="127" t="n">
        <f aca="false">C29-C28</f>
        <v>-33</v>
      </c>
      <c r="E29" s="90" t="n">
        <f aca="false">C29-152000</f>
        <v>42246</v>
      </c>
      <c r="F29" s="128" t="n">
        <f aca="false">D29/$D$2</f>
        <v>-16.63725737333</v>
      </c>
      <c r="G29" s="11" t="n">
        <v>40</v>
      </c>
      <c r="H29" s="12" t="n">
        <v>0</v>
      </c>
      <c r="I29" s="11" t="n">
        <f aca="false">G29+H29</f>
        <v>40</v>
      </c>
      <c r="J29" s="4" t="n">
        <f aca="false">IF(L29&gt;0,L29,0)</f>
        <v>0</v>
      </c>
      <c r="K29" s="11" t="n">
        <f aca="false">I29+J29</f>
        <v>40</v>
      </c>
      <c r="L29" s="11" t="n">
        <f aca="false">F29-(I29-AK29)</f>
        <v>-22.13725737333</v>
      </c>
      <c r="M29" s="129" t="n">
        <v>4.61</v>
      </c>
      <c r="N29" s="130" t="n">
        <v>0</v>
      </c>
      <c r="O29" s="130" t="n">
        <v>0</v>
      </c>
      <c r="P29" s="93" t="n">
        <v>0</v>
      </c>
      <c r="Q29" s="131" t="n">
        <f aca="false">886700/325851/1.9835*1.02</f>
        <v>1.39934763222699</v>
      </c>
      <c r="R29" s="131" t="n">
        <f aca="false">((2.3)*1.04)-T29</f>
        <v>1.82933504</v>
      </c>
      <c r="S29" s="131" t="n">
        <v>0</v>
      </c>
      <c r="T29" s="133" t="n">
        <f aca="false">(0.5104*1.06)*1.04</f>
        <v>0.56266496</v>
      </c>
      <c r="U29" s="96" t="n">
        <f aca="false">M29-(Q29+R29+S29+T29)</f>
        <v>0.818652367773009</v>
      </c>
      <c r="V29" s="134" t="n">
        <v>6.99</v>
      </c>
      <c r="W29" s="134" t="n">
        <v>0</v>
      </c>
      <c r="X29" s="135" t="n">
        <f aca="false">M29-N29-P29-O29-Q29-R29-S29-T29-U29+V29+W29</f>
        <v>6.99</v>
      </c>
      <c r="Y29" s="136" t="n">
        <f aca="false">X29-AO29</f>
        <v>6.99</v>
      </c>
      <c r="Z29" s="80"/>
      <c r="AA29" s="136"/>
      <c r="AB29" s="80"/>
      <c r="AC29" s="134"/>
      <c r="AD29" s="80"/>
      <c r="AE29" s="134" t="n">
        <v>0</v>
      </c>
      <c r="AF29" s="137"/>
      <c r="AG29" s="138"/>
      <c r="AH29" s="134" t="n">
        <v>22.9</v>
      </c>
      <c r="AI29" s="80" t="n">
        <f aca="false">AI28-AH29</f>
        <v>3880.6</v>
      </c>
      <c r="AJ29" s="80"/>
      <c r="AK29" s="134" t="n">
        <f aca="false">N29+O29+P29+Q29+R29+S29+T29+U29+X29+AE29+AH29</f>
        <v>34.5</v>
      </c>
      <c r="AL29" s="134" t="n">
        <f aca="false">IF(L29&lt;0,L29*-1,0)</f>
        <v>22.13725737333</v>
      </c>
      <c r="AM29" s="134" t="n">
        <f aca="false">AK29+AL29</f>
        <v>56.63725737333</v>
      </c>
      <c r="AN29" s="100" t="n">
        <f aca="false">V29</f>
        <v>6.99</v>
      </c>
      <c r="AO29" s="97" t="n">
        <f aca="false">X29-AN29</f>
        <v>0</v>
      </c>
      <c r="AP29" s="101"/>
      <c r="AQ29" s="101"/>
      <c r="AR29" s="101"/>
      <c r="AS29" s="101"/>
      <c r="AU29" s="5"/>
      <c r="AV29" s="102" t="n">
        <v>0</v>
      </c>
      <c r="AW29" s="103" t="n">
        <v>60</v>
      </c>
      <c r="AX29" s="103" t="n">
        <v>26</v>
      </c>
      <c r="AY29" s="103"/>
      <c r="AZ29" s="104" t="n">
        <f aca="false">SUM(N29,P29:U29)</f>
        <v>4.61</v>
      </c>
    </row>
    <row r="30" customFormat="false" ht="12.95" hidden="false" customHeight="true" outlineLevel="0" collapsed="false">
      <c r="A30" s="10" t="n">
        <f aca="false">A29+1</f>
        <v>16</v>
      </c>
      <c r="B30" s="126" t="n">
        <v>6872.36</v>
      </c>
      <c r="C30" s="90" t="n">
        <v>194191</v>
      </c>
      <c r="D30" s="127" t="n">
        <f aca="false">C30-C29</f>
        <v>-55</v>
      </c>
      <c r="E30" s="90" t="n">
        <f aca="false">C30-152000</f>
        <v>42191</v>
      </c>
      <c r="F30" s="128" t="n">
        <f aca="false">D30/$D$2</f>
        <v>-27.7287622888833</v>
      </c>
      <c r="G30" s="11" t="n">
        <v>44</v>
      </c>
      <c r="H30" s="12" t="n">
        <v>0</v>
      </c>
      <c r="I30" s="11" t="n">
        <f aca="false">G30+H30</f>
        <v>44</v>
      </c>
      <c r="J30" s="4" t="n">
        <f aca="false">IF(L30&gt;0,L30,0)</f>
        <v>0</v>
      </c>
      <c r="K30" s="11" t="n">
        <f aca="false">I30+J30</f>
        <v>44</v>
      </c>
      <c r="L30" s="11" t="n">
        <f aca="false">F30-(I30-AK30)</f>
        <v>-20.5987622888833</v>
      </c>
      <c r="M30" s="129" t="n">
        <v>4.63</v>
      </c>
      <c r="N30" s="130" t="n">
        <v>0</v>
      </c>
      <c r="O30" s="130" t="n">
        <v>0</v>
      </c>
      <c r="P30" s="93" t="n">
        <v>0</v>
      </c>
      <c r="Q30" s="131" t="n">
        <f aca="false">888000/325851/1.9835*1.02</f>
        <v>1.40139923019913</v>
      </c>
      <c r="R30" s="131" t="n">
        <f aca="false">((2.3)*1.04)-T30</f>
        <v>1.89029776</v>
      </c>
      <c r="S30" s="131" t="n">
        <v>0</v>
      </c>
      <c r="T30" s="133" t="n">
        <f aca="false">(0.4551*1.06)*1.04</f>
        <v>0.50170224</v>
      </c>
      <c r="U30" s="96" t="n">
        <f aca="false">M30-(Q30+R30+S30+T30)</f>
        <v>0.836600769800869</v>
      </c>
      <c r="V30" s="134" t="n">
        <v>23.6</v>
      </c>
      <c r="W30" s="134" t="n">
        <v>0</v>
      </c>
      <c r="X30" s="135" t="n">
        <f aca="false">M30-N30-P30-O30-Q30-R30-S30-T30-U30+V30+W30</f>
        <v>23.6</v>
      </c>
      <c r="Y30" s="136" t="n">
        <f aca="false">X30-AO30</f>
        <v>23.6</v>
      </c>
      <c r="Z30" s="80"/>
      <c r="AA30" s="136"/>
      <c r="AB30" s="80"/>
      <c r="AC30" s="134"/>
      <c r="AD30" s="80"/>
      <c r="AE30" s="134" t="n">
        <v>0</v>
      </c>
      <c r="AF30" s="137"/>
      <c r="AG30" s="138"/>
      <c r="AH30" s="134" t="n">
        <v>22.9</v>
      </c>
      <c r="AI30" s="80" t="n">
        <f aca="false">AI29-AH30</f>
        <v>3857.7</v>
      </c>
      <c r="AJ30" s="80"/>
      <c r="AK30" s="134" t="n">
        <f aca="false">N30+O30+P30+Q30+R30+S30+T30+U30+X30+AE30+AH30</f>
        <v>51.13</v>
      </c>
      <c r="AL30" s="134" t="n">
        <f aca="false">IF(L30&lt;0,L30*-1,0)</f>
        <v>20.5987622888833</v>
      </c>
      <c r="AM30" s="134" t="n">
        <f aca="false">AK30+AL30</f>
        <v>71.7287622888833</v>
      </c>
      <c r="AN30" s="100" t="n">
        <f aca="false">V30</f>
        <v>23.6</v>
      </c>
      <c r="AO30" s="97" t="n">
        <f aca="false">X30-AN30</f>
        <v>0</v>
      </c>
      <c r="AP30" s="101"/>
      <c r="AQ30" s="101"/>
      <c r="AR30" s="101"/>
      <c r="AS30" s="101"/>
      <c r="AU30" s="5"/>
      <c r="AV30" s="102" t="n">
        <v>0</v>
      </c>
      <c r="AW30" s="103" t="n">
        <v>61</v>
      </c>
      <c r="AX30" s="103" t="n">
        <v>34</v>
      </c>
      <c r="AY30" s="103"/>
      <c r="AZ30" s="104" t="n">
        <f aca="false">SUM(N30,P30:U30)</f>
        <v>4.63</v>
      </c>
    </row>
    <row r="31" customFormat="false" ht="12.95" hidden="false" customHeight="true" outlineLevel="0" collapsed="false">
      <c r="A31" s="10" t="n">
        <f aca="false">A30+1</f>
        <v>17</v>
      </c>
      <c r="B31" s="126" t="n">
        <v>6872.35</v>
      </c>
      <c r="C31" s="90" t="n">
        <v>194164</v>
      </c>
      <c r="D31" s="127" t="n">
        <f aca="false">C31-C30</f>
        <v>-27</v>
      </c>
      <c r="E31" s="90" t="n">
        <f aca="false">C31-152000</f>
        <v>42164</v>
      </c>
      <c r="F31" s="128" t="n">
        <f aca="false">D31/$D$2</f>
        <v>-13.61230148727</v>
      </c>
      <c r="G31" s="11" t="n">
        <v>46</v>
      </c>
      <c r="H31" s="12" t="n">
        <v>0</v>
      </c>
      <c r="I31" s="11" t="n">
        <f aca="false">G31+H31</f>
        <v>46</v>
      </c>
      <c r="J31" s="4" t="n">
        <f aca="false">IF(L31&gt;0,L31,0)</f>
        <v>0</v>
      </c>
      <c r="K31" s="11" t="n">
        <f aca="false">I31+J31</f>
        <v>46</v>
      </c>
      <c r="L31" s="11" t="n">
        <f aca="false">F31-(I31-AK31)</f>
        <v>-5.35230148726998</v>
      </c>
      <c r="M31" s="129" t="n">
        <v>3.96</v>
      </c>
      <c r="N31" s="130" t="n">
        <v>0</v>
      </c>
      <c r="O31" s="130" t="n">
        <v>0</v>
      </c>
      <c r="P31" s="93" t="n">
        <v>0</v>
      </c>
      <c r="Q31" s="131" t="n">
        <f aca="false">994300/325851/1.9835*1.02</f>
        <v>1.5691568182286</v>
      </c>
      <c r="R31" s="131" t="n">
        <f aca="false">((2.5)*1.04)-T31</f>
        <v>2.09829776</v>
      </c>
      <c r="S31" s="131" t="n">
        <v>0</v>
      </c>
      <c r="T31" s="133" t="n">
        <f aca="false">(0.4551*1.06)*1.04</f>
        <v>0.50170224</v>
      </c>
      <c r="U31" s="96" t="n">
        <f aca="false">M31-(Q31+R31+S31+T31)</f>
        <v>-0.209156818228599</v>
      </c>
      <c r="V31" s="134" t="n">
        <v>27.4</v>
      </c>
      <c r="W31" s="134" t="n">
        <v>0</v>
      </c>
      <c r="X31" s="135" t="n">
        <f aca="false">M31-N31-P31-O31-Q31-R31-S31-T31-U31+V31+W31</f>
        <v>27.4</v>
      </c>
      <c r="Y31" s="136" t="n">
        <f aca="false">X31-AO31</f>
        <v>27.4</v>
      </c>
      <c r="Z31" s="80"/>
      <c r="AA31" s="136"/>
      <c r="AB31" s="80"/>
      <c r="AC31" s="134"/>
      <c r="AD31" s="80"/>
      <c r="AE31" s="134" t="n">
        <v>0</v>
      </c>
      <c r="AF31" s="137"/>
      <c r="AG31" s="138"/>
      <c r="AH31" s="134" t="n">
        <v>22.9</v>
      </c>
      <c r="AI31" s="80" t="n">
        <f aca="false">AI30-AH31</f>
        <v>3834.8</v>
      </c>
      <c r="AJ31" s="80"/>
      <c r="AK31" s="134" t="n">
        <f aca="false">N31+O31+P31+Q31+R31+S31+T31+U31+X31+AE31+AH31</f>
        <v>54.26</v>
      </c>
      <c r="AL31" s="134" t="n">
        <f aca="false">IF(L31&lt;0,L31*-1,0)</f>
        <v>5.35230148726998</v>
      </c>
      <c r="AM31" s="134" t="n">
        <f aca="false">AK31+AL31</f>
        <v>59.61230148727</v>
      </c>
      <c r="AN31" s="100" t="n">
        <f aca="false">V31</f>
        <v>27.4</v>
      </c>
      <c r="AO31" s="97" t="n">
        <f aca="false">X31-AN31</f>
        <v>0</v>
      </c>
      <c r="AP31" s="101"/>
      <c r="AQ31" s="101"/>
      <c r="AR31" s="101"/>
      <c r="AS31" s="101"/>
      <c r="AU31" s="5"/>
      <c r="AV31" s="102" t="n">
        <v>0</v>
      </c>
      <c r="AW31" s="103" t="n">
        <v>61</v>
      </c>
      <c r="AX31" s="103" t="n">
        <v>36</v>
      </c>
      <c r="AY31" s="103"/>
      <c r="AZ31" s="104" t="n">
        <f aca="false">SUM(N31,P31:U31)</f>
        <v>3.96</v>
      </c>
    </row>
    <row r="32" customFormat="false" ht="12.95" hidden="false" customHeight="true" outlineLevel="0" collapsed="false">
      <c r="A32" s="10" t="n">
        <f aca="false">A31+1</f>
        <v>18</v>
      </c>
      <c r="B32" s="126" t="n">
        <v>6872.34</v>
      </c>
      <c r="C32" s="90" t="n">
        <v>194136</v>
      </c>
      <c r="D32" s="127" t="n">
        <f aca="false">C32-C31</f>
        <v>-28</v>
      </c>
      <c r="E32" s="90" t="n">
        <f aca="false">C32-152000</f>
        <v>42136</v>
      </c>
      <c r="F32" s="128" t="n">
        <f aca="false">D32/$D$2</f>
        <v>-14.1164608016133</v>
      </c>
      <c r="G32" s="11" t="n">
        <v>43</v>
      </c>
      <c r="H32" s="12" t="n">
        <v>0</v>
      </c>
      <c r="I32" s="11" t="n">
        <f aca="false">G32+H32</f>
        <v>43</v>
      </c>
      <c r="J32" s="4" t="n">
        <f aca="false">IF(L32&gt;0,L32,0)</f>
        <v>0</v>
      </c>
      <c r="K32" s="11" t="n">
        <f aca="false">I32+J32</f>
        <v>43</v>
      </c>
      <c r="L32" s="11" t="n">
        <f aca="false">F32-(I32-AK32)</f>
        <v>-6.26646080161331</v>
      </c>
      <c r="M32" s="129" t="n">
        <v>3.85</v>
      </c>
      <c r="N32" s="130" t="n">
        <v>0</v>
      </c>
      <c r="O32" s="130" t="n">
        <v>0</v>
      </c>
      <c r="P32" s="93" t="n">
        <v>0</v>
      </c>
      <c r="Q32" s="131" t="n">
        <f aca="false">1146000/325851/1.9835*1.02</f>
        <v>1.80856252005428</v>
      </c>
      <c r="R32" s="131" t="n">
        <f aca="false">((2.5)*1.04)-T32</f>
        <v>2.09829776</v>
      </c>
      <c r="S32" s="131" t="n">
        <v>0</v>
      </c>
      <c r="T32" s="133" t="n">
        <f aca="false">(0.4551*1.06)*1.04</f>
        <v>0.50170224</v>
      </c>
      <c r="U32" s="96" t="n">
        <f aca="false">M32-(Q32+R32+S32+T32)</f>
        <v>-0.558562520054284</v>
      </c>
      <c r="V32" s="134" t="n">
        <v>24.1</v>
      </c>
      <c r="W32" s="134" t="n">
        <v>0</v>
      </c>
      <c r="X32" s="135" t="n">
        <f aca="false">M32-N32-P32-O32-Q32-R32-S32-T32-U32+V32+W32</f>
        <v>24.1</v>
      </c>
      <c r="Y32" s="136" t="n">
        <f aca="false">X32-AO32</f>
        <v>24.1</v>
      </c>
      <c r="Z32" s="80"/>
      <c r="AA32" s="136"/>
      <c r="AB32" s="80"/>
      <c r="AC32" s="134"/>
      <c r="AD32" s="80"/>
      <c r="AE32" s="134" t="n">
        <v>0</v>
      </c>
      <c r="AF32" s="137"/>
      <c r="AG32" s="138"/>
      <c r="AH32" s="134" t="n">
        <v>22.9</v>
      </c>
      <c r="AI32" s="80" t="n">
        <f aca="false">AI31-AH32</f>
        <v>3811.9</v>
      </c>
      <c r="AJ32" s="80"/>
      <c r="AK32" s="134" t="n">
        <f aca="false">N32+O32+P32+Q32+R32+S32+T32+U32+X32+AE32+AH32</f>
        <v>50.85</v>
      </c>
      <c r="AL32" s="134" t="n">
        <f aca="false">IF(L32&lt;0,L32*-1,0)</f>
        <v>6.26646080161331</v>
      </c>
      <c r="AM32" s="134" t="n">
        <f aca="false">AK32+AL32</f>
        <v>57.1164608016133</v>
      </c>
      <c r="AN32" s="100" t="n">
        <f aca="false">V32</f>
        <v>24.1</v>
      </c>
      <c r="AO32" s="97" t="n">
        <f aca="false">X32-AN32</f>
        <v>0</v>
      </c>
      <c r="AP32" s="101"/>
      <c r="AQ32" s="101"/>
      <c r="AR32" s="101"/>
      <c r="AS32" s="101"/>
      <c r="AU32" s="5"/>
      <c r="AV32" s="102" t="n">
        <v>0.02</v>
      </c>
      <c r="AW32" s="103" t="n">
        <v>57</v>
      </c>
      <c r="AX32" s="103" t="n">
        <v>33</v>
      </c>
      <c r="AY32" s="103"/>
      <c r="AZ32" s="104" t="n">
        <f aca="false">SUM(N32,P32:U32)</f>
        <v>3.85</v>
      </c>
    </row>
    <row r="33" customFormat="false" ht="12.95" hidden="false" customHeight="true" outlineLevel="0" collapsed="false">
      <c r="A33" s="10" t="n">
        <f aca="false">A32+1</f>
        <v>19</v>
      </c>
      <c r="B33" s="126" t="n">
        <v>6872.33</v>
      </c>
      <c r="C33" s="90" t="n">
        <v>194109</v>
      </c>
      <c r="D33" s="127" t="n">
        <f aca="false">C33-C32</f>
        <v>-27</v>
      </c>
      <c r="E33" s="90" t="n">
        <f aca="false">C33-152000</f>
        <v>42109</v>
      </c>
      <c r="F33" s="128" t="n">
        <f aca="false">D33/$D$2</f>
        <v>-13.61230148727</v>
      </c>
      <c r="G33" s="11" t="n">
        <v>37</v>
      </c>
      <c r="H33" s="12" t="n">
        <v>0</v>
      </c>
      <c r="I33" s="11" t="n">
        <f aca="false">G33+H33</f>
        <v>37</v>
      </c>
      <c r="J33" s="4" t="n">
        <f aca="false">IF(L33&gt;0,L33,0)</f>
        <v>0.607698512730021</v>
      </c>
      <c r="K33" s="11" t="n">
        <f aca="false">I33+J33</f>
        <v>37.60769851273</v>
      </c>
      <c r="L33" s="11" t="n">
        <f aca="false">F33-(I33-AK33)</f>
        <v>0.607698512730021</v>
      </c>
      <c r="M33" s="129" t="n">
        <v>4.62</v>
      </c>
      <c r="N33" s="130" t="n">
        <v>0</v>
      </c>
      <c r="O33" s="130" t="n">
        <v>0</v>
      </c>
      <c r="P33" s="93" t="n">
        <v>0</v>
      </c>
      <c r="Q33" s="131" t="n">
        <f aca="false">956900/325851/1.9835*1.02</f>
        <v>1.51013392272246</v>
      </c>
      <c r="R33" s="131" t="n">
        <f aca="false">((2.4)*1.04)-T33</f>
        <v>1.99429776</v>
      </c>
      <c r="S33" s="131" t="n">
        <v>0</v>
      </c>
      <c r="T33" s="133" t="n">
        <f aca="false">(0.4551*1.06)*1.04</f>
        <v>0.50170224</v>
      </c>
      <c r="U33" s="96" t="n">
        <f aca="false">M33-(Q33+R33+S33+T33)</f>
        <v>0.613866077277536</v>
      </c>
      <c r="V33" s="134" t="n">
        <v>23</v>
      </c>
      <c r="W33" s="134" t="n">
        <v>0</v>
      </c>
      <c r="X33" s="135" t="n">
        <f aca="false">M33-N33-P33-O33-Q33-R33-S33-T33-U33+V33+W33</f>
        <v>23</v>
      </c>
      <c r="Y33" s="136" t="n">
        <f aca="false">X33-AO33</f>
        <v>23</v>
      </c>
      <c r="Z33" s="80"/>
      <c r="AA33" s="136"/>
      <c r="AB33" s="80"/>
      <c r="AC33" s="134"/>
      <c r="AD33" s="80"/>
      <c r="AE33" s="134" t="n">
        <v>0</v>
      </c>
      <c r="AF33" s="137"/>
      <c r="AG33" s="138"/>
      <c r="AH33" s="134" t="n">
        <v>23.6</v>
      </c>
      <c r="AI33" s="80" t="n">
        <f aca="false">AI32-AH33</f>
        <v>3788.3</v>
      </c>
      <c r="AJ33" s="80"/>
      <c r="AK33" s="134" t="n">
        <f aca="false">N33+O33+P33+Q33+R33+S33+T33+U33+X33+AE33+AH33</f>
        <v>51.22</v>
      </c>
      <c r="AL33" s="134" t="n">
        <f aca="false">IF(L33&lt;0,L33*-1,0)</f>
        <v>0</v>
      </c>
      <c r="AM33" s="134" t="n">
        <f aca="false">AK33+AL33</f>
        <v>51.22</v>
      </c>
      <c r="AN33" s="100" t="n">
        <f aca="false">V33</f>
        <v>23</v>
      </c>
      <c r="AO33" s="97" t="n">
        <f aca="false">X33-AN33</f>
        <v>0</v>
      </c>
      <c r="AP33" s="101"/>
      <c r="AQ33" s="101"/>
      <c r="AR33" s="101"/>
      <c r="AS33" s="101"/>
      <c r="AU33" s="5"/>
      <c r="AV33" s="102" t="n">
        <v>0</v>
      </c>
      <c r="AW33" s="103" t="n">
        <v>58</v>
      </c>
      <c r="AX33" s="103" t="n">
        <v>31</v>
      </c>
      <c r="AY33" s="103"/>
      <c r="AZ33" s="104" t="n">
        <f aca="false">SUM(N33,P33:U33)</f>
        <v>4.62</v>
      </c>
    </row>
    <row r="34" customFormat="false" ht="12.95" hidden="false" customHeight="true" outlineLevel="0" collapsed="false">
      <c r="A34" s="10" t="n">
        <f aca="false">A33+1</f>
        <v>20</v>
      </c>
      <c r="B34" s="126" t="n">
        <v>6872.31</v>
      </c>
      <c r="C34" s="90" t="n">
        <v>194054</v>
      </c>
      <c r="D34" s="127" t="n">
        <f aca="false">C34-C33</f>
        <v>-55</v>
      </c>
      <c r="E34" s="90" t="n">
        <f aca="false">C34-152000</f>
        <v>42054</v>
      </c>
      <c r="F34" s="128" t="n">
        <f aca="false">D34/$D$2</f>
        <v>-27.7287622888833</v>
      </c>
      <c r="G34" s="11" t="n">
        <v>30</v>
      </c>
      <c r="H34" s="12" t="n">
        <v>0</v>
      </c>
      <c r="I34" s="11" t="n">
        <f aca="false">G34+H34</f>
        <v>30</v>
      </c>
      <c r="J34" s="4" t="n">
        <f aca="false">IF(L34&gt;0,L34,0)</f>
        <v>0</v>
      </c>
      <c r="K34" s="11" t="n">
        <f aca="false">I34+J34</f>
        <v>30</v>
      </c>
      <c r="L34" s="11" t="n">
        <f aca="false">F34-(I34-AK34)</f>
        <v>-6.93876228888329</v>
      </c>
      <c r="M34" s="129" t="n">
        <v>4.39</v>
      </c>
      <c r="N34" s="130" t="n">
        <v>0</v>
      </c>
      <c r="O34" s="130" t="n">
        <v>0</v>
      </c>
      <c r="P34" s="93" t="n">
        <v>0</v>
      </c>
      <c r="Q34" s="131" t="n">
        <f aca="false">944100/325851/1.9835*1.02</f>
        <v>1.48993357345833</v>
      </c>
      <c r="R34" s="131" t="n">
        <f aca="false">((2.4)*1.04)-T34</f>
        <v>1.99429776</v>
      </c>
      <c r="S34" s="131" t="n">
        <v>0</v>
      </c>
      <c r="T34" s="133" t="n">
        <f aca="false">(0.4551*1.06)*1.04</f>
        <v>0.50170224</v>
      </c>
      <c r="U34" s="96" t="n">
        <f aca="false">M34-(Q34+R34+S34+T34)</f>
        <v>0.404066426541667</v>
      </c>
      <c r="V34" s="134" t="n">
        <v>22.2</v>
      </c>
      <c r="W34" s="134" t="n">
        <v>0</v>
      </c>
      <c r="X34" s="135" t="n">
        <f aca="false">M34-N34-P34-O34-Q34-R34-S34-T34-U34+V34+W34</f>
        <v>22.2</v>
      </c>
      <c r="Y34" s="136" t="n">
        <f aca="false">X34-AO34</f>
        <v>22.2</v>
      </c>
      <c r="Z34" s="80"/>
      <c r="AA34" s="136"/>
      <c r="AB34" s="80"/>
      <c r="AC34" s="134"/>
      <c r="AD34" s="80"/>
      <c r="AE34" s="134" t="n">
        <v>0</v>
      </c>
      <c r="AF34" s="137"/>
      <c r="AG34" s="138"/>
      <c r="AH34" s="134" t="n">
        <v>24.2</v>
      </c>
      <c r="AI34" s="80" t="n">
        <f aca="false">AI33-AH34</f>
        <v>3764.1</v>
      </c>
      <c r="AJ34" s="80"/>
      <c r="AK34" s="134" t="n">
        <f aca="false">N34+O34+P34+Q34+R34+S34+T34+U34+X34+AE34+AH34</f>
        <v>50.79</v>
      </c>
      <c r="AL34" s="134" t="n">
        <f aca="false">IF(L34&lt;0,L34*-1,0)</f>
        <v>6.93876228888329</v>
      </c>
      <c r="AM34" s="134" t="n">
        <f aca="false">AK34+AL34</f>
        <v>57.7287622888833</v>
      </c>
      <c r="AN34" s="100" t="n">
        <f aca="false">V34</f>
        <v>22.2</v>
      </c>
      <c r="AO34" s="97" t="n">
        <f aca="false">X34-AN34</f>
        <v>0</v>
      </c>
      <c r="AP34" s="101"/>
      <c r="AQ34" s="101"/>
      <c r="AR34" s="101"/>
      <c r="AS34" s="101"/>
      <c r="AU34" s="5"/>
      <c r="AV34" s="102" t="n">
        <v>0</v>
      </c>
      <c r="AW34" s="103" t="n">
        <v>61</v>
      </c>
      <c r="AX34" s="103" t="n">
        <v>29</v>
      </c>
      <c r="AY34" s="103"/>
      <c r="AZ34" s="104" t="n">
        <f aca="false">SUM(N34,P34:U34)</f>
        <v>4.39</v>
      </c>
    </row>
    <row r="35" customFormat="false" ht="12.95" hidden="false" customHeight="true" outlineLevel="0" collapsed="false">
      <c r="A35" s="10" t="n">
        <f aca="false">A34+1</f>
        <v>21</v>
      </c>
      <c r="B35" s="126" t="n">
        <v>6872.29</v>
      </c>
      <c r="C35" s="90" t="n">
        <v>193999</v>
      </c>
      <c r="D35" s="127" t="n">
        <f aca="false">C35-C34</f>
        <v>-55</v>
      </c>
      <c r="E35" s="90" t="n">
        <f aca="false">C35-152000</f>
        <v>41999</v>
      </c>
      <c r="F35" s="128" t="n">
        <f aca="false">D35/$D$2</f>
        <v>-27.7287622888833</v>
      </c>
      <c r="G35" s="11" t="n">
        <v>28</v>
      </c>
      <c r="H35" s="12" t="n">
        <v>0</v>
      </c>
      <c r="I35" s="11" t="n">
        <f aca="false">G35+H35</f>
        <v>28</v>
      </c>
      <c r="J35" s="4" t="n">
        <f aca="false">IF(L35&gt;0,L35,0)</f>
        <v>0</v>
      </c>
      <c r="K35" s="11" t="n">
        <f aca="false">I35+J35</f>
        <v>28</v>
      </c>
      <c r="L35" s="11" t="n">
        <f aca="false">F35-(I35-AK35)</f>
        <v>-5.26876228888329</v>
      </c>
      <c r="M35" s="129" t="n">
        <v>4.06</v>
      </c>
      <c r="N35" s="130" t="n">
        <v>0</v>
      </c>
      <c r="O35" s="130" t="n">
        <v>0</v>
      </c>
      <c r="P35" s="93" t="n">
        <v>0</v>
      </c>
      <c r="Q35" s="131" t="n">
        <f aca="false">902300/325851/1.9835*1.02</f>
        <v>1.42396680789265</v>
      </c>
      <c r="R35" s="131" t="n">
        <f aca="false">((2.4)*1.04)-T35</f>
        <v>1.99429776</v>
      </c>
      <c r="S35" s="131" t="n">
        <v>0</v>
      </c>
      <c r="T35" s="133" t="n">
        <f aca="false">(0.4551*1.06)*1.04</f>
        <v>0.50170224</v>
      </c>
      <c r="U35" s="96" t="n">
        <f aca="false">M35-(Q35+R35+S35+T35)</f>
        <v>0.140033192107347</v>
      </c>
      <c r="V35" s="134" t="n">
        <v>22.2</v>
      </c>
      <c r="W35" s="134" t="n">
        <v>0</v>
      </c>
      <c r="X35" s="135" t="n">
        <f aca="false">M35-N35-P35-O35-Q35-R35-S35-T35-U35+V35+W35</f>
        <v>22.2</v>
      </c>
      <c r="Y35" s="136" t="n">
        <f aca="false">X35-AO35</f>
        <v>22.2</v>
      </c>
      <c r="Z35" s="80"/>
      <c r="AA35" s="136"/>
      <c r="AB35" s="80"/>
      <c r="AC35" s="134"/>
      <c r="AD35" s="80"/>
      <c r="AE35" s="134" t="n">
        <v>0</v>
      </c>
      <c r="AF35" s="137"/>
      <c r="AG35" s="138"/>
      <c r="AH35" s="134" t="n">
        <v>24.2</v>
      </c>
      <c r="AI35" s="80" t="n">
        <f aca="false">AI34-AH35</f>
        <v>3739.9</v>
      </c>
      <c r="AJ35" s="80"/>
      <c r="AK35" s="134" t="n">
        <f aca="false">N35+O35+P35+Q35+R35+S35+T35+U35+X35+AE35+AH35</f>
        <v>50.46</v>
      </c>
      <c r="AL35" s="134" t="n">
        <f aca="false">IF(L35&lt;0,L35*-1,0)</f>
        <v>5.26876228888329</v>
      </c>
      <c r="AM35" s="134" t="n">
        <f aca="false">AK35+AL35</f>
        <v>55.7287622888833</v>
      </c>
      <c r="AN35" s="100" t="n">
        <f aca="false">V35</f>
        <v>22.2</v>
      </c>
      <c r="AO35" s="97" t="n">
        <f aca="false">X35-AN35</f>
        <v>0</v>
      </c>
      <c r="AP35" s="101"/>
      <c r="AQ35" s="101"/>
      <c r="AR35" s="101"/>
      <c r="AS35" s="101"/>
      <c r="AU35" s="5"/>
      <c r="AV35" s="102" t="n">
        <v>0</v>
      </c>
      <c r="AW35" s="103" t="n">
        <v>61</v>
      </c>
      <c r="AX35" s="103" t="n">
        <v>30</v>
      </c>
      <c r="AY35" s="103"/>
      <c r="AZ35" s="104" t="n">
        <f aca="false">SUM(N35,P35:U35)</f>
        <v>4.06</v>
      </c>
    </row>
    <row r="36" customFormat="false" ht="12.95" hidden="false" customHeight="true" outlineLevel="0" collapsed="false">
      <c r="A36" s="10" t="n">
        <f aca="false">A35+1</f>
        <v>22</v>
      </c>
      <c r="B36" s="126" t="n">
        <v>6872.28</v>
      </c>
      <c r="C36" s="90" t="n">
        <v>193971</v>
      </c>
      <c r="D36" s="127" t="n">
        <f aca="false">C36-C35</f>
        <v>-28</v>
      </c>
      <c r="E36" s="90" t="n">
        <f aca="false">C36-152000</f>
        <v>41971</v>
      </c>
      <c r="F36" s="128" t="n">
        <f aca="false">D36/$D$2</f>
        <v>-14.1164608016133</v>
      </c>
      <c r="G36" s="11" t="n">
        <v>28</v>
      </c>
      <c r="H36" s="11" t="n">
        <v>0</v>
      </c>
      <c r="I36" s="11" t="n">
        <f aca="false">G36+H36</f>
        <v>28</v>
      </c>
      <c r="J36" s="4" t="n">
        <f aca="false">IF(L36&gt;0,L36,0)</f>
        <v>8.27353919838669</v>
      </c>
      <c r="K36" s="11" t="n">
        <f aca="false">I36+J36</f>
        <v>36.2735391983867</v>
      </c>
      <c r="L36" s="11" t="n">
        <f aca="false">F36-(I36-AK36)</f>
        <v>8.27353919838669</v>
      </c>
      <c r="M36" s="129" t="n">
        <v>3.99</v>
      </c>
      <c r="N36" s="130" t="n">
        <v>0</v>
      </c>
      <c r="O36" s="130" t="n">
        <v>0</v>
      </c>
      <c r="P36" s="93" t="n">
        <v>0</v>
      </c>
      <c r="Q36" s="131" t="n">
        <f aca="false">973500/325851/1.9835*1.02</f>
        <v>1.53633125067438</v>
      </c>
      <c r="R36" s="131" t="n">
        <f aca="false">((2.4)*1.04)-T36</f>
        <v>1.99429776</v>
      </c>
      <c r="S36" s="131" t="n">
        <v>0</v>
      </c>
      <c r="T36" s="133" t="n">
        <f aca="false">(0.4551*1.06)*1.04</f>
        <v>0.50170224</v>
      </c>
      <c r="U36" s="96" t="n">
        <f aca="false">M36-(Q36+R36+S36+T36)</f>
        <v>-0.0423312506743843</v>
      </c>
      <c r="V36" s="134" t="n">
        <v>22.2</v>
      </c>
      <c r="W36" s="134" t="n">
        <v>0</v>
      </c>
      <c r="X36" s="135" t="n">
        <f aca="false">M36-N36-P36-O36-Q36-R36-S36-T36-U36+V36+W36</f>
        <v>22.2</v>
      </c>
      <c r="Y36" s="136" t="n">
        <f aca="false">X36-AO36</f>
        <v>22.2</v>
      </c>
      <c r="Z36" s="80"/>
      <c r="AA36" s="136"/>
      <c r="AB36" s="80"/>
      <c r="AC36" s="134"/>
      <c r="AD36" s="80"/>
      <c r="AE36" s="134" t="n">
        <v>0</v>
      </c>
      <c r="AF36" s="137"/>
      <c r="AG36" s="138"/>
      <c r="AH36" s="134" t="n">
        <v>24.2</v>
      </c>
      <c r="AI36" s="80" t="n">
        <f aca="false">AI35-AH36</f>
        <v>3715.7</v>
      </c>
      <c r="AJ36" s="80"/>
      <c r="AK36" s="134" t="n">
        <f aca="false">N36+O36+P36+Q36+R36+S36+T36+U36+X36+AE36+AH36</f>
        <v>50.39</v>
      </c>
      <c r="AL36" s="134" t="n">
        <f aca="false">IF(L36&lt;0,L36*-1,0)</f>
        <v>0</v>
      </c>
      <c r="AM36" s="134" t="n">
        <f aca="false">AK36+AL36</f>
        <v>50.39</v>
      </c>
      <c r="AN36" s="100" t="n">
        <f aca="false">V36</f>
        <v>22.2</v>
      </c>
      <c r="AO36" s="97" t="n">
        <f aca="false">X36-AN36</f>
        <v>0</v>
      </c>
      <c r="AP36" s="101"/>
      <c r="AQ36" s="101"/>
      <c r="AR36" s="101"/>
      <c r="AS36" s="101"/>
      <c r="AU36" s="5"/>
      <c r="AV36" s="102" t="n">
        <v>0</v>
      </c>
      <c r="AW36" s="103" t="n">
        <v>63</v>
      </c>
      <c r="AX36" s="103" t="n">
        <v>30</v>
      </c>
      <c r="AY36" s="103"/>
      <c r="AZ36" s="104" t="n">
        <f aca="false">SUM(N36,P36:U36)</f>
        <v>3.99</v>
      </c>
    </row>
    <row r="37" customFormat="false" ht="12.95" hidden="false" customHeight="true" outlineLevel="0" collapsed="false">
      <c r="A37" s="10" t="n">
        <f aca="false">A36+1</f>
        <v>23</v>
      </c>
      <c r="B37" s="126" t="n">
        <v>6872.26</v>
      </c>
      <c r="C37" s="90" t="n">
        <v>193916</v>
      </c>
      <c r="D37" s="127" t="n">
        <f aca="false">C37-C36</f>
        <v>-55</v>
      </c>
      <c r="E37" s="90" t="n">
        <f aca="false">C37-152000</f>
        <v>41916</v>
      </c>
      <c r="F37" s="128" t="n">
        <f aca="false">D37/$D$2</f>
        <v>-27.7287622888833</v>
      </c>
      <c r="G37" s="11" t="n">
        <v>28</v>
      </c>
      <c r="H37" s="12" t="n">
        <v>0</v>
      </c>
      <c r="I37" s="11" t="n">
        <f aca="false">G37+H37</f>
        <v>28</v>
      </c>
      <c r="J37" s="4" t="n">
        <f aca="false">IF(L37&gt;0,L37,0)</f>
        <v>0</v>
      </c>
      <c r="K37" s="11" t="n">
        <f aca="false">I37+J37</f>
        <v>28</v>
      </c>
      <c r="L37" s="11" t="n">
        <f aca="false">F37-(I37-AK37)</f>
        <v>-5.32876228888329</v>
      </c>
      <c r="M37" s="129" t="n">
        <v>4</v>
      </c>
      <c r="N37" s="130" t="n">
        <v>0</v>
      </c>
      <c r="O37" s="130" t="n">
        <v>0</v>
      </c>
      <c r="P37" s="93" t="n">
        <v>0</v>
      </c>
      <c r="Q37" s="131" t="n">
        <f aca="false">911400/325851/1.9835*1.02</f>
        <v>1.43832799369762</v>
      </c>
      <c r="R37" s="131" t="n">
        <f aca="false">((2.4)*1.04)-T37</f>
        <v>1.88538064</v>
      </c>
      <c r="S37" s="131" t="n">
        <v>0</v>
      </c>
      <c r="T37" s="133" t="n">
        <f aca="false">(0.5539*1.06)*1.04</f>
        <v>0.61061936</v>
      </c>
      <c r="U37" s="96" t="n">
        <f aca="false">M37-(Q37+R37+S37+T37)</f>
        <v>0.0656720063023788</v>
      </c>
      <c r="V37" s="134" t="n">
        <v>22.2</v>
      </c>
      <c r="W37" s="134" t="n">
        <v>0</v>
      </c>
      <c r="X37" s="135" t="n">
        <f aca="false">M37-N37-P37-O37-Q37-R37-S37-T37-U37+V37+W37</f>
        <v>22.2</v>
      </c>
      <c r="Y37" s="136" t="n">
        <f aca="false">X37-AO37</f>
        <v>22.2</v>
      </c>
      <c r="Z37" s="80"/>
      <c r="AA37" s="136"/>
      <c r="AB37" s="80"/>
      <c r="AC37" s="134"/>
      <c r="AD37" s="80"/>
      <c r="AE37" s="134" t="n">
        <v>0</v>
      </c>
      <c r="AF37" s="137"/>
      <c r="AG37" s="138"/>
      <c r="AH37" s="134" t="n">
        <v>24.2</v>
      </c>
      <c r="AI37" s="80" t="n">
        <f aca="false">AI36-AH37</f>
        <v>3691.5</v>
      </c>
      <c r="AJ37" s="80"/>
      <c r="AK37" s="134" t="n">
        <f aca="false">N37+O37+P37+Q37+R37+S37+T37+U37+X37+AE37+AH37</f>
        <v>50.4</v>
      </c>
      <c r="AL37" s="134" t="n">
        <f aca="false">IF(L37&lt;0,L37*-1,0)</f>
        <v>5.32876228888329</v>
      </c>
      <c r="AM37" s="134" t="n">
        <f aca="false">AK37+AL37</f>
        <v>55.7287622888833</v>
      </c>
      <c r="AN37" s="100" t="n">
        <f aca="false">V37</f>
        <v>22.2</v>
      </c>
      <c r="AO37" s="97" t="n">
        <f aca="false">X37-AN37</f>
        <v>0</v>
      </c>
      <c r="AP37" s="101"/>
      <c r="AQ37" s="101"/>
      <c r="AR37" s="101"/>
      <c r="AS37" s="101"/>
      <c r="AU37" s="5"/>
      <c r="AV37" s="102" t="n">
        <v>0</v>
      </c>
      <c r="AW37" s="103" t="n">
        <v>62</v>
      </c>
      <c r="AX37" s="140" t="n">
        <v>29</v>
      </c>
      <c r="AY37" s="140"/>
      <c r="AZ37" s="104" t="n">
        <f aca="false">SUM(N37,P37:U37)</f>
        <v>4</v>
      </c>
    </row>
    <row r="38" customFormat="false" ht="12.95" hidden="false" customHeight="true" outlineLevel="0" collapsed="false">
      <c r="A38" s="10" t="n">
        <f aca="false">A37+1</f>
        <v>24</v>
      </c>
      <c r="B38" s="126" t="n">
        <v>6872.24</v>
      </c>
      <c r="C38" s="90" t="n">
        <v>193861</v>
      </c>
      <c r="D38" s="127" t="n">
        <f aca="false">C38-C37</f>
        <v>-55</v>
      </c>
      <c r="E38" s="90" t="n">
        <f aca="false">C38-152000</f>
        <v>41861</v>
      </c>
      <c r="F38" s="128" t="n">
        <f aca="false">D38/$D$2</f>
        <v>-27.7287622888833</v>
      </c>
      <c r="G38" s="11" t="n">
        <v>28</v>
      </c>
      <c r="H38" s="11" t="n">
        <v>0</v>
      </c>
      <c r="I38" s="11" t="n">
        <f aca="false">G38+H38</f>
        <v>28</v>
      </c>
      <c r="J38" s="4" t="n">
        <f aca="false">IF(L38&gt;0,L38,0)</f>
        <v>0</v>
      </c>
      <c r="K38" s="11" t="n">
        <f aca="false">I38+J38</f>
        <v>28</v>
      </c>
      <c r="L38" s="11" t="n">
        <f aca="false">F38-(I38-AK38)</f>
        <v>-5.42876228888329</v>
      </c>
      <c r="M38" s="129" t="n">
        <v>3.9</v>
      </c>
      <c r="N38" s="130" t="n">
        <v>0</v>
      </c>
      <c r="O38" s="130" t="n">
        <v>0</v>
      </c>
      <c r="P38" s="93" t="n">
        <v>0</v>
      </c>
      <c r="Q38" s="131" t="n">
        <f aca="false">949000/325851/1.9835*1.02</f>
        <v>1.49766651966101</v>
      </c>
      <c r="R38" s="131" t="n">
        <f aca="false">((2.2)*1.04)-T38</f>
        <v>1.67738064</v>
      </c>
      <c r="S38" s="131" t="n">
        <v>0</v>
      </c>
      <c r="T38" s="133" t="n">
        <f aca="false">(0.5539*1.06)*1.04</f>
        <v>0.61061936</v>
      </c>
      <c r="U38" s="96" t="n">
        <f aca="false">M38-(Q38+R38+S38+T38)</f>
        <v>0.114333480338992</v>
      </c>
      <c r="V38" s="134" t="n">
        <v>22.2</v>
      </c>
      <c r="W38" s="134" t="n">
        <v>0</v>
      </c>
      <c r="X38" s="135" t="n">
        <f aca="false">M38-N38-P38-O38-Q38-R38-S38-T38-U38+V38+W38</f>
        <v>22.2</v>
      </c>
      <c r="Y38" s="136" t="n">
        <f aca="false">X38-AO38</f>
        <v>22.2</v>
      </c>
      <c r="Z38" s="80"/>
      <c r="AA38" s="136"/>
      <c r="AB38" s="80"/>
      <c r="AC38" s="134"/>
      <c r="AD38" s="80"/>
      <c r="AE38" s="134" t="n">
        <v>0</v>
      </c>
      <c r="AF38" s="137"/>
      <c r="AG38" s="138"/>
      <c r="AH38" s="134" t="n">
        <v>24.2</v>
      </c>
      <c r="AI38" s="80" t="n">
        <f aca="false">AI37-AH38</f>
        <v>3667.3</v>
      </c>
      <c r="AJ38" s="80"/>
      <c r="AK38" s="134" t="n">
        <f aca="false">N38+O38+P38+Q38+R38+S38+T38+U38+X38+AE38+AH38</f>
        <v>50.3</v>
      </c>
      <c r="AL38" s="134" t="n">
        <f aca="false">IF(L38&lt;0,L38*-1,0)</f>
        <v>5.42876228888329</v>
      </c>
      <c r="AM38" s="134" t="n">
        <f aca="false">AK38+AL38</f>
        <v>55.7287622888833</v>
      </c>
      <c r="AN38" s="100" t="n">
        <f aca="false">V38</f>
        <v>22.2</v>
      </c>
      <c r="AO38" s="97" t="n">
        <f aca="false">X38-AN38</f>
        <v>0</v>
      </c>
      <c r="AP38" s="101"/>
      <c r="AQ38" s="101"/>
      <c r="AR38" s="101"/>
      <c r="AS38" s="101"/>
      <c r="AU38" s="5"/>
      <c r="AV38" s="102" t="n">
        <v>0</v>
      </c>
      <c r="AW38" s="103" t="n">
        <v>60</v>
      </c>
      <c r="AX38" s="140" t="n">
        <v>27</v>
      </c>
      <c r="AY38" s="140"/>
      <c r="AZ38" s="104" t="n">
        <f aca="false">SUM(N38,P38:U38)</f>
        <v>3.9</v>
      </c>
    </row>
    <row r="39" customFormat="false" ht="12.95" hidden="false" customHeight="true" outlineLevel="0" collapsed="false">
      <c r="A39" s="10" t="n">
        <f aca="false">A38+1</f>
        <v>25</v>
      </c>
      <c r="B39" s="126" t="n">
        <v>6872.21</v>
      </c>
      <c r="C39" s="90" t="n">
        <v>193779</v>
      </c>
      <c r="D39" s="127" t="n">
        <f aca="false">C39-C38</f>
        <v>-82</v>
      </c>
      <c r="E39" s="90" t="n">
        <f aca="false">C39-152000</f>
        <v>41779</v>
      </c>
      <c r="F39" s="128" t="n">
        <f aca="false">D39/$D$2</f>
        <v>-41.3410637761533</v>
      </c>
      <c r="G39" s="11" t="n">
        <v>27</v>
      </c>
      <c r="H39" s="12" t="n">
        <v>0</v>
      </c>
      <c r="I39" s="11" t="n">
        <f aca="false">G39+H39</f>
        <v>27</v>
      </c>
      <c r="J39" s="4" t="n">
        <f aca="false">IF(L39&gt;0,L39,0)</f>
        <v>0</v>
      </c>
      <c r="K39" s="11" t="n">
        <f aca="false">I39+J39</f>
        <v>27</v>
      </c>
      <c r="L39" s="11" t="n">
        <f aca="false">F39-(I39-AK39)</f>
        <v>-18.0410637761533</v>
      </c>
      <c r="M39" s="129" t="n">
        <v>3.9</v>
      </c>
      <c r="N39" s="130" t="n">
        <v>0</v>
      </c>
      <c r="O39" s="130" t="n">
        <v>0</v>
      </c>
      <c r="P39" s="93" t="n">
        <v>0</v>
      </c>
      <c r="Q39" s="131" t="n">
        <f aca="false">1096300/325851/1.9835*1.02</f>
        <v>1.73012835142715</v>
      </c>
      <c r="R39" s="131" t="n">
        <f aca="false">((2.2)*1.04)-T39</f>
        <v>1.67738064</v>
      </c>
      <c r="S39" s="131" t="n">
        <v>0</v>
      </c>
      <c r="T39" s="133" t="n">
        <f aca="false">(0.5539*1.06)*1.04</f>
        <v>0.61061936</v>
      </c>
      <c r="U39" s="96" t="n">
        <f aca="false">M39-(Q39+R39+S39+T39)</f>
        <v>-0.118128351427148</v>
      </c>
      <c r="V39" s="134" t="n">
        <v>22.2</v>
      </c>
      <c r="W39" s="134" t="n">
        <v>0</v>
      </c>
      <c r="X39" s="135" t="n">
        <f aca="false">M39-N39-P39-O39-Q39-R39-S39-T39-U39+V39+W39</f>
        <v>22.2</v>
      </c>
      <c r="Y39" s="136" t="n">
        <f aca="false">X39-AO39</f>
        <v>22.2</v>
      </c>
      <c r="Z39" s="80"/>
      <c r="AA39" s="136"/>
      <c r="AB39" s="80"/>
      <c r="AC39" s="134"/>
      <c r="AD39" s="80"/>
      <c r="AE39" s="134" t="n">
        <v>0</v>
      </c>
      <c r="AF39" s="137"/>
      <c r="AG39" s="138"/>
      <c r="AH39" s="134" t="n">
        <v>24.2</v>
      </c>
      <c r="AI39" s="80" t="n">
        <f aca="false">AI38-AH39</f>
        <v>3643.1</v>
      </c>
      <c r="AJ39" s="80"/>
      <c r="AK39" s="134" t="n">
        <f aca="false">N39+O39+P39+Q39+R39+S39+T39+U39+X39+AE39+AH39</f>
        <v>50.3</v>
      </c>
      <c r="AL39" s="134" t="n">
        <f aca="false">IF(L39&lt;0,L39*-1,0)</f>
        <v>18.0410637761533</v>
      </c>
      <c r="AM39" s="134" t="n">
        <f aca="false">AK39+AL39</f>
        <v>68.3410637761533</v>
      </c>
      <c r="AN39" s="100" t="n">
        <f aca="false">V39</f>
        <v>22.2</v>
      </c>
      <c r="AO39" s="97" t="n">
        <f aca="false">X39-AN39</f>
        <v>0</v>
      </c>
      <c r="AP39" s="101"/>
      <c r="AQ39" s="101"/>
      <c r="AR39" s="101"/>
      <c r="AS39" s="101"/>
      <c r="AU39" s="5"/>
      <c r="AV39" s="102" t="n">
        <v>0</v>
      </c>
      <c r="AW39" s="103" t="n">
        <v>61</v>
      </c>
      <c r="AX39" s="140" t="n">
        <v>27</v>
      </c>
      <c r="AY39" s="140"/>
      <c r="AZ39" s="104" t="n">
        <f aca="false">SUM(N39,P39:U39)</f>
        <v>3.9</v>
      </c>
    </row>
    <row r="40" customFormat="false" ht="12.95" hidden="false" customHeight="true" outlineLevel="0" collapsed="false">
      <c r="A40" s="10" t="n">
        <f aca="false">A39+1</f>
        <v>26</v>
      </c>
      <c r="B40" s="126" t="n">
        <v>6872.19</v>
      </c>
      <c r="C40" s="90" t="n">
        <v>193724</v>
      </c>
      <c r="D40" s="127" t="n">
        <f aca="false">C40-C39</f>
        <v>-55</v>
      </c>
      <c r="E40" s="90" t="n">
        <f aca="false">C40-152000</f>
        <v>41724</v>
      </c>
      <c r="F40" s="128" t="n">
        <f aca="false">D40/$D$2</f>
        <v>-27.7287622888833</v>
      </c>
      <c r="G40" s="11" t="n">
        <v>27</v>
      </c>
      <c r="H40" s="12" t="n">
        <v>0</v>
      </c>
      <c r="I40" s="11" t="n">
        <f aca="false">G40+H40</f>
        <v>27</v>
      </c>
      <c r="J40" s="4" t="n">
        <f aca="false">IF(L40&gt;0,L40,0)</f>
        <v>0</v>
      </c>
      <c r="K40" s="11" t="n">
        <f aca="false">I40+J40</f>
        <v>27</v>
      </c>
      <c r="L40" s="11" t="n">
        <f aca="false">F40-(I40-AK40)</f>
        <v>-4.71876228888329</v>
      </c>
      <c r="M40" s="129" t="n">
        <v>3.61</v>
      </c>
      <c r="N40" s="130" t="n">
        <v>0</v>
      </c>
      <c r="O40" s="130" t="n">
        <v>0</v>
      </c>
      <c r="P40" s="93" t="n">
        <v>0</v>
      </c>
      <c r="Q40" s="131" t="n">
        <f aca="false">1104000/325851/1.9835*1.04</f>
        <v>1.77644247940452</v>
      </c>
      <c r="R40" s="131" t="n">
        <f aca="false">((2.2)*1.04)-T40</f>
        <v>1.67738064</v>
      </c>
      <c r="S40" s="131" t="n">
        <v>0</v>
      </c>
      <c r="T40" s="133" t="n">
        <f aca="false">(0.5539*1.06)*1.04</f>
        <v>0.61061936</v>
      </c>
      <c r="U40" s="96" t="n">
        <f aca="false">M40-(Q40+R40+S40+T40)</f>
        <v>-0.454442479404516</v>
      </c>
      <c r="V40" s="134" t="n">
        <v>22.2</v>
      </c>
      <c r="W40" s="134" t="n">
        <v>0</v>
      </c>
      <c r="X40" s="135" t="n">
        <f aca="false">M40-N40-P40-O40-Q40-R40-S40-T40-U40+V40+W40</f>
        <v>22.2</v>
      </c>
      <c r="Y40" s="136" t="n">
        <f aca="false">X40-AO40</f>
        <v>22.2</v>
      </c>
      <c r="Z40" s="80"/>
      <c r="AA40" s="136"/>
      <c r="AB40" s="80"/>
      <c r="AC40" s="134"/>
      <c r="AD40" s="80"/>
      <c r="AE40" s="134" t="n">
        <v>0</v>
      </c>
      <c r="AF40" s="137"/>
      <c r="AG40" s="138"/>
      <c r="AH40" s="134" t="n">
        <v>24.2</v>
      </c>
      <c r="AI40" s="80" t="n">
        <f aca="false">AI39-AH40</f>
        <v>3618.9</v>
      </c>
      <c r="AJ40" s="80"/>
      <c r="AK40" s="134" t="n">
        <f aca="false">N40+O40+P40+Q40+R40+S40+T40+U40+X40+AE40+AH40</f>
        <v>50.01</v>
      </c>
      <c r="AL40" s="134" t="n">
        <f aca="false">IF(L40&lt;0,L40*-1,0)</f>
        <v>4.71876228888329</v>
      </c>
      <c r="AM40" s="134" t="n">
        <f aca="false">AK40+AL40</f>
        <v>54.7287622888833</v>
      </c>
      <c r="AN40" s="100" t="n">
        <f aca="false">V40</f>
        <v>22.2</v>
      </c>
      <c r="AO40" s="97" t="n">
        <f aca="false">X40-AN40</f>
        <v>0</v>
      </c>
      <c r="AP40" s="101"/>
      <c r="AQ40" s="101"/>
      <c r="AR40" s="101"/>
      <c r="AS40" s="101"/>
      <c r="AU40" s="5"/>
      <c r="AV40" s="102" t="n">
        <v>0</v>
      </c>
      <c r="AW40" s="103" t="n">
        <v>56</v>
      </c>
      <c r="AX40" s="103" t="n">
        <v>26</v>
      </c>
      <c r="AY40" s="103"/>
      <c r="AZ40" s="104" t="n">
        <f aca="false">SUM(N40,P40:U40)</f>
        <v>3.61</v>
      </c>
    </row>
    <row r="41" customFormat="false" ht="12.95" hidden="false" customHeight="true" outlineLevel="0" collapsed="false">
      <c r="A41" s="10" t="n">
        <f aca="false">A40+1</f>
        <v>27</v>
      </c>
      <c r="B41" s="126" t="n">
        <v>6872.17</v>
      </c>
      <c r="C41" s="90" t="n">
        <v>193669</v>
      </c>
      <c r="D41" s="127" t="n">
        <f aca="false">C41-C40</f>
        <v>-55</v>
      </c>
      <c r="E41" s="90" t="n">
        <f aca="false">C41-152000</f>
        <v>41669</v>
      </c>
      <c r="F41" s="128" t="n">
        <f aca="false">D41/$D$2</f>
        <v>-27.7287622888833</v>
      </c>
      <c r="G41" s="11" t="n">
        <v>26</v>
      </c>
      <c r="H41" s="12" t="n">
        <v>0</v>
      </c>
      <c r="I41" s="11" t="n">
        <f aca="false">G41+H41</f>
        <v>26</v>
      </c>
      <c r="J41" s="4" t="n">
        <f aca="false">IF(L41&gt;0,L41,0)</f>
        <v>0</v>
      </c>
      <c r="K41" s="11" t="n">
        <f aca="false">I41+J41</f>
        <v>26</v>
      </c>
      <c r="L41" s="11" t="n">
        <f aca="false">F41-(I41-AK41)</f>
        <v>-2.48876228888329</v>
      </c>
      <c r="M41" s="129" t="n">
        <v>4.14</v>
      </c>
      <c r="N41" s="130" t="n">
        <v>0</v>
      </c>
      <c r="O41" s="130" t="n">
        <v>0</v>
      </c>
      <c r="P41" s="93" t="n">
        <v>0</v>
      </c>
      <c r="Q41" s="131" t="n">
        <f aca="false">865600/325851/1.9835*1.02</f>
        <v>1.3660486189869</v>
      </c>
      <c r="R41" s="131" t="n">
        <f aca="false">((2.2)*1.04)-T41</f>
        <v>1.67738064</v>
      </c>
      <c r="S41" s="131" t="n">
        <v>0</v>
      </c>
      <c r="T41" s="133" t="n">
        <f aca="false">(0.5539*1.06)*1.04</f>
        <v>0.61061936</v>
      </c>
      <c r="U41" s="96" t="n">
        <f aca="false">M41-(Q41+R41+S41+T41)</f>
        <v>0.4859513810131</v>
      </c>
      <c r="V41" s="134" t="n">
        <v>22.2</v>
      </c>
      <c r="W41" s="134" t="n">
        <v>0</v>
      </c>
      <c r="X41" s="135" t="n">
        <f aca="false">M41-N41-P41-O41-Q41-R41-S41-T41-U41+V41+W41</f>
        <v>22.2</v>
      </c>
      <c r="Y41" s="136" t="n">
        <f aca="false">X41-AO41</f>
        <v>22.2</v>
      </c>
      <c r="Z41" s="80"/>
      <c r="AA41" s="136"/>
      <c r="AB41" s="80"/>
      <c r="AC41" s="134"/>
      <c r="AD41" s="80"/>
      <c r="AE41" s="134" t="n">
        <v>0</v>
      </c>
      <c r="AF41" s="137"/>
      <c r="AG41" s="138"/>
      <c r="AH41" s="134" t="n">
        <v>24.9</v>
      </c>
      <c r="AI41" s="80" t="n">
        <f aca="false">AI40-AH41</f>
        <v>3594</v>
      </c>
      <c r="AJ41" s="80"/>
      <c r="AK41" s="134" t="n">
        <f aca="false">N41+O41+P41+Q41+R41+S41+T41+U41+X41+AE41+AH41</f>
        <v>51.24</v>
      </c>
      <c r="AL41" s="134" t="n">
        <f aca="false">IF(L41&lt;0,L41*-1,0)</f>
        <v>2.48876228888329</v>
      </c>
      <c r="AM41" s="134" t="n">
        <f aca="false">AK41+AL41</f>
        <v>53.7287622888833</v>
      </c>
      <c r="AN41" s="100" t="n">
        <f aca="false">V41</f>
        <v>22.2</v>
      </c>
      <c r="AO41" s="97" t="n">
        <f aca="false">X41-AN41</f>
        <v>0</v>
      </c>
      <c r="AP41" s="101"/>
      <c r="AQ41" s="101"/>
      <c r="AR41" s="101"/>
      <c r="AS41" s="101"/>
      <c r="AU41" s="5"/>
      <c r="AV41" s="102" t="n">
        <v>0</v>
      </c>
      <c r="AW41" s="103" t="n">
        <v>54</v>
      </c>
      <c r="AX41" s="103" t="n">
        <v>23</v>
      </c>
      <c r="AY41" s="103"/>
      <c r="AZ41" s="104" t="n">
        <f aca="false">SUM(N41,P41:U41)</f>
        <v>4.14</v>
      </c>
    </row>
    <row r="42" customFormat="false" ht="12.95" hidden="false" customHeight="true" outlineLevel="0" collapsed="false">
      <c r="A42" s="10" t="n">
        <f aca="false">A41+1</f>
        <v>28</v>
      </c>
      <c r="B42" s="126" t="n">
        <v>6872.15</v>
      </c>
      <c r="C42" s="90" t="n">
        <v>193614</v>
      </c>
      <c r="D42" s="127" t="n">
        <f aca="false">C42-C41</f>
        <v>-55</v>
      </c>
      <c r="E42" s="90" t="n">
        <f aca="false">C42-152000</f>
        <v>41614</v>
      </c>
      <c r="F42" s="128" t="n">
        <f aca="false">D42/$D$2</f>
        <v>-27.7287622888833</v>
      </c>
      <c r="G42" s="11" t="n">
        <v>26</v>
      </c>
      <c r="H42" s="12" t="n">
        <v>0</v>
      </c>
      <c r="I42" s="11" t="n">
        <f aca="false">G42+H42</f>
        <v>26</v>
      </c>
      <c r="J42" s="4" t="n">
        <f aca="false">IF(L42&gt;0,L42,0)</f>
        <v>0</v>
      </c>
      <c r="K42" s="11" t="n">
        <f aca="false">I42+J42</f>
        <v>26</v>
      </c>
      <c r="L42" s="11" t="n">
        <f aca="false">F42-(I42-AK42)</f>
        <v>-2.66876228888328</v>
      </c>
      <c r="M42" s="129" t="n">
        <v>4.06</v>
      </c>
      <c r="N42" s="130" t="n">
        <v>0</v>
      </c>
      <c r="O42" s="130" t="n">
        <v>0</v>
      </c>
      <c r="P42" s="93" t="n">
        <v>0</v>
      </c>
      <c r="Q42" s="131" t="n">
        <f aca="false">934300/325851/1.9835*1.02</f>
        <v>1.47446768105298</v>
      </c>
      <c r="R42" s="131" t="n">
        <f aca="false">((2.2)*1.04)-T42</f>
        <v>1.67738064</v>
      </c>
      <c r="S42" s="131" t="n">
        <v>0</v>
      </c>
      <c r="T42" s="133" t="n">
        <f aca="false">(0.5539*1.06)*1.04</f>
        <v>0.61061936</v>
      </c>
      <c r="U42" s="96" t="n">
        <f aca="false">M42-(Q42+R42+S42+T42)</f>
        <v>0.297532318947018</v>
      </c>
      <c r="V42" s="134" t="n">
        <v>22.2</v>
      </c>
      <c r="W42" s="134" t="n">
        <v>0</v>
      </c>
      <c r="X42" s="135" t="n">
        <f aca="false">M42-N42-P42-O42-Q42-R42-S42-T42-U42+V42+W42</f>
        <v>22.2</v>
      </c>
      <c r="Y42" s="136" t="n">
        <f aca="false">X42-AO42</f>
        <v>22.2</v>
      </c>
      <c r="Z42" s="80"/>
      <c r="AA42" s="136"/>
      <c r="AB42" s="80"/>
      <c r="AC42" s="134"/>
      <c r="AD42" s="80"/>
      <c r="AE42" s="134" t="n">
        <v>0</v>
      </c>
      <c r="AF42" s="137"/>
      <c r="AG42" s="138"/>
      <c r="AH42" s="134" t="n">
        <v>24.8</v>
      </c>
      <c r="AI42" s="80" t="n">
        <f aca="false">AI41-AH42</f>
        <v>3569.2</v>
      </c>
      <c r="AJ42" s="80"/>
      <c r="AK42" s="134" t="n">
        <f aca="false">N42+O42+P42+Q42+R42+S42+T42+U42+X42+AE42+AH42</f>
        <v>51.06</v>
      </c>
      <c r="AL42" s="134" t="n">
        <f aca="false">IF(L42&lt;0,L42*-1,0)</f>
        <v>2.66876228888328</v>
      </c>
      <c r="AM42" s="134" t="n">
        <f aca="false">AK42+AL42</f>
        <v>53.7287622888833</v>
      </c>
      <c r="AN42" s="100" t="n">
        <f aca="false">V42</f>
        <v>22.2</v>
      </c>
      <c r="AO42" s="97" t="n">
        <f aca="false">X42-AN42</f>
        <v>0</v>
      </c>
      <c r="AP42" s="101"/>
      <c r="AQ42" s="101"/>
      <c r="AR42" s="101"/>
      <c r="AS42" s="101"/>
      <c r="AU42" s="5"/>
      <c r="AV42" s="102" t="n">
        <v>0</v>
      </c>
      <c r="AW42" s="103" t="n">
        <v>57</v>
      </c>
      <c r="AX42" s="103" t="n">
        <v>28</v>
      </c>
      <c r="AY42" s="103"/>
      <c r="AZ42" s="104" t="n">
        <f aca="false">SUM(N42,P42:U42)</f>
        <v>4.06</v>
      </c>
    </row>
    <row r="43" customFormat="false" ht="12.95" hidden="false" customHeight="true" outlineLevel="0" collapsed="false">
      <c r="A43" s="10" t="n">
        <f aca="false">A42+1</f>
        <v>29</v>
      </c>
      <c r="B43" s="126" t="n">
        <v>6872.13</v>
      </c>
      <c r="C43" s="90" t="n">
        <v>193559</v>
      </c>
      <c r="D43" s="127" t="n">
        <f aca="false">C43-C42</f>
        <v>-55</v>
      </c>
      <c r="E43" s="90" t="n">
        <f aca="false">C43-152000</f>
        <v>41559</v>
      </c>
      <c r="F43" s="128" t="n">
        <f aca="false">D43/$D$2</f>
        <v>-27.7287622888833</v>
      </c>
      <c r="G43" s="11" t="n">
        <v>30</v>
      </c>
      <c r="H43" s="12" t="n">
        <v>0</v>
      </c>
      <c r="I43" s="11" t="n">
        <f aca="false">G43+H43</f>
        <v>30</v>
      </c>
      <c r="J43" s="4" t="n">
        <f aca="false">IF(L43&gt;0,L43,0)</f>
        <v>0</v>
      </c>
      <c r="K43" s="11" t="n">
        <f aca="false">I43+J43</f>
        <v>30</v>
      </c>
      <c r="L43" s="11" t="n">
        <f aca="false">F43-(I43-AK43)</f>
        <v>-7.52876228888328</v>
      </c>
      <c r="M43" s="129" t="n">
        <v>3.9</v>
      </c>
      <c r="N43" s="130" t="n">
        <v>0</v>
      </c>
      <c r="O43" s="130" t="n">
        <v>0</v>
      </c>
      <c r="P43" s="93" t="n">
        <v>0</v>
      </c>
      <c r="Q43" s="131" t="n">
        <f aca="false">1044000/325851/1.9835*1.02</f>
        <v>1.64759098685573</v>
      </c>
      <c r="R43" s="131" t="n">
        <f aca="false">((2.2)*1.04)-T43</f>
        <v>1.67738064</v>
      </c>
      <c r="S43" s="131" t="n">
        <v>0</v>
      </c>
      <c r="T43" s="133" t="n">
        <f aca="false">(0.5539*1.06)*1.04</f>
        <v>0.61061936</v>
      </c>
      <c r="U43" s="96" t="n">
        <f aca="false">M43-(Q43+R43+S43+T43)</f>
        <v>-0.0355909868557349</v>
      </c>
      <c r="V43" s="134" t="n">
        <v>22.2</v>
      </c>
      <c r="W43" s="134" t="n">
        <v>0</v>
      </c>
      <c r="X43" s="135" t="n">
        <f aca="false">M43-N43-P43-O43-Q43-R43-S43-T43-U43+V43+W43</f>
        <v>22.2</v>
      </c>
      <c r="Y43" s="136" t="n">
        <f aca="false">X43-AO43</f>
        <v>22.2</v>
      </c>
      <c r="Z43" s="80"/>
      <c r="AA43" s="136"/>
      <c r="AB43" s="80"/>
      <c r="AC43" s="134"/>
      <c r="AD43" s="80"/>
      <c r="AE43" s="134" t="n">
        <v>0</v>
      </c>
      <c r="AF43" s="137"/>
      <c r="AG43" s="138"/>
      <c r="AH43" s="134" t="n">
        <v>24.1</v>
      </c>
      <c r="AI43" s="80" t="n">
        <f aca="false">AI42-AH43</f>
        <v>3545.1</v>
      </c>
      <c r="AJ43" s="80"/>
      <c r="AK43" s="134" t="n">
        <f aca="false">N43+O43+P43+Q43+R43+S43+T43+U43+X43+AE43+AH43</f>
        <v>50.2</v>
      </c>
      <c r="AL43" s="134" t="n">
        <f aca="false">IF(L43&lt;0,L43*-1,0)</f>
        <v>7.52876228888328</v>
      </c>
      <c r="AM43" s="134" t="n">
        <f aca="false">AK43+AL43</f>
        <v>57.7287622888833</v>
      </c>
      <c r="AN43" s="100" t="n">
        <f aca="false">V43</f>
        <v>22.2</v>
      </c>
      <c r="AO43" s="97" t="n">
        <f aca="false">X43-AN43</f>
        <v>0</v>
      </c>
      <c r="AP43" s="101"/>
      <c r="AQ43" s="101"/>
      <c r="AR43" s="101"/>
      <c r="AS43" s="101"/>
      <c r="AU43" s="5"/>
      <c r="AV43" s="102" t="n">
        <v>0</v>
      </c>
      <c r="AW43" s="103" t="n">
        <v>52</v>
      </c>
      <c r="AX43" s="103" t="n">
        <v>29</v>
      </c>
      <c r="AY43" s="103"/>
      <c r="AZ43" s="104" t="n">
        <f aca="false">SUM(N43,P43:U43)</f>
        <v>3.9</v>
      </c>
    </row>
    <row r="44" customFormat="false" ht="12.95" hidden="false" customHeight="true" outlineLevel="0" collapsed="false">
      <c r="A44" s="10" t="n">
        <v>30</v>
      </c>
      <c r="B44" s="126" t="n">
        <v>6872.11</v>
      </c>
      <c r="C44" s="90" t="n">
        <v>193503</v>
      </c>
      <c r="D44" s="127" t="n">
        <f aca="false">C44-C43</f>
        <v>-56</v>
      </c>
      <c r="E44" s="90" t="n">
        <f aca="false">C44-152000</f>
        <v>41503</v>
      </c>
      <c r="F44" s="128" t="n">
        <f aca="false">D44/$D$2</f>
        <v>-28.2329216032266</v>
      </c>
      <c r="G44" s="11" t="n">
        <v>36</v>
      </c>
      <c r="H44" s="12" t="n">
        <v>0</v>
      </c>
      <c r="I44" s="11" t="n">
        <f aca="false">G44+H44</f>
        <v>36</v>
      </c>
      <c r="J44" s="4" t="n">
        <f aca="false">IF(L44&gt;0,L44,0)</f>
        <v>0</v>
      </c>
      <c r="K44" s="11" t="n">
        <f aca="false">I44+J44</f>
        <v>36</v>
      </c>
      <c r="L44" s="11" t="n">
        <f aca="false">F44-(I44-AK44)</f>
        <v>-14.6929216032266</v>
      </c>
      <c r="M44" s="129" t="n">
        <v>3.74</v>
      </c>
      <c r="N44" s="130" t="n">
        <v>0</v>
      </c>
      <c r="O44" s="130" t="n">
        <v>0</v>
      </c>
      <c r="P44" s="93" t="n">
        <v>0</v>
      </c>
      <c r="Q44" s="131" t="n">
        <f aca="false">800100/325851/1.9835*1.02</f>
        <v>1.26267964423685</v>
      </c>
      <c r="R44" s="131" t="n">
        <f aca="false">((2.2)*1.04)-T44</f>
        <v>1.68928656</v>
      </c>
      <c r="S44" s="131" t="n">
        <v>0</v>
      </c>
      <c r="T44" s="133" t="n">
        <f aca="false">(0.5431*1.06)*1.04</f>
        <v>0.59871344</v>
      </c>
      <c r="U44" s="96" t="n">
        <f aca="false">M44-(Q44+R44+S44+T44)</f>
        <v>0.189320355763148</v>
      </c>
      <c r="V44" s="134" t="n">
        <v>22.2</v>
      </c>
      <c r="W44" s="134" t="n">
        <v>0</v>
      </c>
      <c r="X44" s="135" t="n">
        <f aca="false">M44-N44-P44-O44-Q44-R44-S44-T44-U44+V44+W44</f>
        <v>22.2</v>
      </c>
      <c r="Y44" s="136" t="n">
        <f aca="false">X44-AO44</f>
        <v>22.2</v>
      </c>
      <c r="Z44" s="80"/>
      <c r="AA44" s="136"/>
      <c r="AB44" s="80"/>
      <c r="AC44" s="134"/>
      <c r="AD44" s="80"/>
      <c r="AE44" s="134" t="n">
        <v>0</v>
      </c>
      <c r="AF44" s="137"/>
      <c r="AG44" s="138"/>
      <c r="AH44" s="134" t="n">
        <v>23.6</v>
      </c>
      <c r="AI44" s="80" t="n">
        <f aca="false">AI43-AH44</f>
        <v>3521.5</v>
      </c>
      <c r="AJ44" s="80"/>
      <c r="AK44" s="134" t="n">
        <f aca="false">N44+O44+P44+Q44+R44+S44+T44+U44+X44+AE44+AH44</f>
        <v>49.54</v>
      </c>
      <c r="AL44" s="134" t="n">
        <f aca="false">IF(L44&lt;0,L44*-1,0)</f>
        <v>14.6929216032266</v>
      </c>
      <c r="AM44" s="141" t="n">
        <f aca="false">AK44+AL44</f>
        <v>64.2329216032266</v>
      </c>
      <c r="AN44" s="100" t="n">
        <f aca="false">V44</f>
        <v>22.2</v>
      </c>
      <c r="AO44" s="97" t="n">
        <f aca="false">X44-AN44</f>
        <v>0</v>
      </c>
      <c r="AP44" s="101"/>
      <c r="AQ44" s="101"/>
      <c r="AR44" s="101"/>
      <c r="AS44" s="101"/>
      <c r="AU44" s="5"/>
      <c r="AV44" s="102" t="n">
        <v>0</v>
      </c>
      <c r="AW44" s="103" t="n">
        <v>54</v>
      </c>
      <c r="AX44" s="103" t="n">
        <v>30</v>
      </c>
      <c r="AY44" s="103"/>
      <c r="AZ44" s="104" t="n">
        <f aca="false">SUM(N44,P44:U44)</f>
        <v>3.74</v>
      </c>
    </row>
    <row r="45" customFormat="false" ht="3" hidden="false" customHeight="true" outlineLevel="0" collapsed="false">
      <c r="A45" s="109"/>
      <c r="B45" s="142"/>
      <c r="C45" s="111"/>
      <c r="D45" s="109"/>
      <c r="E45" s="111"/>
      <c r="F45" s="112"/>
      <c r="G45" s="109"/>
      <c r="H45" s="113" t="n">
        <v>0.62</v>
      </c>
      <c r="I45" s="109"/>
      <c r="J45" s="109"/>
      <c r="K45" s="109"/>
      <c r="L45" s="109"/>
      <c r="M45" s="114"/>
      <c r="N45" s="109"/>
      <c r="O45" s="109"/>
      <c r="P45" s="115"/>
      <c r="Q45" s="116"/>
      <c r="R45" s="116"/>
      <c r="S45" s="116"/>
      <c r="T45" s="116"/>
      <c r="U45" s="117"/>
      <c r="V45" s="116"/>
      <c r="W45" s="116"/>
      <c r="X45" s="116"/>
      <c r="Y45" s="123"/>
      <c r="Z45" s="119"/>
      <c r="AA45" s="123"/>
      <c r="AB45" s="119"/>
      <c r="AC45" s="119"/>
      <c r="AD45" s="119"/>
      <c r="AE45" s="116"/>
      <c r="AF45" s="120"/>
      <c r="AG45" s="121"/>
      <c r="AH45" s="116"/>
      <c r="AI45" s="116"/>
      <c r="AJ45" s="116"/>
      <c r="AK45" s="116"/>
      <c r="AL45" s="116"/>
      <c r="AM45" s="143"/>
      <c r="AN45" s="118"/>
      <c r="AO45" s="118"/>
      <c r="AP45" s="123"/>
      <c r="AQ45" s="123"/>
      <c r="AR45" s="123"/>
      <c r="AS45" s="123"/>
      <c r="AT45" s="123"/>
      <c r="AU45" s="124"/>
      <c r="AV45" s="125"/>
      <c r="AW45" s="123" t="n">
        <v>4</v>
      </c>
      <c r="AX45" s="123"/>
      <c r="AY45" s="123"/>
      <c r="AZ45" s="118"/>
    </row>
    <row r="46" customFormat="false" ht="12.95" hidden="false" customHeight="true" outlineLevel="0" collapsed="false">
      <c r="A46" s="11" t="s">
        <v>101</v>
      </c>
      <c r="B46" s="89"/>
      <c r="C46" s="90"/>
      <c r="D46" s="90"/>
      <c r="E46" s="90"/>
      <c r="F46" s="91" t="n">
        <f aca="false">SUM(F15:F44)</f>
        <v>-832.871187295185</v>
      </c>
      <c r="G46" s="2" t="n">
        <f aca="false">SUM(G15:G44)</f>
        <v>980</v>
      </c>
      <c r="H46" s="2" t="n">
        <f aca="false">SUM(H15:H45)</f>
        <v>0.62</v>
      </c>
      <c r="I46" s="2" t="n">
        <f aca="false">SUM(I15:I44)</f>
        <v>980</v>
      </c>
      <c r="J46" s="2" t="n">
        <f aca="false">SUM(J15:J44)</f>
        <v>127.700173934963</v>
      </c>
      <c r="K46" s="2" t="n">
        <f aca="false">SUM(K15:K44)</f>
        <v>1107.70017393496</v>
      </c>
      <c r="L46" s="2" t="n">
        <f aca="false">SUM(L15:L44)</f>
        <v>-144.955687295185</v>
      </c>
      <c r="M46" s="92" t="n">
        <f aca="false">SUM(M15:M44)</f>
        <v>301.32</v>
      </c>
      <c r="N46" s="90" t="n">
        <f aca="false">SUM(N15:N44)</f>
        <v>0</v>
      </c>
      <c r="O46" s="90" t="n">
        <f aca="false">SUM(O15:O44)-O15-O19</f>
        <v>0</v>
      </c>
      <c r="P46" s="93"/>
      <c r="Q46" s="94" t="n">
        <f aca="false">SUM(Q15:Q44)</f>
        <v>46.8678830481192</v>
      </c>
      <c r="R46" s="94" t="n">
        <f aca="false">SUM(R15:R44)</f>
        <v>53.19096224</v>
      </c>
      <c r="S46" s="94" t="n">
        <f aca="false">SUM(S15:S44)</f>
        <v>0</v>
      </c>
      <c r="T46" s="94" t="n">
        <f aca="false">SUM(T15:T44)</f>
        <v>16.48903776</v>
      </c>
      <c r="U46" s="144" t="n">
        <f aca="false">SUM(U15:U44)</f>
        <v>5.109676523262</v>
      </c>
      <c r="V46" s="80" t="n">
        <f aca="false">SUM(V15:V44)</f>
        <v>547.76</v>
      </c>
      <c r="W46" s="80" t="n">
        <f aca="false">SUM(W15:W44)</f>
        <v>84.4</v>
      </c>
      <c r="X46" s="80" t="n">
        <f aca="false">SUM(X15:X44)</f>
        <v>811.822440428619</v>
      </c>
      <c r="Y46" s="80" t="n">
        <f aca="false">SUM(Y15:Y44)</f>
        <v>487.86</v>
      </c>
      <c r="Z46" s="80"/>
      <c r="AA46" s="80"/>
      <c r="AB46" s="80"/>
      <c r="AC46" s="134" t="n">
        <f aca="false">SUM(AC15:AC44)</f>
        <v>0</v>
      </c>
      <c r="AD46" s="80"/>
      <c r="AE46" s="80"/>
      <c r="AF46" s="98"/>
      <c r="AG46" s="99"/>
      <c r="AH46" s="80" t="n">
        <f aca="false">SUM(AH15:AH44)</f>
        <v>725.5</v>
      </c>
      <c r="AI46" s="80"/>
      <c r="AJ46" s="80" t="n">
        <f aca="false">SUM(AJ15:AJ44)</f>
        <v>0</v>
      </c>
      <c r="AK46" s="80" t="n">
        <f aca="false">SUM(AK15:AK44)</f>
        <v>1667.9155</v>
      </c>
      <c r="AL46" s="80" t="n">
        <f aca="false">SUM(AL15:AL44)</f>
        <v>272.655861230149</v>
      </c>
      <c r="AM46" s="145" t="n">
        <f aca="false">SUM(AM15:AM44)</f>
        <v>1940.57136123015</v>
      </c>
      <c r="AN46" s="146" t="n">
        <f aca="false">SUM(AN15:AN44)</f>
        <v>487.86</v>
      </c>
      <c r="AO46" s="97" t="n">
        <f aca="false">SUM(AO15:AO44)</f>
        <v>323.962440428619</v>
      </c>
      <c r="AP46" s="101"/>
      <c r="AQ46" s="101"/>
      <c r="AR46" s="101"/>
      <c r="AS46" s="101"/>
      <c r="AU46" s="147" t="n">
        <f aca="false">SUM(AU15:AU44)</f>
        <v>0</v>
      </c>
      <c r="AV46" s="139" t="n">
        <f aca="false">SUM(AV15:AV44)</f>
        <v>0.41</v>
      </c>
      <c r="AW46" s="103" t="n">
        <f aca="false">AVERAGE(AW15:AW45)</f>
        <v>57.741935483871</v>
      </c>
      <c r="AX46" s="103" t="n">
        <f aca="false">AVERAGE(AX15:AX45)</f>
        <v>29.0666666666667</v>
      </c>
      <c r="AY46" s="148" t="s">
        <v>102</v>
      </c>
      <c r="AZ46" s="149" t="n">
        <f aca="false">SUM(AZ15:AZ44)</f>
        <v>121.657559571381</v>
      </c>
    </row>
    <row r="47" customFormat="false" ht="12.95" hidden="false" customHeight="true" outlineLevel="0" collapsed="false">
      <c r="A47" s="11" t="s">
        <v>103</v>
      </c>
      <c r="B47" s="89"/>
      <c r="C47" s="90"/>
      <c r="D47" s="90" t="n">
        <f aca="false">SUM(D15:D44)</f>
        <v>-1652</v>
      </c>
      <c r="E47" s="90"/>
      <c r="F47" s="91" t="n">
        <f aca="false">F46*$D$2</f>
        <v>-1652</v>
      </c>
      <c r="G47" s="2" t="n">
        <f aca="false">G46*$D$2</f>
        <v>1943.83</v>
      </c>
      <c r="H47" s="2" t="n">
        <f aca="false">H46*$D$2</f>
        <v>1.22977</v>
      </c>
      <c r="I47" s="2" t="n">
        <f aca="false">I46*$D$2</f>
        <v>1943.83</v>
      </c>
      <c r="J47" s="2" t="n">
        <f aca="false">J46*$D$2</f>
        <v>253.293295</v>
      </c>
      <c r="K47" s="2" t="n">
        <f aca="false">K46*$D$2</f>
        <v>2197.123295</v>
      </c>
      <c r="L47" s="2" t="n">
        <f aca="false">L46*$D$2</f>
        <v>-287.51960575</v>
      </c>
      <c r="M47" s="92" t="n">
        <f aca="false">M46*$D$2</f>
        <v>597.66822</v>
      </c>
      <c r="N47" s="90" t="n">
        <f aca="false">N46*$D$2</f>
        <v>0</v>
      </c>
      <c r="O47" s="90" t="n">
        <f aca="false">O46*$D$2</f>
        <v>0</v>
      </c>
      <c r="P47" s="93"/>
      <c r="Q47" s="94" t="n">
        <f aca="false">Q46*$D$2</f>
        <v>92.9624460259444</v>
      </c>
      <c r="R47" s="94" t="n">
        <f aca="false">R46*$D$2</f>
        <v>105.50427360304</v>
      </c>
      <c r="S47" s="94" t="n">
        <f aca="false">S46*$D$2</f>
        <v>0</v>
      </c>
      <c r="T47" s="94" t="n">
        <f aca="false">T46*$D$2</f>
        <v>32.70600639696</v>
      </c>
      <c r="U47" s="144" t="n">
        <f aca="false">U46*$D$2</f>
        <v>10.1350433838902</v>
      </c>
      <c r="V47" s="80" t="n">
        <f aca="false">V46*$D$2</f>
        <v>1086.48196</v>
      </c>
      <c r="W47" s="80" t="n">
        <f aca="false">W46*$D$2</f>
        <v>167.4074</v>
      </c>
      <c r="X47" s="80" t="n">
        <f aca="false">X46*$D$2</f>
        <v>1610.24981059017</v>
      </c>
      <c r="Y47" s="80" t="n">
        <f aca="false">Y46*$D$2</f>
        <v>967.67031</v>
      </c>
      <c r="Z47" s="80"/>
      <c r="AA47" s="80"/>
      <c r="AB47" s="80"/>
      <c r="AC47" s="80" t="n">
        <f aca="false">AC46*$D$2</f>
        <v>0</v>
      </c>
      <c r="AD47" s="80"/>
      <c r="AE47" s="80"/>
      <c r="AF47" s="98"/>
      <c r="AG47" s="99"/>
      <c r="AH47" s="80" t="n">
        <f aca="false">AH46*$D$2</f>
        <v>1439.02925</v>
      </c>
      <c r="AI47" s="80"/>
      <c r="AJ47" s="80" t="n">
        <f aca="false">AJ46*$D$2</f>
        <v>0</v>
      </c>
      <c r="AK47" s="80" t="n">
        <f aca="false">AK46*$D$2</f>
        <v>3308.31039425</v>
      </c>
      <c r="AL47" s="80" t="n">
        <f aca="false">AL46*$D$2</f>
        <v>540.81290075</v>
      </c>
      <c r="AM47" s="145" t="n">
        <f aca="false">AM46*$D$2</f>
        <v>3849.123295</v>
      </c>
      <c r="AN47" s="146" t="n">
        <f aca="false">AN46*$D$2</f>
        <v>967.67031</v>
      </c>
      <c r="AO47" s="97" t="n">
        <f aca="false">AO46*$D$2</f>
        <v>642.579500590166</v>
      </c>
      <c r="AP47" s="101"/>
      <c r="AQ47" s="101"/>
      <c r="AR47" s="101"/>
      <c r="AS47" s="101"/>
      <c r="AU47" s="146" t="n">
        <f aca="false">AU46*$D$2</f>
        <v>0</v>
      </c>
      <c r="AV47" s="102"/>
      <c r="AW47" s="103" t="n">
        <f aca="false">MAX(AW15:AW45)</f>
        <v>71</v>
      </c>
      <c r="AX47" s="103" t="n">
        <f aca="false">MAX(AX15:AX45)</f>
        <v>42</v>
      </c>
      <c r="AY47" s="150" t="s">
        <v>104</v>
      </c>
      <c r="AZ47" s="149" t="n">
        <f aca="false">AZ46*$D$2</f>
        <v>241.307769409835</v>
      </c>
    </row>
    <row r="48" customFormat="false" ht="3" hidden="false" customHeight="true" outlineLevel="0" collapsed="false">
      <c r="A48" s="109"/>
      <c r="B48" s="142"/>
      <c r="C48" s="111"/>
      <c r="D48" s="111"/>
      <c r="E48" s="111"/>
      <c r="F48" s="151"/>
      <c r="G48" s="111"/>
      <c r="H48" s="111"/>
      <c r="I48" s="111"/>
      <c r="J48" s="111"/>
      <c r="K48" s="111"/>
      <c r="L48" s="111"/>
      <c r="M48" s="152"/>
      <c r="N48" s="111"/>
      <c r="O48" s="111"/>
      <c r="P48" s="115"/>
      <c r="Q48" s="119"/>
      <c r="R48" s="119"/>
      <c r="S48" s="119"/>
      <c r="T48" s="119"/>
      <c r="U48" s="153"/>
      <c r="V48" s="119"/>
      <c r="W48" s="119"/>
      <c r="X48" s="119"/>
      <c r="Y48" s="119"/>
      <c r="Z48" s="119"/>
      <c r="AA48" s="119"/>
      <c r="AB48" s="119"/>
      <c r="AC48" s="116"/>
      <c r="AD48" s="119"/>
      <c r="AE48" s="119"/>
      <c r="AF48" s="154"/>
      <c r="AG48" s="155"/>
      <c r="AH48" s="119"/>
      <c r="AI48" s="116"/>
      <c r="AJ48" s="119"/>
      <c r="AK48" s="119"/>
      <c r="AL48" s="119"/>
      <c r="AM48" s="156"/>
      <c r="AN48" s="118"/>
      <c r="AO48" s="118"/>
      <c r="AP48" s="119"/>
      <c r="AQ48" s="119"/>
      <c r="AR48" s="119"/>
      <c r="AS48" s="119"/>
      <c r="AT48" s="119"/>
      <c r="AU48" s="124"/>
      <c r="AV48" s="157"/>
      <c r="AW48" s="123"/>
      <c r="AX48" s="119"/>
      <c r="AY48" s="118"/>
      <c r="AZ48" s="118"/>
    </row>
    <row r="49" customFormat="false" ht="12.95" hidden="false" customHeight="true" outlineLevel="0" collapsed="false">
      <c r="A49" s="11" t="s">
        <v>105</v>
      </c>
      <c r="B49" s="89"/>
      <c r="C49" s="90"/>
      <c r="D49" s="90"/>
      <c r="E49" s="90"/>
      <c r="F49" s="91"/>
      <c r="G49" s="2"/>
      <c r="H49" s="9"/>
      <c r="I49" s="2"/>
      <c r="J49" s="2"/>
      <c r="K49" s="2"/>
      <c r="L49" s="2"/>
      <c r="M49" s="92"/>
      <c r="N49" s="90"/>
      <c r="O49" s="90"/>
      <c r="P49" s="93"/>
      <c r="Q49" s="94"/>
      <c r="R49" s="94"/>
      <c r="S49" s="94"/>
      <c r="T49" s="94"/>
      <c r="U49" s="144"/>
      <c r="V49" s="80"/>
      <c r="W49" s="80"/>
      <c r="X49" s="80"/>
      <c r="Y49" s="80"/>
      <c r="Z49" s="80"/>
      <c r="AA49" s="80"/>
      <c r="AB49" s="80"/>
      <c r="AC49" s="134"/>
      <c r="AD49" s="80"/>
      <c r="AE49" s="80"/>
      <c r="AF49" s="98"/>
      <c r="AG49" s="99"/>
      <c r="AH49" s="80"/>
      <c r="AI49" s="80"/>
      <c r="AJ49" s="80"/>
      <c r="AK49" s="80"/>
      <c r="AL49" s="80"/>
      <c r="AM49" s="145"/>
      <c r="AN49" s="97"/>
      <c r="AO49" s="97"/>
      <c r="AP49" s="101"/>
      <c r="AQ49" s="101"/>
      <c r="AR49" s="101"/>
      <c r="AS49" s="101"/>
      <c r="AU49" s="5"/>
      <c r="AV49" s="102"/>
      <c r="AW49" s="103" t="n">
        <f aca="false">MIN(AW15:AW45)</f>
        <v>4</v>
      </c>
      <c r="AX49" s="103" t="n">
        <f aca="false">MIN(AX15:AX45)</f>
        <v>12</v>
      </c>
      <c r="AY49" s="150" t="s">
        <v>106</v>
      </c>
      <c r="AZ49" s="149"/>
    </row>
    <row r="50" customFormat="false" ht="12.95" hidden="false" customHeight="true" outlineLevel="0" collapsed="false">
      <c r="A50" s="11" t="s">
        <v>107</v>
      </c>
      <c r="B50" s="89"/>
      <c r="C50" s="90"/>
      <c r="D50" s="90"/>
      <c r="E50" s="90"/>
      <c r="F50" s="91"/>
      <c r="G50" s="2"/>
      <c r="H50" s="9"/>
      <c r="I50" s="2"/>
      <c r="J50" s="2"/>
      <c r="K50" s="2"/>
      <c r="L50" s="2"/>
      <c r="M50" s="92"/>
      <c r="N50" s="90"/>
      <c r="O50" s="90"/>
      <c r="P50" s="93"/>
      <c r="Q50" s="94"/>
      <c r="R50" s="94"/>
      <c r="S50" s="94"/>
      <c r="T50" s="94"/>
      <c r="U50" s="144"/>
      <c r="V50" s="80"/>
      <c r="W50" s="80"/>
      <c r="X50" s="80"/>
      <c r="Y50" s="80"/>
      <c r="Z50" s="80"/>
      <c r="AA50" s="80"/>
      <c r="AB50" s="80"/>
      <c r="AC50" s="134"/>
      <c r="AD50" s="80"/>
      <c r="AE50" s="80"/>
      <c r="AF50" s="98"/>
      <c r="AG50" s="99"/>
      <c r="AH50" s="80"/>
      <c r="AI50" s="80"/>
      <c r="AJ50" s="80"/>
      <c r="AK50" s="80"/>
      <c r="AL50" s="80"/>
      <c r="AM50" s="145"/>
      <c r="AN50" s="97"/>
      <c r="AO50" s="97"/>
      <c r="AP50" s="101"/>
      <c r="AQ50" s="101"/>
      <c r="AR50" s="101"/>
      <c r="AS50" s="101"/>
      <c r="AU50" s="158"/>
      <c r="AV50" s="159"/>
      <c r="AW50" s="103"/>
      <c r="AX50" s="103"/>
      <c r="AY50" s="103"/>
      <c r="AZ50" s="149"/>
    </row>
    <row r="51" customFormat="false" ht="3" hidden="false" customHeight="true" outlineLevel="0" collapsed="false">
      <c r="A51" s="109"/>
      <c r="B51" s="142"/>
      <c r="C51" s="111"/>
      <c r="D51" s="111"/>
      <c r="E51" s="111"/>
      <c r="F51" s="151"/>
      <c r="G51" s="111"/>
      <c r="H51" s="160"/>
      <c r="I51" s="111"/>
      <c r="J51" s="111"/>
      <c r="K51" s="111"/>
      <c r="L51" s="111"/>
      <c r="M51" s="152"/>
      <c r="N51" s="111"/>
      <c r="O51" s="111"/>
      <c r="P51" s="115"/>
      <c r="Q51" s="119"/>
      <c r="R51" s="119"/>
      <c r="S51" s="119"/>
      <c r="T51" s="119"/>
      <c r="U51" s="153"/>
      <c r="V51" s="119"/>
      <c r="W51" s="119"/>
      <c r="X51" s="119"/>
      <c r="Y51" s="119"/>
      <c r="Z51" s="119"/>
      <c r="AA51" s="119"/>
      <c r="AB51" s="119"/>
      <c r="AC51" s="116"/>
      <c r="AD51" s="119"/>
      <c r="AE51" s="119"/>
      <c r="AF51" s="154"/>
      <c r="AG51" s="155"/>
      <c r="AH51" s="119"/>
      <c r="AI51" s="119"/>
      <c r="AJ51" s="119"/>
      <c r="AK51" s="119"/>
      <c r="AL51" s="119"/>
      <c r="AM51" s="156"/>
      <c r="AN51" s="118"/>
      <c r="AO51" s="118"/>
      <c r="AP51" s="119"/>
      <c r="AQ51" s="119"/>
      <c r="AR51" s="119"/>
      <c r="AS51" s="119"/>
      <c r="AT51" s="119"/>
      <c r="AU51" s="124"/>
      <c r="AV51" s="125"/>
      <c r="AW51" s="123"/>
      <c r="AX51" s="119"/>
      <c r="AY51" s="119"/>
      <c r="AZ51" s="118"/>
    </row>
    <row r="52" customFormat="false" ht="12.95" hidden="false" customHeight="true" outlineLevel="0" collapsed="false">
      <c r="A52" s="11" t="s">
        <v>108</v>
      </c>
      <c r="B52" s="89"/>
      <c r="C52" s="90"/>
      <c r="D52" s="90"/>
      <c r="E52" s="90"/>
      <c r="F52" s="91" t="n">
        <f aca="false">F13+F46</f>
        <v>-832.871187295185</v>
      </c>
      <c r="G52" s="2" t="n">
        <f aca="false">G13+G46</f>
        <v>980</v>
      </c>
      <c r="H52" s="9" t="n">
        <f aca="false">H13+H46</f>
        <v>0.62</v>
      </c>
      <c r="I52" s="2" t="n">
        <f aca="false">I13+I46</f>
        <v>980</v>
      </c>
      <c r="J52" s="2" t="n">
        <f aca="false">J13+J46</f>
        <v>127.700173934963</v>
      </c>
      <c r="K52" s="2" t="n">
        <f aca="false">K13+K46</f>
        <v>1107.70017393496</v>
      </c>
      <c r="L52" s="2" t="n">
        <f aca="false">L13+L46</f>
        <v>-144.955687295185</v>
      </c>
      <c r="M52" s="92" t="n">
        <f aca="false">M13+M46</f>
        <v>301.32</v>
      </c>
      <c r="N52" s="90" t="n">
        <f aca="false">N13+N46</f>
        <v>0</v>
      </c>
      <c r="O52" s="90" t="n">
        <v>0</v>
      </c>
      <c r="P52" s="93"/>
      <c r="Q52" s="94" t="n">
        <f aca="false">Q13+Q46</f>
        <v>46.8678830481192</v>
      </c>
      <c r="R52" s="94" t="n">
        <f aca="false">R13+R46</f>
        <v>53.19096224</v>
      </c>
      <c r="S52" s="94" t="n">
        <f aca="false">S13+S46</f>
        <v>0</v>
      </c>
      <c r="T52" s="94" t="n">
        <f aca="false">T13+T46</f>
        <v>16.48903776</v>
      </c>
      <c r="U52" s="144" t="n">
        <f aca="false">U13+U46</f>
        <v>5.109676523262</v>
      </c>
      <c r="V52" s="80" t="n">
        <f aca="false">V13+V46</f>
        <v>547.76</v>
      </c>
      <c r="W52" s="80" t="n">
        <f aca="false">W13+W46</f>
        <v>84.4</v>
      </c>
      <c r="X52" s="80" t="n">
        <f aca="false">X13+X46</f>
        <v>811.822440428619</v>
      </c>
      <c r="Y52" s="80" t="n">
        <f aca="false">Y13+Y46</f>
        <v>487.86</v>
      </c>
      <c r="Z52" s="80"/>
      <c r="AA52" s="80"/>
      <c r="AB52" s="80"/>
      <c r="AC52" s="134" t="n">
        <f aca="false">AC13+AC46</f>
        <v>0</v>
      </c>
      <c r="AD52" s="80"/>
      <c r="AE52" s="80"/>
      <c r="AF52" s="98"/>
      <c r="AG52" s="99"/>
      <c r="AH52" s="80" t="n">
        <f aca="false">AH13+AH46</f>
        <v>725.5</v>
      </c>
      <c r="AI52" s="80" t="n">
        <f aca="false">AI44</f>
        <v>3521.5</v>
      </c>
      <c r="AJ52" s="80" t="n">
        <f aca="false">AJ13+AJ46</f>
        <v>0</v>
      </c>
      <c r="AK52" s="80" t="n">
        <f aca="false">AK13+AK46</f>
        <v>1667.9155</v>
      </c>
      <c r="AL52" s="80" t="n">
        <f aca="false">AL13+AL46</f>
        <v>272.655861230149</v>
      </c>
      <c r="AM52" s="145" t="n">
        <f aca="false">AM13+AM46</f>
        <v>1940.57136123015</v>
      </c>
      <c r="AN52" s="146" t="n">
        <f aca="false">AN13+AN46</f>
        <v>487.86</v>
      </c>
      <c r="AO52" s="97" t="n">
        <f aca="false">AO13+AO46</f>
        <v>323.962440428619</v>
      </c>
      <c r="AP52" s="101"/>
      <c r="AQ52" s="101"/>
      <c r="AR52" s="101"/>
      <c r="AS52" s="101"/>
      <c r="AU52" s="5"/>
      <c r="AV52" s="102" t="n">
        <f aca="false">AV13+AV46</f>
        <v>0.41</v>
      </c>
      <c r="AW52" s="103"/>
      <c r="AX52" s="103"/>
      <c r="AY52" s="103"/>
      <c r="AZ52" s="149" t="n">
        <f aca="false">AZ13+AZ46</f>
        <v>121.657559571381</v>
      </c>
    </row>
    <row r="53" customFormat="false" ht="12.95" hidden="false" customHeight="true" outlineLevel="0" collapsed="false">
      <c r="A53" s="11" t="s">
        <v>109</v>
      </c>
      <c r="B53" s="89"/>
      <c r="C53" s="90"/>
      <c r="D53" s="90" t="n">
        <f aca="false">D13+D47</f>
        <v>-1652</v>
      </c>
      <c r="E53" s="90" t="n">
        <f aca="false">E44</f>
        <v>41503</v>
      </c>
      <c r="F53" s="91" t="n">
        <f aca="false">F52*$D$2</f>
        <v>-1652</v>
      </c>
      <c r="G53" s="2" t="n">
        <f aca="false">G52*$D$2</f>
        <v>1943.83</v>
      </c>
      <c r="H53" s="9" t="n">
        <f aca="false">H52*$D$2</f>
        <v>1.22977</v>
      </c>
      <c r="I53" s="2" t="n">
        <f aca="false">I52*$D$2</f>
        <v>1943.83</v>
      </c>
      <c r="J53" s="2" t="n">
        <f aca="false">J52*$D$2</f>
        <v>253.293295</v>
      </c>
      <c r="K53" s="2" t="n">
        <f aca="false">K52*$D$2</f>
        <v>2197.123295</v>
      </c>
      <c r="L53" s="2" t="n">
        <f aca="false">L52*$D$2</f>
        <v>-287.51960575</v>
      </c>
      <c r="M53" s="92" t="n">
        <f aca="false">M52*$D$2</f>
        <v>597.66822</v>
      </c>
      <c r="N53" s="90" t="n">
        <f aca="false">N52*$D$2</f>
        <v>0</v>
      </c>
      <c r="O53" s="90" t="n">
        <f aca="false">O52*$D$2</f>
        <v>0</v>
      </c>
      <c r="P53" s="93"/>
      <c r="Q53" s="94" t="n">
        <f aca="false">Q52*$D$2</f>
        <v>92.9624460259444</v>
      </c>
      <c r="R53" s="94" t="n">
        <f aca="false">R52*$D$2</f>
        <v>105.50427360304</v>
      </c>
      <c r="S53" s="94" t="n">
        <f aca="false">S52*$D$2</f>
        <v>0</v>
      </c>
      <c r="T53" s="94" t="n">
        <f aca="false">T52*$D$2</f>
        <v>32.70600639696</v>
      </c>
      <c r="U53" s="144" t="n">
        <f aca="false">U52*$D$2</f>
        <v>10.1350433838902</v>
      </c>
      <c r="V53" s="80" t="n">
        <f aca="false">V52*$D$2</f>
        <v>1086.48196</v>
      </c>
      <c r="W53" s="80" t="n">
        <f aca="false">W52*$D$2</f>
        <v>167.4074</v>
      </c>
      <c r="X53" s="80" t="n">
        <f aca="false">X52*$D$2</f>
        <v>1610.24981059017</v>
      </c>
      <c r="Y53" s="80" t="n">
        <f aca="false">Y52*$D$2</f>
        <v>967.67031</v>
      </c>
      <c r="Z53" s="80"/>
      <c r="AA53" s="80"/>
      <c r="AB53" s="80"/>
      <c r="AC53" s="80" t="n">
        <f aca="false">AC52*$D$2</f>
        <v>0</v>
      </c>
      <c r="AD53" s="80"/>
      <c r="AE53" s="80"/>
      <c r="AF53" s="98"/>
      <c r="AG53" s="99"/>
      <c r="AH53" s="80" t="n">
        <f aca="false">AH52*$D$2</f>
        <v>1439.02925</v>
      </c>
      <c r="AI53" s="80" t="n">
        <f aca="false">AI52*$D$2</f>
        <v>6984.89525</v>
      </c>
      <c r="AJ53" s="80" t="n">
        <f aca="false">AJ52*$D$2</f>
        <v>0</v>
      </c>
      <c r="AK53" s="80" t="n">
        <f aca="false">AK52*$D$2</f>
        <v>3308.31039425</v>
      </c>
      <c r="AL53" s="80" t="n">
        <f aca="false">AL52*$D$2</f>
        <v>540.81290075</v>
      </c>
      <c r="AM53" s="161" t="n">
        <f aca="false">AM52*$D$2</f>
        <v>3849.123295</v>
      </c>
      <c r="AN53" s="146" t="n">
        <f aca="false">AN52*$D$2</f>
        <v>967.67031</v>
      </c>
      <c r="AO53" s="97" t="n">
        <f aca="false">AO52*$D$2</f>
        <v>642.579500590166</v>
      </c>
      <c r="AP53" s="101"/>
      <c r="AQ53" s="101"/>
      <c r="AR53" s="101"/>
      <c r="AS53" s="101"/>
      <c r="AV53" s="102"/>
      <c r="AW53" s="103"/>
      <c r="AX53" s="162"/>
      <c r="AY53" s="162"/>
      <c r="AZ53" s="163" t="n">
        <f aca="false">AZ52*$D$2</f>
        <v>241.307769409835</v>
      </c>
    </row>
    <row r="54" customFormat="false" ht="3" hidden="false" customHeight="true" outlineLevel="0" collapsed="false">
      <c r="A54" s="109"/>
      <c r="B54" s="142"/>
      <c r="C54" s="111"/>
      <c r="D54" s="109"/>
      <c r="E54" s="111"/>
      <c r="F54" s="112"/>
      <c r="G54" s="109"/>
      <c r="H54" s="113"/>
      <c r="I54" s="109"/>
      <c r="J54" s="109"/>
      <c r="K54" s="109"/>
      <c r="L54" s="109"/>
      <c r="M54" s="114"/>
      <c r="N54" s="109"/>
      <c r="O54" s="109"/>
      <c r="P54" s="115"/>
      <c r="Q54" s="109"/>
      <c r="R54" s="109"/>
      <c r="S54" s="109"/>
      <c r="T54" s="109"/>
      <c r="U54" s="117"/>
      <c r="V54" s="109"/>
      <c r="W54" s="109"/>
      <c r="X54" s="109"/>
      <c r="Y54" s="164"/>
      <c r="Z54" s="111"/>
      <c r="AA54" s="164"/>
      <c r="AB54" s="111"/>
      <c r="AC54" s="111"/>
      <c r="AD54" s="111"/>
      <c r="AE54" s="109"/>
      <c r="AF54" s="114"/>
      <c r="AG54" s="165"/>
      <c r="AH54" s="109"/>
      <c r="AI54" s="111"/>
      <c r="AJ54" s="111"/>
      <c r="AK54" s="109"/>
      <c r="AL54" s="109"/>
      <c r="AM54" s="109"/>
      <c r="AN54" s="166"/>
      <c r="AO54" s="164"/>
      <c r="AP54" s="109"/>
      <c r="AQ54" s="167"/>
      <c r="AR54" s="167"/>
      <c r="AS54" s="168"/>
      <c r="AT54" s="168"/>
      <c r="AU54" s="124"/>
      <c r="AV54" s="109"/>
      <c r="AW54" s="160"/>
      <c r="AX54" s="109"/>
      <c r="AY54" s="109"/>
      <c r="AZ54" s="169"/>
    </row>
    <row r="55" customFormat="false" ht="14.1" hidden="false" customHeight="true" outlineLevel="0" collapsed="false">
      <c r="A55" s="170"/>
      <c r="B55" s="171"/>
      <c r="D55" s="11"/>
      <c r="F55" s="11"/>
      <c r="G55" s="11"/>
      <c r="I55" s="11"/>
      <c r="J55" s="11"/>
      <c r="K55" s="11"/>
      <c r="L55" s="11"/>
      <c r="M55" s="11"/>
      <c r="N55" s="11"/>
      <c r="O55" s="11"/>
      <c r="Q55" s="11"/>
      <c r="R55" s="11"/>
      <c r="S55" s="11"/>
      <c r="T55" s="11"/>
      <c r="V55" s="11"/>
      <c r="W55" s="11"/>
      <c r="X55" s="11"/>
      <c r="Z55" s="2"/>
      <c r="AB55" s="2"/>
      <c r="AC55" s="2"/>
      <c r="AD55" s="2"/>
      <c r="AE55" s="11"/>
      <c r="AF55" s="11"/>
      <c r="AG55" s="11"/>
      <c r="AH55" s="11"/>
      <c r="AI55" s="2"/>
      <c r="AJ55" s="2"/>
      <c r="AK55" s="11"/>
      <c r="AL55" s="11"/>
      <c r="AN55" s="172"/>
      <c r="AO55" s="172"/>
      <c r="AU55" s="6"/>
      <c r="AX55" s="9"/>
      <c r="AY55" s="9"/>
    </row>
    <row r="56" customFormat="false" ht="11.1" hidden="false" customHeight="true" outlineLevel="0" collapsed="false">
      <c r="A56" s="11"/>
      <c r="B56" s="173"/>
      <c r="F56" s="11"/>
      <c r="G56" s="11"/>
      <c r="I56" s="12"/>
      <c r="J56" s="11"/>
      <c r="K56" s="174"/>
      <c r="L56" s="11"/>
      <c r="M56" s="11"/>
      <c r="N56" s="11"/>
      <c r="O56" s="11"/>
      <c r="Q56" s="11"/>
      <c r="R56" s="11"/>
      <c r="S56" s="11"/>
      <c r="T56" s="11"/>
      <c r="V56" s="11"/>
      <c r="W56" s="11"/>
      <c r="X56" s="11"/>
      <c r="Z56" s="2"/>
      <c r="AB56" s="2"/>
      <c r="AC56" s="2"/>
      <c r="AD56" s="2"/>
      <c r="AE56" s="11"/>
      <c r="AF56" s="11"/>
      <c r="AG56" s="11"/>
      <c r="AH56" s="11"/>
      <c r="AI56" s="2"/>
      <c r="AJ56" s="2"/>
      <c r="AK56" s="11"/>
      <c r="AL56" s="11"/>
      <c r="AN56" s="172"/>
      <c r="AO56" s="172"/>
      <c r="AU56" s="5"/>
      <c r="AX56" s="9"/>
      <c r="AY56" s="9"/>
    </row>
    <row r="57" customFormat="false" ht="11.1" hidden="false" customHeight="true" outlineLevel="0" collapsed="false">
      <c r="D57" s="2"/>
      <c r="S57" s="4"/>
      <c r="T57" s="4"/>
      <c r="X57" s="1"/>
      <c r="Z57" s="2"/>
      <c r="AB57" s="2"/>
      <c r="AC57" s="2"/>
      <c r="AD57" s="2"/>
      <c r="AF57" s="1"/>
      <c r="AG57" s="1"/>
      <c r="AH57" s="1"/>
      <c r="AI57" s="2"/>
      <c r="AJ57" s="2"/>
      <c r="AN57" s="172"/>
      <c r="AO57" s="172"/>
      <c r="AX57" s="9"/>
      <c r="AY57" s="9"/>
    </row>
    <row r="58" customFormat="false" ht="11.1" hidden="false" customHeight="true" outlineLevel="0" collapsed="false">
      <c r="B58" s="5"/>
      <c r="D58" s="2"/>
      <c r="S58" s="4"/>
      <c r="T58" s="4"/>
      <c r="X58" s="1"/>
      <c r="Z58" s="2"/>
      <c r="AB58" s="2"/>
      <c r="AC58" s="2"/>
      <c r="AD58" s="2"/>
      <c r="AF58" s="1"/>
      <c r="AG58" s="1"/>
      <c r="AH58" s="1"/>
      <c r="AI58" s="2"/>
      <c r="AJ58" s="2"/>
      <c r="AN58" s="172"/>
      <c r="AO58" s="172"/>
      <c r="AX58" s="9"/>
      <c r="AY58" s="9"/>
    </row>
    <row r="59" customFormat="false" ht="11.1" hidden="false" customHeight="true" outlineLevel="0" collapsed="false">
      <c r="G59" s="175"/>
    </row>
  </sheetData>
  <mergeCells count="1">
    <mergeCell ref="M5:U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5" activeCellId="0" sqref="A15"/>
    </sheetView>
  </sheetViews>
  <sheetFormatPr defaultColWidth="9.328125" defaultRowHeight="11.1" zeroHeight="false" outlineLevelRow="0" outlineLevelCol="0"/>
  <cols>
    <col collapsed="false" customWidth="true" hidden="false" outlineLevel="0" max="1" min="1" style="176" width="4.66"/>
    <col collapsed="false" customWidth="true" hidden="false" outlineLevel="0" max="2" min="2" style="176" width="6.99"/>
    <col collapsed="false" customWidth="true" hidden="false" outlineLevel="0" max="3" min="3" style="177" width="6.32"/>
    <col collapsed="false" customWidth="true" hidden="false" outlineLevel="0" max="4" min="4" style="176" width="6.32"/>
    <col collapsed="false" customWidth="true" hidden="false" outlineLevel="0" max="5" min="5" style="177" width="6.99"/>
    <col collapsed="false" customWidth="true" hidden="false" outlineLevel="0" max="6" min="6" style="176" width="7.32"/>
    <col collapsed="false" customWidth="true" hidden="false" outlineLevel="0" max="7" min="7" style="176" width="6.82"/>
    <col collapsed="false" customWidth="true" hidden="false" outlineLevel="0" max="8" min="8" style="178" width="5.66"/>
    <col collapsed="false" customWidth="true" hidden="false" outlineLevel="0" max="11" min="9" style="176" width="6.32"/>
    <col collapsed="false" customWidth="true" hidden="false" outlineLevel="0" max="12" min="12" style="176" width="6.82"/>
    <col collapsed="false" customWidth="true" hidden="false" outlineLevel="0" max="13" min="13" style="179" width="5.49"/>
    <col collapsed="false" customWidth="true" hidden="false" outlineLevel="0" max="14" min="14" style="179" width="4.49"/>
    <col collapsed="false" customWidth="true" hidden="false" outlineLevel="0" max="15" min="15" style="179" width="5.49"/>
    <col collapsed="false" customWidth="true" hidden="false" outlineLevel="0" max="16" min="16" style="8" width="4.82"/>
    <col collapsed="false" customWidth="true" hidden="false" outlineLevel="0" max="20" min="17" style="176" width="4.32"/>
    <col collapsed="false" customWidth="true" hidden="false" outlineLevel="0" max="21" min="21" style="8" width="5.16"/>
    <col collapsed="false" customWidth="true" hidden="false" outlineLevel="0" max="23" min="22" style="176" width="5.49"/>
    <col collapsed="false" customWidth="true" hidden="false" outlineLevel="0" max="25" min="24" style="177" width="6.32"/>
    <col collapsed="false" customWidth="true" hidden="false" outlineLevel="0" max="26" min="26" style="179" width="5.49"/>
    <col collapsed="false" customWidth="true" hidden="false" outlineLevel="0" max="27" min="27" style="177" width="6.32"/>
    <col collapsed="false" customWidth="true" hidden="false" outlineLevel="0" max="28" min="28" style="179" width="5.49"/>
    <col collapsed="false" customWidth="true" hidden="false" outlineLevel="0" max="29" min="29" style="179" width="5.82"/>
    <col collapsed="false" customWidth="true" hidden="false" outlineLevel="0" max="33" min="30" style="176" width="5.49"/>
    <col collapsed="false" customWidth="true" hidden="false" outlineLevel="0" max="34" min="34" style="177" width="6.32"/>
    <col collapsed="false" customWidth="true" hidden="false" outlineLevel="0" max="35" min="35" style="176" width="5.49"/>
    <col collapsed="false" customWidth="true" hidden="false" outlineLevel="0" max="36" min="36" style="180" width="6.32"/>
    <col collapsed="false" customWidth="true" hidden="false" outlineLevel="0" max="37" min="37" style="176" width="6.32"/>
    <col collapsed="false" customWidth="true" hidden="false" outlineLevel="0" max="38" min="38" style="176" width="6.82"/>
    <col collapsed="false" customWidth="true" hidden="false" outlineLevel="0" max="39" min="39" style="8" width="6.82"/>
    <col collapsed="false" customWidth="true" hidden="false" outlineLevel="0" max="40" min="40" style="176" width="5.49"/>
    <col collapsed="false" customWidth="true" hidden="false" outlineLevel="0" max="41" min="41" style="179" width="5.49"/>
    <col collapsed="false" customWidth="true" hidden="false" outlineLevel="0" max="42" min="42" style="176" width="6.32"/>
    <col collapsed="false" customWidth="true" hidden="false" outlineLevel="0" max="43" min="43" style="181" width="6.32"/>
    <col collapsed="false" customWidth="true" hidden="false" outlineLevel="0" max="44" min="44" style="181" width="5.49"/>
    <col collapsed="false" customWidth="true" hidden="false" outlineLevel="0" max="45" min="45" style="181" width="5.32"/>
    <col collapsed="false" customWidth="true" hidden="false" outlineLevel="0" max="46" min="46" style="181" width="5.82"/>
    <col collapsed="false" customWidth="true" hidden="false" outlineLevel="0" max="47" min="47" style="176" width="4.99"/>
    <col collapsed="false" customWidth="true" hidden="false" outlineLevel="0" max="48" min="48" style="178" width="5.32"/>
    <col collapsed="false" customWidth="true" hidden="false" outlineLevel="0" max="49" min="49" style="182" width="3.82"/>
    <col collapsed="false" customWidth="true" hidden="false" outlineLevel="0" max="51" min="50" style="183" width="3.82"/>
    <col collapsed="false" customWidth="true" hidden="false" outlineLevel="0" max="52" min="52" style="180" width="5.49"/>
    <col collapsed="false" customWidth="false" hidden="false" outlineLevel="0" max="257" min="53" style="184" width="9.32"/>
  </cols>
  <sheetData>
    <row r="1" customFormat="false" ht="14.1" hidden="false" customHeight="true" outlineLevel="0" collapsed="false">
      <c r="A1" s="185"/>
      <c r="B1" s="185"/>
      <c r="D1" s="185"/>
      <c r="F1" s="185"/>
      <c r="G1" s="185"/>
      <c r="H1" s="186"/>
      <c r="I1" s="185"/>
      <c r="J1" s="185"/>
      <c r="K1" s="187" t="s">
        <v>0</v>
      </c>
      <c r="L1" s="185"/>
      <c r="M1" s="185"/>
      <c r="N1" s="185"/>
      <c r="O1" s="185"/>
      <c r="Q1" s="185"/>
      <c r="R1" s="185"/>
      <c r="S1" s="185"/>
      <c r="T1" s="185"/>
      <c r="V1" s="185"/>
      <c r="W1" s="185"/>
      <c r="AD1" s="185"/>
      <c r="AE1" s="185"/>
      <c r="AF1" s="185"/>
      <c r="AG1" s="185"/>
      <c r="AI1" s="185"/>
      <c r="AJ1" s="188"/>
      <c r="AK1" s="185"/>
      <c r="AL1" s="185"/>
    </row>
    <row r="2" customFormat="false" ht="14.1" hidden="false" customHeight="true" outlineLevel="0" collapsed="false">
      <c r="A2" s="188" t="s">
        <v>1</v>
      </c>
      <c r="B2" s="185"/>
      <c r="D2" s="189" t="n">
        <v>1.9835</v>
      </c>
      <c r="F2" s="185"/>
      <c r="G2" s="185"/>
      <c r="H2" s="186"/>
      <c r="I2" s="185"/>
      <c r="J2" s="185"/>
      <c r="K2" s="190" t="s">
        <v>110</v>
      </c>
      <c r="L2" s="191"/>
      <c r="M2" s="192"/>
      <c r="N2" s="192"/>
      <c r="O2" s="192"/>
      <c r="P2" s="193"/>
      <c r="Q2" s="192"/>
      <c r="R2" s="192"/>
      <c r="S2" s="192"/>
      <c r="T2" s="192"/>
      <c r="U2" s="193"/>
      <c r="V2" s="192"/>
      <c r="W2" s="192"/>
      <c r="X2" s="84"/>
      <c r="Y2" s="84"/>
      <c r="Z2" s="194"/>
      <c r="AA2" s="84"/>
      <c r="AB2" s="194"/>
      <c r="AC2" s="194"/>
      <c r="AD2" s="192"/>
      <c r="AE2" s="185"/>
      <c r="AF2" s="185"/>
      <c r="AG2" s="185"/>
      <c r="AI2" s="185"/>
      <c r="AJ2" s="188"/>
      <c r="AK2" s="185"/>
      <c r="AL2" s="185"/>
    </row>
    <row r="3" customFormat="false" ht="14.1" hidden="false" customHeight="true" outlineLevel="0" collapsed="false">
      <c r="A3" s="195"/>
      <c r="B3" s="195"/>
      <c r="C3" s="196"/>
      <c r="D3" s="197"/>
      <c r="E3" s="196"/>
      <c r="F3" s="195"/>
      <c r="G3" s="195"/>
      <c r="H3" s="198"/>
      <c r="I3" s="195"/>
      <c r="J3" s="195"/>
      <c r="K3" s="195"/>
      <c r="L3" s="195"/>
      <c r="M3" s="195"/>
      <c r="N3" s="195"/>
      <c r="O3" s="195"/>
      <c r="P3" s="199"/>
      <c r="Q3" s="195"/>
      <c r="R3" s="195"/>
      <c r="S3" s="195"/>
      <c r="T3" s="195"/>
      <c r="U3" s="199"/>
      <c r="V3" s="195"/>
      <c r="W3" s="195"/>
      <c r="X3" s="196"/>
      <c r="Y3" s="196"/>
      <c r="Z3" s="200"/>
      <c r="AA3" s="196"/>
      <c r="AB3" s="200"/>
      <c r="AC3" s="200"/>
      <c r="AD3" s="195"/>
      <c r="AE3" s="195"/>
      <c r="AF3" s="195"/>
      <c r="AG3" s="195"/>
      <c r="AH3" s="196"/>
      <c r="AI3" s="195"/>
      <c r="AJ3" s="201"/>
      <c r="AK3" s="195"/>
      <c r="AL3" s="195"/>
      <c r="AM3" s="199"/>
      <c r="AN3" s="202"/>
      <c r="AO3" s="200"/>
      <c r="AP3" s="202"/>
      <c r="AQ3" s="203"/>
      <c r="AV3" s="204"/>
      <c r="AW3" s="205"/>
      <c r="AX3" s="206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6" t="s">
        <v>111</v>
      </c>
      <c r="J4" s="35"/>
      <c r="K4" s="35"/>
      <c r="L4" s="37"/>
      <c r="M4" s="35"/>
      <c r="N4" s="35"/>
      <c r="O4" s="35"/>
      <c r="P4" s="38"/>
      <c r="Q4" s="35"/>
      <c r="R4" s="35"/>
      <c r="S4" s="35"/>
      <c r="T4" s="35"/>
      <c r="U4" s="38"/>
      <c r="V4" s="35"/>
      <c r="W4" s="35"/>
      <c r="X4" s="39" t="s">
        <v>5</v>
      </c>
      <c r="Y4" s="39"/>
      <c r="Z4" s="40"/>
      <c r="AA4" s="39"/>
      <c r="AB4" s="40"/>
      <c r="AC4" s="40"/>
      <c r="AD4" s="41"/>
      <c r="AE4" s="35"/>
      <c r="AF4" s="35"/>
      <c r="AG4" s="35"/>
      <c r="AH4" s="33"/>
      <c r="AI4" s="35"/>
      <c r="AJ4" s="42"/>
      <c r="AK4" s="35"/>
      <c r="AL4" s="35"/>
      <c r="AM4" s="38"/>
      <c r="AN4" s="43"/>
      <c r="AO4" s="44"/>
      <c r="AP4" s="45" t="s">
        <v>6</v>
      </c>
      <c r="AQ4" s="46"/>
      <c r="AR4" s="47"/>
      <c r="AS4" s="48"/>
      <c r="AT4" s="49"/>
      <c r="AU4" s="49"/>
      <c r="AV4" s="51"/>
      <c r="AW4" s="52" t="s">
        <v>7</v>
      </c>
      <c r="AX4" s="53"/>
      <c r="AY4" s="207"/>
      <c r="AZ4" s="208"/>
    </row>
    <row r="5" customFormat="false" ht="12.95" hidden="false" customHeight="true" outlineLevel="0" collapsed="false">
      <c r="A5" s="55" t="s">
        <v>8</v>
      </c>
      <c r="B5" s="56" t="s">
        <v>9</v>
      </c>
      <c r="C5" s="57" t="s">
        <v>9</v>
      </c>
      <c r="D5" s="58" t="s">
        <v>10</v>
      </c>
      <c r="E5" s="57" t="s">
        <v>11</v>
      </c>
      <c r="F5" s="59" t="s">
        <v>12</v>
      </c>
      <c r="G5" s="55" t="s">
        <v>13</v>
      </c>
      <c r="H5" s="55" t="s">
        <v>14</v>
      </c>
      <c r="I5" s="55" t="s">
        <v>15</v>
      </c>
      <c r="J5" s="55" t="s">
        <v>16</v>
      </c>
      <c r="K5" s="55" t="s">
        <v>17</v>
      </c>
      <c r="L5" s="77" t="s">
        <v>16</v>
      </c>
      <c r="M5" s="209" t="s">
        <v>18</v>
      </c>
      <c r="N5" s="209"/>
      <c r="O5" s="209"/>
      <c r="P5" s="209"/>
      <c r="Q5" s="209"/>
      <c r="R5" s="209"/>
      <c r="S5" s="209"/>
      <c r="T5" s="209"/>
      <c r="U5" s="209"/>
      <c r="V5" s="55" t="s">
        <v>19</v>
      </c>
      <c r="W5" s="5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61" t="s">
        <v>22</v>
      </c>
      <c r="AD5" s="62" t="s">
        <v>21</v>
      </c>
      <c r="AE5" s="55" t="s">
        <v>23</v>
      </c>
      <c r="AF5" s="63" t="s">
        <v>24</v>
      </c>
      <c r="AG5" s="64"/>
      <c r="AH5" s="55" t="s">
        <v>25</v>
      </c>
      <c r="AI5" s="65" t="s">
        <v>26</v>
      </c>
      <c r="AJ5" s="65" t="s">
        <v>27</v>
      </c>
      <c r="AK5" s="55" t="s">
        <v>15</v>
      </c>
      <c r="AL5" s="55" t="s">
        <v>16</v>
      </c>
      <c r="AM5" s="58" t="s">
        <v>17</v>
      </c>
      <c r="AN5" s="66" t="s">
        <v>28</v>
      </c>
      <c r="AO5" s="62" t="s">
        <v>21</v>
      </c>
      <c r="AP5" s="61" t="s">
        <v>29</v>
      </c>
      <c r="AQ5" s="67" t="s">
        <v>29</v>
      </c>
      <c r="AR5" s="62" t="s">
        <v>30</v>
      </c>
      <c r="AS5" s="68" t="s">
        <v>31</v>
      </c>
      <c r="AT5" s="68" t="s">
        <v>32</v>
      </c>
      <c r="AU5" s="210" t="s">
        <v>33</v>
      </c>
      <c r="AV5" s="70" t="s">
        <v>34</v>
      </c>
      <c r="AW5" s="71" t="s">
        <v>35</v>
      </c>
      <c r="AX5" s="71" t="s">
        <v>36</v>
      </c>
      <c r="AY5" s="211"/>
      <c r="AZ5" s="212" t="s">
        <v>17</v>
      </c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2.95" hidden="false" customHeight="true" outlineLevel="0" collapsed="false">
      <c r="A6" s="73" t="s">
        <v>112</v>
      </c>
      <c r="B6" s="56" t="s">
        <v>38</v>
      </c>
      <c r="C6" s="57"/>
      <c r="D6" s="58" t="s">
        <v>39</v>
      </c>
      <c r="E6" s="57" t="s">
        <v>40</v>
      </c>
      <c r="F6" s="59" t="s">
        <v>41</v>
      </c>
      <c r="G6" s="55" t="s">
        <v>42</v>
      </c>
      <c r="H6" s="55" t="s">
        <v>43</v>
      </c>
      <c r="I6" s="55" t="s">
        <v>44</v>
      </c>
      <c r="J6" s="55" t="s">
        <v>44</v>
      </c>
      <c r="K6" s="55" t="s">
        <v>44</v>
      </c>
      <c r="L6" s="77" t="s">
        <v>45</v>
      </c>
      <c r="M6" s="58" t="s">
        <v>46</v>
      </c>
      <c r="N6" s="58" t="s">
        <v>47</v>
      </c>
      <c r="O6" s="58" t="s">
        <v>48</v>
      </c>
      <c r="P6" s="75" t="s">
        <v>49</v>
      </c>
      <c r="Q6" s="58" t="s">
        <v>50</v>
      </c>
      <c r="R6" s="58" t="s">
        <v>51</v>
      </c>
      <c r="S6" s="58"/>
      <c r="T6" s="58" t="s">
        <v>48</v>
      </c>
      <c r="U6" s="76" t="s">
        <v>52</v>
      </c>
      <c r="V6" s="55" t="s">
        <v>53</v>
      </c>
      <c r="W6" s="5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61" t="s">
        <v>57</v>
      </c>
      <c r="AD6" s="62" t="s">
        <v>58</v>
      </c>
      <c r="AE6" s="55" t="s">
        <v>59</v>
      </c>
      <c r="AF6" s="74" t="s">
        <v>60</v>
      </c>
      <c r="AG6" s="77" t="s">
        <v>61</v>
      </c>
      <c r="AH6" s="55" t="s">
        <v>62</v>
      </c>
      <c r="AI6" s="65" t="s">
        <v>63</v>
      </c>
      <c r="AJ6" s="65"/>
      <c r="AK6" s="55" t="s">
        <v>64</v>
      </c>
      <c r="AL6" s="55" t="s">
        <v>64</v>
      </c>
      <c r="AM6" s="58" t="s">
        <v>64</v>
      </c>
      <c r="AN6" s="66" t="s">
        <v>113</v>
      </c>
      <c r="AO6" s="62" t="s">
        <v>66</v>
      </c>
      <c r="AP6" s="61" t="s">
        <v>67</v>
      </c>
      <c r="AQ6" s="67" t="s">
        <v>67</v>
      </c>
      <c r="AR6" s="62" t="s">
        <v>68</v>
      </c>
      <c r="AS6" s="68" t="s">
        <v>69</v>
      </c>
      <c r="AT6" s="68" t="s">
        <v>70</v>
      </c>
      <c r="AU6" s="210" t="s">
        <v>71</v>
      </c>
      <c r="AV6" s="78"/>
      <c r="AW6" s="71" t="s">
        <v>72</v>
      </c>
      <c r="AX6" s="71" t="s">
        <v>72</v>
      </c>
      <c r="AY6" s="211"/>
      <c r="AZ6" s="212" t="s">
        <v>73</v>
      </c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2.95" hidden="false" customHeight="true" outlineLevel="0" collapsed="false">
      <c r="A7" s="55"/>
      <c r="B7" s="56"/>
      <c r="C7" s="57"/>
      <c r="D7" s="58"/>
      <c r="E7" s="57"/>
      <c r="F7" s="59"/>
      <c r="G7" s="55"/>
      <c r="H7" s="55"/>
      <c r="I7" s="55"/>
      <c r="J7" s="55"/>
      <c r="K7" s="55"/>
      <c r="L7" s="77"/>
      <c r="M7" s="58"/>
      <c r="N7" s="58" t="s">
        <v>74</v>
      </c>
      <c r="O7" s="58" t="s">
        <v>75</v>
      </c>
      <c r="P7" s="75"/>
      <c r="Q7" s="58" t="s">
        <v>76</v>
      </c>
      <c r="R7" s="58" t="s">
        <v>76</v>
      </c>
      <c r="S7" s="58" t="s">
        <v>61</v>
      </c>
      <c r="T7" s="58" t="s">
        <v>61</v>
      </c>
      <c r="U7" s="76" t="s">
        <v>77</v>
      </c>
      <c r="V7" s="55"/>
      <c r="W7" s="5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61"/>
      <c r="AD7" s="62"/>
      <c r="AE7" s="77"/>
      <c r="AF7" s="79" t="n">
        <v>1.7</v>
      </c>
      <c r="AG7" s="79" t="n">
        <v>1.3</v>
      </c>
      <c r="AH7" s="74"/>
      <c r="AI7" s="80"/>
      <c r="AJ7" s="65"/>
      <c r="AK7" s="55"/>
      <c r="AL7" s="55"/>
      <c r="AM7" s="58"/>
      <c r="AN7" s="66"/>
      <c r="AO7" s="62"/>
      <c r="AP7" s="61" t="s">
        <v>83</v>
      </c>
      <c r="AQ7" s="67" t="s">
        <v>84</v>
      </c>
      <c r="AR7" s="62" t="s">
        <v>85</v>
      </c>
      <c r="AS7" s="68" t="s">
        <v>86</v>
      </c>
      <c r="AT7" s="68" t="s">
        <v>87</v>
      </c>
      <c r="AU7" s="210" t="s">
        <v>88</v>
      </c>
      <c r="AV7" s="78"/>
      <c r="AW7" s="71"/>
      <c r="AX7" s="71"/>
      <c r="AY7" s="211"/>
      <c r="AZ7" s="212" t="s">
        <v>89</v>
      </c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2.95" hidden="false" customHeight="true" outlineLevel="0" collapsed="false">
      <c r="A8" s="55"/>
      <c r="B8" s="56"/>
      <c r="C8" s="57"/>
      <c r="D8" s="58"/>
      <c r="E8" s="57"/>
      <c r="F8" s="59"/>
      <c r="G8" s="55"/>
      <c r="H8" s="55"/>
      <c r="I8" s="55"/>
      <c r="J8" s="55"/>
      <c r="K8" s="55"/>
      <c r="L8" s="77"/>
      <c r="M8" s="58"/>
      <c r="N8" s="58"/>
      <c r="O8" s="58"/>
      <c r="P8" s="75"/>
      <c r="Q8" s="58" t="s">
        <v>61</v>
      </c>
      <c r="R8" s="58" t="s">
        <v>61</v>
      </c>
      <c r="S8" s="58"/>
      <c r="T8" s="58"/>
      <c r="U8" s="76"/>
      <c r="V8" s="55"/>
      <c r="W8" s="5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61"/>
      <c r="AD8" s="62"/>
      <c r="AE8" s="77"/>
      <c r="AF8" s="79"/>
      <c r="AG8" s="79"/>
      <c r="AH8" s="74"/>
      <c r="AI8" s="80"/>
      <c r="AJ8" s="65"/>
      <c r="AK8" s="55"/>
      <c r="AL8" s="55"/>
      <c r="AM8" s="58"/>
      <c r="AN8" s="66"/>
      <c r="AO8" s="62"/>
      <c r="AP8" s="61"/>
      <c r="AQ8" s="67"/>
      <c r="AR8" s="62"/>
      <c r="AS8" s="68"/>
      <c r="AT8" s="68"/>
      <c r="AU8" s="210"/>
      <c r="AV8" s="78"/>
      <c r="AW8" s="71"/>
      <c r="AX8" s="71"/>
      <c r="AY8" s="211"/>
      <c r="AZ8" s="212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2.95" hidden="false" customHeight="true" outlineLevel="0" collapsed="false">
      <c r="A9" s="55"/>
      <c r="B9" s="56"/>
      <c r="C9" s="57"/>
      <c r="D9" s="58"/>
      <c r="E9" s="57"/>
      <c r="F9" s="59"/>
      <c r="G9" s="55"/>
      <c r="H9" s="55"/>
      <c r="I9" s="55"/>
      <c r="J9" s="55"/>
      <c r="K9" s="55"/>
      <c r="L9" s="77"/>
      <c r="M9" s="58"/>
      <c r="N9" s="58"/>
      <c r="O9" s="58"/>
      <c r="P9" s="75"/>
      <c r="Q9" s="58"/>
      <c r="R9" s="81" t="n">
        <v>4.2</v>
      </c>
      <c r="S9" s="58"/>
      <c r="T9" s="58"/>
      <c r="U9" s="76"/>
      <c r="V9" s="55"/>
      <c r="W9" s="55"/>
      <c r="X9" s="65"/>
      <c r="Y9" s="57" t="s">
        <v>90</v>
      </c>
      <c r="Z9" s="61"/>
      <c r="AA9" s="57" t="s">
        <v>90</v>
      </c>
      <c r="AB9" s="61" t="s">
        <v>93</v>
      </c>
      <c r="AC9" s="61"/>
      <c r="AD9" s="62"/>
      <c r="AE9" s="77"/>
      <c r="AF9" s="79"/>
      <c r="AG9" s="79"/>
      <c r="AH9" s="74"/>
      <c r="AI9" s="80"/>
      <c r="AJ9" s="65"/>
      <c r="AK9" s="55"/>
      <c r="AL9" s="55"/>
      <c r="AM9" s="58"/>
      <c r="AN9" s="66"/>
      <c r="AO9" s="62"/>
      <c r="AP9" s="61"/>
      <c r="AQ9" s="67"/>
      <c r="AR9" s="62"/>
      <c r="AS9" s="68"/>
      <c r="AT9" s="68"/>
      <c r="AU9" s="210"/>
      <c r="AV9" s="78"/>
      <c r="AW9" s="71"/>
      <c r="AX9" s="71"/>
      <c r="AY9" s="211"/>
      <c r="AZ9" s="212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2.95" hidden="false" customHeight="true" outlineLevel="0" collapsed="false">
      <c r="A10" s="55"/>
      <c r="B10" s="56"/>
      <c r="C10" s="57" t="s">
        <v>94</v>
      </c>
      <c r="D10" s="58"/>
      <c r="E10" s="57" t="s">
        <v>95</v>
      </c>
      <c r="F10" s="59"/>
      <c r="G10" s="58" t="s">
        <v>41</v>
      </c>
      <c r="H10" s="58" t="s">
        <v>41</v>
      </c>
      <c r="I10" s="58" t="s">
        <v>41</v>
      </c>
      <c r="J10" s="58" t="s">
        <v>41</v>
      </c>
      <c r="K10" s="58" t="s">
        <v>41</v>
      </c>
      <c r="L10" s="77" t="s">
        <v>41</v>
      </c>
      <c r="M10" s="58" t="s">
        <v>41</v>
      </c>
      <c r="N10" s="58" t="s">
        <v>41</v>
      </c>
      <c r="O10" s="58" t="s">
        <v>41</v>
      </c>
      <c r="P10" s="5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77" t="s">
        <v>41</v>
      </c>
      <c r="V10" s="58" t="s">
        <v>41</v>
      </c>
      <c r="W10" s="58" t="s">
        <v>41</v>
      </c>
      <c r="X10" s="57" t="n">
        <v>153400</v>
      </c>
      <c r="Y10" s="57" t="n">
        <v>150400</v>
      </c>
      <c r="Z10" s="58"/>
      <c r="AA10" s="57"/>
      <c r="AB10" s="57" t="n">
        <v>72000</v>
      </c>
      <c r="AC10" s="58" t="s">
        <v>41</v>
      </c>
      <c r="AD10" s="58" t="s">
        <v>41</v>
      </c>
      <c r="AE10" s="77" t="s">
        <v>41</v>
      </c>
      <c r="AF10" s="58" t="s">
        <v>41</v>
      </c>
      <c r="AG10" s="58" t="s">
        <v>41</v>
      </c>
      <c r="AH10" s="74" t="s">
        <v>41</v>
      </c>
      <c r="AI10" s="58" t="s">
        <v>41</v>
      </c>
      <c r="AJ10" s="58" t="s">
        <v>41</v>
      </c>
      <c r="AK10" s="58" t="s">
        <v>41</v>
      </c>
      <c r="AL10" s="58" t="s">
        <v>41</v>
      </c>
      <c r="AM10" s="59" t="s">
        <v>41</v>
      </c>
      <c r="AN10" s="62" t="s">
        <v>41</v>
      </c>
      <c r="AO10" s="62" t="s">
        <v>41</v>
      </c>
      <c r="AP10" s="62" t="s">
        <v>41</v>
      </c>
      <c r="AQ10" s="67" t="s">
        <v>96</v>
      </c>
      <c r="AR10" s="62" t="s">
        <v>41</v>
      </c>
      <c r="AS10" s="62" t="s">
        <v>41</v>
      </c>
      <c r="AT10" s="62" t="s">
        <v>41</v>
      </c>
      <c r="AU10" s="62" t="s">
        <v>41</v>
      </c>
      <c r="AV10" s="78"/>
      <c r="AW10" s="71"/>
      <c r="AX10" s="71"/>
      <c r="AY10" s="211"/>
      <c r="AZ10" s="212" t="s">
        <v>97</v>
      </c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2.95" hidden="false" customHeight="true" outlineLevel="0" collapsed="false">
      <c r="A11" s="55"/>
      <c r="B11" s="56"/>
      <c r="C11" s="57"/>
      <c r="D11" s="58"/>
      <c r="E11" s="57"/>
      <c r="F11" s="59"/>
      <c r="G11" s="55"/>
      <c r="H11" s="55"/>
      <c r="I11" s="55"/>
      <c r="J11" s="55"/>
      <c r="K11" s="55"/>
      <c r="L11" s="77"/>
      <c r="M11" s="58"/>
      <c r="N11" s="46" t="n">
        <v>1.03</v>
      </c>
      <c r="O11" s="46" t="n">
        <v>1.05</v>
      </c>
      <c r="P11" s="46" t="n">
        <v>1.02</v>
      </c>
      <c r="Q11" s="82" t="n">
        <v>1.02</v>
      </c>
      <c r="R11" s="83" t="n">
        <v>1.04</v>
      </c>
      <c r="S11" s="58"/>
      <c r="T11" s="82" t="n">
        <v>1.04</v>
      </c>
      <c r="U11" s="76"/>
      <c r="V11" s="55"/>
      <c r="W11" s="5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61"/>
      <c r="AD11" s="61"/>
      <c r="AE11" s="85"/>
      <c r="AF11" s="79"/>
      <c r="AG11" s="79"/>
      <c r="AH11" s="74"/>
      <c r="AI11" s="80"/>
      <c r="AJ11" s="86"/>
      <c r="AK11" s="55"/>
      <c r="AL11" s="55"/>
      <c r="AM11" s="58"/>
      <c r="AN11" s="66"/>
      <c r="AO11" s="62"/>
      <c r="AP11" s="61"/>
      <c r="AQ11" s="67"/>
      <c r="AR11" s="67"/>
      <c r="AS11" s="87"/>
      <c r="AT11" s="87"/>
      <c r="AU11" s="87"/>
      <c r="AV11" s="78"/>
      <c r="AW11" s="71"/>
      <c r="AX11" s="71"/>
      <c r="AY11" s="211"/>
      <c r="AZ11" s="212" t="s">
        <v>41</v>
      </c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2.95" hidden="false" customHeight="true" outlineLevel="0" collapsed="false">
      <c r="A12" s="188" t="s">
        <v>99</v>
      </c>
      <c r="B12" s="213"/>
      <c r="C12" s="107"/>
      <c r="D12" s="107"/>
      <c r="E12" s="107"/>
      <c r="F12" s="214"/>
      <c r="G12" s="107"/>
      <c r="H12" s="215"/>
      <c r="I12" s="107"/>
      <c r="J12" s="107"/>
      <c r="K12" s="107"/>
      <c r="L12" s="107"/>
      <c r="M12" s="216"/>
      <c r="N12" s="107"/>
      <c r="O12" s="107"/>
      <c r="P12" s="158"/>
      <c r="Q12" s="107"/>
      <c r="R12" s="107"/>
      <c r="S12" s="107"/>
      <c r="T12" s="107"/>
      <c r="U12" s="217"/>
      <c r="V12" s="107"/>
      <c r="W12" s="107"/>
      <c r="X12" s="107"/>
      <c r="Y12" s="107"/>
      <c r="Z12" s="136"/>
      <c r="AA12" s="107"/>
      <c r="AB12" s="136"/>
      <c r="AC12" s="136"/>
      <c r="AD12" s="107"/>
      <c r="AE12" s="107"/>
      <c r="AF12" s="216"/>
      <c r="AG12" s="218"/>
      <c r="AH12" s="107"/>
      <c r="AI12" s="107"/>
      <c r="AJ12" s="219"/>
      <c r="AK12" s="107"/>
      <c r="AL12" s="107"/>
      <c r="AM12" s="107"/>
      <c r="AN12" s="220"/>
      <c r="AO12" s="136"/>
      <c r="AP12" s="221"/>
      <c r="AV12" s="222"/>
      <c r="AW12" s="215"/>
      <c r="AX12" s="215"/>
      <c r="AY12" s="223"/>
      <c r="AZ12" s="224"/>
    </row>
    <row r="13" s="230" customFormat="true" ht="12.95" hidden="false" customHeight="true" outlineLevel="0" collapsed="false">
      <c r="A13" s="225" t="s">
        <v>100</v>
      </c>
      <c r="B13" s="106" t="n">
        <f aca="false">NOV!B44</f>
        <v>6872.11</v>
      </c>
      <c r="C13" s="107" t="n">
        <f aca="false">NOV!C44</f>
        <v>193503</v>
      </c>
      <c r="D13" s="107" t="n">
        <f aca="false">NOV!D53</f>
        <v>-1652</v>
      </c>
      <c r="E13" s="107" t="n">
        <f aca="false">NOV!E53</f>
        <v>41503</v>
      </c>
      <c r="F13" s="214" t="n">
        <f aca="false">NOV!F52</f>
        <v>-832.871187295185</v>
      </c>
      <c r="G13" s="107" t="n">
        <f aca="false">NOV!G52</f>
        <v>980</v>
      </c>
      <c r="H13" s="215" t="n">
        <f aca="false">NOV!H52</f>
        <v>0.62</v>
      </c>
      <c r="I13" s="107" t="n">
        <f aca="false">NOV!I52</f>
        <v>980</v>
      </c>
      <c r="J13" s="107" t="n">
        <f aca="false">NOV!J52</f>
        <v>127.700173934963</v>
      </c>
      <c r="K13" s="107" t="n">
        <f aca="false">NOV!K52</f>
        <v>1107.70017393496</v>
      </c>
      <c r="L13" s="107" t="n">
        <f aca="false">NOV!L52</f>
        <v>-144.955687295185</v>
      </c>
      <c r="M13" s="216" t="n">
        <f aca="false">NOV!M52</f>
        <v>301.32</v>
      </c>
      <c r="N13" s="107" t="n">
        <f aca="false">NOV!N52</f>
        <v>0</v>
      </c>
      <c r="O13" s="107" t="n">
        <f aca="false">NOV!O52</f>
        <v>0</v>
      </c>
      <c r="P13" s="107" t="n">
        <f aca="false">NOV!P52</f>
        <v>0</v>
      </c>
      <c r="Q13" s="107" t="n">
        <f aca="false">NOV!Q52</f>
        <v>46.8678830481192</v>
      </c>
      <c r="R13" s="107" t="n">
        <f aca="false">NOV!R52</f>
        <v>53.19096224</v>
      </c>
      <c r="S13" s="226" t="n">
        <f aca="false">NOV!S52</f>
        <v>0</v>
      </c>
      <c r="T13" s="226" t="n">
        <f aca="false">NOV!T52</f>
        <v>16.48903776</v>
      </c>
      <c r="U13" s="227" t="n">
        <f aca="false">NOV!U52</f>
        <v>5.109676523262</v>
      </c>
      <c r="V13" s="107" t="n">
        <f aca="false">NOV!V52</f>
        <v>547.76</v>
      </c>
      <c r="W13" s="107" t="n">
        <f aca="false">NOV!W52</f>
        <v>84.4</v>
      </c>
      <c r="X13" s="107" t="n">
        <f aca="false">NOV!X52</f>
        <v>811.822440428619</v>
      </c>
      <c r="Y13" s="107" t="n">
        <f aca="false">NOV!Y52</f>
        <v>487.86</v>
      </c>
      <c r="Z13" s="136"/>
      <c r="AA13" s="107"/>
      <c r="AB13" s="136"/>
      <c r="AC13" s="107" t="n">
        <f aca="false">NOV!AC52</f>
        <v>0</v>
      </c>
      <c r="AD13" s="107"/>
      <c r="AE13" s="107"/>
      <c r="AF13" s="216"/>
      <c r="AG13" s="218"/>
      <c r="AH13" s="107" t="n">
        <f aca="false">NOV!AH52</f>
        <v>725.5</v>
      </c>
      <c r="AI13" s="107" t="n">
        <f aca="false">NOV!AI52</f>
        <v>3521.5</v>
      </c>
      <c r="AJ13" s="107"/>
      <c r="AK13" s="107" t="n">
        <f aca="false">NOV!AK52</f>
        <v>1667.9155</v>
      </c>
      <c r="AL13" s="107" t="n">
        <f aca="false">NOV!AL52</f>
        <v>272.655861230149</v>
      </c>
      <c r="AM13" s="107" t="n">
        <f aca="false">NOV!AM52</f>
        <v>1940.57136123015</v>
      </c>
      <c r="AN13" s="220" t="n">
        <f aca="false">NOV!AN52</f>
        <v>487.86</v>
      </c>
      <c r="AO13" s="136" t="n">
        <f aca="false">NOV!AO52</f>
        <v>323.962440428619</v>
      </c>
      <c r="AP13" s="107"/>
      <c r="AQ13" s="228"/>
      <c r="AR13" s="228"/>
      <c r="AS13" s="228"/>
      <c r="AT13" s="228"/>
      <c r="AU13" s="177"/>
      <c r="AV13" s="222" t="n">
        <f aca="false">NOV!AV52</f>
        <v>0.41</v>
      </c>
      <c r="AW13" s="215"/>
      <c r="AX13" s="215"/>
      <c r="AY13" s="223"/>
      <c r="AZ13" s="229" t="n">
        <f aca="false">NOV!AZ52</f>
        <v>121.657559571381</v>
      </c>
    </row>
    <row r="14" customFormat="false" ht="3" hidden="false" customHeight="true" outlineLevel="0" collapsed="false">
      <c r="A14" s="231"/>
      <c r="B14" s="232"/>
      <c r="C14" s="233"/>
      <c r="D14" s="234"/>
      <c r="E14" s="233"/>
      <c r="F14" s="235"/>
      <c r="G14" s="234"/>
      <c r="H14" s="236"/>
      <c r="I14" s="234"/>
      <c r="J14" s="234"/>
      <c r="K14" s="234"/>
      <c r="L14" s="234"/>
      <c r="M14" s="237"/>
      <c r="N14" s="234"/>
      <c r="O14" s="234"/>
      <c r="P14" s="238"/>
      <c r="Q14" s="234"/>
      <c r="R14" s="234"/>
      <c r="S14" s="234"/>
      <c r="T14" s="234"/>
      <c r="U14" s="239"/>
      <c r="V14" s="234"/>
      <c r="W14" s="234"/>
      <c r="X14" s="234"/>
      <c r="Y14" s="234"/>
      <c r="Z14" s="240"/>
      <c r="AA14" s="234"/>
      <c r="AB14" s="240"/>
      <c r="AC14" s="240"/>
      <c r="AD14" s="233"/>
      <c r="AE14" s="234"/>
      <c r="AF14" s="237"/>
      <c r="AG14" s="241"/>
      <c r="AH14" s="234"/>
      <c r="AI14" s="233"/>
      <c r="AJ14" s="233"/>
      <c r="AK14" s="234"/>
      <c r="AL14" s="234"/>
      <c r="AM14" s="234"/>
      <c r="AN14" s="242"/>
      <c r="AO14" s="240"/>
      <c r="AP14" s="243"/>
      <c r="AQ14" s="244"/>
      <c r="AR14" s="244"/>
      <c r="AS14" s="244"/>
      <c r="AT14" s="244"/>
      <c r="AU14" s="243"/>
      <c r="AV14" s="245"/>
      <c r="AW14" s="243"/>
      <c r="AX14" s="243"/>
      <c r="AY14" s="243"/>
      <c r="AZ14" s="123"/>
    </row>
    <row r="15" customFormat="false" ht="12.95" hidden="false" customHeight="true" outlineLevel="0" collapsed="false">
      <c r="A15" s="183" t="n">
        <v>1</v>
      </c>
      <c r="B15" s="106" t="n">
        <v>6872.09</v>
      </c>
      <c r="C15" s="107" t="n">
        <v>193448</v>
      </c>
      <c r="D15" s="215" t="n">
        <f aca="false">C15-C13</f>
        <v>-55</v>
      </c>
      <c r="E15" s="107" t="n">
        <f aca="false">C15-152000</f>
        <v>41448</v>
      </c>
      <c r="F15" s="246" t="n">
        <f aca="false">D15/$D$2</f>
        <v>-27.7287622888833</v>
      </c>
      <c r="G15" s="135" t="n">
        <v>37</v>
      </c>
      <c r="H15" s="247" t="n">
        <v>0</v>
      </c>
      <c r="I15" s="135" t="n">
        <f aca="false">G15+H15</f>
        <v>37</v>
      </c>
      <c r="J15" s="136" t="n">
        <f aca="false">IF(L15&gt;0,L15,0)</f>
        <v>0</v>
      </c>
      <c r="K15" s="135" t="n">
        <f aca="false">I15+J15</f>
        <v>37</v>
      </c>
      <c r="L15" s="135" t="n">
        <f aca="false">F15-(I15-AK15)</f>
        <v>-15.3487622888833</v>
      </c>
      <c r="M15" s="248" t="n">
        <v>3.58</v>
      </c>
      <c r="N15" s="135" t="n">
        <v>0</v>
      </c>
      <c r="O15" s="135" t="n">
        <v>0</v>
      </c>
      <c r="P15" s="158" t="n">
        <v>0</v>
      </c>
      <c r="Q15" s="131" t="n">
        <f aca="false">1006700/325851/1.9835*1.02</f>
        <v>1.58872590657823</v>
      </c>
      <c r="R15" s="131" t="n">
        <f aca="false">((2.2)*1.04)-T15</f>
        <v>1.76667504</v>
      </c>
      <c r="S15" s="131" t="n">
        <v>0</v>
      </c>
      <c r="T15" s="131" t="n">
        <f aca="false">(0.4729*1.06)*1.04</f>
        <v>0.52132496</v>
      </c>
      <c r="U15" s="96" t="n">
        <f aca="false">M15-(Q15+R15+S15+T15)</f>
        <v>-0.296725906578226</v>
      </c>
      <c r="V15" s="135" t="n">
        <v>22.2</v>
      </c>
      <c r="W15" s="135" t="n">
        <v>0</v>
      </c>
      <c r="X15" s="135" t="n">
        <f aca="false">M15-N15-P15-O15-Q15-R15-S15-T15-U15+V15+W15</f>
        <v>22.2</v>
      </c>
      <c r="Y15" s="135" t="n">
        <f aca="false">X15-AO15</f>
        <v>22.2</v>
      </c>
      <c r="Z15" s="136"/>
      <c r="AA15" s="135"/>
      <c r="AB15" s="136"/>
      <c r="AC15" s="136" t="n">
        <v>0</v>
      </c>
      <c r="AD15" s="107"/>
      <c r="AE15" s="135" t="n">
        <v>0</v>
      </c>
      <c r="AF15" s="248"/>
      <c r="AG15" s="249"/>
      <c r="AH15" s="135" t="n">
        <v>23.6</v>
      </c>
      <c r="AI15" s="107" t="n">
        <f aca="false">AI13-AH15</f>
        <v>3497.9</v>
      </c>
      <c r="AJ15" s="107"/>
      <c r="AK15" s="134" t="n">
        <f aca="false">N15+O15+P15+Q15+R15+S15+T15+U15+X15+AE15+AH15</f>
        <v>49.38</v>
      </c>
      <c r="AL15" s="135" t="n">
        <f aca="false">IF(L15&lt;0,L15*-1,0)</f>
        <v>15.3487622888833</v>
      </c>
      <c r="AM15" s="135" t="n">
        <f aca="false">AK15+AL15</f>
        <v>64.7287622888833</v>
      </c>
      <c r="AN15" s="220" t="n">
        <f aca="false">V15</f>
        <v>22.2</v>
      </c>
      <c r="AO15" s="136" t="n">
        <v>0</v>
      </c>
      <c r="AP15" s="221"/>
      <c r="AV15" s="222" t="n">
        <v>0</v>
      </c>
      <c r="AW15" s="215" t="n">
        <v>54</v>
      </c>
      <c r="AX15" s="215" t="n">
        <v>29</v>
      </c>
      <c r="AY15" s="223"/>
      <c r="AZ15" s="250" t="n">
        <f aca="false">SUM(N15,P15:U15)</f>
        <v>3.58</v>
      </c>
    </row>
    <row r="16" customFormat="false" ht="12.95" hidden="false" customHeight="true" outlineLevel="0" collapsed="false">
      <c r="A16" s="183" t="n">
        <f aca="false">A15+1</f>
        <v>2</v>
      </c>
      <c r="B16" s="106" t="n">
        <v>6872.07</v>
      </c>
      <c r="C16" s="107" t="n">
        <v>193393</v>
      </c>
      <c r="D16" s="215" t="n">
        <f aca="false">C16-C15</f>
        <v>-55</v>
      </c>
      <c r="E16" s="107" t="n">
        <f aca="false">C16-152000</f>
        <v>41393</v>
      </c>
      <c r="F16" s="246" t="n">
        <f aca="false">D16/$D$2</f>
        <v>-27.7287622888833</v>
      </c>
      <c r="G16" s="135" t="n">
        <v>32</v>
      </c>
      <c r="H16" s="247" t="n">
        <v>0</v>
      </c>
      <c r="I16" s="135" t="n">
        <f aca="false">G16+H16</f>
        <v>32</v>
      </c>
      <c r="J16" s="136" t="n">
        <f aca="false">IF(L16&gt;0,L16,0)</f>
        <v>0</v>
      </c>
      <c r="K16" s="135" t="n">
        <f aca="false">I16+J16</f>
        <v>32</v>
      </c>
      <c r="L16" s="135" t="n">
        <f aca="false">F16-(I16-AK16)</f>
        <v>-9.65876228888329</v>
      </c>
      <c r="M16" s="248" t="n">
        <v>4.27</v>
      </c>
      <c r="N16" s="135" t="n">
        <v>0</v>
      </c>
      <c r="O16" s="135" t="n">
        <v>0</v>
      </c>
      <c r="P16" s="158" t="n">
        <v>0</v>
      </c>
      <c r="Q16" s="131" t="n">
        <f aca="false">1104600/325851/1.9835*1.02</f>
        <v>1.74322701540311</v>
      </c>
      <c r="R16" s="131" t="n">
        <f aca="false">((2.2)*1.04)-T16</f>
        <v>1.76667504</v>
      </c>
      <c r="S16" s="131" t="n">
        <v>0</v>
      </c>
      <c r="T16" s="131" t="n">
        <f aca="false">(0.4729*1.06)*1.04</f>
        <v>0.52132496</v>
      </c>
      <c r="U16" s="96" t="n">
        <f aca="false">M16-(Q16+R16+S16+T16)</f>
        <v>0.238772984596892</v>
      </c>
      <c r="V16" s="135" t="n">
        <v>22.2</v>
      </c>
      <c r="W16" s="135" t="n">
        <v>0</v>
      </c>
      <c r="X16" s="135" t="n">
        <f aca="false">M16-N16-P16-O16-Q16-R16-S16-T16-U16+V16+W16</f>
        <v>22.2</v>
      </c>
      <c r="Y16" s="135" t="n">
        <f aca="false">X16-AO16</f>
        <v>22.2</v>
      </c>
      <c r="Z16" s="136"/>
      <c r="AA16" s="135"/>
      <c r="AB16" s="136"/>
      <c r="AC16" s="136" t="n">
        <v>0</v>
      </c>
      <c r="AD16" s="107"/>
      <c r="AE16" s="135" t="n">
        <v>0</v>
      </c>
      <c r="AF16" s="248"/>
      <c r="AG16" s="249"/>
      <c r="AH16" s="135" t="n">
        <v>23.6</v>
      </c>
      <c r="AI16" s="107" t="n">
        <f aca="false">AI15-AH16</f>
        <v>3474.3</v>
      </c>
      <c r="AJ16" s="107"/>
      <c r="AK16" s="134" t="n">
        <f aca="false">N16+O16+P16+Q16+R16+S16+T16+U16+X16+AE16+AH16</f>
        <v>50.07</v>
      </c>
      <c r="AL16" s="135" t="n">
        <f aca="false">IF(L16&lt;0,L16*-1,0)</f>
        <v>9.65876228888329</v>
      </c>
      <c r="AM16" s="135" t="n">
        <f aca="false">AK16+AL16</f>
        <v>59.7287622888833</v>
      </c>
      <c r="AN16" s="220" t="n">
        <f aca="false">V16</f>
        <v>22.2</v>
      </c>
      <c r="AO16" s="136" t="n">
        <v>0</v>
      </c>
      <c r="AP16" s="221"/>
      <c r="AV16" s="222" t="n">
        <v>0</v>
      </c>
      <c r="AW16" s="215" t="n">
        <v>56</v>
      </c>
      <c r="AX16" s="215" t="n">
        <v>31</v>
      </c>
      <c r="AY16" s="223"/>
      <c r="AZ16" s="250" t="n">
        <f aca="false">SUM(N16,P16:U16)</f>
        <v>4.27</v>
      </c>
    </row>
    <row r="17" customFormat="false" ht="12.95" hidden="false" customHeight="true" outlineLevel="0" collapsed="false">
      <c r="A17" s="183" t="n">
        <f aca="false">A16+1</f>
        <v>3</v>
      </c>
      <c r="B17" s="106" t="n">
        <v>6872.05</v>
      </c>
      <c r="C17" s="107" t="n">
        <v>193338</v>
      </c>
      <c r="D17" s="215" t="n">
        <f aca="false">C17-C16</f>
        <v>-55</v>
      </c>
      <c r="E17" s="107" t="n">
        <f aca="false">C17-152000</f>
        <v>41338</v>
      </c>
      <c r="F17" s="246" t="n">
        <f aca="false">D17/$D$2</f>
        <v>-27.7287622888833</v>
      </c>
      <c r="G17" s="135" t="n">
        <v>37</v>
      </c>
      <c r="H17" s="247" t="n">
        <v>0</v>
      </c>
      <c r="I17" s="135" t="n">
        <f aca="false">G17+H17</f>
        <v>37</v>
      </c>
      <c r="J17" s="136" t="n">
        <f aca="false">IF(L17&gt;0,L17,0)</f>
        <v>0</v>
      </c>
      <c r="K17" s="135" t="n">
        <f aca="false">I17+J17</f>
        <v>37</v>
      </c>
      <c r="L17" s="135" t="n">
        <f aca="false">F17-(I17-AK17)</f>
        <v>-16.0787622888833</v>
      </c>
      <c r="M17" s="248" t="n">
        <v>4.25</v>
      </c>
      <c r="N17" s="135" t="n">
        <v>0</v>
      </c>
      <c r="O17" s="135" t="n">
        <v>0</v>
      </c>
      <c r="P17" s="158" t="n">
        <v>0</v>
      </c>
      <c r="Q17" s="131" t="n">
        <f aca="false">916900/325851/1.9835*1.02</f>
        <v>1.44700783127205</v>
      </c>
      <c r="R17" s="131" t="n">
        <f aca="false">((2)*1.04)-T17</f>
        <v>1.55867504</v>
      </c>
      <c r="S17" s="131" t="n">
        <v>0</v>
      </c>
      <c r="T17" s="131" t="n">
        <f aca="false">(0.4729*1.06)*1.04</f>
        <v>0.52132496</v>
      </c>
      <c r="U17" s="96" t="n">
        <f aca="false">M17-(Q17+R17+S17+T17)</f>
        <v>0.722992168727948</v>
      </c>
      <c r="V17" s="135" t="n">
        <v>20.8</v>
      </c>
      <c r="W17" s="135" t="n">
        <v>0</v>
      </c>
      <c r="X17" s="135" t="n">
        <f aca="false">M17-N17-P17-O17-Q17-R17-S17-T17-U17+V17+W17</f>
        <v>20.8</v>
      </c>
      <c r="Y17" s="135" t="n">
        <f aca="false">X17-AO17</f>
        <v>20.8</v>
      </c>
      <c r="Z17" s="136"/>
      <c r="AA17" s="135"/>
      <c r="AB17" s="136"/>
      <c r="AC17" s="136" t="n">
        <v>0</v>
      </c>
      <c r="AD17" s="107"/>
      <c r="AE17" s="135" t="n">
        <v>0</v>
      </c>
      <c r="AF17" s="248"/>
      <c r="AG17" s="249"/>
      <c r="AH17" s="135" t="n">
        <v>23.6</v>
      </c>
      <c r="AI17" s="107" t="n">
        <f aca="false">AI16-AH17</f>
        <v>3450.7</v>
      </c>
      <c r="AJ17" s="107"/>
      <c r="AK17" s="134" t="n">
        <f aca="false">N17+O17+P17+Q17+R17+S17+T17+U17+X17+AE17+AH17</f>
        <v>48.65</v>
      </c>
      <c r="AL17" s="135" t="n">
        <f aca="false">IF(L17&lt;0,L17*-1,0)</f>
        <v>16.0787622888833</v>
      </c>
      <c r="AM17" s="135" t="n">
        <f aca="false">AK17+AL17</f>
        <v>64.7287622888833</v>
      </c>
      <c r="AN17" s="220" t="n">
        <f aca="false">V17</f>
        <v>20.8</v>
      </c>
      <c r="AO17" s="136" t="n">
        <v>0</v>
      </c>
      <c r="AP17" s="221"/>
      <c r="AV17" s="222" t="n">
        <v>0</v>
      </c>
      <c r="AW17" s="215" t="n">
        <v>51</v>
      </c>
      <c r="AX17" s="215" t="n">
        <v>28</v>
      </c>
      <c r="AY17" s="223"/>
      <c r="AZ17" s="250" t="n">
        <f aca="false">SUM(N17,P17:U17)</f>
        <v>4.25</v>
      </c>
    </row>
    <row r="18" customFormat="false" ht="12.95" hidden="false" customHeight="true" outlineLevel="0" collapsed="false">
      <c r="A18" s="183" t="n">
        <f aca="false">A17+1</f>
        <v>4</v>
      </c>
      <c r="B18" s="106" t="n">
        <v>6872.03</v>
      </c>
      <c r="C18" s="107" t="n">
        <v>193283</v>
      </c>
      <c r="D18" s="215" t="n">
        <f aca="false">C18-C17</f>
        <v>-55</v>
      </c>
      <c r="E18" s="107" t="n">
        <f aca="false">C18-152000</f>
        <v>41283</v>
      </c>
      <c r="F18" s="246" t="n">
        <f aca="false">D18/$D$2</f>
        <v>-27.7287622888833</v>
      </c>
      <c r="G18" s="135" t="n">
        <v>30</v>
      </c>
      <c r="H18" s="247" t="n">
        <v>0</v>
      </c>
      <c r="I18" s="135" t="n">
        <f aca="false">G18+H18</f>
        <v>30</v>
      </c>
      <c r="J18" s="136" t="n">
        <f aca="false">IF(L18&gt;0,L18,0)</f>
        <v>0</v>
      </c>
      <c r="K18" s="135" t="n">
        <f aca="false">I18+J18</f>
        <v>30</v>
      </c>
      <c r="L18" s="135" t="n">
        <f aca="false">F18-(I18-AK18)</f>
        <v>-12.9487622888833</v>
      </c>
      <c r="M18" s="248" t="n">
        <v>3.28</v>
      </c>
      <c r="N18" s="135" t="n">
        <v>0</v>
      </c>
      <c r="O18" s="135" t="n">
        <v>0</v>
      </c>
      <c r="P18" s="158" t="n">
        <v>0</v>
      </c>
      <c r="Q18" s="131" t="n">
        <f aca="false">875300/325851/1.9835*1.02</f>
        <v>1.38135669616362</v>
      </c>
      <c r="R18" s="131" t="n">
        <f aca="false">((2)*1.04)-T18</f>
        <v>1.55867504</v>
      </c>
      <c r="S18" s="131" t="n">
        <v>0</v>
      </c>
      <c r="T18" s="131" t="n">
        <f aca="false">(0.4729*1.06)*1.04</f>
        <v>0.52132496</v>
      </c>
      <c r="U18" s="96" t="n">
        <f aca="false">M18-(Q18+R18+S18+T18)</f>
        <v>-0.181356696163625</v>
      </c>
      <c r="V18" s="135" t="n">
        <v>17.9</v>
      </c>
      <c r="W18" s="135" t="n">
        <v>0</v>
      </c>
      <c r="X18" s="135" t="n">
        <f aca="false">M18-N18-P18-O18-Q18-R18-S18-T18-U18+V18+W18</f>
        <v>17.9</v>
      </c>
      <c r="Y18" s="135" t="n">
        <f aca="false">X18-AO18</f>
        <v>17.9</v>
      </c>
      <c r="Z18" s="136"/>
      <c r="AA18" s="135"/>
      <c r="AB18" s="136"/>
      <c r="AC18" s="136" t="n">
        <v>0</v>
      </c>
      <c r="AD18" s="107"/>
      <c r="AE18" s="135" t="n">
        <v>0</v>
      </c>
      <c r="AF18" s="248"/>
      <c r="AG18" s="249"/>
      <c r="AH18" s="135" t="n">
        <v>23.6</v>
      </c>
      <c r="AI18" s="107" t="n">
        <f aca="false">AI17-AH18</f>
        <v>3427.1</v>
      </c>
      <c r="AJ18" s="107"/>
      <c r="AK18" s="134" t="n">
        <f aca="false">N18+O18+P18+Q18+R18+S18+T18+U18+X18+AE18+AH18</f>
        <v>44.78</v>
      </c>
      <c r="AL18" s="135" t="n">
        <f aca="false">IF(L18&lt;0,L18*-1,0)</f>
        <v>12.9487622888833</v>
      </c>
      <c r="AM18" s="135" t="n">
        <f aca="false">AK18+AL18</f>
        <v>57.7287622888833</v>
      </c>
      <c r="AN18" s="220" t="n">
        <f aca="false">V18</f>
        <v>17.9</v>
      </c>
      <c r="AO18" s="136" t="n">
        <v>0</v>
      </c>
      <c r="AP18" s="221"/>
      <c r="AV18" s="222" t="n">
        <v>0</v>
      </c>
      <c r="AW18" s="215" t="n">
        <v>50</v>
      </c>
      <c r="AX18" s="215" t="n">
        <v>24</v>
      </c>
      <c r="AY18" s="223"/>
      <c r="AZ18" s="250" t="n">
        <f aca="false">SUM(N18,P18:U18)</f>
        <v>3.28</v>
      </c>
    </row>
    <row r="19" customFormat="false" ht="12.95" hidden="false" customHeight="true" outlineLevel="0" collapsed="false">
      <c r="A19" s="183" t="n">
        <f aca="false">A18+1</f>
        <v>5</v>
      </c>
      <c r="B19" s="106" t="n">
        <v>6872.01</v>
      </c>
      <c r="C19" s="107" t="n">
        <v>193228</v>
      </c>
      <c r="D19" s="215" t="n">
        <f aca="false">C19-C18</f>
        <v>-55</v>
      </c>
      <c r="E19" s="107" t="n">
        <f aca="false">C19-152000</f>
        <v>41228</v>
      </c>
      <c r="F19" s="246" t="n">
        <f aca="false">D19/$D$2</f>
        <v>-27.7287622888833</v>
      </c>
      <c r="G19" s="135" t="n">
        <v>28</v>
      </c>
      <c r="H19" s="247" t="n">
        <v>0</v>
      </c>
      <c r="I19" s="135" t="n">
        <f aca="false">G19+H19</f>
        <v>28</v>
      </c>
      <c r="J19" s="136" t="n">
        <f aca="false">IF(L19&gt;0,L19,0)</f>
        <v>0</v>
      </c>
      <c r="K19" s="135" t="n">
        <f aca="false">I19+J19</f>
        <v>28</v>
      </c>
      <c r="L19" s="135" t="n">
        <f aca="false">F19-(I19-AK19)</f>
        <v>-6.18876228888328</v>
      </c>
      <c r="M19" s="248" t="n">
        <v>7.94</v>
      </c>
      <c r="N19" s="135" t="n">
        <v>0</v>
      </c>
      <c r="O19" s="135" t="n">
        <v>0</v>
      </c>
      <c r="P19" s="158" t="n">
        <v>0</v>
      </c>
      <c r="Q19" s="131" t="n">
        <f aca="false">981400/325851/1.9835*1.02</f>
        <v>1.54879865373584</v>
      </c>
      <c r="R19" s="131" t="n">
        <f aca="false">((2)*1.04)-T19</f>
        <v>1.55867504</v>
      </c>
      <c r="S19" s="131" t="n">
        <v>0</v>
      </c>
      <c r="T19" s="131" t="n">
        <f aca="false">(0.4729*1.06)*1.04</f>
        <v>0.52132496</v>
      </c>
      <c r="U19" s="96" t="n">
        <f aca="false">M19-(Q19+R19+S19+T19)</f>
        <v>4.31120134626416</v>
      </c>
      <c r="V19" s="135" t="n">
        <v>18</v>
      </c>
      <c r="W19" s="135" t="n">
        <v>0</v>
      </c>
      <c r="X19" s="135" t="n">
        <f aca="false">M19-N19-P19-O19-Q19-R19-S19-T19-U19+V19+W19</f>
        <v>18</v>
      </c>
      <c r="Y19" s="135" t="n">
        <f aca="false">X19-AO19</f>
        <v>18</v>
      </c>
      <c r="Z19" s="136"/>
      <c r="AA19" s="135"/>
      <c r="AB19" s="136"/>
      <c r="AC19" s="136" t="n">
        <v>0</v>
      </c>
      <c r="AD19" s="107"/>
      <c r="AE19" s="135" t="n">
        <v>0</v>
      </c>
      <c r="AF19" s="248"/>
      <c r="AG19" s="249"/>
      <c r="AH19" s="135" t="n">
        <v>23.6</v>
      </c>
      <c r="AI19" s="107" t="n">
        <f aca="false">AI18-AH19</f>
        <v>3403.5</v>
      </c>
      <c r="AJ19" s="107"/>
      <c r="AK19" s="134" t="n">
        <f aca="false">N19+O19+P19+Q19+R19+S19+T19+U19+X19+AE19+AH19</f>
        <v>49.54</v>
      </c>
      <c r="AL19" s="135" t="n">
        <f aca="false">IF(L19&lt;0,L19*-1,0)</f>
        <v>6.18876228888328</v>
      </c>
      <c r="AM19" s="135" t="n">
        <f aca="false">AK19+AL19</f>
        <v>55.7287622888833</v>
      </c>
      <c r="AN19" s="220" t="n">
        <f aca="false">V19</f>
        <v>18</v>
      </c>
      <c r="AO19" s="136" t="n">
        <v>0</v>
      </c>
      <c r="AP19" s="221"/>
      <c r="AV19" s="222" t="n">
        <v>0</v>
      </c>
      <c r="AW19" s="215" t="n">
        <v>57</v>
      </c>
      <c r="AX19" s="215" t="n">
        <v>28</v>
      </c>
      <c r="AY19" s="223"/>
      <c r="AZ19" s="250" t="n">
        <f aca="false">SUM(N19,P19:U19)</f>
        <v>7.94</v>
      </c>
    </row>
    <row r="20" customFormat="false" ht="12.95" hidden="false" customHeight="true" outlineLevel="0" collapsed="false">
      <c r="A20" s="183" t="n">
        <f aca="false">A19+1</f>
        <v>6</v>
      </c>
      <c r="B20" s="106" t="n">
        <v>6871.99</v>
      </c>
      <c r="C20" s="107" t="n">
        <v>193174</v>
      </c>
      <c r="D20" s="215" t="n">
        <f aca="false">C20-C19</f>
        <v>-54</v>
      </c>
      <c r="E20" s="107" t="n">
        <f aca="false">C20-152000</f>
        <v>41174</v>
      </c>
      <c r="F20" s="246" t="n">
        <f aca="false">D20/$D$2</f>
        <v>-27.22460297454</v>
      </c>
      <c r="G20" s="135" t="n">
        <v>32</v>
      </c>
      <c r="H20" s="247" t="n">
        <v>0</v>
      </c>
      <c r="I20" s="135" t="n">
        <f aca="false">G20+H20</f>
        <v>32</v>
      </c>
      <c r="J20" s="136" t="n">
        <f aca="false">IF(L20&gt;0,L20,0)</f>
        <v>0</v>
      </c>
      <c r="K20" s="135" t="n">
        <f aca="false">I20+J20</f>
        <v>32</v>
      </c>
      <c r="L20" s="135" t="n">
        <f aca="false">F20-(I20-AK20)</f>
        <v>-12.99460297454</v>
      </c>
      <c r="M20" s="248" t="n">
        <v>4.33</v>
      </c>
      <c r="N20" s="135" t="n">
        <v>0</v>
      </c>
      <c r="O20" s="135" t="n">
        <v>0</v>
      </c>
      <c r="P20" s="158" t="n">
        <v>0</v>
      </c>
      <c r="Q20" s="131" t="n">
        <f aca="false">859600/325851/1.9835*1.02</f>
        <v>1.35657970526934</v>
      </c>
      <c r="R20" s="131" t="n">
        <f aca="false">((2)*1.04)-T20</f>
        <v>1.55867504</v>
      </c>
      <c r="S20" s="131" t="n">
        <v>0</v>
      </c>
      <c r="T20" s="131" t="n">
        <f aca="false">(0.4729*1.06)*1.04</f>
        <v>0.52132496</v>
      </c>
      <c r="U20" s="96" t="n">
        <f aca="false">M20-(Q20+R20+S20+T20)</f>
        <v>0.893420294730662</v>
      </c>
      <c r="V20" s="135" t="n">
        <v>18.3</v>
      </c>
      <c r="W20" s="135" t="n">
        <v>0</v>
      </c>
      <c r="X20" s="135" t="n">
        <f aca="false">M20-N20-P20-O20-Q20-R20-S20-T20-U20+V20+W20</f>
        <v>18.3</v>
      </c>
      <c r="Y20" s="135" t="n">
        <f aca="false">X20-AO20</f>
        <v>18.3</v>
      </c>
      <c r="Z20" s="136"/>
      <c r="AA20" s="135"/>
      <c r="AB20" s="136"/>
      <c r="AC20" s="136" t="n">
        <v>0</v>
      </c>
      <c r="AD20" s="107"/>
      <c r="AE20" s="135" t="n">
        <v>0</v>
      </c>
      <c r="AF20" s="248"/>
      <c r="AG20" s="249"/>
      <c r="AH20" s="135" t="n">
        <v>23.6</v>
      </c>
      <c r="AI20" s="107" t="n">
        <f aca="false">AI19-AH20</f>
        <v>3379.9</v>
      </c>
      <c r="AJ20" s="107"/>
      <c r="AK20" s="134" t="n">
        <f aca="false">N20+O20+P20+Q20+R20+S20+T20+U20+X20+AE20+AH20</f>
        <v>46.23</v>
      </c>
      <c r="AL20" s="135" t="n">
        <f aca="false">IF(L20&lt;0,L20*-1,0)</f>
        <v>12.99460297454</v>
      </c>
      <c r="AM20" s="135" t="n">
        <f aca="false">AK20+AL20</f>
        <v>59.22460297454</v>
      </c>
      <c r="AN20" s="220" t="n">
        <f aca="false">V20</f>
        <v>18.3</v>
      </c>
      <c r="AO20" s="136" t="n">
        <v>0</v>
      </c>
      <c r="AP20" s="221"/>
      <c r="AV20" s="222" t="n">
        <v>0</v>
      </c>
      <c r="AW20" s="215" t="n">
        <v>50</v>
      </c>
      <c r="AX20" s="215" t="n">
        <v>30</v>
      </c>
      <c r="AY20" s="223"/>
      <c r="AZ20" s="250" t="n">
        <f aca="false">SUM(N20,P20:U20)</f>
        <v>4.33</v>
      </c>
    </row>
    <row r="21" customFormat="false" ht="12.95" hidden="false" customHeight="true" outlineLevel="0" collapsed="false">
      <c r="A21" s="183" t="n">
        <f aca="false">A20+1</f>
        <v>7</v>
      </c>
      <c r="B21" s="106" t="n">
        <v>6871.97</v>
      </c>
      <c r="C21" s="107" t="n">
        <v>193119</v>
      </c>
      <c r="D21" s="215" t="n">
        <f aca="false">C21-C20</f>
        <v>-55</v>
      </c>
      <c r="E21" s="107" t="n">
        <f aca="false">C21-152000</f>
        <v>41119</v>
      </c>
      <c r="F21" s="246" t="n">
        <f aca="false">D21/$D$2</f>
        <v>-27.7287622888833</v>
      </c>
      <c r="G21" s="135" t="n">
        <v>31</v>
      </c>
      <c r="H21" s="247" t="n">
        <v>0</v>
      </c>
      <c r="I21" s="135" t="n">
        <f aca="false">G21+H21</f>
        <v>31</v>
      </c>
      <c r="J21" s="136" t="n">
        <f aca="false">IF(L21&gt;0,L21,0)</f>
        <v>0</v>
      </c>
      <c r="K21" s="135" t="n">
        <f aca="false">I21+J21</f>
        <v>31</v>
      </c>
      <c r="L21" s="135" t="n">
        <f aca="false">F21-(I21-AK21)</f>
        <v>-13.2387622888833</v>
      </c>
      <c r="M21" s="248" t="n">
        <v>3.59</v>
      </c>
      <c r="N21" s="135" t="n">
        <v>0</v>
      </c>
      <c r="O21" s="135" t="n">
        <v>0</v>
      </c>
      <c r="P21" s="158" t="n">
        <v>0</v>
      </c>
      <c r="Q21" s="131" t="n">
        <f aca="false">886700/325851/1.9835*1.02</f>
        <v>1.39934763222699</v>
      </c>
      <c r="R21" s="131" t="n">
        <f aca="false">((2)*1.04)-T21</f>
        <v>1.58270736</v>
      </c>
      <c r="S21" s="131" t="n">
        <v>0</v>
      </c>
      <c r="T21" s="131" t="n">
        <f aca="false">(0.4511*1.06)*1.04</f>
        <v>0.49729264</v>
      </c>
      <c r="U21" s="96" t="n">
        <f aca="false">M21-(Q21+R21+S21+T21)</f>
        <v>0.110652367773008</v>
      </c>
      <c r="V21" s="135" t="n">
        <v>18.3</v>
      </c>
      <c r="W21" s="135" t="n">
        <v>0</v>
      </c>
      <c r="X21" s="135" t="n">
        <f aca="false">M21-N21-P21-O21-Q21-R21-S21-T21-U21+V21+W21</f>
        <v>18.3</v>
      </c>
      <c r="Y21" s="135" t="n">
        <f aca="false">X21-AO21</f>
        <v>18.3</v>
      </c>
      <c r="Z21" s="136"/>
      <c r="AA21" s="135"/>
      <c r="AB21" s="136"/>
      <c r="AC21" s="136" t="n">
        <v>0</v>
      </c>
      <c r="AD21" s="107"/>
      <c r="AE21" s="135" t="n">
        <v>0</v>
      </c>
      <c r="AF21" s="248"/>
      <c r="AG21" s="249"/>
      <c r="AH21" s="135" t="n">
        <v>23.6</v>
      </c>
      <c r="AI21" s="107" t="n">
        <f aca="false">AI20-AH21</f>
        <v>3356.3</v>
      </c>
      <c r="AJ21" s="107"/>
      <c r="AK21" s="134" t="n">
        <f aca="false">N21+O21+P21+Q21+R21+S21+T21+U21+X21+AE21+AH21</f>
        <v>45.49</v>
      </c>
      <c r="AL21" s="135" t="n">
        <f aca="false">IF(L21&lt;0,L21*-1,0)</f>
        <v>13.2387622888833</v>
      </c>
      <c r="AM21" s="135" t="n">
        <f aca="false">AK21+AL21</f>
        <v>58.7287622888833</v>
      </c>
      <c r="AN21" s="220" t="n">
        <f aca="false">V21</f>
        <v>18.3</v>
      </c>
      <c r="AO21" s="136" t="n">
        <v>0</v>
      </c>
      <c r="AP21" s="221"/>
      <c r="AV21" s="222" t="n">
        <v>0</v>
      </c>
      <c r="AW21" s="215" t="n">
        <v>49</v>
      </c>
      <c r="AX21" s="215" t="n">
        <v>27</v>
      </c>
      <c r="AY21" s="223"/>
      <c r="AZ21" s="250" t="n">
        <f aca="false">SUM(N21,P21:U21)</f>
        <v>3.59</v>
      </c>
    </row>
    <row r="22" customFormat="false" ht="12.95" hidden="false" customHeight="true" outlineLevel="0" collapsed="false">
      <c r="A22" s="183" t="n">
        <f aca="false">A21+1</f>
        <v>8</v>
      </c>
      <c r="B22" s="106" t="n">
        <v>6871.95</v>
      </c>
      <c r="C22" s="107" t="n">
        <v>193065</v>
      </c>
      <c r="D22" s="215" t="n">
        <f aca="false">C22-C21</f>
        <v>-54</v>
      </c>
      <c r="E22" s="107" t="n">
        <f aca="false">C22-152000</f>
        <v>41065</v>
      </c>
      <c r="F22" s="246" t="n">
        <f aca="false">D22/$D$2</f>
        <v>-27.22460297454</v>
      </c>
      <c r="G22" s="135" t="n">
        <v>26</v>
      </c>
      <c r="H22" s="247" t="n">
        <v>0</v>
      </c>
      <c r="I22" s="135" t="n">
        <f aca="false">G22+H22</f>
        <v>26</v>
      </c>
      <c r="J22" s="136" t="n">
        <f aca="false">IF(L22&gt;0,L22,0)</f>
        <v>0</v>
      </c>
      <c r="K22" s="135" t="n">
        <f aca="false">I22+J22</f>
        <v>26</v>
      </c>
      <c r="L22" s="135" t="n">
        <f aca="false">F22-(I22-AK22)</f>
        <v>-7.97460297453996</v>
      </c>
      <c r="M22" s="248" t="n">
        <v>3.35</v>
      </c>
      <c r="N22" s="135" t="n">
        <v>0</v>
      </c>
      <c r="O22" s="135" t="n">
        <v>0</v>
      </c>
      <c r="P22" s="158" t="n">
        <v>0</v>
      </c>
      <c r="Q22" s="131" t="n">
        <f aca="false">908300/325851/1.9835*1.02</f>
        <v>1.43343572161021</v>
      </c>
      <c r="R22" s="131" t="n">
        <f aca="false">((2)*1.04)-T22</f>
        <v>1.58270736</v>
      </c>
      <c r="S22" s="131" t="n">
        <v>0</v>
      </c>
      <c r="T22" s="131" t="n">
        <f aca="false">(0.4511*1.06)*1.04</f>
        <v>0.49729264</v>
      </c>
      <c r="U22" s="96" t="n">
        <f aca="false">M22-(Q22+R22+S22+T22)</f>
        <v>-0.163435721610214</v>
      </c>
      <c r="V22" s="135" t="n">
        <v>18.3</v>
      </c>
      <c r="W22" s="135" t="n">
        <v>0</v>
      </c>
      <c r="X22" s="135" t="n">
        <f aca="false">M22-N22-P22-O22-Q22-R22-S22-T22-U22+V22+W22</f>
        <v>18.3</v>
      </c>
      <c r="Y22" s="135" t="n">
        <f aca="false">X22-AO22</f>
        <v>18.3</v>
      </c>
      <c r="Z22" s="136"/>
      <c r="AA22" s="135"/>
      <c r="AB22" s="136"/>
      <c r="AC22" s="136" t="n">
        <v>0</v>
      </c>
      <c r="AD22" s="107"/>
      <c r="AE22" s="135" t="n">
        <v>0</v>
      </c>
      <c r="AF22" s="248"/>
      <c r="AG22" s="249"/>
      <c r="AH22" s="135" t="n">
        <v>23.6</v>
      </c>
      <c r="AI22" s="107" t="n">
        <f aca="false">AI21-AH22</f>
        <v>3332.7</v>
      </c>
      <c r="AJ22" s="107"/>
      <c r="AK22" s="134" t="n">
        <f aca="false">N22+O22+P22+Q22+R22+S22+T22+U22+X22+AE22+AH22</f>
        <v>45.25</v>
      </c>
      <c r="AL22" s="135" t="n">
        <f aca="false">IF(L22&lt;0,L22*-1,0)</f>
        <v>7.97460297453996</v>
      </c>
      <c r="AM22" s="135" t="n">
        <f aca="false">AK22+AL22</f>
        <v>53.22460297454</v>
      </c>
      <c r="AN22" s="220" t="n">
        <f aca="false">V22</f>
        <v>18.3</v>
      </c>
      <c r="AO22" s="136" t="n">
        <v>0</v>
      </c>
      <c r="AP22" s="221"/>
      <c r="AV22" s="222" t="n">
        <v>0</v>
      </c>
      <c r="AW22" s="107" t="n">
        <v>46</v>
      </c>
      <c r="AX22" s="215" t="n">
        <v>23</v>
      </c>
      <c r="AY22" s="223"/>
      <c r="AZ22" s="250" t="n">
        <f aca="false">SUM(N22,P22:U22)</f>
        <v>3.35</v>
      </c>
    </row>
    <row r="23" customFormat="false" ht="12.95" hidden="false" customHeight="true" outlineLevel="0" collapsed="false">
      <c r="A23" s="183" t="n">
        <f aca="false">A22+1</f>
        <v>9</v>
      </c>
      <c r="B23" s="106" t="n">
        <v>6871.93</v>
      </c>
      <c r="C23" s="107" t="n">
        <v>193011</v>
      </c>
      <c r="D23" s="215" t="n">
        <f aca="false">C23-C22</f>
        <v>-54</v>
      </c>
      <c r="E23" s="107" t="n">
        <f aca="false">C23-152000</f>
        <v>41011</v>
      </c>
      <c r="F23" s="246" t="n">
        <f aca="false">D23/$D$2</f>
        <v>-27.22460297454</v>
      </c>
      <c r="G23" s="135" t="n">
        <v>23</v>
      </c>
      <c r="H23" s="247" t="n">
        <v>0</v>
      </c>
      <c r="I23" s="135" t="n">
        <f aca="false">G23+H23</f>
        <v>23</v>
      </c>
      <c r="J23" s="136" t="n">
        <f aca="false">IF(L23&gt;0,L23,0)</f>
        <v>0</v>
      </c>
      <c r="K23" s="135" t="n">
        <f aca="false">I23+J23</f>
        <v>23</v>
      </c>
      <c r="L23" s="135" t="n">
        <f aca="false">F23-(I23-AK23)</f>
        <v>-4.77460297453995</v>
      </c>
      <c r="M23" s="248" t="n">
        <v>3.55</v>
      </c>
      <c r="N23" s="135" t="n">
        <v>0</v>
      </c>
      <c r="O23" s="135" t="n">
        <v>0</v>
      </c>
      <c r="P23" s="158" t="n">
        <v>0</v>
      </c>
      <c r="Q23" s="131" t="n">
        <f aca="false">875300/325851/1.9835*1.02</f>
        <v>1.38135669616362</v>
      </c>
      <c r="R23" s="131" t="n">
        <f aca="false">((2)*1.04)-T23</f>
        <v>1.58270736</v>
      </c>
      <c r="S23" s="131" t="n">
        <v>0</v>
      </c>
      <c r="T23" s="131" t="n">
        <f aca="false">(0.4511*1.06)*1.04</f>
        <v>0.49729264</v>
      </c>
      <c r="U23" s="96" t="n">
        <f aca="false">M23-(Q23+R23+S23+T23)</f>
        <v>0.088643303836375</v>
      </c>
      <c r="V23" s="135" t="n">
        <v>18.3</v>
      </c>
      <c r="W23" s="135" t="n">
        <v>0</v>
      </c>
      <c r="X23" s="135" t="n">
        <f aca="false">M23-N23-P23-O23-Q23-R23-S23-T23-U23+V23+W23</f>
        <v>18.3</v>
      </c>
      <c r="Y23" s="135" t="n">
        <f aca="false">X23-AO23</f>
        <v>18.3</v>
      </c>
      <c r="Z23" s="136"/>
      <c r="AA23" s="135"/>
      <c r="AB23" s="136"/>
      <c r="AC23" s="136" t="n">
        <v>0</v>
      </c>
      <c r="AD23" s="107"/>
      <c r="AE23" s="135" t="n">
        <v>0</v>
      </c>
      <c r="AF23" s="248"/>
      <c r="AG23" s="249"/>
      <c r="AH23" s="135" t="n">
        <v>23.6</v>
      </c>
      <c r="AI23" s="107" t="n">
        <f aca="false">AI22-AH23</f>
        <v>3309.1</v>
      </c>
      <c r="AJ23" s="107"/>
      <c r="AK23" s="134" t="n">
        <f aca="false">N23+O23+P23+Q23+R23+S23+T23+U23+X23+AE23+AH23</f>
        <v>45.45</v>
      </c>
      <c r="AL23" s="135" t="n">
        <f aca="false">IF(L23&lt;0,L23*-1,0)</f>
        <v>4.77460297453995</v>
      </c>
      <c r="AM23" s="135" t="n">
        <f aca="false">AK23+AL23</f>
        <v>50.22460297454</v>
      </c>
      <c r="AN23" s="220" t="n">
        <f aca="false">V23</f>
        <v>18.3</v>
      </c>
      <c r="AO23" s="136" t="n">
        <v>0</v>
      </c>
      <c r="AP23" s="221"/>
      <c r="AV23" s="222" t="n">
        <v>0</v>
      </c>
      <c r="AW23" s="107" t="n">
        <v>31</v>
      </c>
      <c r="AX23" s="215" t="n">
        <v>12</v>
      </c>
      <c r="AY23" s="223"/>
      <c r="AZ23" s="250" t="n">
        <f aca="false">SUM(N23,P23:U23)</f>
        <v>3.55</v>
      </c>
    </row>
    <row r="24" customFormat="false" ht="12.95" hidden="false" customHeight="true" outlineLevel="0" collapsed="false">
      <c r="A24" s="183" t="n">
        <f aca="false">A23+1</f>
        <v>10</v>
      </c>
      <c r="B24" s="106" t="n">
        <v>6871.92</v>
      </c>
      <c r="C24" s="107" t="n">
        <v>192983</v>
      </c>
      <c r="D24" s="215" t="n">
        <f aca="false">C24-C23</f>
        <v>-28</v>
      </c>
      <c r="E24" s="107" t="n">
        <f aca="false">C24-152000</f>
        <v>40983</v>
      </c>
      <c r="F24" s="246" t="n">
        <f aca="false">D24/$D$2</f>
        <v>-14.1164608016133</v>
      </c>
      <c r="G24" s="135" t="n">
        <v>19</v>
      </c>
      <c r="H24" s="247" t="n">
        <v>0</v>
      </c>
      <c r="I24" s="135" t="n">
        <f aca="false">G24+H24</f>
        <v>19</v>
      </c>
      <c r="J24" s="136" t="n">
        <f aca="false">IF(L24&gt;0,L24,0)</f>
        <v>1.99353919838669</v>
      </c>
      <c r="K24" s="135" t="n">
        <f aca="false">I24+J24</f>
        <v>20.9935391983867</v>
      </c>
      <c r="L24" s="135" t="n">
        <f aca="false">F24-(I24-AK24)</f>
        <v>1.99353919838669</v>
      </c>
      <c r="M24" s="248" t="n">
        <v>3.35</v>
      </c>
      <c r="N24" s="135" t="n">
        <v>0</v>
      </c>
      <c r="O24" s="135" t="n">
        <v>0</v>
      </c>
      <c r="P24" s="158" t="n">
        <v>0</v>
      </c>
      <c r="Q24" s="131" t="n">
        <f aca="false">1027100/325851/1.9835*1.02</f>
        <v>1.62092021321794</v>
      </c>
      <c r="R24" s="131" t="n">
        <f aca="false">((2)*1.04)-T24</f>
        <v>1.58270736</v>
      </c>
      <c r="S24" s="131" t="n">
        <v>0</v>
      </c>
      <c r="T24" s="131" t="n">
        <f aca="false">(0.4511*1.06)*1.04</f>
        <v>0.49729264</v>
      </c>
      <c r="U24" s="96" t="n">
        <f aca="false">M24-(Q24+R24+S24+T24)</f>
        <v>-0.350920213217935</v>
      </c>
      <c r="V24" s="135" t="n">
        <v>8.16</v>
      </c>
      <c r="W24" s="135" t="n">
        <v>0</v>
      </c>
      <c r="X24" s="135" t="n">
        <f aca="false">M24-N24-P24-O24-Q24-R24-S24-T24-U24+V24+W24</f>
        <v>8.16</v>
      </c>
      <c r="Y24" s="135" t="n">
        <f aca="false">X24-AO24</f>
        <v>8.16</v>
      </c>
      <c r="Z24" s="136"/>
      <c r="AA24" s="135"/>
      <c r="AB24" s="136"/>
      <c r="AC24" s="136" t="n">
        <v>0</v>
      </c>
      <c r="AD24" s="107"/>
      <c r="AE24" s="135" t="n">
        <v>0</v>
      </c>
      <c r="AF24" s="248"/>
      <c r="AG24" s="249"/>
      <c r="AH24" s="135" t="n">
        <v>23.6</v>
      </c>
      <c r="AI24" s="107" t="n">
        <f aca="false">AI23-AH24</f>
        <v>3285.5</v>
      </c>
      <c r="AJ24" s="107"/>
      <c r="AK24" s="134" t="n">
        <f aca="false">N24+O24+P24+Q24+R24+S24+T24+U24+X24+AE24+AH24</f>
        <v>35.11</v>
      </c>
      <c r="AL24" s="135" t="n">
        <f aca="false">IF(L24&lt;0,L24*-1,0)</f>
        <v>0</v>
      </c>
      <c r="AM24" s="135" t="n">
        <f aca="false">AK24+AL24</f>
        <v>35.11</v>
      </c>
      <c r="AN24" s="220" t="n">
        <f aca="false">V24</f>
        <v>8.16</v>
      </c>
      <c r="AO24" s="136" t="n">
        <v>0</v>
      </c>
      <c r="AP24" s="221"/>
      <c r="AV24" s="222" t="n">
        <v>0</v>
      </c>
      <c r="AW24" s="107" t="n">
        <v>33</v>
      </c>
      <c r="AX24" s="215" t="n">
        <v>10</v>
      </c>
      <c r="AY24" s="223"/>
      <c r="AZ24" s="250" t="n">
        <f aca="false">SUM(N24,P24:U24)</f>
        <v>3.35</v>
      </c>
    </row>
    <row r="25" customFormat="false" ht="12.95" hidden="false" customHeight="true" outlineLevel="0" collapsed="false">
      <c r="A25" s="183" t="n">
        <f aca="false">A24+1</f>
        <v>11</v>
      </c>
      <c r="B25" s="106" t="n">
        <v>6871.91</v>
      </c>
      <c r="C25" s="107" t="n">
        <v>192956</v>
      </c>
      <c r="D25" s="215" t="n">
        <f aca="false">C25-C24</f>
        <v>-27</v>
      </c>
      <c r="E25" s="107" t="n">
        <f aca="false">C25-152000</f>
        <v>40956</v>
      </c>
      <c r="F25" s="246" t="n">
        <f aca="false">D25/$D$2</f>
        <v>-13.61230148727</v>
      </c>
      <c r="G25" s="135" t="n">
        <v>19</v>
      </c>
      <c r="H25" s="247" t="n">
        <v>0</v>
      </c>
      <c r="I25" s="135" t="n">
        <f aca="false">G25+H25</f>
        <v>19</v>
      </c>
      <c r="J25" s="136" t="n">
        <f aca="false">IF(L25&gt;0,L25,0)</f>
        <v>0</v>
      </c>
      <c r="K25" s="135" t="n">
        <f aca="false">I25+J25</f>
        <v>19</v>
      </c>
      <c r="L25" s="135" t="n">
        <f aca="false">F25-(I25-AK25)</f>
        <v>-4.12230148726998</v>
      </c>
      <c r="M25" s="248" t="n">
        <v>3.69</v>
      </c>
      <c r="N25" s="135" t="n">
        <v>0</v>
      </c>
      <c r="O25" s="135" t="n">
        <v>0</v>
      </c>
      <c r="P25" s="158" t="n">
        <v>0</v>
      </c>
      <c r="Q25" s="131" t="n">
        <f aca="false">828500/325851/1.9835*1.02</f>
        <v>1.30749916916664</v>
      </c>
      <c r="R25" s="131" t="n">
        <f aca="false">((2)*1.04)-T25</f>
        <v>1.58270736</v>
      </c>
      <c r="S25" s="131" t="n">
        <v>0</v>
      </c>
      <c r="T25" s="131" t="n">
        <f aca="false">(0.4511*1.06)*1.04</f>
        <v>0.49729264</v>
      </c>
      <c r="U25" s="96" t="n">
        <f aca="false">M25-(Q25+R25+S25+T25)</f>
        <v>0.302500830833356</v>
      </c>
      <c r="V25" s="135" t="n">
        <v>0</v>
      </c>
      <c r="W25" s="135" t="n">
        <v>0</v>
      </c>
      <c r="X25" s="135" t="n">
        <f aca="false">M25-N25-P25-O25-Q25-R25-S25-T25-U25+V25+W25</f>
        <v>0</v>
      </c>
      <c r="Y25" s="135" t="n">
        <f aca="false">X25-AO25</f>
        <v>0</v>
      </c>
      <c r="Z25" s="136"/>
      <c r="AA25" s="135"/>
      <c r="AB25" s="136"/>
      <c r="AC25" s="136" t="n">
        <v>0</v>
      </c>
      <c r="AD25" s="107"/>
      <c r="AE25" s="135" t="n">
        <v>0</v>
      </c>
      <c r="AF25" s="248"/>
      <c r="AG25" s="249"/>
      <c r="AH25" s="135" t="n">
        <v>24.8</v>
      </c>
      <c r="AI25" s="107" t="n">
        <f aca="false">AI24-AH25</f>
        <v>3260.7</v>
      </c>
      <c r="AJ25" s="107"/>
      <c r="AK25" s="134" t="n">
        <f aca="false">N25+O25+P25+Q25+R25+S25+T25+U25+X25+AE25+AH25</f>
        <v>28.49</v>
      </c>
      <c r="AL25" s="135" t="n">
        <f aca="false">IF(L25&lt;0,L25*-1,0)</f>
        <v>4.12230148726998</v>
      </c>
      <c r="AM25" s="135" t="n">
        <f aca="false">AK25+AL25</f>
        <v>32.61230148727</v>
      </c>
      <c r="AN25" s="220" t="n">
        <f aca="false">V25</f>
        <v>0</v>
      </c>
      <c r="AO25" s="136" t="n">
        <v>0</v>
      </c>
      <c r="AP25" s="221"/>
      <c r="AV25" s="222" t="n">
        <v>0</v>
      </c>
      <c r="AW25" s="107" t="n">
        <v>37</v>
      </c>
      <c r="AX25" s="215" t="n">
        <v>3</v>
      </c>
      <c r="AY25" s="223"/>
      <c r="AZ25" s="250" t="n">
        <f aca="false">SUM(N25,P25:U25)</f>
        <v>3.69</v>
      </c>
    </row>
    <row r="26" customFormat="false" ht="12.95" hidden="false" customHeight="true" outlineLevel="0" collapsed="false">
      <c r="A26" s="183" t="n">
        <f aca="false">A25+1</f>
        <v>12</v>
      </c>
      <c r="B26" s="106" t="n">
        <v>6871.9</v>
      </c>
      <c r="C26" s="107" t="n">
        <v>192929</v>
      </c>
      <c r="D26" s="215" t="n">
        <f aca="false">C26-C25</f>
        <v>-27</v>
      </c>
      <c r="E26" s="107" t="n">
        <f aca="false">C26-152000</f>
        <v>40929</v>
      </c>
      <c r="F26" s="246" t="n">
        <f aca="false">D26/$D$2</f>
        <v>-13.61230148727</v>
      </c>
      <c r="G26" s="135" t="n">
        <v>22</v>
      </c>
      <c r="H26" s="247" t="n">
        <v>0</v>
      </c>
      <c r="I26" s="135" t="n">
        <f aca="false">G26+H26</f>
        <v>22</v>
      </c>
      <c r="J26" s="136" t="n">
        <f aca="false">IF(L26&gt;0,L26,0)</f>
        <v>0</v>
      </c>
      <c r="K26" s="135" t="n">
        <f aca="false">I26+J26</f>
        <v>22</v>
      </c>
      <c r="L26" s="135" t="n">
        <f aca="false">F26-(I26-AK26)</f>
        <v>-5.26230148726998</v>
      </c>
      <c r="M26" s="248" t="n">
        <v>3.55</v>
      </c>
      <c r="N26" s="135" t="n">
        <v>0</v>
      </c>
      <c r="O26" s="135" t="n">
        <v>0</v>
      </c>
      <c r="P26" s="158" t="n">
        <v>0</v>
      </c>
      <c r="Q26" s="131" t="n">
        <f aca="false">838700/325851/1.9835*1.02</f>
        <v>1.3235963224865</v>
      </c>
      <c r="R26" s="131" t="n">
        <f aca="false">((2)*1.04)-T26</f>
        <v>1.58270736</v>
      </c>
      <c r="S26" s="131" t="n">
        <v>0</v>
      </c>
      <c r="T26" s="131" t="n">
        <f aca="false">(0.4511*1.06)*1.04</f>
        <v>0.49729264</v>
      </c>
      <c r="U26" s="96" t="n">
        <f aca="false">M26-(Q26+R26+S26+T26)</f>
        <v>0.146403677513501</v>
      </c>
      <c r="V26" s="135" t="n">
        <v>0</v>
      </c>
      <c r="W26" s="135" t="n">
        <v>0</v>
      </c>
      <c r="X26" s="135" t="n">
        <f aca="false">M26-N26-P26-O26-Q26-R26-S26-T26-U26+V26+W26</f>
        <v>0</v>
      </c>
      <c r="Y26" s="135" t="n">
        <f aca="false">X26-AO26</f>
        <v>0</v>
      </c>
      <c r="Z26" s="136"/>
      <c r="AA26" s="135"/>
      <c r="AB26" s="136"/>
      <c r="AC26" s="136" t="n">
        <v>0</v>
      </c>
      <c r="AD26" s="107"/>
      <c r="AE26" s="135" t="n">
        <v>0</v>
      </c>
      <c r="AF26" s="248"/>
      <c r="AG26" s="249"/>
      <c r="AH26" s="135" t="n">
        <v>26.8</v>
      </c>
      <c r="AI26" s="107" t="n">
        <f aca="false">AI25-AH26</f>
        <v>3233.9</v>
      </c>
      <c r="AJ26" s="107"/>
      <c r="AK26" s="134" t="n">
        <f aca="false">N26+O26+P26+Q26+R26+S26+T26+U26+X26+AE26+AH26</f>
        <v>30.35</v>
      </c>
      <c r="AL26" s="135" t="n">
        <f aca="false">IF(L26&lt;0,L26*-1,0)</f>
        <v>5.26230148726998</v>
      </c>
      <c r="AM26" s="135" t="n">
        <f aca="false">AK26+AL26</f>
        <v>35.61230148727</v>
      </c>
      <c r="AN26" s="220" t="n">
        <f aca="false">V26</f>
        <v>0</v>
      </c>
      <c r="AO26" s="136" t="n">
        <v>0</v>
      </c>
      <c r="AP26" s="221"/>
      <c r="AV26" s="222" t="n">
        <v>0</v>
      </c>
      <c r="AW26" s="107" t="n">
        <v>40</v>
      </c>
      <c r="AX26" s="215" t="n">
        <v>7</v>
      </c>
      <c r="AY26" s="223"/>
      <c r="AZ26" s="250" t="n">
        <f aca="false">SUM(N26,P26:U26)</f>
        <v>3.55</v>
      </c>
    </row>
    <row r="27" customFormat="false" ht="12.95" hidden="false" customHeight="true" outlineLevel="0" collapsed="false">
      <c r="A27" s="183" t="n">
        <f aca="false">A26+1</f>
        <v>13</v>
      </c>
      <c r="B27" s="106" t="n">
        <v>6871.89</v>
      </c>
      <c r="C27" s="107" t="n">
        <v>192902</v>
      </c>
      <c r="D27" s="215" t="n">
        <f aca="false">C27-C26</f>
        <v>-27</v>
      </c>
      <c r="E27" s="107" t="n">
        <f aca="false">C27-152000</f>
        <v>40902</v>
      </c>
      <c r="F27" s="246" t="n">
        <f aca="false">D27/$D$2</f>
        <v>-13.61230148727</v>
      </c>
      <c r="G27" s="135" t="n">
        <v>24</v>
      </c>
      <c r="H27" s="247" t="n">
        <v>0</v>
      </c>
      <c r="I27" s="135" t="n">
        <f aca="false">G27+H27</f>
        <v>24</v>
      </c>
      <c r="J27" s="136" t="n">
        <f aca="false">IF(L27&gt;0,L27,0)</f>
        <v>0</v>
      </c>
      <c r="K27" s="135" t="n">
        <f aca="false">I27+J27</f>
        <v>24</v>
      </c>
      <c r="L27" s="135" t="n">
        <f aca="false">F27-(I27-AK27)</f>
        <v>-7.06230148726998</v>
      </c>
      <c r="M27" s="248" t="n">
        <v>3.75</v>
      </c>
      <c r="N27" s="135" t="n">
        <v>0</v>
      </c>
      <c r="O27" s="135" t="n">
        <v>0</v>
      </c>
      <c r="P27" s="158" t="n">
        <v>0</v>
      </c>
      <c r="Q27" s="131" t="n">
        <f aca="false">967800/325851/1.9835*1.02</f>
        <v>1.5273357826427</v>
      </c>
      <c r="R27" s="131" t="n">
        <f aca="false">((2)*1.04)-T27</f>
        <v>1.58270736</v>
      </c>
      <c r="S27" s="131" t="n">
        <v>0</v>
      </c>
      <c r="T27" s="131" t="n">
        <f aca="false">(0.4511*1.06)*1.04</f>
        <v>0.49729264</v>
      </c>
      <c r="U27" s="96" t="n">
        <f aca="false">M27-(Q27+R27+S27+T27)</f>
        <v>0.142664217357299</v>
      </c>
      <c r="V27" s="135" t="n">
        <v>0</v>
      </c>
      <c r="W27" s="135" t="n">
        <v>0</v>
      </c>
      <c r="X27" s="135" t="n">
        <f aca="false">M27-N27-P27-O27-Q27-R27-S27-T27-U27+V27+W27</f>
        <v>0</v>
      </c>
      <c r="Y27" s="135" t="n">
        <f aca="false">X27-AO27</f>
        <v>0</v>
      </c>
      <c r="Z27" s="136"/>
      <c r="AA27" s="135"/>
      <c r="AB27" s="136"/>
      <c r="AC27" s="136" t="n">
        <v>0</v>
      </c>
      <c r="AD27" s="107"/>
      <c r="AE27" s="135" t="n">
        <v>0</v>
      </c>
      <c r="AF27" s="248"/>
      <c r="AG27" s="249"/>
      <c r="AH27" s="135" t="n">
        <v>26.8</v>
      </c>
      <c r="AI27" s="107" t="n">
        <f aca="false">AI26-AH27</f>
        <v>3207.1</v>
      </c>
      <c r="AJ27" s="107"/>
      <c r="AK27" s="134" t="n">
        <f aca="false">N27+O27+P27+Q27+R27+S27+T27+U27+X27+AE27+AH27</f>
        <v>30.55</v>
      </c>
      <c r="AL27" s="135" t="n">
        <f aca="false">IF(L27&lt;0,L27*-1,0)</f>
        <v>7.06230148726998</v>
      </c>
      <c r="AM27" s="135" t="n">
        <f aca="false">AK27+AL27</f>
        <v>37.61230148727</v>
      </c>
      <c r="AN27" s="220" t="n">
        <f aca="false">V27</f>
        <v>0</v>
      </c>
      <c r="AO27" s="136" t="n">
        <v>0</v>
      </c>
      <c r="AP27" s="221"/>
      <c r="AV27" s="222" t="n">
        <v>0</v>
      </c>
      <c r="AW27" s="107" t="n">
        <v>50</v>
      </c>
      <c r="AX27" s="215" t="n">
        <v>28</v>
      </c>
      <c r="AY27" s="223"/>
      <c r="AZ27" s="250" t="n">
        <f aca="false">SUM(N27,P27:U27)</f>
        <v>3.75</v>
      </c>
    </row>
    <row r="28" customFormat="false" ht="12.95" hidden="false" customHeight="true" outlineLevel="0" collapsed="false">
      <c r="A28" s="183" t="n">
        <f aca="false">A27+1</f>
        <v>14</v>
      </c>
      <c r="B28" s="106" t="n">
        <v>6871.9</v>
      </c>
      <c r="C28" s="107" t="n">
        <v>192929</v>
      </c>
      <c r="D28" s="215" t="n">
        <f aca="false">C28-C27</f>
        <v>27</v>
      </c>
      <c r="E28" s="107" t="n">
        <f aca="false">C28-152000</f>
        <v>40929</v>
      </c>
      <c r="F28" s="246" t="n">
        <f aca="false">D28/$D$2</f>
        <v>13.61230148727</v>
      </c>
      <c r="G28" s="135" t="n">
        <v>24</v>
      </c>
      <c r="H28" s="247" t="n">
        <v>0</v>
      </c>
      <c r="I28" s="135" t="n">
        <f aca="false">G28+H28</f>
        <v>24</v>
      </c>
      <c r="J28" s="136" t="n">
        <f aca="false">IF(L28&gt;0,L28,0)</f>
        <v>19.96230148727</v>
      </c>
      <c r="K28" s="135" t="n">
        <f aca="false">I28+J28</f>
        <v>43.96230148727</v>
      </c>
      <c r="L28" s="135" t="n">
        <f aca="false">F28-(I28-AK28)</f>
        <v>19.96230148727</v>
      </c>
      <c r="M28" s="248" t="n">
        <v>3.55</v>
      </c>
      <c r="N28" s="135" t="n">
        <v>0</v>
      </c>
      <c r="O28" s="135" t="n">
        <v>0</v>
      </c>
      <c r="P28" s="158" t="n">
        <v>0</v>
      </c>
      <c r="Q28" s="131" t="n">
        <f aca="false">811900/325851/1.9835*1.02</f>
        <v>1.28130184121472</v>
      </c>
      <c r="R28" s="131" t="n">
        <f aca="false">((2)*1.04)-T28</f>
        <v>1.48106608</v>
      </c>
      <c r="S28" s="131" t="n">
        <v>0</v>
      </c>
      <c r="T28" s="131" t="n">
        <f aca="false">(0.5433*1.06)*1.04</f>
        <v>0.59893392</v>
      </c>
      <c r="U28" s="96" t="n">
        <f aca="false">M28-(Q28+R28+S28+T28)</f>
        <v>0.188698158785277</v>
      </c>
      <c r="V28" s="135" t="n">
        <v>0</v>
      </c>
      <c r="W28" s="135" t="n">
        <v>0</v>
      </c>
      <c r="X28" s="135" t="n">
        <f aca="false">M28-N28-P28-O28-Q28-R28-S28-T28-U28+V28+W28</f>
        <v>0</v>
      </c>
      <c r="Y28" s="135" t="n">
        <f aca="false">X28-AO28</f>
        <v>0</v>
      </c>
      <c r="Z28" s="136"/>
      <c r="AA28" s="135"/>
      <c r="AB28" s="136"/>
      <c r="AC28" s="136" t="n">
        <v>0</v>
      </c>
      <c r="AD28" s="107"/>
      <c r="AE28" s="135" t="n">
        <v>0</v>
      </c>
      <c r="AF28" s="248"/>
      <c r="AG28" s="249"/>
      <c r="AH28" s="135" t="n">
        <v>26.8</v>
      </c>
      <c r="AI28" s="107" t="n">
        <f aca="false">AI27-AH28</f>
        <v>3180.3</v>
      </c>
      <c r="AJ28" s="107"/>
      <c r="AK28" s="134" t="n">
        <f aca="false">N28+O28+P28+Q28+R28+S28+T28+U28+X28+AE28+AH28</f>
        <v>30.35</v>
      </c>
      <c r="AL28" s="135" t="n">
        <f aca="false">IF(L28&lt;0,L28*-1,0)</f>
        <v>0</v>
      </c>
      <c r="AM28" s="135" t="n">
        <f aca="false">AK28+AL28</f>
        <v>30.35</v>
      </c>
      <c r="AN28" s="220" t="n">
        <f aca="false">V28</f>
        <v>0</v>
      </c>
      <c r="AO28" s="136" t="n">
        <v>0</v>
      </c>
      <c r="AP28" s="221"/>
      <c r="AV28" s="222" t="n">
        <v>0.67</v>
      </c>
      <c r="AW28" s="107" t="n">
        <v>42</v>
      </c>
      <c r="AX28" s="215" t="n">
        <v>27</v>
      </c>
      <c r="AY28" s="223"/>
      <c r="AZ28" s="250" t="n">
        <f aca="false">SUM(N28,P28:U28)</f>
        <v>3.55</v>
      </c>
    </row>
    <row r="29" customFormat="false" ht="12.95" hidden="false" customHeight="true" outlineLevel="0" collapsed="false">
      <c r="A29" s="183" t="n">
        <f aca="false">A28+1</f>
        <v>15</v>
      </c>
      <c r="B29" s="106" t="n">
        <v>6871.94</v>
      </c>
      <c r="C29" s="107" t="n">
        <v>193038</v>
      </c>
      <c r="D29" s="215" t="n">
        <f aca="false">C29-C28</f>
        <v>109</v>
      </c>
      <c r="E29" s="107" t="n">
        <f aca="false">C29-152000</f>
        <v>41038</v>
      </c>
      <c r="F29" s="246" t="n">
        <f aca="false">D29/$D$2</f>
        <v>54.9533652634232</v>
      </c>
      <c r="G29" s="135" t="n">
        <v>25</v>
      </c>
      <c r="H29" s="247" t="n">
        <v>0</v>
      </c>
      <c r="I29" s="135" t="n">
        <f aca="false">G29+H29</f>
        <v>25</v>
      </c>
      <c r="J29" s="136" t="n">
        <f aca="false">IF(L29&gt;0,L29,0)</f>
        <v>70.6033652634233</v>
      </c>
      <c r="K29" s="135" t="n">
        <f aca="false">I29+J29</f>
        <v>95.6033652634233</v>
      </c>
      <c r="L29" s="135" t="n">
        <f aca="false">F29-(I29-AK29)</f>
        <v>70.6033652634233</v>
      </c>
      <c r="M29" s="248" t="n">
        <v>3.55</v>
      </c>
      <c r="N29" s="135" t="n">
        <v>0</v>
      </c>
      <c r="O29" s="135" t="n">
        <v>0</v>
      </c>
      <c r="P29" s="158" t="n">
        <v>0</v>
      </c>
      <c r="Q29" s="131" t="n">
        <f aca="false">857600/325851/1.9835*1.02</f>
        <v>1.35342340069682</v>
      </c>
      <c r="R29" s="131" t="n">
        <f aca="false">((2)*1.04)-T29</f>
        <v>1.48106608</v>
      </c>
      <c r="S29" s="131" t="n">
        <v>0</v>
      </c>
      <c r="T29" s="131" t="n">
        <f aca="false">(0.5433*1.06)*1.04</f>
        <v>0.59893392</v>
      </c>
      <c r="U29" s="96" t="n">
        <f aca="false">M29-(Q29+R29+S29+T29)</f>
        <v>0.116576599303182</v>
      </c>
      <c r="V29" s="135" t="n">
        <v>10.3</v>
      </c>
      <c r="W29" s="135" t="n">
        <v>0</v>
      </c>
      <c r="X29" s="135" t="n">
        <f aca="false">M29-N29-P29-O29-Q29-R29-S29-T29-U29+V29+W29</f>
        <v>10.3</v>
      </c>
      <c r="Y29" s="135" t="n">
        <f aca="false">X29-AO29</f>
        <v>10.3</v>
      </c>
      <c r="Z29" s="136"/>
      <c r="AA29" s="135"/>
      <c r="AB29" s="136"/>
      <c r="AC29" s="136" t="n">
        <v>27.7</v>
      </c>
      <c r="AD29" s="107"/>
      <c r="AE29" s="135" t="n">
        <v>0</v>
      </c>
      <c r="AF29" s="248"/>
      <c r="AG29" s="249"/>
      <c r="AH29" s="135" t="n">
        <v>26.8</v>
      </c>
      <c r="AI29" s="107" t="n">
        <f aca="false">AI28-AH29</f>
        <v>3153.5</v>
      </c>
      <c r="AJ29" s="107"/>
      <c r="AK29" s="134" t="n">
        <f aca="false">N29+O29+P29+Q29+R29+S29+T29+U29+X29+AE29+AH29</f>
        <v>40.65</v>
      </c>
      <c r="AL29" s="135" t="n">
        <f aca="false">IF(L29&lt;0,L29*-1,0)</f>
        <v>0</v>
      </c>
      <c r="AM29" s="135" t="n">
        <f aca="false">AK29+AL29</f>
        <v>40.65</v>
      </c>
      <c r="AN29" s="220" t="n">
        <f aca="false">V29</f>
        <v>10.3</v>
      </c>
      <c r="AO29" s="136" t="n">
        <v>0</v>
      </c>
      <c r="AP29" s="221"/>
      <c r="AV29" s="222" t="n">
        <v>0.343</v>
      </c>
      <c r="AW29" s="107" t="n">
        <v>34</v>
      </c>
      <c r="AX29" s="215" t="n">
        <v>25</v>
      </c>
      <c r="AY29" s="223"/>
      <c r="AZ29" s="250" t="n">
        <f aca="false">SUM(N29,P29:U29)</f>
        <v>3.55</v>
      </c>
    </row>
    <row r="30" customFormat="false" ht="12.95" hidden="false" customHeight="true" outlineLevel="0" collapsed="false">
      <c r="A30" s="183" t="n">
        <f aca="false">A29+1</f>
        <v>16</v>
      </c>
      <c r="B30" s="106" t="n">
        <v>6871.92</v>
      </c>
      <c r="C30" s="107" t="n">
        <v>192983</v>
      </c>
      <c r="D30" s="215" t="n">
        <f aca="false">C30-C29</f>
        <v>-55</v>
      </c>
      <c r="E30" s="107" t="n">
        <f aca="false">C30-152000</f>
        <v>40983</v>
      </c>
      <c r="F30" s="246" t="n">
        <f aca="false">D30/$D$2</f>
        <v>-27.7287622888833</v>
      </c>
      <c r="G30" s="135" t="n">
        <v>26</v>
      </c>
      <c r="H30" s="247" t="n">
        <v>0</v>
      </c>
      <c r="I30" s="135" t="n">
        <f aca="false">G30+H30</f>
        <v>26</v>
      </c>
      <c r="J30" s="136" t="n">
        <f aca="false">IF(L30&gt;0,L30,0)</f>
        <v>0</v>
      </c>
      <c r="K30" s="135" t="n">
        <f aca="false">I30+J30</f>
        <v>26</v>
      </c>
      <c r="L30" s="135" t="n">
        <f aca="false">F30-(I30-AK30)</f>
        <v>-5.20876228888329</v>
      </c>
      <c r="M30" s="248" t="n">
        <v>3.42</v>
      </c>
      <c r="N30" s="135" t="n">
        <v>0</v>
      </c>
      <c r="O30" s="135" t="n">
        <v>0</v>
      </c>
      <c r="P30" s="158" t="n">
        <v>0</v>
      </c>
      <c r="Q30" s="131" t="n">
        <f aca="false">830600/325851/1.9835*1.02</f>
        <v>1.31081328896779</v>
      </c>
      <c r="R30" s="131" t="n">
        <f aca="false">((2)*1.04)-T30</f>
        <v>1.48106608</v>
      </c>
      <c r="S30" s="131" t="n">
        <v>0</v>
      </c>
      <c r="T30" s="131" t="n">
        <f aca="false">(0.5433*1.06)*1.04</f>
        <v>0.59893392</v>
      </c>
      <c r="U30" s="96" t="n">
        <f aca="false">M30-(Q30+R30+S30+T30)</f>
        <v>0.0291867110322097</v>
      </c>
      <c r="V30" s="135" t="n">
        <v>18.3</v>
      </c>
      <c r="W30" s="135" t="n">
        <v>0</v>
      </c>
      <c r="X30" s="135" t="n">
        <f aca="false">M30-N30-P30-O30-Q30-R30-S30-T30-U30+V30+W30</f>
        <v>18.3</v>
      </c>
      <c r="Y30" s="135" t="n">
        <f aca="false">X30-AO30</f>
        <v>18.3</v>
      </c>
      <c r="Z30" s="136"/>
      <c r="AA30" s="135"/>
      <c r="AB30" s="136"/>
      <c r="AC30" s="136" t="n">
        <v>0</v>
      </c>
      <c r="AD30" s="107"/>
      <c r="AE30" s="135" t="n">
        <v>0</v>
      </c>
      <c r="AF30" s="248"/>
      <c r="AG30" s="249"/>
      <c r="AH30" s="135" t="n">
        <v>26.8</v>
      </c>
      <c r="AI30" s="107" t="n">
        <f aca="false">AI29-AH30</f>
        <v>3126.7</v>
      </c>
      <c r="AJ30" s="107"/>
      <c r="AK30" s="134" t="n">
        <f aca="false">N30+O30+P30+Q30+R30+S30+T30+U30+X30+AE30+AH30</f>
        <v>48.52</v>
      </c>
      <c r="AL30" s="135" t="n">
        <f aca="false">IF(L30&lt;0,L30*-1,0)</f>
        <v>5.20876228888329</v>
      </c>
      <c r="AM30" s="135" t="n">
        <f aca="false">AK30+AL30</f>
        <v>53.7287622888833</v>
      </c>
      <c r="AN30" s="220" t="n">
        <f aca="false">V30</f>
        <v>18.3</v>
      </c>
      <c r="AO30" s="136" t="n">
        <v>0</v>
      </c>
      <c r="AP30" s="221"/>
      <c r="AV30" s="222" t="n">
        <v>0</v>
      </c>
      <c r="AW30" s="107" t="n">
        <v>31</v>
      </c>
      <c r="AX30" s="215" t="n">
        <v>19</v>
      </c>
      <c r="AY30" s="223"/>
      <c r="AZ30" s="250" t="n">
        <f aca="false">SUM(N30,P30:U30)</f>
        <v>3.42</v>
      </c>
    </row>
    <row r="31" customFormat="false" ht="12.95" hidden="false" customHeight="true" outlineLevel="0" collapsed="false">
      <c r="A31" s="183" t="n">
        <f aca="false">A30+1</f>
        <v>17</v>
      </c>
      <c r="B31" s="106" t="n">
        <v>6871.89</v>
      </c>
      <c r="C31" s="107" t="n">
        <v>192902</v>
      </c>
      <c r="D31" s="215" t="n">
        <f aca="false">C31-C30</f>
        <v>-81</v>
      </c>
      <c r="E31" s="107" t="n">
        <f aca="false">C31-152000</f>
        <v>40902</v>
      </c>
      <c r="F31" s="246" t="n">
        <f aca="false">D31/$D$2</f>
        <v>-40.8369044618099</v>
      </c>
      <c r="G31" s="135" t="n">
        <v>27</v>
      </c>
      <c r="H31" s="247" t="n">
        <v>0</v>
      </c>
      <c r="I31" s="135" t="n">
        <f aca="false">G31+H31</f>
        <v>27</v>
      </c>
      <c r="J31" s="136" t="n">
        <f aca="false">IF(L31&gt;0,L31,0)</f>
        <v>0</v>
      </c>
      <c r="K31" s="135" t="n">
        <f aca="false">I31+J31</f>
        <v>27</v>
      </c>
      <c r="L31" s="135" t="n">
        <f aca="false">F31-(I31-AK31)</f>
        <v>-19.6469044618099</v>
      </c>
      <c r="M31" s="248" t="n">
        <v>3.09</v>
      </c>
      <c r="N31" s="135" t="n">
        <v>0</v>
      </c>
      <c r="O31" s="135" t="n">
        <v>0</v>
      </c>
      <c r="P31" s="158" t="n">
        <v>0</v>
      </c>
      <c r="Q31" s="131" t="n">
        <f aca="false">850500/325851/1.9835*1.02</f>
        <v>1.34221851946437</v>
      </c>
      <c r="R31" s="131" t="n">
        <f aca="false">((2)*1.04)-T31</f>
        <v>1.48106608</v>
      </c>
      <c r="S31" s="131" t="n">
        <v>0</v>
      </c>
      <c r="T31" s="131" t="n">
        <f aca="false">(0.5433*1.06)*1.04</f>
        <v>0.59893392</v>
      </c>
      <c r="U31" s="96" t="n">
        <f aca="false">M31-(Q31+R31+S31+T31)</f>
        <v>-0.33221851946437</v>
      </c>
      <c r="V31" s="135" t="n">
        <v>18.3</v>
      </c>
      <c r="W31" s="135" t="n">
        <v>0</v>
      </c>
      <c r="X31" s="135" t="n">
        <f aca="false">M31-N31-P31-O31-Q31-R31-S31-T31-U31+V31+W31</f>
        <v>18.3</v>
      </c>
      <c r="Y31" s="135" t="n">
        <f aca="false">X31-AO31</f>
        <v>18.3</v>
      </c>
      <c r="Z31" s="136"/>
      <c r="AA31" s="135"/>
      <c r="AB31" s="136"/>
      <c r="AC31" s="136" t="n">
        <v>0</v>
      </c>
      <c r="AD31" s="107"/>
      <c r="AE31" s="135" t="n">
        <v>0</v>
      </c>
      <c r="AF31" s="248"/>
      <c r="AG31" s="249"/>
      <c r="AH31" s="135" t="n">
        <v>26.8</v>
      </c>
      <c r="AI31" s="107" t="n">
        <f aca="false">AI30-AH31</f>
        <v>3099.9</v>
      </c>
      <c r="AJ31" s="107"/>
      <c r="AK31" s="134" t="n">
        <f aca="false">N31+O31+P31+Q31+R31+S31+T31+U31+X31+AE31+AH31</f>
        <v>48.19</v>
      </c>
      <c r="AL31" s="135" t="n">
        <f aca="false">IF(L31&lt;0,L31*-1,0)</f>
        <v>19.6469044618099</v>
      </c>
      <c r="AM31" s="135" t="n">
        <f aca="false">AK31+AL31</f>
        <v>67.8369044618099</v>
      </c>
      <c r="AN31" s="220" t="n">
        <f aca="false">V31</f>
        <v>18.3</v>
      </c>
      <c r="AO31" s="136" t="n">
        <v>0</v>
      </c>
      <c r="AP31" s="221"/>
      <c r="AV31" s="222" t="n">
        <v>0</v>
      </c>
      <c r="AW31" s="107" t="n">
        <v>36</v>
      </c>
      <c r="AX31" s="215" t="n">
        <v>22</v>
      </c>
      <c r="AY31" s="223"/>
      <c r="AZ31" s="250" t="n">
        <f aca="false">SUM(N31,P31:U31)</f>
        <v>3.09</v>
      </c>
    </row>
    <row r="32" customFormat="false" ht="12.95" hidden="false" customHeight="true" outlineLevel="0" collapsed="false">
      <c r="A32" s="183" t="n">
        <f aca="false">A31+1</f>
        <v>18</v>
      </c>
      <c r="B32" s="106" t="n">
        <v>6871.86</v>
      </c>
      <c r="C32" s="107" t="n">
        <v>192820</v>
      </c>
      <c r="D32" s="215" t="n">
        <f aca="false">C32-C31</f>
        <v>-82</v>
      </c>
      <c r="E32" s="107" t="n">
        <f aca="false">C32-152000</f>
        <v>40820</v>
      </c>
      <c r="F32" s="246" t="n">
        <f aca="false">D32/$D$2</f>
        <v>-41.3410637761533</v>
      </c>
      <c r="G32" s="135" t="n">
        <v>26</v>
      </c>
      <c r="H32" s="247" t="n">
        <v>0</v>
      </c>
      <c r="I32" s="135" t="n">
        <f aca="false">G32+H32</f>
        <v>26</v>
      </c>
      <c r="J32" s="136" t="n">
        <f aca="false">IF(L32&gt;0,L32,0)</f>
        <v>0</v>
      </c>
      <c r="K32" s="135" t="n">
        <f aca="false">I32+J32</f>
        <v>26</v>
      </c>
      <c r="L32" s="135" t="n">
        <f aca="false">F32-(I32-AK32)</f>
        <v>-18.9010637761533</v>
      </c>
      <c r="M32" s="248" t="n">
        <v>3.34</v>
      </c>
      <c r="N32" s="135" t="n">
        <v>0</v>
      </c>
      <c r="O32" s="135" t="n">
        <v>0</v>
      </c>
      <c r="P32" s="158" t="n">
        <v>0</v>
      </c>
      <c r="Q32" s="131" t="n">
        <f aca="false">903600/325851/1.9835*1.02</f>
        <v>1.42601840586479</v>
      </c>
      <c r="R32" s="131" t="n">
        <f aca="false">((2)*1.04)-T32</f>
        <v>1.48106608</v>
      </c>
      <c r="S32" s="131" t="n">
        <v>0</v>
      </c>
      <c r="T32" s="131" t="n">
        <f aca="false">(0.5433*1.06)*1.04</f>
        <v>0.59893392</v>
      </c>
      <c r="U32" s="96" t="n">
        <f aca="false">M32-(Q32+R32+S32+T32)</f>
        <v>-0.166018405864791</v>
      </c>
      <c r="V32" s="135" t="n">
        <v>18.3</v>
      </c>
      <c r="W32" s="135" t="n">
        <v>0</v>
      </c>
      <c r="X32" s="135" t="n">
        <f aca="false">M32-N32-P32-O32-Q32-R32-S32-T32-U32+V32+W32</f>
        <v>18.3</v>
      </c>
      <c r="Y32" s="135" t="n">
        <f aca="false">X32-AO32</f>
        <v>18.3</v>
      </c>
      <c r="Z32" s="136"/>
      <c r="AA32" s="135"/>
      <c r="AB32" s="136"/>
      <c r="AC32" s="136" t="n">
        <v>0</v>
      </c>
      <c r="AD32" s="107"/>
      <c r="AE32" s="135" t="n">
        <v>0</v>
      </c>
      <c r="AF32" s="248"/>
      <c r="AG32" s="249"/>
      <c r="AH32" s="135" t="n">
        <v>26.8</v>
      </c>
      <c r="AI32" s="107" t="n">
        <f aca="false">AI31-AH32</f>
        <v>3073.1</v>
      </c>
      <c r="AJ32" s="107"/>
      <c r="AK32" s="134" t="n">
        <f aca="false">N32+O32+P32+Q32+R32+S32+T32+U32+X32+AE32+AH32</f>
        <v>48.44</v>
      </c>
      <c r="AL32" s="135" t="n">
        <f aca="false">IF(L32&lt;0,L32*-1,0)</f>
        <v>18.9010637761533</v>
      </c>
      <c r="AM32" s="135" t="n">
        <f aca="false">AK32+AL32</f>
        <v>67.3410637761533</v>
      </c>
      <c r="AN32" s="220" t="n">
        <f aca="false">V32</f>
        <v>18.3</v>
      </c>
      <c r="AO32" s="136" t="n">
        <v>0</v>
      </c>
      <c r="AP32" s="221"/>
      <c r="AV32" s="222" t="n">
        <v>0.01</v>
      </c>
      <c r="AW32" s="107" t="n">
        <v>35</v>
      </c>
      <c r="AX32" s="215" t="n">
        <v>25</v>
      </c>
      <c r="AY32" s="223"/>
      <c r="AZ32" s="250" t="n">
        <f aca="false">SUM(N32,P32:U32)</f>
        <v>3.34</v>
      </c>
    </row>
    <row r="33" customFormat="false" ht="12.95" hidden="false" customHeight="true" outlineLevel="0" collapsed="false">
      <c r="A33" s="183" t="n">
        <f aca="false">A32+1</f>
        <v>19</v>
      </c>
      <c r="B33" s="106" t="n">
        <v>6871.87</v>
      </c>
      <c r="C33" s="107" t="n">
        <v>192848</v>
      </c>
      <c r="D33" s="215" t="n">
        <f aca="false">C33-C32</f>
        <v>28</v>
      </c>
      <c r="E33" s="107" t="n">
        <f aca="false">C33-152000</f>
        <v>40848</v>
      </c>
      <c r="F33" s="246" t="n">
        <f aca="false">D33/$D$2</f>
        <v>14.1164608016133</v>
      </c>
      <c r="G33" s="135" t="n">
        <v>25</v>
      </c>
      <c r="H33" s="247" t="n">
        <v>0</v>
      </c>
      <c r="I33" s="135" t="n">
        <f aca="false">G33+H33</f>
        <v>25</v>
      </c>
      <c r="J33" s="136" t="n">
        <f aca="false">IF(L33&gt;0,L33,0)</f>
        <v>37.5664608016133</v>
      </c>
      <c r="K33" s="135" t="n">
        <f aca="false">I33+J33</f>
        <v>62.5664608016133</v>
      </c>
      <c r="L33" s="135" t="n">
        <f aca="false">F33-(I33-AK33)</f>
        <v>37.5664608016133</v>
      </c>
      <c r="M33" s="248" t="n">
        <v>3.35</v>
      </c>
      <c r="N33" s="135" t="n">
        <v>0</v>
      </c>
      <c r="O33" s="135" t="n">
        <v>0</v>
      </c>
      <c r="P33" s="158" t="n">
        <v>0</v>
      </c>
      <c r="Q33" s="131" t="n">
        <f aca="false">926300/325851/1.9835*1.02</f>
        <v>1.4618424627629</v>
      </c>
      <c r="R33" s="131" t="n">
        <f aca="false">((2)*1.04)-T33</f>
        <v>1.48106608</v>
      </c>
      <c r="S33" s="131" t="n">
        <v>0</v>
      </c>
      <c r="T33" s="131" t="n">
        <f aca="false">(0.5433*1.06)*1.04</f>
        <v>0.59893392</v>
      </c>
      <c r="U33" s="96" t="n">
        <f aca="false">M33-(Q33+R33+S33+T33)</f>
        <v>-0.191842462762899</v>
      </c>
      <c r="V33" s="135" t="n">
        <v>18.3</v>
      </c>
      <c r="W33" s="135" t="n">
        <v>0</v>
      </c>
      <c r="X33" s="135" t="n">
        <f aca="false">M33-N33-P33-O33-Q33-R33-S33-T33-U33+V33+W33</f>
        <v>18.3</v>
      </c>
      <c r="Y33" s="135" t="n">
        <f aca="false">X33-AO33</f>
        <v>18.3</v>
      </c>
      <c r="Z33" s="136"/>
      <c r="AA33" s="135"/>
      <c r="AB33" s="136"/>
      <c r="AC33" s="136" t="n">
        <v>0</v>
      </c>
      <c r="AD33" s="107"/>
      <c r="AE33" s="135" t="n">
        <v>0</v>
      </c>
      <c r="AF33" s="248"/>
      <c r="AG33" s="249"/>
      <c r="AH33" s="135" t="n">
        <v>26.8</v>
      </c>
      <c r="AI33" s="107" t="n">
        <f aca="false">AI32-AH33</f>
        <v>3046.3</v>
      </c>
      <c r="AJ33" s="107"/>
      <c r="AK33" s="134" t="n">
        <f aca="false">N33+O33+P33+Q33+R33+S33+T33+U33+X33+AE33+AH33</f>
        <v>48.45</v>
      </c>
      <c r="AL33" s="135" t="n">
        <f aca="false">IF(L33&lt;0,L33*-1,0)</f>
        <v>0</v>
      </c>
      <c r="AM33" s="135" t="n">
        <f aca="false">AK33+AL33</f>
        <v>48.45</v>
      </c>
      <c r="AN33" s="220" t="n">
        <f aca="false">V33</f>
        <v>18.3</v>
      </c>
      <c r="AO33" s="136" t="n">
        <v>0</v>
      </c>
      <c r="AP33" s="221"/>
      <c r="AV33" s="222" t="n">
        <v>0.01</v>
      </c>
      <c r="AW33" s="107" t="n">
        <v>38</v>
      </c>
      <c r="AX33" s="215" t="n">
        <v>3</v>
      </c>
      <c r="AY33" s="223"/>
      <c r="AZ33" s="250" t="n">
        <f aca="false">SUM(N33,P33:U33)</f>
        <v>3.35</v>
      </c>
    </row>
    <row r="34" customFormat="false" ht="12.95" hidden="false" customHeight="true" outlineLevel="0" collapsed="false">
      <c r="A34" s="183" t="n">
        <f aca="false">A33+1</f>
        <v>20</v>
      </c>
      <c r="B34" s="106" t="n">
        <v>6871.85</v>
      </c>
      <c r="C34" s="107" t="n">
        <v>192793</v>
      </c>
      <c r="D34" s="215" t="n">
        <f aca="false">C34-C33</f>
        <v>-55</v>
      </c>
      <c r="E34" s="107" t="n">
        <f aca="false">C34-152000</f>
        <v>40793</v>
      </c>
      <c r="F34" s="246" t="n">
        <f aca="false">D34/$D$2</f>
        <v>-27.7287622888833</v>
      </c>
      <c r="G34" s="135" t="n">
        <v>22</v>
      </c>
      <c r="H34" s="247" t="n">
        <v>0</v>
      </c>
      <c r="I34" s="135" t="n">
        <f aca="false">G34+H34</f>
        <v>22</v>
      </c>
      <c r="J34" s="136" t="n">
        <f aca="false">IF(L34&gt;0,L34,0)</f>
        <v>0</v>
      </c>
      <c r="K34" s="135" t="n">
        <f aca="false">I34+J34</f>
        <v>22</v>
      </c>
      <c r="L34" s="135" t="n">
        <f aca="false">F34-(I34-AK34)</f>
        <v>-0.188762288883279</v>
      </c>
      <c r="M34" s="248" t="n">
        <v>4.44</v>
      </c>
      <c r="N34" s="135" t="n">
        <v>0</v>
      </c>
      <c r="O34" s="135" t="n">
        <v>0</v>
      </c>
      <c r="P34" s="158" t="n">
        <v>0</v>
      </c>
      <c r="Q34" s="131" t="n">
        <f aca="false">1005400/325851/1.9835*1.02</f>
        <v>1.58667430860609</v>
      </c>
      <c r="R34" s="131" t="n">
        <f aca="false">((2)*1.04)-T34</f>
        <v>1.48106608</v>
      </c>
      <c r="S34" s="131" t="n">
        <v>0</v>
      </c>
      <c r="T34" s="131" t="n">
        <f aca="false">(0.5433*1.06)*1.04</f>
        <v>0.59893392</v>
      </c>
      <c r="U34" s="96" t="n">
        <f aca="false">M34-(Q34+R34+S34+T34)</f>
        <v>0.773325691393913</v>
      </c>
      <c r="V34" s="135" t="n">
        <v>18.3</v>
      </c>
      <c r="W34" s="135" t="n">
        <v>0</v>
      </c>
      <c r="X34" s="135" t="n">
        <f aca="false">M34-N34-P34-O34-Q34-R34-S34-T34-U34+V34+W34</f>
        <v>18.3</v>
      </c>
      <c r="Y34" s="135" t="n">
        <f aca="false">X34-AO34</f>
        <v>18.3</v>
      </c>
      <c r="Z34" s="136"/>
      <c r="AA34" s="135"/>
      <c r="AB34" s="136"/>
      <c r="AC34" s="136" t="n">
        <v>0</v>
      </c>
      <c r="AD34" s="107"/>
      <c r="AE34" s="135" t="n">
        <v>0</v>
      </c>
      <c r="AF34" s="248"/>
      <c r="AG34" s="249"/>
      <c r="AH34" s="135" t="n">
        <v>26.8</v>
      </c>
      <c r="AI34" s="107" t="n">
        <f aca="false">AI33-AH34</f>
        <v>3019.5</v>
      </c>
      <c r="AJ34" s="107"/>
      <c r="AK34" s="134" t="n">
        <f aca="false">N34+O34+P34+Q34+R34+S34+T34+U34+X34+AE34+AH34</f>
        <v>49.54</v>
      </c>
      <c r="AL34" s="135" t="n">
        <f aca="false">IF(L34&lt;0,L34*-1,0)</f>
        <v>0.188762288883279</v>
      </c>
      <c r="AM34" s="135" t="n">
        <f aca="false">AK34+AL34</f>
        <v>49.7287622888833</v>
      </c>
      <c r="AN34" s="220" t="n">
        <f aca="false">V34</f>
        <v>18.3</v>
      </c>
      <c r="AO34" s="136" t="n">
        <v>0</v>
      </c>
      <c r="AP34" s="221"/>
      <c r="AV34" s="222" t="n">
        <v>0.01</v>
      </c>
      <c r="AW34" s="107" t="n">
        <v>34</v>
      </c>
      <c r="AX34" s="215" t="n">
        <v>-4</v>
      </c>
      <c r="AY34" s="223"/>
      <c r="AZ34" s="250" t="n">
        <f aca="false">SUM(N34,P34:U34)</f>
        <v>4.44</v>
      </c>
    </row>
    <row r="35" customFormat="false" ht="12.95" hidden="false" customHeight="true" outlineLevel="0" collapsed="false">
      <c r="A35" s="183" t="n">
        <f aca="false">A34+1</f>
        <v>21</v>
      </c>
      <c r="B35" s="106" t="n">
        <v>6871.83</v>
      </c>
      <c r="C35" s="107" t="n">
        <v>192739</v>
      </c>
      <c r="D35" s="215" t="n">
        <f aca="false">C35-C34</f>
        <v>-54</v>
      </c>
      <c r="E35" s="107" t="n">
        <f aca="false">C35-152000</f>
        <v>40739</v>
      </c>
      <c r="F35" s="246" t="n">
        <f aca="false">D35/$D$2</f>
        <v>-27.22460297454</v>
      </c>
      <c r="G35" s="135" t="n">
        <v>23</v>
      </c>
      <c r="H35" s="247" t="n">
        <v>0</v>
      </c>
      <c r="I35" s="135" t="n">
        <f aca="false">G35+H35</f>
        <v>23</v>
      </c>
      <c r="J35" s="136" t="n">
        <f aca="false">IF(L35&gt;0,L35,0)</f>
        <v>0</v>
      </c>
      <c r="K35" s="135" t="n">
        <f aca="false">I35+J35</f>
        <v>23</v>
      </c>
      <c r="L35" s="135" t="n">
        <f aca="false">F35-(I35-AK35)</f>
        <v>-0.854602974539951</v>
      </c>
      <c r="M35" s="248" t="n">
        <v>4.27</v>
      </c>
      <c r="N35" s="135" t="n">
        <v>0</v>
      </c>
      <c r="O35" s="135" t="n">
        <v>0</v>
      </c>
      <c r="P35" s="158" t="n">
        <v>0</v>
      </c>
      <c r="Q35" s="131" t="n">
        <f aca="false">1036700/325851/1.9835*1.02</f>
        <v>1.63607047516603</v>
      </c>
      <c r="R35" s="131" t="n">
        <f aca="false">((2)*1.04)-T35</f>
        <v>1.26058608</v>
      </c>
      <c r="S35" s="131" t="n">
        <v>0</v>
      </c>
      <c r="T35" s="131" t="n">
        <f aca="false">(0.7433*1.06)*1.04</f>
        <v>0.81941392</v>
      </c>
      <c r="U35" s="96" t="n">
        <f aca="false">M35-(Q35+R35+S35+T35)</f>
        <v>0.553929524833965</v>
      </c>
      <c r="V35" s="135" t="n">
        <v>18.3</v>
      </c>
      <c r="W35" s="135" t="n">
        <v>0</v>
      </c>
      <c r="X35" s="135" t="n">
        <f aca="false">M35-N35-P35-O35-Q35-R35-S35-T35-U35+V35+W35</f>
        <v>18.3</v>
      </c>
      <c r="Y35" s="135" t="n">
        <f aca="false">X35-AO35</f>
        <v>18.3</v>
      </c>
      <c r="Z35" s="136"/>
      <c r="AA35" s="135"/>
      <c r="AB35" s="136"/>
      <c r="AC35" s="136" t="n">
        <v>0</v>
      </c>
      <c r="AD35" s="107"/>
      <c r="AE35" s="135" t="n">
        <v>0</v>
      </c>
      <c r="AF35" s="248"/>
      <c r="AG35" s="249"/>
      <c r="AH35" s="135" t="n">
        <v>26.8</v>
      </c>
      <c r="AI35" s="107" t="n">
        <f aca="false">AI34-AH35</f>
        <v>2992.7</v>
      </c>
      <c r="AJ35" s="107"/>
      <c r="AK35" s="134" t="n">
        <f aca="false">N35+O35+P35+Q35+R35+S35+T35+U35+X35+AE35+AH35</f>
        <v>49.37</v>
      </c>
      <c r="AL35" s="135" t="n">
        <f aca="false">IF(L35&lt;0,L35*-1,0)</f>
        <v>0.854602974539951</v>
      </c>
      <c r="AM35" s="135" t="n">
        <f aca="false">AK35+AL35</f>
        <v>50.22460297454</v>
      </c>
      <c r="AN35" s="220" t="n">
        <f aca="false">V35</f>
        <v>18.3</v>
      </c>
      <c r="AO35" s="136" t="n">
        <v>0</v>
      </c>
      <c r="AP35" s="221"/>
      <c r="AV35" s="222" t="n">
        <v>0.01</v>
      </c>
      <c r="AW35" s="107" t="n">
        <v>50</v>
      </c>
      <c r="AX35" s="215" t="n">
        <v>10</v>
      </c>
      <c r="AY35" s="223"/>
      <c r="AZ35" s="250" t="n">
        <f aca="false">SUM(N35,P35:U35)</f>
        <v>4.27</v>
      </c>
    </row>
    <row r="36" customFormat="false" ht="12.95" hidden="false" customHeight="true" outlineLevel="0" collapsed="false">
      <c r="A36" s="183" t="n">
        <f aca="false">A35+1</f>
        <v>22</v>
      </c>
      <c r="B36" s="106" t="n">
        <v>6871.8</v>
      </c>
      <c r="C36" s="107" t="n">
        <v>192657</v>
      </c>
      <c r="D36" s="215" t="n">
        <f aca="false">C36-C35</f>
        <v>-82</v>
      </c>
      <c r="E36" s="107" t="n">
        <f aca="false">C36-152000</f>
        <v>40657</v>
      </c>
      <c r="F36" s="246" t="n">
        <f aca="false">D36/$D$2</f>
        <v>-41.3410637761533</v>
      </c>
      <c r="G36" s="135" t="n">
        <v>24</v>
      </c>
      <c r="H36" s="247" t="n">
        <v>0</v>
      </c>
      <c r="I36" s="135" t="n">
        <f aca="false">G36+H36</f>
        <v>24</v>
      </c>
      <c r="J36" s="136" t="n">
        <f aca="false">IF(L36&gt;0,L36,0)</f>
        <v>0</v>
      </c>
      <c r="K36" s="135" t="n">
        <f aca="false">I36+J36</f>
        <v>24</v>
      </c>
      <c r="L36" s="135" t="n">
        <f aca="false">F36-(I36-AK36)</f>
        <v>-15.9910637761533</v>
      </c>
      <c r="M36" s="248" t="n">
        <v>4.25</v>
      </c>
      <c r="N36" s="135" t="n">
        <v>0</v>
      </c>
      <c r="O36" s="135" t="n">
        <v>0</v>
      </c>
      <c r="P36" s="158" t="n">
        <v>0</v>
      </c>
      <c r="Q36" s="131" t="n">
        <f aca="false">909100/325851/1.9835*1.02</f>
        <v>1.43469824343922</v>
      </c>
      <c r="R36" s="131" t="n">
        <f aca="false">((2.1)*1.04)-T36</f>
        <v>1.36458608</v>
      </c>
      <c r="S36" s="131" t="n">
        <v>0</v>
      </c>
      <c r="T36" s="131" t="n">
        <f aca="false">(0.7433*1.06)*1.04</f>
        <v>0.81941392</v>
      </c>
      <c r="U36" s="96" t="n">
        <f aca="false">M36-(Q36+R36+S36+T36)</f>
        <v>0.631301756560778</v>
      </c>
      <c r="V36" s="135" t="n">
        <v>18.3</v>
      </c>
      <c r="W36" s="135" t="n">
        <v>0</v>
      </c>
      <c r="X36" s="135" t="n">
        <f aca="false">M36-N36-P36-O36-Q36-R36-S36-T36-U36+V36+W36</f>
        <v>18.3</v>
      </c>
      <c r="Y36" s="135" t="n">
        <f aca="false">X36-AO36</f>
        <v>18.3</v>
      </c>
      <c r="Z36" s="136"/>
      <c r="AA36" s="135"/>
      <c r="AB36" s="136"/>
      <c r="AC36" s="136" t="n">
        <v>0</v>
      </c>
      <c r="AD36" s="107"/>
      <c r="AE36" s="135" t="n">
        <v>0</v>
      </c>
      <c r="AF36" s="248"/>
      <c r="AG36" s="249"/>
      <c r="AH36" s="135" t="n">
        <v>26.8</v>
      </c>
      <c r="AI36" s="107" t="n">
        <f aca="false">AI35-AH36</f>
        <v>2965.9</v>
      </c>
      <c r="AJ36" s="107"/>
      <c r="AK36" s="134" t="n">
        <f aca="false">N36+O36+P36+Q36+R36+S36+T36+U36+X36+AE36+AH36</f>
        <v>49.35</v>
      </c>
      <c r="AL36" s="135" t="n">
        <f aca="false">IF(L36&lt;0,L36*-1,0)</f>
        <v>15.9910637761533</v>
      </c>
      <c r="AM36" s="135" t="n">
        <f aca="false">AK36+AL36</f>
        <v>65.3410637761533</v>
      </c>
      <c r="AN36" s="220" t="n">
        <f aca="false">V36</f>
        <v>18.3</v>
      </c>
      <c r="AO36" s="136" t="n">
        <v>0</v>
      </c>
      <c r="AP36" s="221"/>
      <c r="AV36" s="222" t="n">
        <v>0.05</v>
      </c>
      <c r="AW36" s="107" t="n">
        <v>46</v>
      </c>
      <c r="AX36" s="215" t="n">
        <v>14</v>
      </c>
      <c r="AY36" s="223"/>
      <c r="AZ36" s="250" t="n">
        <f aca="false">SUM(N36,P36:U36)</f>
        <v>4.25</v>
      </c>
    </row>
    <row r="37" customFormat="false" ht="12.95" hidden="false" customHeight="true" outlineLevel="0" collapsed="false">
      <c r="A37" s="183" t="n">
        <f aca="false">A36+1</f>
        <v>23</v>
      </c>
      <c r="B37" s="106" t="n">
        <v>6871.79</v>
      </c>
      <c r="C37" s="107" t="n">
        <v>192630</v>
      </c>
      <c r="D37" s="215" t="n">
        <f aca="false">C37-C36</f>
        <v>-27</v>
      </c>
      <c r="E37" s="107" t="n">
        <f aca="false">C37-152000</f>
        <v>40630</v>
      </c>
      <c r="F37" s="246" t="n">
        <f aca="false">D37/$D$2</f>
        <v>-13.61230148727</v>
      </c>
      <c r="G37" s="135" t="n">
        <v>25</v>
      </c>
      <c r="H37" s="247" t="n">
        <v>0</v>
      </c>
      <c r="I37" s="135" t="n">
        <f aca="false">G37+H37</f>
        <v>25</v>
      </c>
      <c r="J37" s="136" t="n">
        <f aca="false">IF(L37&gt;0,L37,0)</f>
        <v>10.39769851273</v>
      </c>
      <c r="K37" s="135" t="n">
        <f aca="false">I37+J37</f>
        <v>35.39769851273</v>
      </c>
      <c r="L37" s="135" t="n">
        <f aca="false">F37-(I37-AK37)</f>
        <v>10.39769851273</v>
      </c>
      <c r="M37" s="248" t="n">
        <v>3.91</v>
      </c>
      <c r="N37" s="135" t="n">
        <v>0</v>
      </c>
      <c r="O37" s="135" t="n">
        <v>0</v>
      </c>
      <c r="P37" s="158" t="n">
        <v>0</v>
      </c>
      <c r="Q37" s="131" t="n">
        <f aca="false">1070900/325851/1.9835*1.02</f>
        <v>1.69004328335614</v>
      </c>
      <c r="R37" s="131" t="n">
        <f aca="false">((2.1)*1.04)-T37</f>
        <v>1.36458608</v>
      </c>
      <c r="S37" s="131" t="n">
        <v>0</v>
      </c>
      <c r="T37" s="131" t="n">
        <f aca="false">(0.7433*1.06)*1.04</f>
        <v>0.81941392</v>
      </c>
      <c r="U37" s="96" t="n">
        <f aca="false">M37-(Q37+R37+S37+T37)</f>
        <v>0.0359567166438643</v>
      </c>
      <c r="V37" s="135" t="n">
        <v>18.3</v>
      </c>
      <c r="W37" s="135" t="n">
        <v>0</v>
      </c>
      <c r="X37" s="135" t="n">
        <f aca="false">M37-N37-P37-O37-Q37-R37-S37-T37-U37+V37+W37</f>
        <v>18.3</v>
      </c>
      <c r="Y37" s="135" t="n">
        <f aca="false">X37-AO37</f>
        <v>18.3</v>
      </c>
      <c r="Z37" s="136"/>
      <c r="AA37" s="135"/>
      <c r="AB37" s="136"/>
      <c r="AC37" s="136" t="n">
        <v>0</v>
      </c>
      <c r="AD37" s="107"/>
      <c r="AE37" s="135" t="n">
        <v>0</v>
      </c>
      <c r="AF37" s="248"/>
      <c r="AG37" s="249"/>
      <c r="AH37" s="135" t="n">
        <v>26.8</v>
      </c>
      <c r="AI37" s="107" t="n">
        <f aca="false">AI36-AH37</f>
        <v>2939.1</v>
      </c>
      <c r="AJ37" s="107"/>
      <c r="AK37" s="134" t="n">
        <f aca="false">N37+O37+P37+Q37+R37+S37+T37+U37+X37+AE37+AH37</f>
        <v>49.01</v>
      </c>
      <c r="AL37" s="135" t="n">
        <f aca="false">IF(L37&lt;0,L37*-1,0)</f>
        <v>0</v>
      </c>
      <c r="AM37" s="135" t="n">
        <f aca="false">AK37+AL37</f>
        <v>49.01</v>
      </c>
      <c r="AN37" s="220" t="n">
        <f aca="false">V37</f>
        <v>18.3</v>
      </c>
      <c r="AO37" s="136" t="n">
        <v>0</v>
      </c>
      <c r="AP37" s="221"/>
      <c r="AV37" s="222" t="n">
        <v>0.05</v>
      </c>
      <c r="AW37" s="107" t="n">
        <v>48</v>
      </c>
      <c r="AX37" s="221" t="n">
        <v>23</v>
      </c>
      <c r="AY37" s="251"/>
      <c r="AZ37" s="250" t="n">
        <f aca="false">SUM(N37,P37:U37)</f>
        <v>3.91</v>
      </c>
    </row>
    <row r="38" customFormat="false" ht="12.95" hidden="false" customHeight="true" outlineLevel="0" collapsed="false">
      <c r="A38" s="183" t="n">
        <f aca="false">A37+1</f>
        <v>24</v>
      </c>
      <c r="B38" s="106" t="n">
        <v>6871.81</v>
      </c>
      <c r="C38" s="107" t="n">
        <v>192685</v>
      </c>
      <c r="D38" s="215" t="n">
        <f aca="false">C38-C37</f>
        <v>55</v>
      </c>
      <c r="E38" s="107" t="n">
        <f aca="false">C38-152000</f>
        <v>40685</v>
      </c>
      <c r="F38" s="246" t="n">
        <f aca="false">D38/$D$2</f>
        <v>27.7287622888833</v>
      </c>
      <c r="G38" s="135" t="n">
        <v>25</v>
      </c>
      <c r="H38" s="247" t="n">
        <v>0</v>
      </c>
      <c r="I38" s="135" t="n">
        <f aca="false">G38+H38</f>
        <v>25</v>
      </c>
      <c r="J38" s="136" t="n">
        <f aca="false">IF(L38&gt;0,L38,0)</f>
        <v>51.7287622888833</v>
      </c>
      <c r="K38" s="135" t="n">
        <f aca="false">I38+J38</f>
        <v>76.7287622888833</v>
      </c>
      <c r="L38" s="135" t="n">
        <f aca="false">F38-(I38-AK38)</f>
        <v>51.7287622888833</v>
      </c>
      <c r="M38" s="248" t="n">
        <v>3.9</v>
      </c>
      <c r="N38" s="135" t="n">
        <v>0</v>
      </c>
      <c r="O38" s="135" t="n">
        <v>0</v>
      </c>
      <c r="P38" s="158" t="n">
        <v>0</v>
      </c>
      <c r="Q38" s="131" t="n">
        <f aca="false">1004000/325851/1.9835*1.02</f>
        <v>1.58446489540532</v>
      </c>
      <c r="R38" s="131" t="n">
        <f aca="false">((2.1)*1.04)-T38</f>
        <v>1.36458608</v>
      </c>
      <c r="S38" s="131" t="n">
        <v>0</v>
      </c>
      <c r="T38" s="131" t="n">
        <f aca="false">(0.7433*1.06)*1.04</f>
        <v>0.81941392</v>
      </c>
      <c r="U38" s="96" t="n">
        <f aca="false">M38-(Q38+R38+S38+T38)</f>
        <v>0.131535104594676</v>
      </c>
      <c r="V38" s="135" t="n">
        <v>18.3</v>
      </c>
      <c r="W38" s="135" t="n">
        <v>0</v>
      </c>
      <c r="X38" s="135" t="n">
        <f aca="false">M38-N38-P38-O38-Q38-R38-S38-T38-U38+V38+W38</f>
        <v>18.3</v>
      </c>
      <c r="Y38" s="135" t="n">
        <f aca="false">X38-AO38</f>
        <v>18.3</v>
      </c>
      <c r="Z38" s="136"/>
      <c r="AA38" s="135"/>
      <c r="AB38" s="136"/>
      <c r="AC38" s="136" t="n">
        <v>0</v>
      </c>
      <c r="AD38" s="107"/>
      <c r="AE38" s="135" t="n">
        <v>0</v>
      </c>
      <c r="AF38" s="248"/>
      <c r="AG38" s="249"/>
      <c r="AH38" s="135" t="n">
        <v>26.8</v>
      </c>
      <c r="AI38" s="107" t="n">
        <f aca="false">AI37-AH38</f>
        <v>2912.3</v>
      </c>
      <c r="AJ38" s="107"/>
      <c r="AK38" s="134" t="n">
        <f aca="false">N38+O38+P38+Q38+R38+S38+T38+U38+X38+AE38+AH38</f>
        <v>49</v>
      </c>
      <c r="AL38" s="135" t="n">
        <f aca="false">IF(L38&lt;0,L38*-1,0)</f>
        <v>0</v>
      </c>
      <c r="AM38" s="135" t="n">
        <f aca="false">AK38+AL38</f>
        <v>49</v>
      </c>
      <c r="AN38" s="220" t="n">
        <f aca="false">V38</f>
        <v>18.3</v>
      </c>
      <c r="AO38" s="136" t="n">
        <v>0</v>
      </c>
      <c r="AP38" s="221"/>
      <c r="AV38" s="222" t="n">
        <v>0.07</v>
      </c>
      <c r="AW38" s="107" t="n">
        <v>38</v>
      </c>
      <c r="AX38" s="221" t="n">
        <v>20</v>
      </c>
      <c r="AY38" s="251"/>
      <c r="AZ38" s="250" t="n">
        <f aca="false">SUM(N38,P38:U38)</f>
        <v>3.9</v>
      </c>
    </row>
    <row r="39" customFormat="false" ht="12.95" hidden="false" customHeight="true" outlineLevel="0" collapsed="false">
      <c r="A39" s="183" t="n">
        <f aca="false">A38+1</f>
        <v>25</v>
      </c>
      <c r="B39" s="106" t="n">
        <v>6871.8</v>
      </c>
      <c r="C39" s="107" t="n">
        <v>192657</v>
      </c>
      <c r="D39" s="215" t="n">
        <f aca="false">C39-C38</f>
        <v>-28</v>
      </c>
      <c r="E39" s="107" t="n">
        <f aca="false">C39-152000</f>
        <v>40657</v>
      </c>
      <c r="F39" s="246" t="n">
        <f aca="false">D39/$D$2</f>
        <v>-14.1164608016133</v>
      </c>
      <c r="G39" s="135" t="n">
        <v>25</v>
      </c>
      <c r="H39" s="247" t="n">
        <v>0</v>
      </c>
      <c r="I39" s="135" t="n">
        <f aca="false">G39+H39</f>
        <v>25</v>
      </c>
      <c r="J39" s="136" t="n">
        <f aca="false">IF(L39&gt;0,L39,0)</f>
        <v>9.88353919838669</v>
      </c>
      <c r="K39" s="135" t="n">
        <f aca="false">I39+J39</f>
        <v>34.8835391983867</v>
      </c>
      <c r="L39" s="135" t="n">
        <f aca="false">F39-(I39-AK39)</f>
        <v>9.88353919838669</v>
      </c>
      <c r="M39" s="248" t="n">
        <v>3.9</v>
      </c>
      <c r="N39" s="135" t="n">
        <v>0</v>
      </c>
      <c r="O39" s="135" t="n">
        <v>0</v>
      </c>
      <c r="P39" s="158" t="n">
        <v>0</v>
      </c>
      <c r="Q39" s="131" t="n">
        <f aca="false">866700/325851/1.9835*1.02</f>
        <v>1.36778458650179</v>
      </c>
      <c r="R39" s="131" t="n">
        <f aca="false">((2.2)*1.04)-T39</f>
        <v>1.46858608</v>
      </c>
      <c r="S39" s="131" t="n">
        <v>0</v>
      </c>
      <c r="T39" s="131" t="n">
        <f aca="false">(0.7433*1.06)*1.04</f>
        <v>0.81941392</v>
      </c>
      <c r="U39" s="96" t="n">
        <f aca="false">M39-(Q39+R39+S39+T39)</f>
        <v>0.244215413498213</v>
      </c>
      <c r="V39" s="135" t="n">
        <v>18.3</v>
      </c>
      <c r="W39" s="135" t="n">
        <v>0</v>
      </c>
      <c r="X39" s="135" t="n">
        <f aca="false">M39-N39-P39-O39-Q39-R39-S39-T39-U39+V39+W39</f>
        <v>18.3</v>
      </c>
      <c r="Y39" s="135" t="n">
        <f aca="false">X39-AO39</f>
        <v>18.3</v>
      </c>
      <c r="Z39" s="136"/>
      <c r="AA39" s="135"/>
      <c r="AB39" s="136"/>
      <c r="AC39" s="136" t="n">
        <v>0</v>
      </c>
      <c r="AD39" s="107"/>
      <c r="AE39" s="135" t="n">
        <v>0</v>
      </c>
      <c r="AF39" s="248"/>
      <c r="AG39" s="249"/>
      <c r="AH39" s="135" t="n">
        <v>26.8</v>
      </c>
      <c r="AI39" s="107" t="n">
        <f aca="false">AI38-AH39</f>
        <v>2885.5</v>
      </c>
      <c r="AJ39" s="107"/>
      <c r="AK39" s="134" t="n">
        <f aca="false">N39+O39+P39+Q39+R39+S39+T39+U39+X39+AE39+AH39</f>
        <v>49</v>
      </c>
      <c r="AL39" s="135" t="n">
        <f aca="false">IF(L39&lt;0,L39*-1,0)</f>
        <v>0</v>
      </c>
      <c r="AM39" s="135" t="n">
        <f aca="false">AK39+AL39</f>
        <v>49</v>
      </c>
      <c r="AN39" s="220" t="n">
        <f aca="false">V39</f>
        <v>18.3</v>
      </c>
      <c r="AO39" s="136" t="n">
        <v>0</v>
      </c>
      <c r="AP39" s="221"/>
      <c r="AV39" s="222" t="n">
        <v>0.01</v>
      </c>
      <c r="AW39" s="107" t="n">
        <v>35</v>
      </c>
      <c r="AX39" s="221" t="n">
        <v>11</v>
      </c>
      <c r="AY39" s="251"/>
      <c r="AZ39" s="250" t="n">
        <f aca="false">SUM(N39,P39:U39)</f>
        <v>3.9</v>
      </c>
    </row>
    <row r="40" customFormat="false" ht="12.95" hidden="false" customHeight="true" outlineLevel="0" collapsed="false">
      <c r="A40" s="183" t="n">
        <f aca="false">A39+1</f>
        <v>26</v>
      </c>
      <c r="B40" s="106" t="n">
        <v>6871.78</v>
      </c>
      <c r="C40" s="107" t="n">
        <v>192603</v>
      </c>
      <c r="D40" s="215" t="n">
        <f aca="false">C40-C39</f>
        <v>-54</v>
      </c>
      <c r="E40" s="107" t="n">
        <f aca="false">C40-152000</f>
        <v>40603</v>
      </c>
      <c r="F40" s="246" t="n">
        <f aca="false">D40/$D$2</f>
        <v>-27.22460297454</v>
      </c>
      <c r="G40" s="135" t="n">
        <v>24</v>
      </c>
      <c r="H40" s="247" t="n">
        <v>0</v>
      </c>
      <c r="I40" s="135" t="n">
        <f aca="false">G40+H40</f>
        <v>24</v>
      </c>
      <c r="J40" s="136" t="n">
        <f aca="false">IF(L40&gt;0,L40,0)</f>
        <v>0</v>
      </c>
      <c r="K40" s="135" t="n">
        <f aca="false">I40+J40</f>
        <v>24</v>
      </c>
      <c r="L40" s="135" t="n">
        <f aca="false">F40-(I40-AK40)</f>
        <v>-2.22460297453996</v>
      </c>
      <c r="M40" s="248" t="n">
        <v>3.9</v>
      </c>
      <c r="N40" s="135" t="n">
        <v>0</v>
      </c>
      <c r="O40" s="135" t="n">
        <v>0</v>
      </c>
      <c r="P40" s="158" t="n">
        <v>0</v>
      </c>
      <c r="Q40" s="131" t="n">
        <f aca="false">1010300/325851/1.9835*1.02</f>
        <v>1.59440725480876</v>
      </c>
      <c r="R40" s="131" t="n">
        <f aca="false">((2.2)*1.04)-T40</f>
        <v>1.46858608</v>
      </c>
      <c r="S40" s="131" t="n">
        <v>0</v>
      </c>
      <c r="T40" s="131" t="n">
        <f aca="false">(0.7433*1.06)*1.04</f>
        <v>0.81941392</v>
      </c>
      <c r="U40" s="96" t="n">
        <f aca="false">M40-(Q40+R40+S40+T40)</f>
        <v>0.0175927451912368</v>
      </c>
      <c r="V40" s="135" t="n">
        <v>18.3</v>
      </c>
      <c r="W40" s="135" t="n">
        <v>0</v>
      </c>
      <c r="X40" s="135" t="n">
        <f aca="false">M40-N40-P40-O40-Q40-R40-S40-T40-U40+V40+W40</f>
        <v>18.3</v>
      </c>
      <c r="Y40" s="135" t="n">
        <f aca="false">X40-AO40</f>
        <v>18.3</v>
      </c>
      <c r="Z40" s="136"/>
      <c r="AA40" s="135"/>
      <c r="AB40" s="136"/>
      <c r="AC40" s="136" t="n">
        <v>0</v>
      </c>
      <c r="AD40" s="107"/>
      <c r="AE40" s="135" t="n">
        <v>0</v>
      </c>
      <c r="AF40" s="248"/>
      <c r="AG40" s="249"/>
      <c r="AH40" s="135" t="n">
        <v>26.8</v>
      </c>
      <c r="AI40" s="107" t="n">
        <f aca="false">AI39-AH40</f>
        <v>2858.7</v>
      </c>
      <c r="AJ40" s="107"/>
      <c r="AK40" s="134" t="n">
        <f aca="false">N40+O40+P40+Q40+R40+S40+T40+U40+X40+AE40+AH40</f>
        <v>49</v>
      </c>
      <c r="AL40" s="135" t="n">
        <f aca="false">IF(L40&lt;0,L40*-1,0)</f>
        <v>2.22460297453996</v>
      </c>
      <c r="AM40" s="135" t="n">
        <f aca="false">AK40+AL40</f>
        <v>51.22460297454</v>
      </c>
      <c r="AN40" s="220" t="n">
        <f aca="false">V40</f>
        <v>18.3</v>
      </c>
      <c r="AO40" s="136" t="n">
        <v>0</v>
      </c>
      <c r="AP40" s="221"/>
      <c r="AV40" s="222" t="n">
        <v>0.01</v>
      </c>
      <c r="AW40" s="107" t="n">
        <v>38</v>
      </c>
      <c r="AX40" s="215" t="n">
        <v>15</v>
      </c>
      <c r="AY40" s="223"/>
      <c r="AZ40" s="250" t="n">
        <f aca="false">SUM(N40,P40:U40)</f>
        <v>3.9</v>
      </c>
    </row>
    <row r="41" customFormat="false" ht="12.95" hidden="false" customHeight="true" outlineLevel="0" collapsed="false">
      <c r="A41" s="183" t="n">
        <f aca="false">A40+1</f>
        <v>27</v>
      </c>
      <c r="B41" s="106" t="n">
        <v>6871.77</v>
      </c>
      <c r="C41" s="107" t="n">
        <v>192576</v>
      </c>
      <c r="D41" s="215" t="n">
        <f aca="false">C41-C40</f>
        <v>-27</v>
      </c>
      <c r="E41" s="107" t="n">
        <f aca="false">C41-152000</f>
        <v>40576</v>
      </c>
      <c r="F41" s="246" t="n">
        <f aca="false">D41/$D$2</f>
        <v>-13.61230148727</v>
      </c>
      <c r="G41" s="135" t="n">
        <v>24</v>
      </c>
      <c r="H41" s="247" t="n">
        <v>0</v>
      </c>
      <c r="I41" s="135" t="n">
        <f aca="false">G41+H41</f>
        <v>24</v>
      </c>
      <c r="J41" s="136" t="n">
        <f aca="false">IF(L41&gt;0,L41,0)</f>
        <v>11.29769851273</v>
      </c>
      <c r="K41" s="135" t="n">
        <f aca="false">I41+J41</f>
        <v>35.29769851273</v>
      </c>
      <c r="L41" s="135" t="n">
        <f aca="false">F41-(I41-AK41)</f>
        <v>11.29769851273</v>
      </c>
      <c r="M41" s="248" t="n">
        <v>3.81</v>
      </c>
      <c r="N41" s="135" t="n">
        <v>0</v>
      </c>
      <c r="O41" s="135" t="n">
        <v>0</v>
      </c>
      <c r="P41" s="158" t="n">
        <v>0</v>
      </c>
      <c r="Q41" s="131" t="n">
        <f aca="false">943900/325851/1.9835*1.02</f>
        <v>1.48961794300108</v>
      </c>
      <c r="R41" s="131" t="n">
        <f aca="false">((2.2)*1.04)-T41</f>
        <v>1.46858608</v>
      </c>
      <c r="S41" s="131" t="n">
        <v>0</v>
      </c>
      <c r="T41" s="131" t="n">
        <f aca="false">(0.7433*1.06)*1.04</f>
        <v>0.81941392</v>
      </c>
      <c r="U41" s="96" t="n">
        <f aca="false">M41-(Q41+R41+S41+T41)</f>
        <v>0.0323820569989195</v>
      </c>
      <c r="V41" s="135" t="n">
        <v>18.3</v>
      </c>
      <c r="W41" s="135" t="n">
        <v>0</v>
      </c>
      <c r="X41" s="135" t="n">
        <f aca="false">M41-N41-P41-O41-Q41-R41-S41-T41-U41+V41+W41</f>
        <v>18.3</v>
      </c>
      <c r="Y41" s="135" t="n">
        <f aca="false">X41-AO41</f>
        <v>18.3</v>
      </c>
      <c r="Z41" s="136"/>
      <c r="AA41" s="135"/>
      <c r="AB41" s="136"/>
      <c r="AC41" s="136" t="n">
        <v>0</v>
      </c>
      <c r="AD41" s="107"/>
      <c r="AE41" s="135" t="n">
        <v>0</v>
      </c>
      <c r="AF41" s="248"/>
      <c r="AG41" s="249"/>
      <c r="AH41" s="135" t="n">
        <v>26.8</v>
      </c>
      <c r="AI41" s="107" t="n">
        <f aca="false">AI40-AH41</f>
        <v>2831.9</v>
      </c>
      <c r="AJ41" s="107"/>
      <c r="AK41" s="134" t="n">
        <f aca="false">N41+O41+P41+Q41+R41+S41+T41+U41+X41+AE41+AH41</f>
        <v>48.91</v>
      </c>
      <c r="AL41" s="135" t="n">
        <f aca="false">IF(L41&lt;0,L41*-1,0)</f>
        <v>0</v>
      </c>
      <c r="AM41" s="135" t="n">
        <f aca="false">AK41+AL41</f>
        <v>48.91</v>
      </c>
      <c r="AN41" s="220" t="n">
        <f aca="false">V41</f>
        <v>18.3</v>
      </c>
      <c r="AO41" s="136" t="n">
        <v>0</v>
      </c>
      <c r="AP41" s="221"/>
      <c r="AV41" s="222" t="n">
        <v>0</v>
      </c>
      <c r="AW41" s="107" t="n">
        <v>32</v>
      </c>
      <c r="AX41" s="215" t="n">
        <v>8</v>
      </c>
      <c r="AY41" s="223"/>
      <c r="AZ41" s="250" t="n">
        <f aca="false">SUM(N41,P41:U41)</f>
        <v>3.81</v>
      </c>
    </row>
    <row r="42" customFormat="false" ht="12.95" hidden="false" customHeight="true" outlineLevel="0" collapsed="false">
      <c r="A42" s="183" t="n">
        <f aca="false">A41+1</f>
        <v>28</v>
      </c>
      <c r="B42" s="106" t="n">
        <v>6871.73</v>
      </c>
      <c r="C42" s="107" t="n">
        <v>192467</v>
      </c>
      <c r="D42" s="215" t="n">
        <f aca="false">C42-C41</f>
        <v>-109</v>
      </c>
      <c r="E42" s="107" t="n">
        <f aca="false">C42-152000</f>
        <v>40467</v>
      </c>
      <c r="F42" s="246" t="n">
        <f aca="false">D42/$D$2</f>
        <v>-54.9533652634232</v>
      </c>
      <c r="G42" s="135" t="n">
        <v>23</v>
      </c>
      <c r="H42" s="247" t="n">
        <v>0</v>
      </c>
      <c r="I42" s="135" t="n">
        <f aca="false">G42+H42</f>
        <v>23</v>
      </c>
      <c r="J42" s="136" t="n">
        <f aca="false">IF(L42&gt;0,L42,0)</f>
        <v>0</v>
      </c>
      <c r="K42" s="135" t="n">
        <f aca="false">I42+J42</f>
        <v>23</v>
      </c>
      <c r="L42" s="135" t="n">
        <f aca="false">F42-(I42-AK42)</f>
        <v>-29.1433652634232</v>
      </c>
      <c r="M42" s="248" t="n">
        <v>3.71</v>
      </c>
      <c r="N42" s="135" t="n">
        <v>0</v>
      </c>
      <c r="O42" s="135" t="n">
        <v>0</v>
      </c>
      <c r="P42" s="158" t="n">
        <v>0</v>
      </c>
      <c r="Q42" s="131" t="n">
        <f aca="false">924300/325851/1.9835*1.02</f>
        <v>1.45868615819038</v>
      </c>
      <c r="R42" s="131" t="n">
        <f aca="false">((2.2)*1.04)-T42</f>
        <v>1.71905136</v>
      </c>
      <c r="S42" s="131" t="n">
        <v>0</v>
      </c>
      <c r="T42" s="131" t="n">
        <f aca="false">(0.5161*1.06)*1.04</f>
        <v>0.56894864</v>
      </c>
      <c r="U42" s="96" t="n">
        <f aca="false">M42-(Q42+R42+S42+T42)</f>
        <v>-0.0366861581903795</v>
      </c>
      <c r="V42" s="135" t="n">
        <v>18.3</v>
      </c>
      <c r="W42" s="135" t="n">
        <v>0</v>
      </c>
      <c r="X42" s="135" t="n">
        <f aca="false">M42-N42-P42-O42-Q42-R42-S42-T42-U42+V42+W42</f>
        <v>18.3</v>
      </c>
      <c r="Y42" s="135" t="n">
        <f aca="false">X42-AO42</f>
        <v>18.3</v>
      </c>
      <c r="Z42" s="136"/>
      <c r="AA42" s="135"/>
      <c r="AB42" s="136"/>
      <c r="AC42" s="136" t="n">
        <v>0</v>
      </c>
      <c r="AD42" s="107"/>
      <c r="AE42" s="135" t="n">
        <v>0</v>
      </c>
      <c r="AF42" s="248"/>
      <c r="AG42" s="249"/>
      <c r="AH42" s="135" t="n">
        <v>26.8</v>
      </c>
      <c r="AI42" s="107" t="n">
        <f aca="false">AI41-AH42</f>
        <v>2805.1</v>
      </c>
      <c r="AJ42" s="107"/>
      <c r="AK42" s="134" t="n">
        <f aca="false">N42+O42+P42+Q42+R42+S42+T42+U42+X42+AE42+AH42</f>
        <v>48.81</v>
      </c>
      <c r="AL42" s="135" t="n">
        <f aca="false">IF(L42&lt;0,L42*-1,0)</f>
        <v>29.1433652634232</v>
      </c>
      <c r="AM42" s="135" t="n">
        <f aca="false">AK42+AL42</f>
        <v>77.9533652634233</v>
      </c>
      <c r="AN42" s="220" t="n">
        <f aca="false">V42</f>
        <v>18.3</v>
      </c>
      <c r="AO42" s="136" t="n">
        <v>0</v>
      </c>
      <c r="AP42" s="221"/>
      <c r="AV42" s="222" t="n">
        <v>0</v>
      </c>
      <c r="AW42" s="107" t="n">
        <v>30</v>
      </c>
      <c r="AX42" s="215" t="n">
        <v>2</v>
      </c>
      <c r="AY42" s="223"/>
      <c r="AZ42" s="250" t="n">
        <f aca="false">SUM(N42,P42:U42)</f>
        <v>3.71</v>
      </c>
    </row>
    <row r="43" customFormat="false" ht="12.95" hidden="false" customHeight="true" outlineLevel="0" collapsed="false">
      <c r="A43" s="183" t="n">
        <f aca="false">A42+1</f>
        <v>29</v>
      </c>
      <c r="B43" s="106" t="n">
        <v>6871.72</v>
      </c>
      <c r="C43" s="107" t="n">
        <v>192440</v>
      </c>
      <c r="D43" s="215" t="n">
        <f aca="false">C43-C42</f>
        <v>-27</v>
      </c>
      <c r="E43" s="107" t="n">
        <f aca="false">C43-152000</f>
        <v>40440</v>
      </c>
      <c r="F43" s="246" t="n">
        <f aca="false">D43/$D$2</f>
        <v>-13.61230148727</v>
      </c>
      <c r="G43" s="135" t="n">
        <v>22</v>
      </c>
      <c r="H43" s="247" t="n">
        <v>0</v>
      </c>
      <c r="I43" s="135" t="n">
        <f aca="false">G43+H43</f>
        <v>22</v>
      </c>
      <c r="J43" s="136" t="n">
        <f aca="false">IF(L43&gt;0,L43,0)</f>
        <v>13.42769851273</v>
      </c>
      <c r="K43" s="135" t="n">
        <f aca="false">I43+J43</f>
        <v>35.42769851273</v>
      </c>
      <c r="L43" s="135" t="n">
        <f aca="false">F43-(I43-AK43)</f>
        <v>13.42769851273</v>
      </c>
      <c r="M43" s="248" t="n">
        <v>3.94</v>
      </c>
      <c r="N43" s="135" t="n">
        <v>0</v>
      </c>
      <c r="O43" s="135" t="n">
        <v>0</v>
      </c>
      <c r="P43" s="158" t="n">
        <v>0</v>
      </c>
      <c r="Q43" s="131" t="n">
        <f aca="false">1008000/325851/1.9835*1.02</f>
        <v>1.59077750455036</v>
      </c>
      <c r="R43" s="131" t="n">
        <f aca="false">((2.2)*1.04)-T43</f>
        <v>1.71905136</v>
      </c>
      <c r="S43" s="131" t="n">
        <v>0</v>
      </c>
      <c r="T43" s="131" t="n">
        <f aca="false">(0.5161*1.06)*1.04</f>
        <v>0.56894864</v>
      </c>
      <c r="U43" s="96" t="n">
        <f aca="false">M43-(Q43+R43+S43+T43)</f>
        <v>0.0612224954496354</v>
      </c>
      <c r="V43" s="135" t="n">
        <v>18.3</v>
      </c>
      <c r="W43" s="135" t="n">
        <v>0</v>
      </c>
      <c r="X43" s="135" t="n">
        <f aca="false">M43-N43-P43-O43-Q43-R43-S43-T43-U43+V43+W43</f>
        <v>18.3</v>
      </c>
      <c r="Y43" s="135" t="n">
        <f aca="false">X43-AO43</f>
        <v>18.3</v>
      </c>
      <c r="Z43" s="136"/>
      <c r="AA43" s="135"/>
      <c r="AB43" s="136"/>
      <c r="AC43" s="136" t="n">
        <v>0</v>
      </c>
      <c r="AD43" s="107"/>
      <c r="AE43" s="135" t="n">
        <v>0</v>
      </c>
      <c r="AF43" s="248"/>
      <c r="AG43" s="249"/>
      <c r="AH43" s="135" t="n">
        <v>26.8</v>
      </c>
      <c r="AI43" s="107" t="n">
        <f aca="false">AI42-AH43</f>
        <v>2778.3</v>
      </c>
      <c r="AJ43" s="107"/>
      <c r="AK43" s="134" t="n">
        <f aca="false">N43+O43+P43+Q43+R43+S43+T43+U43+X43+AE43+AH43</f>
        <v>49.04</v>
      </c>
      <c r="AL43" s="135" t="n">
        <f aca="false">IF(L43&lt;0,L43*-1,0)</f>
        <v>0</v>
      </c>
      <c r="AM43" s="135" t="n">
        <f aca="false">AK43+AL43</f>
        <v>49.04</v>
      </c>
      <c r="AN43" s="220" t="n">
        <f aca="false">V43</f>
        <v>18.3</v>
      </c>
      <c r="AO43" s="136" t="n">
        <v>0</v>
      </c>
      <c r="AP43" s="221"/>
      <c r="AV43" s="222" t="n">
        <v>0.01</v>
      </c>
      <c r="AW43" s="107" t="n">
        <v>33</v>
      </c>
      <c r="AX43" s="215" t="n">
        <v>0</v>
      </c>
      <c r="AY43" s="223"/>
      <c r="AZ43" s="250" t="n">
        <f aca="false">SUM(N43,P43:U43)</f>
        <v>3.94</v>
      </c>
    </row>
    <row r="44" customFormat="false" ht="12.95" hidden="false" customHeight="true" outlineLevel="0" collapsed="false">
      <c r="A44" s="183" t="n">
        <v>30</v>
      </c>
      <c r="B44" s="106" t="n">
        <v>6871.71</v>
      </c>
      <c r="C44" s="107" t="n">
        <v>192413</v>
      </c>
      <c r="D44" s="215" t="n">
        <f aca="false">C44-C43</f>
        <v>-27</v>
      </c>
      <c r="E44" s="107" t="n">
        <f aca="false">C44-152000</f>
        <v>40413</v>
      </c>
      <c r="F44" s="246" t="n">
        <f aca="false">D44/$D$2</f>
        <v>-13.61230148727</v>
      </c>
      <c r="G44" s="135" t="n">
        <v>23</v>
      </c>
      <c r="H44" s="247" t="n">
        <v>0</v>
      </c>
      <c r="I44" s="135" t="n">
        <f aca="false">G44+H44</f>
        <v>23</v>
      </c>
      <c r="J44" s="136" t="n">
        <f aca="false">IF(L44&gt;0,L44,0)</f>
        <v>12.93769851273</v>
      </c>
      <c r="K44" s="135" t="n">
        <f aca="false">I44+J44</f>
        <v>35.93769851273</v>
      </c>
      <c r="L44" s="135" t="n">
        <f aca="false">F44-(I44-AK44)</f>
        <v>12.93769851273</v>
      </c>
      <c r="M44" s="248" t="n">
        <v>4.45</v>
      </c>
      <c r="N44" s="135" t="n">
        <v>0</v>
      </c>
      <c r="O44" s="135" t="n">
        <v>0</v>
      </c>
      <c r="P44" s="158" t="n">
        <v>0</v>
      </c>
      <c r="Q44" s="131" t="n">
        <f aca="false">1034700/325851/1.9835*1.02</f>
        <v>1.63291417059351</v>
      </c>
      <c r="R44" s="131" t="n">
        <f aca="false">((2.2)*1.04)-T44</f>
        <v>1.71905136</v>
      </c>
      <c r="S44" s="131" t="n">
        <v>0</v>
      </c>
      <c r="T44" s="131" t="n">
        <f aca="false">(0.5161*1.06)*1.04</f>
        <v>0.56894864</v>
      </c>
      <c r="U44" s="96" t="n">
        <f aca="false">M44-(Q44+R44+S44+T44)</f>
        <v>0.529085829406486</v>
      </c>
      <c r="V44" s="135" t="n">
        <v>18.3</v>
      </c>
      <c r="W44" s="135" t="n">
        <v>0</v>
      </c>
      <c r="X44" s="135" t="n">
        <f aca="false">M44-N44-P44-O44-Q44-R44-S44-T44-U44+V44+W44</f>
        <v>18.3</v>
      </c>
      <c r="Y44" s="135" t="n">
        <f aca="false">X44-AO44</f>
        <v>18.3</v>
      </c>
      <c r="Z44" s="136"/>
      <c r="AA44" s="135"/>
      <c r="AB44" s="136"/>
      <c r="AC44" s="136" t="n">
        <v>0</v>
      </c>
      <c r="AD44" s="107"/>
      <c r="AE44" s="135" t="n">
        <v>0</v>
      </c>
      <c r="AF44" s="248"/>
      <c r="AG44" s="249"/>
      <c r="AH44" s="135" t="n">
        <v>26.8</v>
      </c>
      <c r="AI44" s="107" t="n">
        <f aca="false">AI43-AH44</f>
        <v>2751.5</v>
      </c>
      <c r="AJ44" s="107"/>
      <c r="AK44" s="134" t="n">
        <f aca="false">N44+O44+P44+Q44+R44+S44+T44+U44+X44+AE44+AH44</f>
        <v>49.55</v>
      </c>
      <c r="AL44" s="135" t="n">
        <f aca="false">IF(L44&lt;0,L44*-1,0)</f>
        <v>0</v>
      </c>
      <c r="AM44" s="135" t="n">
        <f aca="false">AK44+AL44</f>
        <v>49.55</v>
      </c>
      <c r="AN44" s="220" t="n">
        <f aca="false">V44</f>
        <v>18.3</v>
      </c>
      <c r="AO44" s="136" t="n">
        <v>0</v>
      </c>
      <c r="AP44" s="221"/>
      <c r="AV44" s="222" t="n">
        <v>0.01</v>
      </c>
      <c r="AW44" s="107" t="n">
        <v>41</v>
      </c>
      <c r="AX44" s="215" t="n">
        <v>10</v>
      </c>
      <c r="AY44" s="223"/>
      <c r="AZ44" s="250" t="n">
        <f aca="false">SUM(N44,P44:U44)</f>
        <v>4.45</v>
      </c>
    </row>
    <row r="45" customFormat="false" ht="12.95" hidden="false" customHeight="true" outlineLevel="0" collapsed="false">
      <c r="A45" s="183" t="n">
        <v>31</v>
      </c>
      <c r="B45" s="106" t="n">
        <v>6871.7</v>
      </c>
      <c r="C45" s="107" t="n">
        <v>192386</v>
      </c>
      <c r="D45" s="215" t="n">
        <f aca="false">C45-C44</f>
        <v>-27</v>
      </c>
      <c r="E45" s="107" t="n">
        <f aca="false">C45-152000</f>
        <v>40386</v>
      </c>
      <c r="F45" s="246" t="n">
        <f aca="false">D45/$D$2</f>
        <v>-13.61230148727</v>
      </c>
      <c r="G45" s="135" t="n">
        <v>24</v>
      </c>
      <c r="H45" s="247" t="n">
        <v>0</v>
      </c>
      <c r="I45" s="135" t="n">
        <f aca="false">G45+H45</f>
        <v>24</v>
      </c>
      <c r="J45" s="136" t="n">
        <f aca="false">IF(L45&gt;0,L45,0)</f>
        <v>11.54769851273</v>
      </c>
      <c r="K45" s="135" t="n">
        <f aca="false">I45+J45</f>
        <v>35.54769851273</v>
      </c>
      <c r="L45" s="135" t="n">
        <f aca="false">F45-(I45-AK45)</f>
        <v>11.54769851273</v>
      </c>
      <c r="M45" s="248" t="n">
        <v>4.06</v>
      </c>
      <c r="N45" s="135" t="n">
        <v>0</v>
      </c>
      <c r="O45" s="135" t="n">
        <v>0</v>
      </c>
      <c r="P45" s="158" t="n">
        <v>0</v>
      </c>
      <c r="Q45" s="131" t="n">
        <f aca="false">902800/325851/1.9835*1.02</f>
        <v>1.42475588403578</v>
      </c>
      <c r="R45" s="131" t="n">
        <f aca="false">((2.2)*1.04)-T45</f>
        <v>1.71905136</v>
      </c>
      <c r="S45" s="131" t="n">
        <v>0</v>
      </c>
      <c r="T45" s="131" t="n">
        <f aca="false">(0.5161*1.06)*1.04</f>
        <v>0.56894864</v>
      </c>
      <c r="U45" s="96" t="n">
        <f aca="false">M45-(Q45+R45+S45+T45)</f>
        <v>0.347244115964217</v>
      </c>
      <c r="V45" s="135" t="n">
        <v>18.3</v>
      </c>
      <c r="W45" s="135" t="n">
        <v>0</v>
      </c>
      <c r="X45" s="135" t="n">
        <f aca="false">M45-N45-P45-O45-Q45-R45-S45-T45-U45+V45+W45</f>
        <v>18.3</v>
      </c>
      <c r="Y45" s="135" t="n">
        <f aca="false">X45-AO45</f>
        <v>18.3</v>
      </c>
      <c r="Z45" s="136"/>
      <c r="AA45" s="135"/>
      <c r="AB45" s="136"/>
      <c r="AC45" s="136" t="n">
        <v>0</v>
      </c>
      <c r="AD45" s="107"/>
      <c r="AE45" s="135" t="n">
        <v>0</v>
      </c>
      <c r="AF45" s="248"/>
      <c r="AG45" s="249"/>
      <c r="AH45" s="135" t="n">
        <v>26.8</v>
      </c>
      <c r="AI45" s="107" t="n">
        <f aca="false">AI44-AH45</f>
        <v>2724.7</v>
      </c>
      <c r="AJ45" s="107"/>
      <c r="AK45" s="134" t="n">
        <f aca="false">N45+O45+P45+Q45+R45+S45+T45+U45+X45+AE45+AH45</f>
        <v>49.16</v>
      </c>
      <c r="AL45" s="135" t="n">
        <f aca="false">IF(L45&lt;0,L45*-1,0)</f>
        <v>0</v>
      </c>
      <c r="AM45" s="246" t="n">
        <f aca="false">AK45+AL45</f>
        <v>49.16</v>
      </c>
      <c r="AN45" s="215" t="n">
        <f aca="false">V45</f>
        <v>18.3</v>
      </c>
      <c r="AO45" s="136" t="n">
        <v>0</v>
      </c>
      <c r="AP45" s="221"/>
      <c r="AV45" s="222" t="n">
        <v>0</v>
      </c>
      <c r="AW45" s="107" t="n">
        <v>31</v>
      </c>
      <c r="AX45" s="215" t="n">
        <v>1</v>
      </c>
      <c r="AY45" s="223"/>
      <c r="AZ45" s="250" t="n">
        <f aca="false">SUM(N45,P45:U45)</f>
        <v>4.06</v>
      </c>
    </row>
    <row r="46" customFormat="false" ht="3" hidden="false" customHeight="true" outlineLevel="0" collapsed="false">
      <c r="A46" s="231"/>
      <c r="B46" s="252"/>
      <c r="C46" s="233"/>
      <c r="D46" s="234"/>
      <c r="E46" s="233"/>
      <c r="F46" s="235"/>
      <c r="G46" s="234"/>
      <c r="H46" s="236"/>
      <c r="I46" s="234"/>
      <c r="J46" s="234"/>
      <c r="K46" s="234"/>
      <c r="L46" s="234"/>
      <c r="M46" s="234"/>
      <c r="N46" s="234"/>
      <c r="O46" s="234"/>
      <c r="P46" s="238"/>
      <c r="Q46" s="234"/>
      <c r="R46" s="234"/>
      <c r="S46" s="234"/>
      <c r="T46" s="234"/>
      <c r="U46" s="239"/>
      <c r="V46" s="234"/>
      <c r="W46" s="234"/>
      <c r="X46" s="234" t="n">
        <f aca="false">M46-N46-O46-Q46-R46-S46+V46+W46</f>
        <v>0</v>
      </c>
      <c r="Y46" s="234" t="n">
        <f aca="false">N46-O46-P46-R46-S46-U46+W46+X46</f>
        <v>0</v>
      </c>
      <c r="Z46" s="240"/>
      <c r="AA46" s="234"/>
      <c r="AB46" s="240"/>
      <c r="AC46" s="240"/>
      <c r="AD46" s="233"/>
      <c r="AE46" s="234"/>
      <c r="AF46" s="237"/>
      <c r="AG46" s="241"/>
      <c r="AH46" s="253"/>
      <c r="AI46" s="234"/>
      <c r="AJ46" s="234"/>
      <c r="AK46" s="234" t="n">
        <f aca="false">N46+O46+Q46+R46+S46+X46+AE46+AH46</f>
        <v>0</v>
      </c>
      <c r="AL46" s="234"/>
      <c r="AM46" s="235"/>
      <c r="AN46" s="243"/>
      <c r="AO46" s="240"/>
      <c r="AP46" s="243"/>
      <c r="AQ46" s="244"/>
      <c r="AR46" s="244"/>
      <c r="AS46" s="244"/>
      <c r="AT46" s="244"/>
      <c r="AU46" s="243"/>
      <c r="AV46" s="245"/>
      <c r="AW46" s="243"/>
      <c r="AX46" s="243" t="s">
        <v>114</v>
      </c>
      <c r="AY46" s="254"/>
      <c r="AZ46" s="255" t="s">
        <v>114</v>
      </c>
    </row>
    <row r="47" customFormat="false" ht="12.95" hidden="false" customHeight="true" outlineLevel="0" collapsed="false">
      <c r="A47" s="185" t="s">
        <v>101</v>
      </c>
      <c r="B47" s="213"/>
      <c r="C47" s="107"/>
      <c r="D47" s="107"/>
      <c r="E47" s="107"/>
      <c r="F47" s="214" t="n">
        <f aca="false">SUM(F15:F45)</f>
        <v>-563.145954121502</v>
      </c>
      <c r="G47" s="107" t="n">
        <f aca="false">SUM(G15:G45)</f>
        <v>797</v>
      </c>
      <c r="H47" s="107" t="n">
        <f aca="false">SUM(H15:H45)</f>
        <v>0</v>
      </c>
      <c r="I47" s="107" t="n">
        <f aca="false">SUM(I15:I45)</f>
        <v>797</v>
      </c>
      <c r="J47" s="107" t="n">
        <f aca="false">SUM(J15:J45)</f>
        <v>251.346460801613</v>
      </c>
      <c r="K47" s="107" t="n">
        <f aca="false">SUM(K15:K45)</f>
        <v>1048.34646080161</v>
      </c>
      <c r="L47" s="107" t="n">
        <f aca="false">SUM(L15:L45)</f>
        <v>43.5340458784977</v>
      </c>
      <c r="M47" s="216" t="n">
        <f aca="false">SUM(M15:M45)</f>
        <v>121.32</v>
      </c>
      <c r="N47" s="107" t="n">
        <f aca="false">SUM(N15:N45)</f>
        <v>0</v>
      </c>
      <c r="O47" s="107" t="n">
        <f aca="false">SUM(O15:O45)</f>
        <v>0</v>
      </c>
      <c r="P47" s="158"/>
      <c r="Q47" s="107" t="n">
        <f aca="false">SUM(Q15:Q45)</f>
        <v>45.7256999725627</v>
      </c>
      <c r="R47" s="107" t="n">
        <f aca="false">SUM(R15:R45)</f>
        <v>47.85077232</v>
      </c>
      <c r="S47" s="107" t="n">
        <f aca="false">SUM(S15:S45)</f>
        <v>0</v>
      </c>
      <c r="T47" s="107" t="n">
        <f aca="false">SUM(T15:T45)</f>
        <v>18.81322768</v>
      </c>
      <c r="U47" s="217" t="n">
        <f aca="false">SUM(U15:U45)</f>
        <v>8.93030002743733</v>
      </c>
      <c r="V47" s="107" t="n">
        <f aca="false">SUM(V15:V45)</f>
        <v>485.56</v>
      </c>
      <c r="W47" s="107" t="n">
        <f aca="false">SUM(W15:W45)</f>
        <v>0</v>
      </c>
      <c r="X47" s="107" t="n">
        <f aca="false">SUM(X15:X45)</f>
        <v>485.56</v>
      </c>
      <c r="Y47" s="107" t="n">
        <f aca="false">SUM(Y15:Y45)</f>
        <v>485.56</v>
      </c>
      <c r="Z47" s="136"/>
      <c r="AA47" s="107"/>
      <c r="AB47" s="136"/>
      <c r="AC47" s="135" t="n">
        <f aca="false">SUM(AC15:AC45)</f>
        <v>27.7</v>
      </c>
      <c r="AD47" s="107"/>
      <c r="AE47" s="107"/>
      <c r="AF47" s="216"/>
      <c r="AG47" s="218"/>
      <c r="AH47" s="107" t="n">
        <f aca="false">SUM(AH15:AH45)</f>
        <v>796.8</v>
      </c>
      <c r="AI47" s="107"/>
      <c r="AJ47" s="80" t="n">
        <f aca="false">SUM(AJ15:AJ45)</f>
        <v>0</v>
      </c>
      <c r="AK47" s="107" t="n">
        <f aca="false">SUM(AK15:AK45)</f>
        <v>1403.68</v>
      </c>
      <c r="AL47" s="107" t="n">
        <f aca="false">SUM(AL15:AL45)</f>
        <v>207.812414923116</v>
      </c>
      <c r="AM47" s="214" t="n">
        <f aca="false">SUM(AM15:AM45)</f>
        <v>1611.49241492312</v>
      </c>
      <c r="AN47" s="107" t="n">
        <f aca="false">SUM(AN15:AN45)</f>
        <v>485.56</v>
      </c>
      <c r="AO47" s="136" t="n">
        <f aca="false">SUM(AO15:AO45)</f>
        <v>0</v>
      </c>
      <c r="AP47" s="221"/>
      <c r="AV47" s="222" t="n">
        <f aca="false">SUM(AV15:AV45)</f>
        <v>1.263</v>
      </c>
      <c r="AW47" s="215" t="n">
        <f aca="false">AVERAGE(AW15:AW45)</f>
        <v>41.1612903225806</v>
      </c>
      <c r="AX47" s="215" t="n">
        <f aca="false">AVERAGE(AX15:AX45)</f>
        <v>16.4838709677419</v>
      </c>
      <c r="AY47" s="223" t="s">
        <v>102</v>
      </c>
      <c r="AZ47" s="256" t="n">
        <f aca="false">SUM(AZ15:AZ45)</f>
        <v>121.32</v>
      </c>
    </row>
    <row r="48" customFormat="false" ht="12.95" hidden="false" customHeight="true" outlineLevel="0" collapsed="false">
      <c r="A48" s="185" t="s">
        <v>103</v>
      </c>
      <c r="B48" s="213"/>
      <c r="C48" s="107"/>
      <c r="D48" s="107" t="n">
        <f aca="false">SUM(D15:D45)</f>
        <v>-1117</v>
      </c>
      <c r="E48" s="107"/>
      <c r="F48" s="214" t="n">
        <f aca="false">F47*$D$2</f>
        <v>-1117</v>
      </c>
      <c r="G48" s="107" t="n">
        <f aca="false">G47*$D$2</f>
        <v>1580.8495</v>
      </c>
      <c r="H48" s="107" t="n">
        <f aca="false">H47*$D$2</f>
        <v>0</v>
      </c>
      <c r="I48" s="107" t="n">
        <f aca="false">I47*$D$2</f>
        <v>1580.8495</v>
      </c>
      <c r="J48" s="107" t="n">
        <f aca="false">J47*$D$2</f>
        <v>498.545705</v>
      </c>
      <c r="K48" s="107" t="n">
        <f aca="false">K47*$D$2</f>
        <v>2079.395205</v>
      </c>
      <c r="L48" s="107" t="n">
        <f aca="false">L47*$D$2</f>
        <v>86.3497800000001</v>
      </c>
      <c r="M48" s="216" t="n">
        <f aca="false">M47*$D$2</f>
        <v>240.63822</v>
      </c>
      <c r="N48" s="107" t="n">
        <f aca="false">N47*$D$2</f>
        <v>0</v>
      </c>
      <c r="O48" s="107" t="n">
        <f aca="false">O47*$D$2</f>
        <v>0</v>
      </c>
      <c r="P48" s="158"/>
      <c r="Q48" s="107" t="n">
        <f aca="false">Q47*$D$2</f>
        <v>90.6969258955781</v>
      </c>
      <c r="R48" s="107" t="n">
        <f aca="false">R47*$D$2</f>
        <v>94.91200689672</v>
      </c>
      <c r="S48" s="107" t="n">
        <f aca="false">S47*$D$2</f>
        <v>0</v>
      </c>
      <c r="T48" s="107" t="n">
        <f aca="false">T47*$D$2</f>
        <v>37.31603710328</v>
      </c>
      <c r="U48" s="217" t="n">
        <f aca="false">U47*$D$2</f>
        <v>17.713250104422</v>
      </c>
      <c r="V48" s="107" t="n">
        <f aca="false">V47*$D$2</f>
        <v>963.10826</v>
      </c>
      <c r="W48" s="107" t="n">
        <f aca="false">W47*$D$2</f>
        <v>0</v>
      </c>
      <c r="X48" s="107" t="n">
        <f aca="false">X47*$D$2</f>
        <v>963.10826</v>
      </c>
      <c r="Y48" s="107" t="n">
        <f aca="false">Y47*$D$2</f>
        <v>963.10826</v>
      </c>
      <c r="Z48" s="136"/>
      <c r="AA48" s="107"/>
      <c r="AB48" s="136"/>
      <c r="AC48" s="135" t="n">
        <f aca="false">AC47*$D$2</f>
        <v>54.94295</v>
      </c>
      <c r="AD48" s="107"/>
      <c r="AE48" s="107"/>
      <c r="AF48" s="216"/>
      <c r="AG48" s="218"/>
      <c r="AH48" s="107" t="n">
        <f aca="false">AH47*$D$2</f>
        <v>1580.4528</v>
      </c>
      <c r="AI48" s="107"/>
      <c r="AJ48" s="80" t="n">
        <f aca="false">AJ47*$D$2</f>
        <v>0</v>
      </c>
      <c r="AK48" s="107" t="n">
        <f aca="false">AK47*$D$2</f>
        <v>2784.19928</v>
      </c>
      <c r="AL48" s="107" t="n">
        <f aca="false">AL47*$D$2</f>
        <v>412.195925</v>
      </c>
      <c r="AM48" s="214" t="n">
        <f aca="false">AM47*$D$2</f>
        <v>3196.395205</v>
      </c>
      <c r="AN48" s="107" t="n">
        <f aca="false">AN47*$D$2</f>
        <v>963.10826</v>
      </c>
      <c r="AO48" s="136" t="n">
        <f aca="false">AO47*$D$2</f>
        <v>0</v>
      </c>
      <c r="AP48" s="221"/>
      <c r="AV48" s="222"/>
      <c r="AW48" s="215" t="n">
        <f aca="false">MAX(AW15:AW45)</f>
        <v>57</v>
      </c>
      <c r="AX48" s="215" t="n">
        <f aca="false">MAX(AX15:AX45)</f>
        <v>31</v>
      </c>
      <c r="AY48" s="223" t="s">
        <v>104</v>
      </c>
      <c r="AZ48" s="256" t="n">
        <f aca="false">AZ47*$D$2</f>
        <v>240.63822</v>
      </c>
    </row>
    <row r="49" customFormat="false" ht="3" hidden="false" customHeight="true" outlineLevel="0" collapsed="false">
      <c r="A49" s="231"/>
      <c r="B49" s="252"/>
      <c r="C49" s="233"/>
      <c r="D49" s="233"/>
      <c r="E49" s="233"/>
      <c r="F49" s="257"/>
      <c r="G49" s="233"/>
      <c r="H49" s="233"/>
      <c r="I49" s="233"/>
      <c r="J49" s="233"/>
      <c r="K49" s="233"/>
      <c r="L49" s="233"/>
      <c r="M49" s="258"/>
      <c r="N49" s="233"/>
      <c r="O49" s="233"/>
      <c r="P49" s="238"/>
      <c r="Q49" s="233"/>
      <c r="R49" s="233"/>
      <c r="S49" s="233"/>
      <c r="T49" s="233"/>
      <c r="U49" s="239"/>
      <c r="V49" s="233"/>
      <c r="W49" s="233"/>
      <c r="X49" s="233"/>
      <c r="Y49" s="233"/>
      <c r="Z49" s="240"/>
      <c r="AA49" s="233"/>
      <c r="AB49" s="240"/>
      <c r="AC49" s="234"/>
      <c r="AD49" s="233"/>
      <c r="AE49" s="233"/>
      <c r="AF49" s="258"/>
      <c r="AG49" s="259"/>
      <c r="AH49" s="233"/>
      <c r="AI49" s="234"/>
      <c r="AJ49" s="119"/>
      <c r="AK49" s="233"/>
      <c r="AL49" s="233"/>
      <c r="AM49" s="257"/>
      <c r="AN49" s="233"/>
      <c r="AO49" s="240"/>
      <c r="AP49" s="233"/>
      <c r="AQ49" s="260"/>
      <c r="AR49" s="260"/>
      <c r="AS49" s="244"/>
      <c r="AT49" s="244"/>
      <c r="AU49" s="243"/>
      <c r="AV49" s="261"/>
      <c r="AW49" s="233"/>
      <c r="AX49" s="233"/>
      <c r="AY49" s="257"/>
      <c r="AZ49" s="262"/>
    </row>
    <row r="50" customFormat="false" ht="12.95" hidden="false" customHeight="true" outlineLevel="0" collapsed="false">
      <c r="A50" s="185" t="s">
        <v>105</v>
      </c>
      <c r="B50" s="213"/>
      <c r="C50" s="107"/>
      <c r="D50" s="107"/>
      <c r="E50" s="107"/>
      <c r="F50" s="214"/>
      <c r="G50" s="107"/>
      <c r="H50" s="107"/>
      <c r="I50" s="107"/>
      <c r="J50" s="107"/>
      <c r="K50" s="107"/>
      <c r="L50" s="107"/>
      <c r="M50" s="216"/>
      <c r="N50" s="107"/>
      <c r="O50" s="107"/>
      <c r="P50" s="158"/>
      <c r="Q50" s="107"/>
      <c r="R50" s="107"/>
      <c r="S50" s="107"/>
      <c r="T50" s="107"/>
      <c r="U50" s="217"/>
      <c r="V50" s="107"/>
      <c r="W50" s="107"/>
      <c r="X50" s="107"/>
      <c r="Y50" s="107"/>
      <c r="Z50" s="136"/>
      <c r="AA50" s="107"/>
      <c r="AB50" s="136"/>
      <c r="AC50" s="135"/>
      <c r="AD50" s="107"/>
      <c r="AE50" s="107"/>
      <c r="AF50" s="216"/>
      <c r="AG50" s="218"/>
      <c r="AH50" s="107"/>
      <c r="AI50" s="107"/>
      <c r="AJ50" s="80"/>
      <c r="AK50" s="107"/>
      <c r="AL50" s="107"/>
      <c r="AM50" s="214"/>
      <c r="AN50" s="107"/>
      <c r="AO50" s="136"/>
      <c r="AP50" s="221"/>
      <c r="AV50" s="222"/>
      <c r="AW50" s="215" t="n">
        <f aca="false">MIN(AW15:AW45)</f>
        <v>30</v>
      </c>
      <c r="AX50" s="215" t="n">
        <f aca="false">MIN(AX15:AX45)</f>
        <v>-4</v>
      </c>
      <c r="AY50" s="223" t="s">
        <v>106</v>
      </c>
      <c r="AZ50" s="256"/>
    </row>
    <row r="51" customFormat="false" ht="12.95" hidden="false" customHeight="true" outlineLevel="0" collapsed="false">
      <c r="A51" s="185" t="s">
        <v>107</v>
      </c>
      <c r="B51" s="213"/>
      <c r="C51" s="107"/>
      <c r="D51" s="107"/>
      <c r="E51" s="107"/>
      <c r="F51" s="214"/>
      <c r="G51" s="107"/>
      <c r="H51" s="107"/>
      <c r="I51" s="107"/>
      <c r="J51" s="107"/>
      <c r="K51" s="107"/>
      <c r="L51" s="107"/>
      <c r="M51" s="216"/>
      <c r="N51" s="107"/>
      <c r="O51" s="107"/>
      <c r="P51" s="158"/>
      <c r="Q51" s="107"/>
      <c r="R51" s="107"/>
      <c r="S51" s="107"/>
      <c r="T51" s="107"/>
      <c r="U51" s="217"/>
      <c r="V51" s="107"/>
      <c r="W51" s="107"/>
      <c r="X51" s="107"/>
      <c r="Y51" s="107"/>
      <c r="Z51" s="136"/>
      <c r="AA51" s="107"/>
      <c r="AB51" s="136"/>
      <c r="AC51" s="135"/>
      <c r="AD51" s="107"/>
      <c r="AE51" s="107"/>
      <c r="AF51" s="216"/>
      <c r="AG51" s="218"/>
      <c r="AH51" s="107"/>
      <c r="AI51" s="107"/>
      <c r="AJ51" s="80"/>
      <c r="AK51" s="107"/>
      <c r="AL51" s="107"/>
      <c r="AM51" s="214"/>
      <c r="AN51" s="107"/>
      <c r="AO51" s="136"/>
      <c r="AP51" s="221"/>
      <c r="AV51" s="222"/>
      <c r="AW51" s="215"/>
      <c r="AX51" s="215"/>
      <c r="AY51" s="223"/>
      <c r="AZ51" s="256"/>
    </row>
    <row r="52" customFormat="false" ht="3" hidden="false" customHeight="true" outlineLevel="0" collapsed="false">
      <c r="A52" s="231"/>
      <c r="B52" s="252"/>
      <c r="C52" s="233"/>
      <c r="D52" s="233"/>
      <c r="E52" s="233"/>
      <c r="F52" s="257"/>
      <c r="G52" s="233"/>
      <c r="H52" s="243"/>
      <c r="I52" s="233"/>
      <c r="J52" s="233"/>
      <c r="K52" s="233"/>
      <c r="L52" s="233"/>
      <c r="M52" s="258"/>
      <c r="N52" s="233"/>
      <c r="O52" s="233"/>
      <c r="P52" s="238"/>
      <c r="Q52" s="233"/>
      <c r="R52" s="233"/>
      <c r="S52" s="233"/>
      <c r="T52" s="233"/>
      <c r="U52" s="239"/>
      <c r="V52" s="233"/>
      <c r="W52" s="233"/>
      <c r="X52" s="233"/>
      <c r="Y52" s="233"/>
      <c r="Z52" s="240"/>
      <c r="AA52" s="233"/>
      <c r="AB52" s="240"/>
      <c r="AC52" s="234"/>
      <c r="AD52" s="233"/>
      <c r="AE52" s="233"/>
      <c r="AF52" s="258"/>
      <c r="AG52" s="259"/>
      <c r="AH52" s="233"/>
      <c r="AI52" s="233"/>
      <c r="AJ52" s="119"/>
      <c r="AK52" s="233"/>
      <c r="AL52" s="233"/>
      <c r="AM52" s="257"/>
      <c r="AN52" s="233"/>
      <c r="AO52" s="240"/>
      <c r="AP52" s="263"/>
      <c r="AQ52" s="264"/>
      <c r="AR52" s="264"/>
      <c r="AS52" s="244"/>
      <c r="AT52" s="244"/>
      <c r="AU52" s="243"/>
      <c r="AV52" s="245"/>
      <c r="AW52" s="263"/>
      <c r="AX52" s="263"/>
      <c r="AY52" s="265"/>
      <c r="AZ52" s="262"/>
    </row>
    <row r="53" customFormat="false" ht="12.95" hidden="false" customHeight="true" outlineLevel="0" collapsed="false">
      <c r="A53" s="185" t="s">
        <v>108</v>
      </c>
      <c r="B53" s="213"/>
      <c r="C53" s="107"/>
      <c r="D53" s="107"/>
      <c r="E53" s="107"/>
      <c r="F53" s="214" t="n">
        <f aca="false">F13+F47</f>
        <v>-1396.01714141669</v>
      </c>
      <c r="G53" s="107" t="n">
        <f aca="false">G13+G47</f>
        <v>1777</v>
      </c>
      <c r="H53" s="215" t="n">
        <f aca="false">H13+H47</f>
        <v>0.62</v>
      </c>
      <c r="I53" s="107" t="n">
        <f aca="false">I13+I47</f>
        <v>1777</v>
      </c>
      <c r="J53" s="107" t="n">
        <f aca="false">J13+J47</f>
        <v>379.046634736577</v>
      </c>
      <c r="K53" s="107" t="n">
        <f aca="false">K13+K47</f>
        <v>2156.04663473658</v>
      </c>
      <c r="L53" s="107" t="n">
        <f aca="false">L13+L47</f>
        <v>-101.421641416688</v>
      </c>
      <c r="M53" s="216" t="n">
        <f aca="false">M13+M47</f>
        <v>422.64</v>
      </c>
      <c r="N53" s="107" t="n">
        <f aca="false">N13+N47</f>
        <v>0</v>
      </c>
      <c r="O53" s="107" t="n">
        <v>0</v>
      </c>
      <c r="P53" s="158"/>
      <c r="Q53" s="107" t="n">
        <f aca="false">Q13+Q47</f>
        <v>92.5935830206818</v>
      </c>
      <c r="R53" s="107" t="n">
        <f aca="false">R13+R47</f>
        <v>101.04173456</v>
      </c>
      <c r="S53" s="107" t="n">
        <f aca="false">S13+S47</f>
        <v>0</v>
      </c>
      <c r="T53" s="107" t="n">
        <f aca="false">T13+T47</f>
        <v>35.30226544</v>
      </c>
      <c r="U53" s="217" t="n">
        <f aca="false">U13+U47</f>
        <v>14.0399765506993</v>
      </c>
      <c r="V53" s="107" t="n">
        <f aca="false">V13+V47</f>
        <v>1033.32</v>
      </c>
      <c r="W53" s="107" t="n">
        <f aca="false">W13+W47</f>
        <v>84.4</v>
      </c>
      <c r="X53" s="107" t="n">
        <f aca="false">X13+X47</f>
        <v>1297.38244042862</v>
      </c>
      <c r="Y53" s="107" t="n">
        <f aca="false">Y13+Y47</f>
        <v>973.42</v>
      </c>
      <c r="Z53" s="136"/>
      <c r="AA53" s="107"/>
      <c r="AB53" s="136"/>
      <c r="AC53" s="135" t="n">
        <f aca="false">AC13+AC47</f>
        <v>27.7</v>
      </c>
      <c r="AD53" s="107"/>
      <c r="AE53" s="107"/>
      <c r="AF53" s="216"/>
      <c r="AG53" s="218"/>
      <c r="AH53" s="107" t="n">
        <f aca="false">AH13+AH47</f>
        <v>1522.3</v>
      </c>
      <c r="AI53" s="107" t="n">
        <f aca="false">AI45</f>
        <v>2724.7</v>
      </c>
      <c r="AJ53" s="80" t="n">
        <f aca="false">AJ14+AJ47</f>
        <v>0</v>
      </c>
      <c r="AK53" s="107" t="n">
        <f aca="false">AK13+AK47</f>
        <v>3071.5955</v>
      </c>
      <c r="AL53" s="107" t="n">
        <f aca="false">AL13+AL47</f>
        <v>480.468276153264</v>
      </c>
      <c r="AM53" s="214" t="n">
        <f aca="false">AM13+AM47</f>
        <v>3552.06377615326</v>
      </c>
      <c r="AN53" s="107" t="n">
        <f aca="false">AN13+AN47</f>
        <v>973.42</v>
      </c>
      <c r="AO53" s="136" t="n">
        <f aca="false">AO13+AO47</f>
        <v>323.962440428619</v>
      </c>
      <c r="AP53" s="221"/>
      <c r="AV53" s="222" t="n">
        <f aca="false">AV13+AV47</f>
        <v>1.673</v>
      </c>
      <c r="AW53" s="215"/>
      <c r="AX53" s="215"/>
      <c r="AY53" s="223"/>
      <c r="AZ53" s="256" t="n">
        <f aca="false">AZ13+AZ47</f>
        <v>242.977559571381</v>
      </c>
    </row>
    <row r="54" customFormat="false" ht="12.95" hidden="false" customHeight="true" outlineLevel="0" collapsed="false">
      <c r="A54" s="185" t="s">
        <v>109</v>
      </c>
      <c r="B54" s="213"/>
      <c r="C54" s="107"/>
      <c r="D54" s="107" t="n">
        <f aca="false">D13+D48</f>
        <v>-2769</v>
      </c>
      <c r="E54" s="107" t="n">
        <f aca="false">E45</f>
        <v>40386</v>
      </c>
      <c r="F54" s="214" t="n">
        <f aca="false">F53*$D$2</f>
        <v>-2769</v>
      </c>
      <c r="G54" s="107" t="n">
        <f aca="false">G53*$D$2</f>
        <v>3524.6795</v>
      </c>
      <c r="H54" s="215" t="n">
        <f aca="false">H53*$D$2</f>
        <v>1.22977</v>
      </c>
      <c r="I54" s="107" t="n">
        <f aca="false">I53*$D$2</f>
        <v>3524.6795</v>
      </c>
      <c r="J54" s="107" t="n">
        <f aca="false">J53*$D$2</f>
        <v>751.839</v>
      </c>
      <c r="K54" s="107" t="n">
        <f aca="false">K53*$D$2</f>
        <v>4276.5185</v>
      </c>
      <c r="L54" s="107" t="n">
        <f aca="false">L53*$D$2</f>
        <v>-201.16982575</v>
      </c>
      <c r="M54" s="216" t="n">
        <f aca="false">M53*$D$2</f>
        <v>838.30644</v>
      </c>
      <c r="N54" s="107" t="n">
        <f aca="false">N53*$D$2</f>
        <v>0</v>
      </c>
      <c r="O54" s="107" t="n">
        <f aca="false">O53*$D$2</f>
        <v>0</v>
      </c>
      <c r="P54" s="158"/>
      <c r="Q54" s="107" t="n">
        <f aca="false">Q53*$D$2</f>
        <v>183.659371921522</v>
      </c>
      <c r="R54" s="107" t="n">
        <f aca="false">R53*$D$2</f>
        <v>200.41628049976</v>
      </c>
      <c r="S54" s="226" t="n">
        <f aca="false">S53*$D$2</f>
        <v>0</v>
      </c>
      <c r="T54" s="226" t="n">
        <f aca="false">T53*$D$2</f>
        <v>70.02204350024</v>
      </c>
      <c r="U54" s="227" t="n">
        <f aca="false">U53*$D$2</f>
        <v>27.8482934883121</v>
      </c>
      <c r="V54" s="107" t="n">
        <f aca="false">V53*$D$2</f>
        <v>2049.59022</v>
      </c>
      <c r="W54" s="107" t="n">
        <f aca="false">W53*$D$2</f>
        <v>167.4074</v>
      </c>
      <c r="X54" s="107" t="n">
        <f aca="false">X53*$D$2</f>
        <v>2573.35807059017</v>
      </c>
      <c r="Y54" s="107" t="n">
        <f aca="false">Y53*$D$2</f>
        <v>1930.77857</v>
      </c>
      <c r="Z54" s="136"/>
      <c r="AA54" s="107"/>
      <c r="AB54" s="136"/>
      <c r="AC54" s="135" t="n">
        <f aca="false">AC53*$D$2</f>
        <v>54.94295</v>
      </c>
      <c r="AD54" s="107"/>
      <c r="AE54" s="107"/>
      <c r="AF54" s="266"/>
      <c r="AG54" s="267"/>
      <c r="AH54" s="107" t="n">
        <f aca="false">AH53*$D$2</f>
        <v>3019.48205</v>
      </c>
      <c r="AI54" s="107" t="n">
        <f aca="false">AI53*$D$2</f>
        <v>5404.44245</v>
      </c>
      <c r="AJ54" s="80" t="n">
        <f aca="false">AJ53*$D$2</f>
        <v>0</v>
      </c>
      <c r="AK54" s="107" t="n">
        <f aca="false">AK53*$D$2</f>
        <v>6092.50967425</v>
      </c>
      <c r="AL54" s="107" t="n">
        <f aca="false">AL53*$D$2</f>
        <v>953.00882575</v>
      </c>
      <c r="AM54" s="268" t="n">
        <f aca="false">AM53*$D$2</f>
        <v>7045.5185</v>
      </c>
      <c r="AN54" s="107" t="n">
        <f aca="false">AN53*$D$2</f>
        <v>1930.77857</v>
      </c>
      <c r="AO54" s="136" t="n">
        <f aca="false">AO53*$D$2</f>
        <v>642.579500590166</v>
      </c>
      <c r="AP54" s="221"/>
      <c r="AV54" s="222"/>
      <c r="AW54" s="215"/>
      <c r="AX54" s="215"/>
      <c r="AY54" s="223"/>
      <c r="AZ54" s="229" t="n">
        <f aca="false">AZ53*$D$2</f>
        <v>481.945989409835</v>
      </c>
    </row>
    <row r="55" customFormat="false" ht="3" hidden="false" customHeight="true" outlineLevel="0" collapsed="false">
      <c r="A55" s="231"/>
      <c r="B55" s="252"/>
      <c r="C55" s="233"/>
      <c r="D55" s="234"/>
      <c r="E55" s="233"/>
      <c r="F55" s="235"/>
      <c r="G55" s="234"/>
      <c r="H55" s="236"/>
      <c r="I55" s="234"/>
      <c r="J55" s="234"/>
      <c r="K55" s="234"/>
      <c r="L55" s="234"/>
      <c r="M55" s="237"/>
      <c r="N55" s="234"/>
      <c r="O55" s="234"/>
      <c r="P55" s="238"/>
      <c r="Q55" s="234"/>
      <c r="R55" s="234"/>
      <c r="S55" s="234"/>
      <c r="T55" s="234"/>
      <c r="U55" s="239"/>
      <c r="V55" s="234"/>
      <c r="W55" s="234"/>
      <c r="X55" s="234"/>
      <c r="Y55" s="234"/>
      <c r="Z55" s="240"/>
      <c r="AA55" s="234"/>
      <c r="AB55" s="240"/>
      <c r="AC55" s="240"/>
      <c r="AD55" s="233"/>
      <c r="AE55" s="234"/>
      <c r="AF55" s="237"/>
      <c r="AG55" s="241"/>
      <c r="AH55" s="234"/>
      <c r="AI55" s="233"/>
      <c r="AJ55" s="233"/>
      <c r="AK55" s="234"/>
      <c r="AL55" s="234"/>
      <c r="AM55" s="234"/>
      <c r="AN55" s="252"/>
      <c r="AO55" s="240"/>
      <c r="AP55" s="234"/>
      <c r="AQ55" s="269"/>
      <c r="AR55" s="269"/>
      <c r="AS55" s="244"/>
      <c r="AT55" s="244"/>
      <c r="AU55" s="243"/>
      <c r="AV55" s="252"/>
      <c r="AW55" s="234"/>
      <c r="AX55" s="234"/>
      <c r="AY55" s="234"/>
      <c r="AZ55" s="270"/>
    </row>
    <row r="56" customFormat="false" ht="11.1" hidden="false" customHeight="true" outlineLevel="0" collapsed="false">
      <c r="A56" s="185"/>
      <c r="B56" s="271"/>
      <c r="D56" s="185"/>
      <c r="F56" s="185"/>
      <c r="G56" s="185"/>
      <c r="I56" s="185"/>
      <c r="J56" s="185"/>
      <c r="K56" s="185"/>
      <c r="L56" s="185"/>
      <c r="M56" s="185"/>
      <c r="N56" s="185"/>
      <c r="O56" s="185"/>
      <c r="Q56" s="185"/>
      <c r="R56" s="185"/>
      <c r="S56" s="185"/>
      <c r="T56" s="185"/>
      <c r="V56" s="185"/>
      <c r="W56" s="185"/>
      <c r="X56" s="185"/>
      <c r="Y56" s="185"/>
      <c r="AA56" s="185"/>
      <c r="AD56" s="177"/>
      <c r="AE56" s="185"/>
      <c r="AF56" s="185"/>
      <c r="AG56" s="185"/>
      <c r="AH56" s="185"/>
      <c r="AI56" s="177"/>
      <c r="AJ56" s="225"/>
      <c r="AK56" s="185"/>
      <c r="AL56" s="185"/>
      <c r="AM56" s="185"/>
      <c r="AN56" s="183"/>
      <c r="AO56" s="194"/>
      <c r="AX56" s="182"/>
      <c r="AY56" s="182"/>
    </row>
    <row r="57" customFormat="false" ht="11.1" hidden="false" customHeight="true" outlineLevel="0" collapsed="false">
      <c r="A57" s="185"/>
      <c r="B57" s="272"/>
      <c r="F57" s="185"/>
      <c r="G57" s="185"/>
      <c r="I57" s="186"/>
      <c r="J57" s="185"/>
      <c r="K57" s="174"/>
      <c r="L57" s="185"/>
      <c r="M57" s="185"/>
      <c r="N57" s="185"/>
      <c r="O57" s="185"/>
      <c r="Q57" s="185"/>
      <c r="R57" s="185"/>
      <c r="S57" s="185"/>
      <c r="T57" s="185"/>
      <c r="V57" s="185"/>
      <c r="W57" s="185"/>
      <c r="X57" s="185"/>
      <c r="Y57" s="185"/>
      <c r="AA57" s="185"/>
      <c r="AD57" s="177"/>
      <c r="AE57" s="185"/>
      <c r="AF57" s="185"/>
      <c r="AG57" s="185"/>
      <c r="AH57" s="185"/>
      <c r="AI57" s="177"/>
      <c r="AJ57" s="225"/>
      <c r="AK57" s="185"/>
      <c r="AL57" s="185"/>
      <c r="AM57" s="185"/>
      <c r="AN57" s="183"/>
      <c r="AO57" s="194"/>
      <c r="AX57" s="182"/>
      <c r="AY57" s="182"/>
    </row>
    <row r="58" customFormat="false" ht="11.1" hidden="false" customHeight="true" outlineLevel="0" collapsed="false">
      <c r="D58" s="177"/>
      <c r="Q58" s="179"/>
      <c r="R58" s="179"/>
      <c r="S58" s="179"/>
      <c r="T58" s="179"/>
      <c r="X58" s="176"/>
      <c r="Y58" s="176"/>
      <c r="AA58" s="176"/>
      <c r="AD58" s="177"/>
      <c r="AH58" s="176"/>
      <c r="AI58" s="177"/>
      <c r="AJ58" s="225"/>
      <c r="AM58" s="176"/>
      <c r="AN58" s="183"/>
      <c r="AO58" s="194"/>
      <c r="AX58" s="182"/>
      <c r="AY58" s="182"/>
    </row>
    <row r="59" customFormat="false" ht="11.1" hidden="false" customHeight="true" outlineLevel="0" collapsed="false">
      <c r="B59" s="8"/>
      <c r="D59" s="177"/>
    </row>
    <row r="60" customFormat="false" ht="11.1" hidden="false" customHeight="true" outlineLevel="0" collapsed="false">
      <c r="G60" s="273"/>
    </row>
  </sheetData>
  <mergeCells count="1">
    <mergeCell ref="M5:U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5" activeCellId="0" sqref="A15"/>
    </sheetView>
  </sheetViews>
  <sheetFormatPr defaultColWidth="9.328125" defaultRowHeight="11.1" zeroHeight="false" outlineLevelRow="0" outlineLevelCol="0"/>
  <cols>
    <col collapsed="false" customWidth="true" hidden="false" outlineLevel="0" max="1" min="1" style="176" width="4.66"/>
    <col collapsed="false" customWidth="true" hidden="false" outlineLevel="0" max="2" min="2" style="176" width="6.99"/>
    <col collapsed="false" customWidth="true" hidden="false" outlineLevel="0" max="3" min="3" style="177" width="6.32"/>
    <col collapsed="false" customWidth="true" hidden="false" outlineLevel="0" max="4" min="4" style="176" width="6.32"/>
    <col collapsed="false" customWidth="true" hidden="false" outlineLevel="0" max="5" min="5" style="177" width="6.99"/>
    <col collapsed="false" customWidth="true" hidden="false" outlineLevel="0" max="6" min="6" style="176" width="7.32"/>
    <col collapsed="false" customWidth="true" hidden="false" outlineLevel="0" max="7" min="7" style="176" width="6.82"/>
    <col collapsed="false" customWidth="true" hidden="false" outlineLevel="0" max="8" min="8" style="178" width="5.66"/>
    <col collapsed="false" customWidth="true" hidden="false" outlineLevel="0" max="11" min="9" style="176" width="6.32"/>
    <col collapsed="false" customWidth="true" hidden="false" outlineLevel="0" max="12" min="12" style="176" width="6.82"/>
    <col collapsed="false" customWidth="true" hidden="false" outlineLevel="0" max="13" min="13" style="179" width="5.49"/>
    <col collapsed="false" customWidth="true" hidden="false" outlineLevel="0" max="14" min="14" style="179" width="4.49"/>
    <col collapsed="false" customWidth="true" hidden="false" outlineLevel="0" max="15" min="15" style="179" width="5.49"/>
    <col collapsed="false" customWidth="true" hidden="false" outlineLevel="0" max="16" min="16" style="8" width="4.82"/>
    <col collapsed="false" customWidth="true" hidden="false" outlineLevel="0" max="20" min="17" style="176" width="4.32"/>
    <col collapsed="false" customWidth="true" hidden="false" outlineLevel="0" max="21" min="21" style="8" width="5.16"/>
    <col collapsed="false" customWidth="true" hidden="false" outlineLevel="0" max="23" min="22" style="176" width="5.49"/>
    <col collapsed="false" customWidth="true" hidden="false" outlineLevel="0" max="27" min="24" style="177" width="6.32"/>
    <col collapsed="false" customWidth="true" hidden="false" outlineLevel="0" max="28" min="28" style="179" width="5.49"/>
    <col collapsed="false" customWidth="true" hidden="false" outlineLevel="0" max="29" min="29" style="179" width="5.82"/>
    <col collapsed="false" customWidth="true" hidden="false" outlineLevel="0" max="33" min="30" style="176" width="5.49"/>
    <col collapsed="false" customWidth="true" hidden="false" outlineLevel="0" max="34" min="34" style="177" width="6.32"/>
    <col collapsed="false" customWidth="true" hidden="false" outlineLevel="0" max="35" min="35" style="176" width="5.49"/>
    <col collapsed="false" customWidth="true" hidden="false" outlineLevel="0" max="36" min="36" style="180" width="6.32"/>
    <col collapsed="false" customWidth="true" hidden="false" outlineLevel="0" max="37" min="37" style="176" width="6.32"/>
    <col collapsed="false" customWidth="true" hidden="false" outlineLevel="0" max="38" min="38" style="176" width="6.82"/>
    <col collapsed="false" customWidth="true" hidden="false" outlineLevel="0" max="39" min="39" style="8" width="6.82"/>
    <col collapsed="false" customWidth="true" hidden="false" outlineLevel="0" max="40" min="40" style="176" width="5.49"/>
    <col collapsed="false" customWidth="true" hidden="false" outlineLevel="0" max="41" min="41" style="179" width="5.49"/>
    <col collapsed="false" customWidth="true" hidden="false" outlineLevel="0" max="42" min="42" style="176" width="6.32"/>
    <col collapsed="false" customWidth="true" hidden="false" outlineLevel="0" max="43" min="43" style="181" width="6.32"/>
    <col collapsed="false" customWidth="true" hidden="false" outlineLevel="0" max="44" min="44" style="181" width="5.49"/>
    <col collapsed="false" customWidth="true" hidden="false" outlineLevel="0" max="45" min="45" style="181" width="5.32"/>
    <col collapsed="false" customWidth="true" hidden="false" outlineLevel="0" max="46" min="46" style="181" width="5.82"/>
    <col collapsed="false" customWidth="true" hidden="false" outlineLevel="0" max="47" min="47" style="176" width="4.99"/>
    <col collapsed="false" customWidth="true" hidden="false" outlineLevel="0" max="48" min="48" style="178" width="5.32"/>
    <col collapsed="false" customWidth="true" hidden="false" outlineLevel="0" max="49" min="49" style="182" width="3.82"/>
    <col collapsed="false" customWidth="true" hidden="false" outlineLevel="0" max="51" min="50" style="183" width="3.82"/>
    <col collapsed="false" customWidth="true" hidden="false" outlineLevel="0" max="52" min="52" style="180" width="5.49"/>
    <col collapsed="false" customWidth="false" hidden="false" outlineLevel="0" max="257" min="53" style="184" width="9.32"/>
  </cols>
  <sheetData>
    <row r="1" customFormat="false" ht="14.1" hidden="false" customHeight="true" outlineLevel="0" collapsed="false">
      <c r="A1" s="185"/>
      <c r="B1" s="185"/>
      <c r="D1" s="185"/>
      <c r="F1" s="185"/>
      <c r="G1" s="185"/>
      <c r="H1" s="186"/>
      <c r="I1" s="185"/>
      <c r="J1" s="185"/>
      <c r="K1" s="187" t="s">
        <v>0</v>
      </c>
      <c r="L1" s="185"/>
      <c r="M1" s="185"/>
      <c r="N1" s="185"/>
      <c r="O1" s="185"/>
      <c r="Q1" s="185"/>
      <c r="R1" s="185"/>
      <c r="S1" s="185"/>
      <c r="T1" s="185"/>
      <c r="V1" s="185"/>
      <c r="W1" s="185"/>
      <c r="AD1" s="185"/>
      <c r="AE1" s="185"/>
      <c r="AF1" s="185"/>
      <c r="AG1" s="185"/>
      <c r="AI1" s="185"/>
      <c r="AJ1" s="188"/>
      <c r="AK1" s="185"/>
      <c r="AL1" s="185"/>
    </row>
    <row r="2" customFormat="false" ht="14.1" hidden="false" customHeight="true" outlineLevel="0" collapsed="false">
      <c r="A2" s="188" t="s">
        <v>1</v>
      </c>
      <c r="B2" s="185"/>
      <c r="D2" s="189" t="n">
        <v>1.9835</v>
      </c>
      <c r="F2" s="185"/>
      <c r="G2" s="185"/>
      <c r="H2" s="186"/>
      <c r="I2" s="185"/>
      <c r="J2" s="185"/>
      <c r="K2" s="190" t="s">
        <v>115</v>
      </c>
      <c r="L2" s="191"/>
      <c r="M2" s="192"/>
      <c r="N2" s="192"/>
      <c r="O2" s="192"/>
      <c r="P2" s="193"/>
      <c r="Q2" s="192"/>
      <c r="R2" s="192"/>
      <c r="S2" s="192"/>
      <c r="T2" s="192"/>
      <c r="U2" s="193"/>
      <c r="V2" s="192"/>
      <c r="W2" s="192"/>
      <c r="X2" s="84"/>
      <c r="Y2" s="84"/>
      <c r="Z2" s="84"/>
      <c r="AA2" s="84"/>
      <c r="AB2" s="194"/>
      <c r="AC2" s="194"/>
      <c r="AD2" s="192"/>
      <c r="AE2" s="185"/>
      <c r="AF2" s="185"/>
      <c r="AG2" s="185"/>
      <c r="AI2" s="185"/>
      <c r="AJ2" s="188"/>
      <c r="AK2" s="185"/>
      <c r="AL2" s="185"/>
    </row>
    <row r="3" customFormat="false" ht="14.1" hidden="false" customHeight="true" outlineLevel="0" collapsed="false">
      <c r="A3" s="195"/>
      <c r="B3" s="195"/>
      <c r="C3" s="196"/>
      <c r="D3" s="197"/>
      <c r="E3" s="196"/>
      <c r="F3" s="195"/>
      <c r="G3" s="195"/>
      <c r="H3" s="198"/>
      <c r="I3" s="195"/>
      <c r="J3" s="195"/>
      <c r="K3" s="195"/>
      <c r="L3" s="195"/>
      <c r="M3" s="195"/>
      <c r="N3" s="195"/>
      <c r="O3" s="195"/>
      <c r="P3" s="199"/>
      <c r="Q3" s="195"/>
      <c r="R3" s="195"/>
      <c r="S3" s="195"/>
      <c r="T3" s="195"/>
      <c r="U3" s="199"/>
      <c r="V3" s="195"/>
      <c r="W3" s="195"/>
      <c r="X3" s="196"/>
      <c r="Y3" s="196"/>
      <c r="Z3" s="196"/>
      <c r="AA3" s="196"/>
      <c r="AB3" s="200"/>
      <c r="AC3" s="200"/>
      <c r="AD3" s="195"/>
      <c r="AE3" s="195"/>
      <c r="AF3" s="195"/>
      <c r="AG3" s="195"/>
      <c r="AH3" s="196"/>
      <c r="AI3" s="195"/>
      <c r="AJ3" s="201"/>
      <c r="AK3" s="195"/>
      <c r="AL3" s="195"/>
      <c r="AM3" s="199"/>
      <c r="AN3" s="202"/>
      <c r="AO3" s="200"/>
      <c r="AP3" s="202"/>
      <c r="AQ3" s="203"/>
      <c r="AV3" s="204"/>
      <c r="AW3" s="205"/>
      <c r="AX3" s="206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6" t="s">
        <v>111</v>
      </c>
      <c r="J4" s="35"/>
      <c r="K4" s="35"/>
      <c r="L4" s="37"/>
      <c r="M4" s="35"/>
      <c r="N4" s="35"/>
      <c r="O4" s="35"/>
      <c r="P4" s="38"/>
      <c r="Q4" s="35"/>
      <c r="R4" s="35"/>
      <c r="S4" s="35"/>
      <c r="T4" s="35"/>
      <c r="U4" s="38"/>
      <c r="V4" s="35"/>
      <c r="W4" s="35"/>
      <c r="X4" s="39" t="s">
        <v>5</v>
      </c>
      <c r="Y4" s="39"/>
      <c r="Z4" s="39"/>
      <c r="AA4" s="39"/>
      <c r="AB4" s="40"/>
      <c r="AC4" s="40"/>
      <c r="AD4" s="41"/>
      <c r="AE4" s="35"/>
      <c r="AF4" s="35"/>
      <c r="AG4" s="35"/>
      <c r="AH4" s="33"/>
      <c r="AI4" s="35"/>
      <c r="AJ4" s="42"/>
      <c r="AK4" s="35"/>
      <c r="AL4" s="35"/>
      <c r="AM4" s="38"/>
      <c r="AN4" s="43"/>
      <c r="AO4" s="44"/>
      <c r="AP4" s="45" t="s">
        <v>6</v>
      </c>
      <c r="AQ4" s="46"/>
      <c r="AR4" s="47"/>
      <c r="AS4" s="48"/>
      <c r="AT4" s="49"/>
      <c r="AU4" s="49"/>
      <c r="AV4" s="51"/>
      <c r="AW4" s="52" t="s">
        <v>7</v>
      </c>
      <c r="AX4" s="53"/>
      <c r="AY4" s="207"/>
      <c r="AZ4" s="208"/>
    </row>
    <row r="5" customFormat="false" ht="12.95" hidden="false" customHeight="true" outlineLevel="0" collapsed="false">
      <c r="A5" s="55" t="s">
        <v>8</v>
      </c>
      <c r="B5" s="56" t="s">
        <v>9</v>
      </c>
      <c r="C5" s="57" t="s">
        <v>9</v>
      </c>
      <c r="D5" s="58" t="s">
        <v>10</v>
      </c>
      <c r="E5" s="57" t="s">
        <v>11</v>
      </c>
      <c r="F5" s="59" t="s">
        <v>12</v>
      </c>
      <c r="G5" s="55" t="s">
        <v>13</v>
      </c>
      <c r="H5" s="55" t="s">
        <v>14</v>
      </c>
      <c r="I5" s="55" t="s">
        <v>15</v>
      </c>
      <c r="J5" s="55" t="s">
        <v>16</v>
      </c>
      <c r="K5" s="55" t="s">
        <v>17</v>
      </c>
      <c r="L5" s="77" t="s">
        <v>16</v>
      </c>
      <c r="M5" s="209" t="s">
        <v>18</v>
      </c>
      <c r="N5" s="209"/>
      <c r="O5" s="209"/>
      <c r="P5" s="209"/>
      <c r="Q5" s="209"/>
      <c r="R5" s="209"/>
      <c r="S5" s="209"/>
      <c r="T5" s="209"/>
      <c r="U5" s="209"/>
      <c r="V5" s="55" t="s">
        <v>19</v>
      </c>
      <c r="W5" s="5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61" t="s">
        <v>22</v>
      </c>
      <c r="AD5" s="62" t="s">
        <v>21</v>
      </c>
      <c r="AE5" s="55" t="s">
        <v>23</v>
      </c>
      <c r="AF5" s="63" t="s">
        <v>24</v>
      </c>
      <c r="AG5" s="64"/>
      <c r="AH5" s="55" t="s">
        <v>25</v>
      </c>
      <c r="AI5" s="65" t="s">
        <v>26</v>
      </c>
      <c r="AJ5" s="65" t="s">
        <v>27</v>
      </c>
      <c r="AK5" s="55" t="s">
        <v>15</v>
      </c>
      <c r="AL5" s="55" t="s">
        <v>16</v>
      </c>
      <c r="AM5" s="58" t="s">
        <v>17</v>
      </c>
      <c r="AN5" s="66" t="s">
        <v>28</v>
      </c>
      <c r="AO5" s="62" t="s">
        <v>21</v>
      </c>
      <c r="AP5" s="61" t="s">
        <v>29</v>
      </c>
      <c r="AQ5" s="67" t="s">
        <v>29</v>
      </c>
      <c r="AR5" s="62" t="s">
        <v>30</v>
      </c>
      <c r="AS5" s="68" t="s">
        <v>31</v>
      </c>
      <c r="AT5" s="68" t="s">
        <v>32</v>
      </c>
      <c r="AU5" s="210" t="s">
        <v>33</v>
      </c>
      <c r="AV5" s="70" t="s">
        <v>34</v>
      </c>
      <c r="AW5" s="71" t="s">
        <v>35</v>
      </c>
      <c r="AX5" s="71" t="s">
        <v>36</v>
      </c>
      <c r="AY5" s="211"/>
      <c r="AZ5" s="212" t="s">
        <v>17</v>
      </c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2.95" hidden="false" customHeight="true" outlineLevel="0" collapsed="false">
      <c r="A6" s="73" t="s">
        <v>112</v>
      </c>
      <c r="B6" s="56" t="s">
        <v>38</v>
      </c>
      <c r="C6" s="57"/>
      <c r="D6" s="58" t="s">
        <v>39</v>
      </c>
      <c r="E6" s="57" t="s">
        <v>40</v>
      </c>
      <c r="F6" s="59" t="s">
        <v>41</v>
      </c>
      <c r="G6" s="55" t="s">
        <v>42</v>
      </c>
      <c r="H6" s="55" t="s">
        <v>43</v>
      </c>
      <c r="I6" s="55" t="s">
        <v>44</v>
      </c>
      <c r="J6" s="55" t="s">
        <v>44</v>
      </c>
      <c r="K6" s="55" t="s">
        <v>44</v>
      </c>
      <c r="L6" s="77" t="s">
        <v>45</v>
      </c>
      <c r="M6" s="58" t="s">
        <v>46</v>
      </c>
      <c r="N6" s="58" t="s">
        <v>47</v>
      </c>
      <c r="O6" s="58" t="s">
        <v>48</v>
      </c>
      <c r="P6" s="75" t="s">
        <v>49</v>
      </c>
      <c r="Q6" s="58" t="s">
        <v>50</v>
      </c>
      <c r="R6" s="58" t="s">
        <v>51</v>
      </c>
      <c r="S6" s="58"/>
      <c r="T6" s="58" t="s">
        <v>48</v>
      </c>
      <c r="U6" s="76" t="s">
        <v>52</v>
      </c>
      <c r="V6" s="55" t="s">
        <v>53</v>
      </c>
      <c r="W6" s="5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61" t="s">
        <v>57</v>
      </c>
      <c r="AD6" s="62" t="s">
        <v>58</v>
      </c>
      <c r="AE6" s="55" t="s">
        <v>59</v>
      </c>
      <c r="AF6" s="74" t="s">
        <v>60</v>
      </c>
      <c r="AG6" s="77" t="s">
        <v>61</v>
      </c>
      <c r="AH6" s="55" t="s">
        <v>62</v>
      </c>
      <c r="AI6" s="65" t="s">
        <v>63</v>
      </c>
      <c r="AJ6" s="65"/>
      <c r="AK6" s="55" t="s">
        <v>64</v>
      </c>
      <c r="AL6" s="55" t="s">
        <v>64</v>
      </c>
      <c r="AM6" s="58" t="s">
        <v>64</v>
      </c>
      <c r="AN6" s="66" t="s">
        <v>65</v>
      </c>
      <c r="AO6" s="62" t="s">
        <v>66</v>
      </c>
      <c r="AP6" s="61" t="s">
        <v>67</v>
      </c>
      <c r="AQ6" s="67" t="s">
        <v>67</v>
      </c>
      <c r="AR6" s="62" t="s">
        <v>68</v>
      </c>
      <c r="AS6" s="68" t="s">
        <v>69</v>
      </c>
      <c r="AT6" s="68" t="s">
        <v>70</v>
      </c>
      <c r="AU6" s="210" t="s">
        <v>71</v>
      </c>
      <c r="AV6" s="78"/>
      <c r="AW6" s="71" t="s">
        <v>72</v>
      </c>
      <c r="AX6" s="71" t="s">
        <v>72</v>
      </c>
      <c r="AY6" s="211"/>
      <c r="AZ6" s="212" t="s">
        <v>73</v>
      </c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2.95" hidden="false" customHeight="true" outlineLevel="0" collapsed="false">
      <c r="A7" s="55"/>
      <c r="B7" s="56"/>
      <c r="C7" s="57"/>
      <c r="D7" s="58"/>
      <c r="E7" s="57"/>
      <c r="F7" s="59"/>
      <c r="G7" s="55"/>
      <c r="H7" s="55"/>
      <c r="I7" s="55"/>
      <c r="J7" s="55"/>
      <c r="K7" s="55"/>
      <c r="L7" s="77"/>
      <c r="M7" s="58"/>
      <c r="N7" s="58" t="s">
        <v>74</v>
      </c>
      <c r="O7" s="58" t="s">
        <v>75</v>
      </c>
      <c r="P7" s="75"/>
      <c r="Q7" s="58" t="s">
        <v>76</v>
      </c>
      <c r="R7" s="58" t="s">
        <v>76</v>
      </c>
      <c r="S7" s="58" t="s">
        <v>61</v>
      </c>
      <c r="T7" s="58" t="s">
        <v>61</v>
      </c>
      <c r="U7" s="76" t="s">
        <v>77</v>
      </c>
      <c r="V7" s="55"/>
      <c r="W7" s="5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61"/>
      <c r="AD7" s="62"/>
      <c r="AE7" s="77"/>
      <c r="AF7" s="79" t="n">
        <v>1.7</v>
      </c>
      <c r="AG7" s="79" t="n">
        <v>1.3</v>
      </c>
      <c r="AH7" s="74"/>
      <c r="AI7" s="80"/>
      <c r="AJ7" s="65"/>
      <c r="AK7" s="55"/>
      <c r="AL7" s="55"/>
      <c r="AM7" s="58"/>
      <c r="AN7" s="66"/>
      <c r="AO7" s="62"/>
      <c r="AP7" s="61" t="s">
        <v>83</v>
      </c>
      <c r="AQ7" s="67" t="s">
        <v>84</v>
      </c>
      <c r="AR7" s="62" t="s">
        <v>85</v>
      </c>
      <c r="AS7" s="68" t="s">
        <v>86</v>
      </c>
      <c r="AT7" s="68" t="s">
        <v>87</v>
      </c>
      <c r="AU7" s="210" t="s">
        <v>88</v>
      </c>
      <c r="AV7" s="78"/>
      <c r="AW7" s="71"/>
      <c r="AX7" s="71"/>
      <c r="AY7" s="211"/>
      <c r="AZ7" s="212" t="s">
        <v>89</v>
      </c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2.95" hidden="false" customHeight="true" outlineLevel="0" collapsed="false">
      <c r="A8" s="55"/>
      <c r="B8" s="56"/>
      <c r="C8" s="57"/>
      <c r="D8" s="58"/>
      <c r="E8" s="57"/>
      <c r="F8" s="59"/>
      <c r="G8" s="55"/>
      <c r="H8" s="55"/>
      <c r="I8" s="55"/>
      <c r="J8" s="55"/>
      <c r="K8" s="55"/>
      <c r="L8" s="77"/>
      <c r="M8" s="58"/>
      <c r="N8" s="58"/>
      <c r="O8" s="58"/>
      <c r="P8" s="75"/>
      <c r="Q8" s="58" t="s">
        <v>61</v>
      </c>
      <c r="R8" s="58" t="s">
        <v>61</v>
      </c>
      <c r="S8" s="58"/>
      <c r="T8" s="58"/>
      <c r="U8" s="76"/>
      <c r="V8" s="55"/>
      <c r="W8" s="5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61"/>
      <c r="AD8" s="62"/>
      <c r="AE8" s="77"/>
      <c r="AF8" s="79"/>
      <c r="AG8" s="79"/>
      <c r="AH8" s="74"/>
      <c r="AI8" s="80"/>
      <c r="AJ8" s="65"/>
      <c r="AK8" s="55"/>
      <c r="AL8" s="55"/>
      <c r="AM8" s="58"/>
      <c r="AN8" s="66"/>
      <c r="AO8" s="62"/>
      <c r="AP8" s="61"/>
      <c r="AQ8" s="67"/>
      <c r="AR8" s="62"/>
      <c r="AS8" s="68"/>
      <c r="AT8" s="68"/>
      <c r="AU8" s="210"/>
      <c r="AV8" s="78"/>
      <c r="AW8" s="71"/>
      <c r="AX8" s="71"/>
      <c r="AY8" s="211"/>
      <c r="AZ8" s="212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2.95" hidden="false" customHeight="true" outlineLevel="0" collapsed="false">
      <c r="A9" s="55"/>
      <c r="B9" s="56"/>
      <c r="C9" s="57"/>
      <c r="D9" s="58"/>
      <c r="E9" s="57"/>
      <c r="F9" s="59"/>
      <c r="G9" s="55"/>
      <c r="H9" s="55"/>
      <c r="I9" s="55"/>
      <c r="J9" s="55"/>
      <c r="K9" s="55"/>
      <c r="L9" s="77"/>
      <c r="M9" s="58"/>
      <c r="N9" s="58"/>
      <c r="O9" s="58"/>
      <c r="P9" s="75"/>
      <c r="Q9" s="58"/>
      <c r="R9" s="81" t="n">
        <v>4.2</v>
      </c>
      <c r="S9" s="58"/>
      <c r="T9" s="58"/>
      <c r="U9" s="76"/>
      <c r="V9" s="55"/>
      <c r="W9" s="55"/>
      <c r="X9" s="65"/>
      <c r="Y9" s="57" t="s">
        <v>90</v>
      </c>
      <c r="Z9" s="61"/>
      <c r="AA9" s="57" t="s">
        <v>90</v>
      </c>
      <c r="AB9" s="61" t="s">
        <v>93</v>
      </c>
      <c r="AC9" s="61"/>
      <c r="AD9" s="62"/>
      <c r="AE9" s="77"/>
      <c r="AF9" s="79"/>
      <c r="AG9" s="79"/>
      <c r="AH9" s="74"/>
      <c r="AI9" s="80"/>
      <c r="AJ9" s="65"/>
      <c r="AK9" s="55"/>
      <c r="AL9" s="55"/>
      <c r="AM9" s="58"/>
      <c r="AN9" s="66"/>
      <c r="AO9" s="62"/>
      <c r="AP9" s="61"/>
      <c r="AQ9" s="67"/>
      <c r="AR9" s="62"/>
      <c r="AS9" s="68"/>
      <c r="AT9" s="68"/>
      <c r="AU9" s="210"/>
      <c r="AV9" s="78"/>
      <c r="AW9" s="71"/>
      <c r="AX9" s="71"/>
      <c r="AY9" s="211"/>
      <c r="AZ9" s="212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2.95" hidden="false" customHeight="true" outlineLevel="0" collapsed="false">
      <c r="A10" s="55"/>
      <c r="B10" s="56"/>
      <c r="C10" s="57" t="s">
        <v>94</v>
      </c>
      <c r="D10" s="58"/>
      <c r="E10" s="57" t="s">
        <v>95</v>
      </c>
      <c r="F10" s="59"/>
      <c r="G10" s="58" t="s">
        <v>41</v>
      </c>
      <c r="H10" s="58" t="s">
        <v>41</v>
      </c>
      <c r="I10" s="58" t="s">
        <v>41</v>
      </c>
      <c r="J10" s="58" t="s">
        <v>41</v>
      </c>
      <c r="K10" s="58" t="s">
        <v>41</v>
      </c>
      <c r="L10" s="77" t="s">
        <v>41</v>
      </c>
      <c r="M10" s="58" t="s">
        <v>41</v>
      </c>
      <c r="N10" s="58" t="s">
        <v>41</v>
      </c>
      <c r="O10" s="58" t="s">
        <v>41</v>
      </c>
      <c r="P10" s="5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77" t="s">
        <v>41</v>
      </c>
      <c r="V10" s="58" t="s">
        <v>41</v>
      </c>
      <c r="W10" s="58" t="s">
        <v>41</v>
      </c>
      <c r="X10" s="57" t="n">
        <v>153400</v>
      </c>
      <c r="Y10" s="57" t="n">
        <v>150400</v>
      </c>
      <c r="Z10" s="58"/>
      <c r="AA10" s="57"/>
      <c r="AB10" s="57" t="n">
        <v>72000</v>
      </c>
      <c r="AC10" s="58" t="s">
        <v>41</v>
      </c>
      <c r="AD10" s="58" t="s">
        <v>41</v>
      </c>
      <c r="AE10" s="77" t="s">
        <v>41</v>
      </c>
      <c r="AF10" s="58" t="s">
        <v>41</v>
      </c>
      <c r="AG10" s="58" t="s">
        <v>41</v>
      </c>
      <c r="AH10" s="74" t="s">
        <v>41</v>
      </c>
      <c r="AI10" s="58" t="s">
        <v>41</v>
      </c>
      <c r="AJ10" s="58" t="s">
        <v>41</v>
      </c>
      <c r="AK10" s="58" t="s">
        <v>41</v>
      </c>
      <c r="AL10" s="58" t="s">
        <v>41</v>
      </c>
      <c r="AM10" s="59" t="s">
        <v>41</v>
      </c>
      <c r="AN10" s="62" t="s">
        <v>41</v>
      </c>
      <c r="AO10" s="62" t="s">
        <v>41</v>
      </c>
      <c r="AP10" s="62" t="s">
        <v>41</v>
      </c>
      <c r="AQ10" s="67" t="s">
        <v>96</v>
      </c>
      <c r="AR10" s="62" t="s">
        <v>41</v>
      </c>
      <c r="AS10" s="62" t="s">
        <v>41</v>
      </c>
      <c r="AT10" s="62" t="s">
        <v>41</v>
      </c>
      <c r="AU10" s="62" t="s">
        <v>41</v>
      </c>
      <c r="AV10" s="78"/>
      <c r="AW10" s="71"/>
      <c r="AX10" s="71"/>
      <c r="AY10" s="211"/>
      <c r="AZ10" s="212" t="s">
        <v>97</v>
      </c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2.95" hidden="false" customHeight="true" outlineLevel="0" collapsed="false">
      <c r="A11" s="55"/>
      <c r="B11" s="56"/>
      <c r="C11" s="57"/>
      <c r="D11" s="58"/>
      <c r="E11" s="57"/>
      <c r="F11" s="59"/>
      <c r="G11" s="55"/>
      <c r="H11" s="55"/>
      <c r="I11" s="55"/>
      <c r="J11" s="55"/>
      <c r="K11" s="55"/>
      <c r="L11" s="77"/>
      <c r="M11" s="58"/>
      <c r="N11" s="46" t="n">
        <v>1.03</v>
      </c>
      <c r="O11" s="46" t="n">
        <v>1.05</v>
      </c>
      <c r="P11" s="46" t="n">
        <v>1.02</v>
      </c>
      <c r="Q11" s="82" t="n">
        <v>1.02</v>
      </c>
      <c r="R11" s="83" t="n">
        <v>1.04</v>
      </c>
      <c r="S11" s="58"/>
      <c r="T11" s="82" t="n">
        <v>1.04</v>
      </c>
      <c r="U11" s="76"/>
      <c r="V11" s="55"/>
      <c r="W11" s="5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61"/>
      <c r="AD11" s="61"/>
      <c r="AE11" s="85"/>
      <c r="AF11" s="79"/>
      <c r="AG11" s="79"/>
      <c r="AH11" s="74"/>
      <c r="AI11" s="80"/>
      <c r="AJ11" s="86"/>
      <c r="AK11" s="55"/>
      <c r="AL11" s="55"/>
      <c r="AM11" s="58"/>
      <c r="AN11" s="66"/>
      <c r="AO11" s="62"/>
      <c r="AP11" s="61"/>
      <c r="AQ11" s="67"/>
      <c r="AR11" s="67"/>
      <c r="AS11" s="87"/>
      <c r="AT11" s="87"/>
      <c r="AU11" s="87"/>
      <c r="AV11" s="78"/>
      <c r="AW11" s="71"/>
      <c r="AX11" s="71"/>
      <c r="AY11" s="211"/>
      <c r="AZ11" s="212" t="s">
        <v>41</v>
      </c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2.95" hidden="false" customHeight="true" outlineLevel="0" collapsed="false">
      <c r="A12" s="188" t="s">
        <v>99</v>
      </c>
      <c r="B12" s="213"/>
      <c r="C12" s="107"/>
      <c r="D12" s="107"/>
      <c r="E12" s="107"/>
      <c r="F12" s="214"/>
      <c r="G12" s="107"/>
      <c r="H12" s="215"/>
      <c r="I12" s="107"/>
      <c r="J12" s="107"/>
      <c r="K12" s="107"/>
      <c r="L12" s="107"/>
      <c r="M12" s="216"/>
      <c r="N12" s="107"/>
      <c r="O12" s="107"/>
      <c r="P12" s="158"/>
      <c r="Q12" s="107"/>
      <c r="R12" s="107"/>
      <c r="S12" s="107"/>
      <c r="T12" s="107"/>
      <c r="U12" s="217"/>
      <c r="V12" s="107"/>
      <c r="W12" s="107"/>
      <c r="X12" s="107"/>
      <c r="Y12" s="107"/>
      <c r="Z12" s="107"/>
      <c r="AA12" s="107"/>
      <c r="AB12" s="136"/>
      <c r="AC12" s="136"/>
      <c r="AD12" s="107"/>
      <c r="AE12" s="107"/>
      <c r="AF12" s="216"/>
      <c r="AG12" s="218"/>
      <c r="AH12" s="107"/>
      <c r="AI12" s="107"/>
      <c r="AJ12" s="219"/>
      <c r="AK12" s="107"/>
      <c r="AL12" s="107"/>
      <c r="AM12" s="107"/>
      <c r="AN12" s="220"/>
      <c r="AO12" s="136"/>
      <c r="AP12" s="221"/>
      <c r="AU12" s="274"/>
      <c r="AV12" s="275"/>
      <c r="AW12" s="215"/>
      <c r="AX12" s="215"/>
      <c r="AY12" s="215"/>
      <c r="AZ12" s="224"/>
    </row>
    <row r="13" s="230" customFormat="true" ht="12.95" hidden="false" customHeight="true" outlineLevel="0" collapsed="false">
      <c r="A13" s="225" t="s">
        <v>100</v>
      </c>
      <c r="B13" s="106" t="n">
        <f aca="false">DEC!B45</f>
        <v>6871.7</v>
      </c>
      <c r="C13" s="226" t="n">
        <f aca="false">DEC!C45</f>
        <v>192386</v>
      </c>
      <c r="D13" s="107" t="n">
        <f aca="false">DEC!D54</f>
        <v>-2769</v>
      </c>
      <c r="E13" s="107" t="n">
        <f aca="false">DEC!E54</f>
        <v>40386</v>
      </c>
      <c r="F13" s="214" t="n">
        <f aca="false">DEC!F53</f>
        <v>-1396.01714141669</v>
      </c>
      <c r="G13" s="107" t="n">
        <f aca="false">DEC!G53</f>
        <v>1777</v>
      </c>
      <c r="H13" s="226" t="n">
        <f aca="false">DEC!H53</f>
        <v>0.62</v>
      </c>
      <c r="I13" s="107" t="n">
        <f aca="false">DEC!I53</f>
        <v>1777</v>
      </c>
      <c r="J13" s="226" t="n">
        <f aca="false">DEC!J53</f>
        <v>379.046634736577</v>
      </c>
      <c r="K13" s="107" t="n">
        <f aca="false">DEC!K53</f>
        <v>2156.04663473658</v>
      </c>
      <c r="L13" s="267" t="n">
        <f aca="false">DEC!L53</f>
        <v>-101.421641416688</v>
      </c>
      <c r="M13" s="107" t="n">
        <f aca="false">DEC!M53</f>
        <v>422.64</v>
      </c>
      <c r="N13" s="226" t="n">
        <f aca="false">DEC!N53</f>
        <v>0</v>
      </c>
      <c r="O13" s="107" t="n">
        <f aca="false">DEC!O53</f>
        <v>0</v>
      </c>
      <c r="P13" s="226" t="n">
        <f aca="false">DEC!P53</f>
        <v>0</v>
      </c>
      <c r="Q13" s="107" t="n">
        <f aca="false">DEC!Q53</f>
        <v>92.5935830206818</v>
      </c>
      <c r="R13" s="226" t="n">
        <f aca="false">DEC!R53</f>
        <v>101.04173456</v>
      </c>
      <c r="S13" s="107" t="n">
        <f aca="false">DEC!S53</f>
        <v>0</v>
      </c>
      <c r="T13" s="107" t="n">
        <f aca="false">DEC!T53</f>
        <v>35.30226544</v>
      </c>
      <c r="U13" s="267" t="n">
        <f aca="false">DEC!U53</f>
        <v>14.0399765506993</v>
      </c>
      <c r="V13" s="107" t="n">
        <f aca="false">DEC!V53</f>
        <v>1033.32</v>
      </c>
      <c r="W13" s="226" t="n">
        <f aca="false">DEC!W53</f>
        <v>84.4</v>
      </c>
      <c r="X13" s="107" t="n">
        <f aca="false">DEC!X53</f>
        <v>1297.38244042862</v>
      </c>
      <c r="Y13" s="226" t="n">
        <f aca="false">DEC!Y53</f>
        <v>973.42</v>
      </c>
      <c r="Z13" s="107"/>
      <c r="AA13" s="107"/>
      <c r="AB13" s="136"/>
      <c r="AC13" s="276" t="n">
        <f aca="false">DEC!AC53</f>
        <v>27.7</v>
      </c>
      <c r="AD13" s="107"/>
      <c r="AE13" s="107"/>
      <c r="AF13" s="216"/>
      <c r="AG13" s="218"/>
      <c r="AH13" s="226" t="n">
        <f aca="false">DEC!AH53</f>
        <v>1522.3</v>
      </c>
      <c r="AI13" s="226" t="n">
        <f aca="false">DEC!AI53</f>
        <v>2724.7</v>
      </c>
      <c r="AJ13" s="107"/>
      <c r="AK13" s="226" t="n">
        <f aca="false">DEC!AK53</f>
        <v>3071.5955</v>
      </c>
      <c r="AL13" s="226" t="n">
        <f aca="false">DEC!AL53</f>
        <v>480.468276153264</v>
      </c>
      <c r="AM13" s="226" t="n">
        <f aca="false">DEC!AM53</f>
        <v>3552.06377615326</v>
      </c>
      <c r="AN13" s="220" t="n">
        <f aca="false">DEC!AN53</f>
        <v>973.42</v>
      </c>
      <c r="AO13" s="276" t="n">
        <f aca="false">DEC!AO53</f>
        <v>323.962440428619</v>
      </c>
      <c r="AP13" s="107"/>
      <c r="AQ13" s="228"/>
      <c r="AR13" s="228"/>
      <c r="AS13" s="228"/>
      <c r="AT13" s="228"/>
      <c r="AU13" s="277"/>
      <c r="AV13" s="278" t="n">
        <f aca="false">DEC!AV53</f>
        <v>1.673</v>
      </c>
      <c r="AW13" s="215"/>
      <c r="AX13" s="215"/>
      <c r="AY13" s="215"/>
      <c r="AZ13" s="279" t="n">
        <f aca="false">DEC!AZ53</f>
        <v>242.977559571381</v>
      </c>
    </row>
    <row r="14" customFormat="false" ht="3" hidden="false" customHeight="true" outlineLevel="0" collapsed="false">
      <c r="A14" s="231"/>
      <c r="B14" s="232"/>
      <c r="C14" s="233"/>
      <c r="D14" s="234"/>
      <c r="E14" s="233"/>
      <c r="F14" s="235"/>
      <c r="G14" s="234"/>
      <c r="H14" s="236"/>
      <c r="I14" s="234"/>
      <c r="J14" s="234"/>
      <c r="K14" s="234"/>
      <c r="L14" s="234"/>
      <c r="M14" s="237"/>
      <c r="N14" s="234"/>
      <c r="O14" s="234"/>
      <c r="P14" s="238"/>
      <c r="Q14" s="234"/>
      <c r="R14" s="234"/>
      <c r="S14" s="234"/>
      <c r="T14" s="234"/>
      <c r="U14" s="239"/>
      <c r="V14" s="234"/>
      <c r="W14" s="234"/>
      <c r="X14" s="234"/>
      <c r="Y14" s="234"/>
      <c r="Z14" s="234"/>
      <c r="AA14" s="234"/>
      <c r="AB14" s="240"/>
      <c r="AC14" s="240"/>
      <c r="AD14" s="233"/>
      <c r="AE14" s="234"/>
      <c r="AF14" s="237"/>
      <c r="AG14" s="241"/>
      <c r="AH14" s="234"/>
      <c r="AI14" s="233"/>
      <c r="AJ14" s="233"/>
      <c r="AK14" s="234"/>
      <c r="AL14" s="234"/>
      <c r="AM14" s="234"/>
      <c r="AN14" s="242"/>
      <c r="AO14" s="240"/>
      <c r="AP14" s="243"/>
      <c r="AQ14" s="244"/>
      <c r="AR14" s="244"/>
      <c r="AS14" s="244"/>
      <c r="AT14" s="244"/>
      <c r="AU14" s="254"/>
      <c r="AV14" s="263"/>
      <c r="AW14" s="243"/>
      <c r="AX14" s="243"/>
      <c r="AY14" s="243"/>
      <c r="AZ14" s="280"/>
    </row>
    <row r="15" customFormat="false" ht="12.95" hidden="false" customHeight="true" outlineLevel="0" collapsed="false">
      <c r="A15" s="183" t="n">
        <v>1</v>
      </c>
      <c r="B15" s="106" t="n">
        <v>6871.67</v>
      </c>
      <c r="C15" s="107" t="n">
        <v>192304</v>
      </c>
      <c r="D15" s="215" t="n">
        <f aca="false">C15-C13</f>
        <v>-82</v>
      </c>
      <c r="E15" s="107" t="n">
        <f aca="false">C15-152000</f>
        <v>40304</v>
      </c>
      <c r="F15" s="246" t="n">
        <f aca="false">D15/$D$2</f>
        <v>-41.3410637761533</v>
      </c>
      <c r="G15" s="135" t="n">
        <v>23</v>
      </c>
      <c r="H15" s="247" t="n">
        <v>0</v>
      </c>
      <c r="I15" s="135" t="n">
        <f aca="false">G15+H15</f>
        <v>23</v>
      </c>
      <c r="J15" s="136" t="n">
        <f aca="false">IF(L15&gt;0,L15,0)</f>
        <v>0</v>
      </c>
      <c r="K15" s="135" t="n">
        <f aca="false">I15+J15</f>
        <v>23</v>
      </c>
      <c r="L15" s="135" t="n">
        <f aca="false">F15-(I15-AK15)</f>
        <v>-15.4710637761533</v>
      </c>
      <c r="M15" s="248" t="n">
        <v>3.77</v>
      </c>
      <c r="N15" s="135" t="n">
        <v>0</v>
      </c>
      <c r="O15" s="135" t="n">
        <v>0</v>
      </c>
      <c r="P15" s="158" t="n">
        <v>0</v>
      </c>
      <c r="Q15" s="131" t="n">
        <f aca="false">989600/325851/1.9835*1.02</f>
        <v>1.56173950248318</v>
      </c>
      <c r="R15" s="131" t="n">
        <f aca="false">((2.2)*1.04)-T15</f>
        <v>1.71265744</v>
      </c>
      <c r="S15" s="131" t="n">
        <v>0</v>
      </c>
      <c r="T15" s="131" t="n">
        <f aca="false">(0.5219*1.06)*1.04</f>
        <v>0.57534256</v>
      </c>
      <c r="U15" s="96" t="n">
        <f aca="false">M15-(Q15+R15+S15+T15)</f>
        <v>-0.0797395024831755</v>
      </c>
      <c r="V15" s="135" t="n">
        <v>18.3</v>
      </c>
      <c r="W15" s="135" t="n">
        <v>0</v>
      </c>
      <c r="X15" s="135" t="n">
        <f aca="false">M15-N15-P15-O15-Q15-R15-S15-T15-U15+V15+W15</f>
        <v>18.3</v>
      </c>
      <c r="Y15" s="135" t="n">
        <f aca="false">X15-AO15</f>
        <v>18.3</v>
      </c>
      <c r="Z15" s="135"/>
      <c r="AA15" s="135"/>
      <c r="AB15" s="136"/>
      <c r="AC15" s="136" t="n">
        <v>0</v>
      </c>
      <c r="AD15" s="107"/>
      <c r="AE15" s="135" t="n">
        <v>0</v>
      </c>
      <c r="AF15" s="248"/>
      <c r="AG15" s="249"/>
      <c r="AH15" s="135" t="n">
        <v>26.8</v>
      </c>
      <c r="AI15" s="107" t="n">
        <f aca="false">AI13-AH15</f>
        <v>2697.9</v>
      </c>
      <c r="AJ15" s="107"/>
      <c r="AK15" s="134" t="n">
        <f aca="false">N15+O15+P15+Q15+R15+S15+T15+U15+X15+AE15+AH15</f>
        <v>48.87</v>
      </c>
      <c r="AL15" s="135" t="n">
        <f aca="false">IF(L15&lt;0,L15*-1,0)</f>
        <v>15.4710637761533</v>
      </c>
      <c r="AM15" s="135" t="n">
        <f aca="false">AK15+AL15</f>
        <v>64.3410637761533</v>
      </c>
      <c r="AN15" s="281" t="n">
        <f aca="false">X15</f>
        <v>18.3</v>
      </c>
      <c r="AO15" s="136" t="n">
        <v>0</v>
      </c>
      <c r="AP15" s="221"/>
      <c r="AU15" s="274"/>
      <c r="AV15" s="275" t="n">
        <v>0</v>
      </c>
      <c r="AW15" s="215" t="n">
        <v>31</v>
      </c>
      <c r="AX15" s="215" t="n">
        <v>-3</v>
      </c>
      <c r="AY15" s="215"/>
      <c r="AZ15" s="250" t="n">
        <f aca="false">SUM(N15,P15:U15)</f>
        <v>3.77</v>
      </c>
    </row>
    <row r="16" customFormat="false" ht="12.95" hidden="false" customHeight="true" outlineLevel="0" collapsed="false">
      <c r="A16" s="183" t="n">
        <f aca="false">A15+1</f>
        <v>2</v>
      </c>
      <c r="B16" s="106" t="n">
        <v>6871.64</v>
      </c>
      <c r="C16" s="107" t="n">
        <v>192223</v>
      </c>
      <c r="D16" s="215" t="n">
        <f aca="false">C16-C15</f>
        <v>-81</v>
      </c>
      <c r="E16" s="107" t="n">
        <f aca="false">C16-152000</f>
        <v>40223</v>
      </c>
      <c r="F16" s="246" t="n">
        <f aca="false">D16/$D$2</f>
        <v>-40.8369044618099</v>
      </c>
      <c r="G16" s="135" t="n">
        <v>20</v>
      </c>
      <c r="H16" s="247" t="n">
        <v>0</v>
      </c>
      <c r="I16" s="135" t="n">
        <f aca="false">G16+H16</f>
        <v>20</v>
      </c>
      <c r="J16" s="136" t="n">
        <f aca="false">IF(L16&gt;0,L16,0)</f>
        <v>0</v>
      </c>
      <c r="K16" s="135" t="n">
        <f aca="false">I16+J16</f>
        <v>20</v>
      </c>
      <c r="L16" s="135" t="n">
        <f aca="false">F16-(I16-AK16)</f>
        <v>-11.8369044618099</v>
      </c>
      <c r="M16" s="248" t="n">
        <v>3.9</v>
      </c>
      <c r="N16" s="135" t="n">
        <v>0</v>
      </c>
      <c r="O16" s="135" t="n">
        <v>0</v>
      </c>
      <c r="P16" s="158" t="n">
        <v>0</v>
      </c>
      <c r="Q16" s="131" t="n">
        <f aca="false">983400/325851/1.9835*1.02</f>
        <v>1.55195495830836</v>
      </c>
      <c r="R16" s="131" t="n">
        <f aca="false">((2.2)*1.04)-T16</f>
        <v>1.71265744</v>
      </c>
      <c r="S16" s="131" t="n">
        <v>0</v>
      </c>
      <c r="T16" s="131" t="n">
        <f aca="false">(0.5219*1.06)*1.04</f>
        <v>0.57534256</v>
      </c>
      <c r="U16" s="96" t="n">
        <f aca="false">M16-(Q16+R16+S16+T16)</f>
        <v>0.0600450416916383</v>
      </c>
      <c r="V16" s="135" t="n">
        <v>18.3</v>
      </c>
      <c r="W16" s="135" t="n">
        <v>0</v>
      </c>
      <c r="X16" s="135" t="n">
        <f aca="false">M16-N16-P16-O16-Q16-R16-S16-T16-U16+V16+W16</f>
        <v>18.3</v>
      </c>
      <c r="Y16" s="135" t="n">
        <f aca="false">X16-AO16</f>
        <v>18.3</v>
      </c>
      <c r="Z16" s="135"/>
      <c r="AA16" s="135"/>
      <c r="AB16" s="136"/>
      <c r="AC16" s="136" t="n">
        <v>0</v>
      </c>
      <c r="AD16" s="107"/>
      <c r="AE16" s="135" t="n">
        <v>0</v>
      </c>
      <c r="AF16" s="248"/>
      <c r="AG16" s="249"/>
      <c r="AH16" s="135" t="n">
        <v>26.8</v>
      </c>
      <c r="AI16" s="107" t="n">
        <f aca="false">AI15-AH16</f>
        <v>2671.1</v>
      </c>
      <c r="AJ16" s="107"/>
      <c r="AK16" s="134" t="n">
        <f aca="false">N16+O16+P16+Q16+R16+S16+T16+U16+X16+AE16+AH16</f>
        <v>49</v>
      </c>
      <c r="AL16" s="135" t="n">
        <f aca="false">IF(L16&lt;0,L16*-1,0)</f>
        <v>11.8369044618099</v>
      </c>
      <c r="AM16" s="135" t="n">
        <f aca="false">AK16+AL16</f>
        <v>60.8369044618099</v>
      </c>
      <c r="AN16" s="281" t="n">
        <f aca="false">X16</f>
        <v>18.3</v>
      </c>
      <c r="AO16" s="136" t="n">
        <v>0</v>
      </c>
      <c r="AP16" s="221"/>
      <c r="AV16" s="222" t="n">
        <v>0</v>
      </c>
      <c r="AW16" s="215" t="n">
        <v>32</v>
      </c>
      <c r="AX16" s="215" t="n">
        <v>-4</v>
      </c>
      <c r="AY16" s="223"/>
      <c r="AZ16" s="250" t="n">
        <f aca="false">SUM(N16,P16:U16)</f>
        <v>3.9</v>
      </c>
    </row>
    <row r="17" customFormat="false" ht="12.95" hidden="false" customHeight="true" outlineLevel="0" collapsed="false">
      <c r="A17" s="183" t="n">
        <f aca="false">A16+1</f>
        <v>3</v>
      </c>
      <c r="B17" s="106" t="n">
        <v>6871.62</v>
      </c>
      <c r="C17" s="107" t="n">
        <v>192168</v>
      </c>
      <c r="D17" s="215" t="n">
        <f aca="false">C17-C16</f>
        <v>-55</v>
      </c>
      <c r="E17" s="107" t="n">
        <f aca="false">C17-152000</f>
        <v>40168</v>
      </c>
      <c r="F17" s="246" t="n">
        <f aca="false">D17/$D$2</f>
        <v>-27.7287622888833</v>
      </c>
      <c r="G17" s="135" t="n">
        <v>19</v>
      </c>
      <c r="H17" s="247" t="n">
        <v>0</v>
      </c>
      <c r="I17" s="135" t="n">
        <f aca="false">G17+H17</f>
        <v>19</v>
      </c>
      <c r="J17" s="136" t="n">
        <f aca="false">IF(L17&gt;0,L17,0)</f>
        <v>2.16123771111672</v>
      </c>
      <c r="K17" s="135" t="n">
        <f aca="false">I17+J17</f>
        <v>21.1612377111167</v>
      </c>
      <c r="L17" s="135" t="n">
        <f aca="false">F17-(I17-AK17)</f>
        <v>2.16123771111672</v>
      </c>
      <c r="M17" s="248" t="n">
        <v>3.79</v>
      </c>
      <c r="N17" s="135" t="n">
        <v>0</v>
      </c>
      <c r="O17" s="135" t="n">
        <v>0</v>
      </c>
      <c r="P17" s="158" t="n">
        <v>0</v>
      </c>
      <c r="Q17" s="131" t="n">
        <f aca="false">989400/325851/1.9835*1.02</f>
        <v>1.56142387202592</v>
      </c>
      <c r="R17" s="131" t="n">
        <f aca="false">((2.2)*1.04)-T17</f>
        <v>1.71265744</v>
      </c>
      <c r="S17" s="131" t="n">
        <v>0</v>
      </c>
      <c r="T17" s="131" t="n">
        <f aca="false">(0.5219*1.06)*1.04</f>
        <v>0.57534256</v>
      </c>
      <c r="U17" s="96" t="n">
        <f aca="false">M17-(Q17+R17+S17+T17)</f>
        <v>-0.0594238720259233</v>
      </c>
      <c r="V17" s="135" t="n">
        <v>18.3</v>
      </c>
      <c r="W17" s="135" t="n">
        <v>0</v>
      </c>
      <c r="X17" s="135" t="n">
        <f aca="false">M17-N17-P17-O17-Q17-R17-S17-T17-U17+V17+W17</f>
        <v>18.3</v>
      </c>
      <c r="Y17" s="135" t="n">
        <f aca="false">X17-AO17</f>
        <v>18.3</v>
      </c>
      <c r="Z17" s="135"/>
      <c r="AA17" s="135"/>
      <c r="AB17" s="136"/>
      <c r="AC17" s="136" t="n">
        <v>0</v>
      </c>
      <c r="AD17" s="107"/>
      <c r="AE17" s="135" t="n">
        <v>0</v>
      </c>
      <c r="AF17" s="248"/>
      <c r="AG17" s="249"/>
      <c r="AH17" s="135" t="n">
        <v>26.8</v>
      </c>
      <c r="AI17" s="107" t="n">
        <f aca="false">AI16-AH17</f>
        <v>2644.3</v>
      </c>
      <c r="AJ17" s="107"/>
      <c r="AK17" s="134" t="n">
        <f aca="false">N17+O17+P17+Q17+R17+S17+T17+U17+X17+AE17+AH17</f>
        <v>48.89</v>
      </c>
      <c r="AL17" s="135" t="n">
        <f aca="false">IF(L17&lt;0,L17*-1,0)</f>
        <v>0</v>
      </c>
      <c r="AM17" s="135" t="n">
        <f aca="false">AK17+AL17</f>
        <v>48.89</v>
      </c>
      <c r="AN17" s="281" t="n">
        <f aca="false">X17</f>
        <v>18.3</v>
      </c>
      <c r="AO17" s="136" t="n">
        <v>0</v>
      </c>
      <c r="AP17" s="221"/>
      <c r="AV17" s="222" t="n">
        <v>0</v>
      </c>
      <c r="AW17" s="215" t="n">
        <v>30</v>
      </c>
      <c r="AX17" s="215" t="n">
        <v>0</v>
      </c>
      <c r="AY17" s="223"/>
      <c r="AZ17" s="250" t="n">
        <f aca="false">SUM(N17,P17:U17)</f>
        <v>3.79</v>
      </c>
    </row>
    <row r="18" customFormat="false" ht="12.95" hidden="false" customHeight="true" outlineLevel="0" collapsed="false">
      <c r="A18" s="183" t="n">
        <f aca="false">A17+1</f>
        <v>4</v>
      </c>
      <c r="B18" s="106" t="n">
        <v>6871.6</v>
      </c>
      <c r="C18" s="107" t="n">
        <v>192114</v>
      </c>
      <c r="D18" s="215" t="n">
        <f aca="false">C18-C17</f>
        <v>-54</v>
      </c>
      <c r="E18" s="107" t="n">
        <f aca="false">C18-152000</f>
        <v>40114</v>
      </c>
      <c r="F18" s="246" t="n">
        <f aca="false">D18/$D$2</f>
        <v>-27.22460297454</v>
      </c>
      <c r="G18" s="135" t="n">
        <v>19</v>
      </c>
      <c r="H18" s="247" t="n">
        <v>0</v>
      </c>
      <c r="I18" s="135" t="n">
        <f aca="false">G18+H18</f>
        <v>19</v>
      </c>
      <c r="J18" s="136" t="n">
        <f aca="false">IF(L18&gt;0,L18,0)</f>
        <v>3.11539702546005</v>
      </c>
      <c r="K18" s="135" t="n">
        <f aca="false">I18+J18</f>
        <v>22.11539702546</v>
      </c>
      <c r="L18" s="135" t="n">
        <f aca="false">F18-(I18-AK18)</f>
        <v>3.11539702546005</v>
      </c>
      <c r="M18" s="248" t="n">
        <v>4.24</v>
      </c>
      <c r="N18" s="135" t="n">
        <v>0</v>
      </c>
      <c r="O18" s="135" t="n">
        <v>0</v>
      </c>
      <c r="P18" s="158" t="n">
        <v>0</v>
      </c>
      <c r="Q18" s="131" t="n">
        <f aca="false">939200/325851/1.9835*1.02</f>
        <v>1.48220062725566</v>
      </c>
      <c r="R18" s="131" t="n">
        <f aca="false">((2.2)*1.04)-T18</f>
        <v>1.6910504</v>
      </c>
      <c r="S18" s="131" t="n">
        <v>0</v>
      </c>
      <c r="T18" s="131" t="n">
        <f aca="false">(0.5415*1.06)*1.04</f>
        <v>0.5969496</v>
      </c>
      <c r="U18" s="96" t="n">
        <f aca="false">M18-(Q18+R18+S18+T18)</f>
        <v>0.469799372744343</v>
      </c>
      <c r="V18" s="135" t="n">
        <v>18.3</v>
      </c>
      <c r="W18" s="135" t="n">
        <v>0</v>
      </c>
      <c r="X18" s="135" t="n">
        <f aca="false">M18-N18-P18-O18-Q18-R18-S18-T18-U18+V18+W18</f>
        <v>18.3</v>
      </c>
      <c r="Y18" s="135" t="n">
        <f aca="false">X18-AO18</f>
        <v>18.3</v>
      </c>
      <c r="Z18" s="135"/>
      <c r="AA18" s="135"/>
      <c r="AB18" s="136"/>
      <c r="AC18" s="136" t="n">
        <v>0</v>
      </c>
      <c r="AD18" s="107"/>
      <c r="AE18" s="135" t="n">
        <v>0</v>
      </c>
      <c r="AF18" s="248"/>
      <c r="AG18" s="249"/>
      <c r="AH18" s="135" t="n">
        <v>26.8</v>
      </c>
      <c r="AI18" s="107" t="n">
        <f aca="false">AI17-AH18</f>
        <v>2617.5</v>
      </c>
      <c r="AJ18" s="107"/>
      <c r="AK18" s="134" t="n">
        <f aca="false">N18+O18+P18+Q18+R18+S18+T18+U18+X18+AE18+AH18</f>
        <v>49.34</v>
      </c>
      <c r="AL18" s="135" t="n">
        <f aca="false">IF(L18&lt;0,L18*-1,0)</f>
        <v>0</v>
      </c>
      <c r="AM18" s="135" t="n">
        <f aca="false">AK18+AL18</f>
        <v>49.34</v>
      </c>
      <c r="AN18" s="281" t="n">
        <f aca="false">X18</f>
        <v>18.3</v>
      </c>
      <c r="AO18" s="136" t="n">
        <v>0</v>
      </c>
      <c r="AP18" s="221"/>
      <c r="AV18" s="222" t="n">
        <v>0</v>
      </c>
      <c r="AW18" s="215" t="n">
        <v>30</v>
      </c>
      <c r="AX18" s="215" t="n">
        <v>0</v>
      </c>
      <c r="AY18" s="223"/>
      <c r="AZ18" s="250" t="n">
        <f aca="false">SUM(N18,P18:U18)</f>
        <v>4.24</v>
      </c>
    </row>
    <row r="19" customFormat="false" ht="12.95" hidden="false" customHeight="true" outlineLevel="0" collapsed="false">
      <c r="A19" s="183" t="n">
        <f aca="false">A18+1</f>
        <v>5</v>
      </c>
      <c r="B19" s="106" t="n">
        <v>6871.58</v>
      </c>
      <c r="C19" s="107" t="n">
        <v>192060</v>
      </c>
      <c r="D19" s="215" t="n">
        <f aca="false">C19-C18</f>
        <v>-54</v>
      </c>
      <c r="E19" s="107" t="n">
        <f aca="false">C19-152000</f>
        <v>40060</v>
      </c>
      <c r="F19" s="246" t="n">
        <f aca="false">D19/$D$2</f>
        <v>-27.22460297454</v>
      </c>
      <c r="G19" s="135" t="n">
        <v>21</v>
      </c>
      <c r="H19" s="247" t="n">
        <v>0</v>
      </c>
      <c r="I19" s="135" t="n">
        <f aca="false">G19+H19</f>
        <v>21</v>
      </c>
      <c r="J19" s="136" t="n">
        <f aca="false">IF(L19&gt;0,L19,0)</f>
        <v>0.945397025460046</v>
      </c>
      <c r="K19" s="135" t="n">
        <f aca="false">I19+J19</f>
        <v>21.94539702546</v>
      </c>
      <c r="L19" s="135" t="n">
        <f aca="false">F19-(I19-AK19)</f>
        <v>0.945397025460046</v>
      </c>
      <c r="M19" s="248" t="n">
        <v>4.07</v>
      </c>
      <c r="N19" s="135" t="n">
        <v>0</v>
      </c>
      <c r="O19" s="135" t="n">
        <v>0</v>
      </c>
      <c r="P19" s="158" t="n">
        <v>0</v>
      </c>
      <c r="Q19" s="131" t="n">
        <f aca="false">977600/325851/1.9835*1.02</f>
        <v>1.54280167504805</v>
      </c>
      <c r="R19" s="131" t="n">
        <f aca="false">((2.2)*1.04)-T19</f>
        <v>1.6910504</v>
      </c>
      <c r="S19" s="131" t="n">
        <v>0</v>
      </c>
      <c r="T19" s="131" t="n">
        <f aca="false">(0.5415*1.06)*1.04</f>
        <v>0.5969496</v>
      </c>
      <c r="U19" s="96" t="n">
        <f aca="false">M19-(Q19+R19+S19+T19)</f>
        <v>0.239198324951948</v>
      </c>
      <c r="V19" s="135" t="n">
        <v>18.3</v>
      </c>
      <c r="W19" s="135" t="n">
        <v>0</v>
      </c>
      <c r="X19" s="135" t="n">
        <f aca="false">M19-N19-P19-O19-Q19-R19-S19-T19-U19+V19+W19</f>
        <v>18.3</v>
      </c>
      <c r="Y19" s="135" t="n">
        <f aca="false">X19-AO19</f>
        <v>18.3</v>
      </c>
      <c r="Z19" s="135"/>
      <c r="AA19" s="135"/>
      <c r="AB19" s="136"/>
      <c r="AC19" s="136" t="n">
        <v>0</v>
      </c>
      <c r="AD19" s="107"/>
      <c r="AE19" s="135" t="n">
        <v>0</v>
      </c>
      <c r="AF19" s="248"/>
      <c r="AG19" s="249"/>
      <c r="AH19" s="135" t="n">
        <v>26.8</v>
      </c>
      <c r="AI19" s="107" t="n">
        <f aca="false">AI18-AH19</f>
        <v>2590.7</v>
      </c>
      <c r="AJ19" s="107"/>
      <c r="AK19" s="134" t="n">
        <f aca="false">N19+O19+P19+Q19+R19+S19+T19+U19+X19+AE19+AH19</f>
        <v>49.17</v>
      </c>
      <c r="AL19" s="135" t="n">
        <f aca="false">IF(L19&lt;0,L19*-1,0)</f>
        <v>0</v>
      </c>
      <c r="AM19" s="135" t="n">
        <f aca="false">AK19+AL19</f>
        <v>49.17</v>
      </c>
      <c r="AN19" s="281" t="n">
        <f aca="false">X19</f>
        <v>18.3</v>
      </c>
      <c r="AO19" s="136" t="n">
        <v>0</v>
      </c>
      <c r="AP19" s="221"/>
      <c r="AV19" s="222" t="n">
        <v>0</v>
      </c>
      <c r="AW19" s="215" t="n">
        <v>30</v>
      </c>
      <c r="AX19" s="215" t="n">
        <v>-1</v>
      </c>
      <c r="AY19" s="223"/>
      <c r="AZ19" s="250" t="n">
        <f aca="false">SUM(N19,P19:U19)</f>
        <v>4.07</v>
      </c>
    </row>
    <row r="20" customFormat="false" ht="12.95" hidden="false" customHeight="true" outlineLevel="0" collapsed="false">
      <c r="A20" s="183" t="n">
        <f aca="false">A19+1</f>
        <v>6</v>
      </c>
      <c r="B20" s="106" t="n">
        <v>6871.56</v>
      </c>
      <c r="C20" s="107" t="n">
        <v>192005</v>
      </c>
      <c r="D20" s="215" t="n">
        <f aca="false">C20-C19</f>
        <v>-55</v>
      </c>
      <c r="E20" s="107" t="n">
        <f aca="false">C20-152000</f>
        <v>40005</v>
      </c>
      <c r="F20" s="246" t="n">
        <f aca="false">D20/$D$2</f>
        <v>-27.7287622888833</v>
      </c>
      <c r="G20" s="135" t="n">
        <v>22</v>
      </c>
      <c r="H20" s="247" t="n">
        <v>0</v>
      </c>
      <c r="I20" s="135" t="n">
        <f aca="false">G20+H20</f>
        <v>22</v>
      </c>
      <c r="J20" s="136" t="n">
        <f aca="false">IF(L20&gt;0,L20,0)</f>
        <v>0</v>
      </c>
      <c r="K20" s="135" t="n">
        <f aca="false">I20+J20</f>
        <v>22</v>
      </c>
      <c r="L20" s="135" t="n">
        <f aca="false">F20-(I20-AK20)</f>
        <v>-0.728762288883285</v>
      </c>
      <c r="M20" s="248" t="n">
        <v>3.9</v>
      </c>
      <c r="N20" s="135" t="n">
        <v>0</v>
      </c>
      <c r="O20" s="135" t="n">
        <v>0</v>
      </c>
      <c r="P20" s="158" t="n">
        <v>0</v>
      </c>
      <c r="Q20" s="131" t="n">
        <f aca="false">1157400/325851/1.9835*1.02</f>
        <v>1.82655345611765</v>
      </c>
      <c r="R20" s="131" t="n">
        <f aca="false">((2.2)*1.04)-T20</f>
        <v>1.6910504</v>
      </c>
      <c r="S20" s="131" t="n">
        <v>0</v>
      </c>
      <c r="T20" s="131" t="n">
        <f aca="false">(0.5415*1.06)*1.04</f>
        <v>0.5969496</v>
      </c>
      <c r="U20" s="96" t="n">
        <f aca="false">M20-(Q20+R20+S20+T20)</f>
        <v>-0.214553456117651</v>
      </c>
      <c r="V20" s="135" t="n">
        <v>18.3</v>
      </c>
      <c r="W20" s="135" t="n">
        <v>0</v>
      </c>
      <c r="X20" s="135" t="n">
        <f aca="false">M20-N20-P20-O20-Q20-R20-S20-T20-U20+V20+W20</f>
        <v>18.3</v>
      </c>
      <c r="Y20" s="135" t="n">
        <f aca="false">X20-AO20</f>
        <v>18.3</v>
      </c>
      <c r="Z20" s="135"/>
      <c r="AA20" s="135"/>
      <c r="AB20" s="136"/>
      <c r="AC20" s="136" t="n">
        <v>0</v>
      </c>
      <c r="AD20" s="107"/>
      <c r="AE20" s="135" t="n">
        <v>0</v>
      </c>
      <c r="AF20" s="248"/>
      <c r="AG20" s="249"/>
      <c r="AH20" s="135" t="n">
        <v>26.8</v>
      </c>
      <c r="AI20" s="107" t="n">
        <f aca="false">AI19-AH20</f>
        <v>2563.9</v>
      </c>
      <c r="AJ20" s="107"/>
      <c r="AK20" s="134" t="n">
        <f aca="false">N20+O20+P20+Q20+R20+S20+T20+U20+X20+AE20+AH20</f>
        <v>49</v>
      </c>
      <c r="AL20" s="135" t="n">
        <f aca="false">IF(L20&lt;0,L20*-1,0)</f>
        <v>0.728762288883285</v>
      </c>
      <c r="AM20" s="135" t="n">
        <f aca="false">AK20+AL20</f>
        <v>49.7287622888833</v>
      </c>
      <c r="AN20" s="281" t="n">
        <f aca="false">X20</f>
        <v>18.3</v>
      </c>
      <c r="AO20" s="136" t="n">
        <v>0</v>
      </c>
      <c r="AP20" s="221"/>
      <c r="AV20" s="222" t="n">
        <v>0</v>
      </c>
      <c r="AW20" s="215" t="n">
        <v>45</v>
      </c>
      <c r="AX20" s="215" t="n">
        <v>5</v>
      </c>
      <c r="AY20" s="223"/>
      <c r="AZ20" s="250" t="n">
        <f aca="false">SUM(N20,P20:U20)</f>
        <v>3.9</v>
      </c>
    </row>
    <row r="21" customFormat="false" ht="12.95" hidden="false" customHeight="true" outlineLevel="0" collapsed="false">
      <c r="A21" s="183" t="n">
        <f aca="false">A20+1</f>
        <v>7</v>
      </c>
      <c r="B21" s="106" t="n">
        <v>6871.54</v>
      </c>
      <c r="C21" s="107" t="n">
        <v>191951</v>
      </c>
      <c r="D21" s="215" t="n">
        <f aca="false">C21-C20</f>
        <v>-54</v>
      </c>
      <c r="E21" s="107" t="n">
        <f aca="false">C21-152000</f>
        <v>39951</v>
      </c>
      <c r="F21" s="246" t="n">
        <f aca="false">D21/$D$2</f>
        <v>-27.22460297454</v>
      </c>
      <c r="G21" s="135" t="n">
        <v>22</v>
      </c>
      <c r="H21" s="247" t="n">
        <v>0</v>
      </c>
      <c r="I21" s="135" t="n">
        <f aca="false">G21+H21</f>
        <v>22</v>
      </c>
      <c r="J21" s="136" t="n">
        <f aca="false">IF(L21&gt;0,L21,0)</f>
        <v>0</v>
      </c>
      <c r="K21" s="135" t="n">
        <f aca="false">I21+J21</f>
        <v>22</v>
      </c>
      <c r="L21" s="135" t="n">
        <f aca="false">F21-(I21-AK21)</f>
        <v>-0.244602974539951</v>
      </c>
      <c r="M21" s="248" t="n">
        <v>3.38</v>
      </c>
      <c r="N21" s="135" t="n">
        <v>0</v>
      </c>
      <c r="O21" s="135" t="n">
        <v>0</v>
      </c>
      <c r="P21" s="158" t="n">
        <v>0</v>
      </c>
      <c r="Q21" s="131" t="n">
        <f aca="false">939800/325851/1.9835*1.02</f>
        <v>1.48314751862741</v>
      </c>
      <c r="R21" s="131" t="n">
        <f aca="false">((2.2)*1.04)-T21</f>
        <v>1.6910504</v>
      </c>
      <c r="S21" s="131" t="n">
        <v>0</v>
      </c>
      <c r="T21" s="131" t="n">
        <f aca="false">(0.5415*1.06)*1.04</f>
        <v>0.5969496</v>
      </c>
      <c r="U21" s="96" t="n">
        <f aca="false">M21-(Q21+R21+S21+T21)</f>
        <v>-0.391147518627414</v>
      </c>
      <c r="V21" s="135" t="n">
        <v>18.3</v>
      </c>
      <c r="W21" s="135" t="n">
        <v>0</v>
      </c>
      <c r="X21" s="135" t="n">
        <f aca="false">M21-N21-P21-O21-Q21-R21-S21-T21-U21+V21+W21</f>
        <v>18.3</v>
      </c>
      <c r="Y21" s="135" t="n">
        <f aca="false">X21-AO21</f>
        <v>18.3</v>
      </c>
      <c r="Z21" s="135"/>
      <c r="AA21" s="135"/>
      <c r="AB21" s="136"/>
      <c r="AC21" s="136" t="n">
        <v>0</v>
      </c>
      <c r="AD21" s="107"/>
      <c r="AE21" s="135" t="n">
        <v>0</v>
      </c>
      <c r="AF21" s="248"/>
      <c r="AG21" s="249"/>
      <c r="AH21" s="135" t="n">
        <v>27.3</v>
      </c>
      <c r="AI21" s="107" t="n">
        <f aca="false">AI20-AH21</f>
        <v>2536.6</v>
      </c>
      <c r="AJ21" s="107"/>
      <c r="AK21" s="134" t="n">
        <f aca="false">N21+O21+P21+Q21+R21+S21+T21+U21+X21+AE21+AH21</f>
        <v>48.98</v>
      </c>
      <c r="AL21" s="135" t="n">
        <f aca="false">IF(L21&lt;0,L21*-1,0)</f>
        <v>0.244602974539951</v>
      </c>
      <c r="AM21" s="135" t="n">
        <f aca="false">AK21+AL21</f>
        <v>49.22460297454</v>
      </c>
      <c r="AN21" s="281" t="n">
        <f aca="false">X21</f>
        <v>18.3</v>
      </c>
      <c r="AO21" s="136" t="n">
        <v>0</v>
      </c>
      <c r="AP21" s="221"/>
      <c r="AV21" s="222" t="n">
        <v>0</v>
      </c>
      <c r="AW21" s="215" t="n">
        <v>48</v>
      </c>
      <c r="AX21" s="215" t="n">
        <v>10</v>
      </c>
      <c r="AY21" s="223"/>
      <c r="AZ21" s="250" t="n">
        <f aca="false">SUM(N21,P21:U21)</f>
        <v>3.38</v>
      </c>
    </row>
    <row r="22" customFormat="false" ht="12.95" hidden="false" customHeight="true" outlineLevel="0" collapsed="false">
      <c r="A22" s="183" t="n">
        <f aca="false">A21+1</f>
        <v>8</v>
      </c>
      <c r="B22" s="106" t="n">
        <v>6871.53</v>
      </c>
      <c r="C22" s="107" t="n">
        <v>191924</v>
      </c>
      <c r="D22" s="215" t="n">
        <f aca="false">C22-C21</f>
        <v>-27</v>
      </c>
      <c r="E22" s="107" t="n">
        <f aca="false">C22-152000</f>
        <v>39924</v>
      </c>
      <c r="F22" s="246" t="n">
        <f aca="false">D22/$D$2</f>
        <v>-13.61230148727</v>
      </c>
      <c r="G22" s="135" t="n">
        <v>21</v>
      </c>
      <c r="H22" s="247" t="n">
        <v>0</v>
      </c>
      <c r="I22" s="135" t="n">
        <f aca="false">G22+H22</f>
        <v>21</v>
      </c>
      <c r="J22" s="136" t="n">
        <f aca="false">IF(L22&gt;0,L22,0)</f>
        <v>15.57769851273</v>
      </c>
      <c r="K22" s="135" t="n">
        <f aca="false">I22+J22</f>
        <v>36.57769851273</v>
      </c>
      <c r="L22" s="135" t="n">
        <f aca="false">F22-(I22-AK22)</f>
        <v>15.57769851273</v>
      </c>
      <c r="M22" s="248" t="n">
        <v>4.39</v>
      </c>
      <c r="N22" s="135" t="n">
        <v>0</v>
      </c>
      <c r="O22" s="135" t="n">
        <v>0</v>
      </c>
      <c r="P22" s="158" t="n">
        <v>0</v>
      </c>
      <c r="Q22" s="131" t="n">
        <f aca="false">849800/325851/1.9835*1.02</f>
        <v>1.34111381286399</v>
      </c>
      <c r="R22" s="131" t="n">
        <f aca="false">((2.2)*1.04)-T22</f>
        <v>1.6910504</v>
      </c>
      <c r="S22" s="131" t="n">
        <v>0</v>
      </c>
      <c r="T22" s="131" t="n">
        <f aca="false">(0.5415*1.06)*1.04</f>
        <v>0.5969496</v>
      </c>
      <c r="U22" s="96" t="n">
        <f aca="false">M22-(Q22+R22+S22+T22)</f>
        <v>0.760886187136012</v>
      </c>
      <c r="V22" s="135" t="n">
        <v>18.3</v>
      </c>
      <c r="W22" s="135" t="n">
        <v>0</v>
      </c>
      <c r="X22" s="135" t="n">
        <f aca="false">M22-N22-P22-O22-Q22-R22-S22-T22-U22+V22+W22</f>
        <v>18.3</v>
      </c>
      <c r="Y22" s="135" t="n">
        <f aca="false">X22-AO22</f>
        <v>18.3</v>
      </c>
      <c r="Z22" s="135"/>
      <c r="AA22" s="135"/>
      <c r="AB22" s="136"/>
      <c r="AC22" s="136" t="n">
        <v>0</v>
      </c>
      <c r="AD22" s="107"/>
      <c r="AE22" s="135" t="n">
        <v>0</v>
      </c>
      <c r="AF22" s="248"/>
      <c r="AG22" s="249"/>
      <c r="AH22" s="135" t="n">
        <v>27.5</v>
      </c>
      <c r="AI22" s="107" t="n">
        <f aca="false">AI21-AH22</f>
        <v>2509.1</v>
      </c>
      <c r="AJ22" s="107"/>
      <c r="AK22" s="134" t="n">
        <f aca="false">N22+O22+P22+Q22+R22+S22+T22+U22+X22+AE22+AH22</f>
        <v>50.19</v>
      </c>
      <c r="AL22" s="135" t="n">
        <f aca="false">IF(L22&lt;0,L22*-1,0)</f>
        <v>0</v>
      </c>
      <c r="AM22" s="135" t="n">
        <f aca="false">AK22+AL22</f>
        <v>50.19</v>
      </c>
      <c r="AN22" s="281" t="n">
        <f aca="false">X22</f>
        <v>18.3</v>
      </c>
      <c r="AO22" s="136" t="n">
        <v>0</v>
      </c>
      <c r="AP22" s="221"/>
      <c r="AV22" s="222" t="n">
        <v>0</v>
      </c>
      <c r="AW22" s="107" t="n">
        <v>46</v>
      </c>
      <c r="AX22" s="215" t="n">
        <v>8</v>
      </c>
      <c r="AY22" s="223"/>
      <c r="AZ22" s="250" t="n">
        <f aca="false">SUM(N22,P22:U22)</f>
        <v>4.39</v>
      </c>
    </row>
    <row r="23" customFormat="false" ht="12.95" hidden="false" customHeight="true" outlineLevel="0" collapsed="false">
      <c r="A23" s="183" t="n">
        <f aca="false">A22+1</f>
        <v>9</v>
      </c>
      <c r="B23" s="106" t="n">
        <v>6871.51</v>
      </c>
      <c r="C23" s="107" t="n">
        <v>191870</v>
      </c>
      <c r="D23" s="215" t="n">
        <f aca="false">C23-C22</f>
        <v>-54</v>
      </c>
      <c r="E23" s="107" t="n">
        <f aca="false">C23-152000</f>
        <v>39870</v>
      </c>
      <c r="F23" s="246" t="n">
        <f aca="false">D23/$D$2</f>
        <v>-27.22460297454</v>
      </c>
      <c r="G23" s="135" t="n">
        <v>21</v>
      </c>
      <c r="H23" s="247" t="n">
        <v>0</v>
      </c>
      <c r="I23" s="135" t="n">
        <f aca="false">G23+H23</f>
        <v>21</v>
      </c>
      <c r="J23" s="136" t="n">
        <f aca="false">IF(L23&gt;0,L23,0)</f>
        <v>1.06539702546004</v>
      </c>
      <c r="K23" s="135" t="n">
        <f aca="false">I23+J23</f>
        <v>22.06539702546</v>
      </c>
      <c r="L23" s="135" t="n">
        <f aca="false">F23-(I23-AK23)</f>
        <v>1.06539702546004</v>
      </c>
      <c r="M23" s="248" t="n">
        <v>3.49</v>
      </c>
      <c r="N23" s="135" t="n">
        <v>0</v>
      </c>
      <c r="O23" s="135" t="n">
        <v>0</v>
      </c>
      <c r="P23" s="158" t="n">
        <v>0</v>
      </c>
      <c r="Q23" s="131" t="n">
        <f aca="false">913500/325851/1.9835*1.02</f>
        <v>1.44164211349877</v>
      </c>
      <c r="R23" s="131" t="n">
        <f aca="false">((2.5)*1.04)-T23</f>
        <v>2.0030504</v>
      </c>
      <c r="S23" s="131" t="n">
        <v>0</v>
      </c>
      <c r="T23" s="131" t="n">
        <f aca="false">(0.5415*1.06)*1.04</f>
        <v>0.5969496</v>
      </c>
      <c r="U23" s="96" t="n">
        <f aca="false">M23-(Q23+R23+S23+T23)</f>
        <v>-0.551642113498768</v>
      </c>
      <c r="V23" s="135" t="n">
        <v>18.3</v>
      </c>
      <c r="W23" s="135" t="n">
        <v>0</v>
      </c>
      <c r="X23" s="135" t="n">
        <f aca="false">M23-N23-P23-O23-Q23-R23-S23-T23-U23+V23+W23</f>
        <v>18.3</v>
      </c>
      <c r="Y23" s="135" t="n">
        <f aca="false">X23-AO23</f>
        <v>18.3</v>
      </c>
      <c r="Z23" s="135"/>
      <c r="AA23" s="135"/>
      <c r="AB23" s="136"/>
      <c r="AC23" s="136" t="n">
        <v>0</v>
      </c>
      <c r="AD23" s="107"/>
      <c r="AE23" s="135" t="n">
        <v>0</v>
      </c>
      <c r="AF23" s="248"/>
      <c r="AG23" s="249"/>
      <c r="AH23" s="135" t="n">
        <v>27.5</v>
      </c>
      <c r="AI23" s="107" t="n">
        <f aca="false">AI22-AH23</f>
        <v>2481.6</v>
      </c>
      <c r="AJ23" s="107"/>
      <c r="AK23" s="134" t="n">
        <f aca="false">N23+O23+P23+Q23+R23+S23+T23+U23+X23+AE23+AH23</f>
        <v>49.29</v>
      </c>
      <c r="AL23" s="135" t="n">
        <f aca="false">IF(L23&lt;0,L23*-1,0)</f>
        <v>0</v>
      </c>
      <c r="AM23" s="135" t="n">
        <f aca="false">AK23+AL23</f>
        <v>49.29</v>
      </c>
      <c r="AN23" s="281" t="n">
        <f aca="false">X23</f>
        <v>18.3</v>
      </c>
      <c r="AO23" s="136" t="n">
        <v>0</v>
      </c>
      <c r="AP23" s="221"/>
      <c r="AV23" s="222" t="n">
        <v>0</v>
      </c>
      <c r="AW23" s="107" t="n">
        <v>44</v>
      </c>
      <c r="AX23" s="215" t="n">
        <v>9</v>
      </c>
      <c r="AY23" s="223"/>
      <c r="AZ23" s="250" t="n">
        <f aca="false">SUM(N23,P23:U23)</f>
        <v>3.49</v>
      </c>
    </row>
    <row r="24" customFormat="false" ht="12.95" hidden="false" customHeight="true" outlineLevel="0" collapsed="false">
      <c r="A24" s="183" t="n">
        <f aca="false">A23+1</f>
        <v>10</v>
      </c>
      <c r="B24" s="106" t="n">
        <v>6871.48</v>
      </c>
      <c r="C24" s="107" t="n">
        <v>191788</v>
      </c>
      <c r="D24" s="215" t="n">
        <f aca="false">C24-C23</f>
        <v>-82</v>
      </c>
      <c r="E24" s="107" t="n">
        <f aca="false">C24-152000</f>
        <v>39788</v>
      </c>
      <c r="F24" s="246" t="n">
        <f aca="false">D24/$D$2</f>
        <v>-41.3410637761533</v>
      </c>
      <c r="G24" s="135" t="n">
        <v>21</v>
      </c>
      <c r="H24" s="247" t="n">
        <v>0</v>
      </c>
      <c r="I24" s="135" t="n">
        <f aca="false">G24+H24</f>
        <v>21</v>
      </c>
      <c r="J24" s="136" t="n">
        <f aca="false">IF(L24&gt;0,L24,0)</f>
        <v>0</v>
      </c>
      <c r="K24" s="135" t="n">
        <f aca="false">I24+J24</f>
        <v>21</v>
      </c>
      <c r="L24" s="135" t="n">
        <f aca="false">F24-(I24-AK24)</f>
        <v>-13.0310637761533</v>
      </c>
      <c r="M24" s="248" t="n">
        <v>3.61</v>
      </c>
      <c r="N24" s="135" t="n">
        <v>0</v>
      </c>
      <c r="O24" s="135" t="n">
        <v>0</v>
      </c>
      <c r="P24" s="158" t="n">
        <v>0</v>
      </c>
      <c r="Q24" s="131" t="n">
        <f aca="false">988700/325851/1.9835*1.02</f>
        <v>1.56031916542554</v>
      </c>
      <c r="R24" s="131" t="n">
        <f aca="false">((2.5)*1.04)-T24</f>
        <v>2.0030504</v>
      </c>
      <c r="S24" s="131" t="n">
        <v>0</v>
      </c>
      <c r="T24" s="131" t="n">
        <f aca="false">(0.5415*1.06)*1.04</f>
        <v>0.5969496</v>
      </c>
      <c r="U24" s="96" t="n">
        <f aca="false">M24-(Q24+R24+S24+T24)</f>
        <v>-0.550319165425541</v>
      </c>
      <c r="V24" s="135" t="n">
        <v>18.3</v>
      </c>
      <c r="W24" s="135" t="n">
        <v>0</v>
      </c>
      <c r="X24" s="135" t="n">
        <f aca="false">M24-N24-P24-O24-Q24-R24-S24-T24-U24+V24+W24</f>
        <v>18.3</v>
      </c>
      <c r="Y24" s="135" t="n">
        <f aca="false">X24-AO24</f>
        <v>18.3</v>
      </c>
      <c r="Z24" s="135"/>
      <c r="AA24" s="135"/>
      <c r="AB24" s="136"/>
      <c r="AC24" s="136" t="n">
        <v>0</v>
      </c>
      <c r="AD24" s="107"/>
      <c r="AE24" s="135" t="n">
        <v>0</v>
      </c>
      <c r="AF24" s="248"/>
      <c r="AG24" s="249"/>
      <c r="AH24" s="135" t="n">
        <v>27.4</v>
      </c>
      <c r="AI24" s="107" t="n">
        <f aca="false">AI23-AH24</f>
        <v>2454.2</v>
      </c>
      <c r="AJ24" s="107"/>
      <c r="AK24" s="134" t="n">
        <f aca="false">N24+O24+P24+Q24+R24+S24+T24+U24+X24+AE24+AH24</f>
        <v>49.31</v>
      </c>
      <c r="AL24" s="135" t="n">
        <f aca="false">IF(L24&lt;0,L24*-1,0)</f>
        <v>13.0310637761533</v>
      </c>
      <c r="AM24" s="135" t="n">
        <f aca="false">AK24+AL24</f>
        <v>62.3410637761533</v>
      </c>
      <c r="AN24" s="281" t="n">
        <f aca="false">X24</f>
        <v>18.3</v>
      </c>
      <c r="AO24" s="136" t="n">
        <v>0</v>
      </c>
      <c r="AP24" s="221"/>
      <c r="AV24" s="222" t="n">
        <v>0</v>
      </c>
      <c r="AW24" s="107" t="n">
        <v>44</v>
      </c>
      <c r="AX24" s="215" t="n">
        <v>17</v>
      </c>
      <c r="AY24" s="223"/>
      <c r="AZ24" s="250" t="n">
        <f aca="false">SUM(N24,P24:U24)</f>
        <v>3.61</v>
      </c>
    </row>
    <row r="25" customFormat="false" ht="12.95" hidden="false" customHeight="true" outlineLevel="0" collapsed="false">
      <c r="A25" s="183" t="n">
        <f aca="false">A24+1</f>
        <v>11</v>
      </c>
      <c r="B25" s="106" t="n">
        <v>6871.46</v>
      </c>
      <c r="C25" s="107" t="n">
        <v>191734</v>
      </c>
      <c r="D25" s="215" t="n">
        <f aca="false">C25-C24</f>
        <v>-54</v>
      </c>
      <c r="E25" s="107" t="n">
        <f aca="false">C25-152000</f>
        <v>39734</v>
      </c>
      <c r="F25" s="246" t="n">
        <f aca="false">D25/$D$2</f>
        <v>-27.22460297454</v>
      </c>
      <c r="G25" s="135" t="n">
        <v>22</v>
      </c>
      <c r="H25" s="247" t="n">
        <v>0</v>
      </c>
      <c r="I25" s="135" t="n">
        <f aca="false">G25+H25</f>
        <v>22</v>
      </c>
      <c r="J25" s="136" t="n">
        <f aca="false">IF(L25&gt;0,L25,0)</f>
        <v>0.365397025460048</v>
      </c>
      <c r="K25" s="135" t="n">
        <f aca="false">I25+J25</f>
        <v>22.36539702546</v>
      </c>
      <c r="L25" s="135" t="n">
        <f aca="false">F25-(I25-AK25)</f>
        <v>0.365397025460048</v>
      </c>
      <c r="M25" s="248" t="n">
        <v>3.79</v>
      </c>
      <c r="N25" s="135" t="n">
        <v>0</v>
      </c>
      <c r="O25" s="135" t="n">
        <v>0</v>
      </c>
      <c r="P25" s="158" t="n">
        <v>0</v>
      </c>
      <c r="Q25" s="131" t="n">
        <f aca="false">851800/325851/1.9835*1.02</f>
        <v>1.34427011743651</v>
      </c>
      <c r="R25" s="131" t="n">
        <f aca="false">((2.5)*1.04)-T25</f>
        <v>1.988168</v>
      </c>
      <c r="S25" s="131" t="n">
        <v>0</v>
      </c>
      <c r="T25" s="131" t="n">
        <f aca="false">(0.555*1.06)*1.04</f>
        <v>0.611832</v>
      </c>
      <c r="U25" s="96" t="n">
        <f aca="false">M25-(Q25+R25+S25+T25)</f>
        <v>-0.154270117436508</v>
      </c>
      <c r="V25" s="135" t="n">
        <v>18.3</v>
      </c>
      <c r="W25" s="135" t="n">
        <v>0</v>
      </c>
      <c r="X25" s="135" t="n">
        <f aca="false">M25-N25-P25-O25-Q25-R25-S25-T25-U25+V25+W25</f>
        <v>18.3</v>
      </c>
      <c r="Y25" s="135" t="n">
        <f aca="false">X25-AO25</f>
        <v>18.3</v>
      </c>
      <c r="Z25" s="135"/>
      <c r="AA25" s="135"/>
      <c r="AB25" s="136"/>
      <c r="AC25" s="136" t="n">
        <v>0</v>
      </c>
      <c r="AD25" s="107"/>
      <c r="AE25" s="135" t="n">
        <v>0</v>
      </c>
      <c r="AF25" s="248"/>
      <c r="AG25" s="249"/>
      <c r="AH25" s="135" t="n">
        <v>27.5</v>
      </c>
      <c r="AI25" s="107" t="n">
        <f aca="false">AI24-AH25</f>
        <v>2426.7</v>
      </c>
      <c r="AJ25" s="107"/>
      <c r="AK25" s="134" t="n">
        <f aca="false">N25+O25+P25+Q25+R25+S25+T25+U25+X25+AE25+AH25</f>
        <v>49.59</v>
      </c>
      <c r="AL25" s="135" t="n">
        <f aca="false">IF(L25&lt;0,L25*-1,0)</f>
        <v>0</v>
      </c>
      <c r="AM25" s="135" t="n">
        <f aca="false">AK25+AL25</f>
        <v>49.59</v>
      </c>
      <c r="AN25" s="281" t="n">
        <f aca="false">X25</f>
        <v>18.3</v>
      </c>
      <c r="AO25" s="136" t="n">
        <v>0</v>
      </c>
      <c r="AP25" s="221"/>
      <c r="AV25" s="222" t="n">
        <v>0</v>
      </c>
      <c r="AW25" s="107" t="n">
        <v>38</v>
      </c>
      <c r="AX25" s="215" t="n">
        <v>-4</v>
      </c>
      <c r="AY25" s="223"/>
      <c r="AZ25" s="250" t="n">
        <f aca="false">SUM(N25,P25:U25)</f>
        <v>3.79</v>
      </c>
    </row>
    <row r="26" customFormat="false" ht="12.95" hidden="false" customHeight="true" outlineLevel="0" collapsed="false">
      <c r="A26" s="183" t="n">
        <f aca="false">A25+1</f>
        <v>12</v>
      </c>
      <c r="B26" s="106" t="n">
        <v>6871.45</v>
      </c>
      <c r="C26" s="107" t="n">
        <v>191707</v>
      </c>
      <c r="D26" s="215" t="n">
        <f aca="false">C26-C25</f>
        <v>-27</v>
      </c>
      <c r="E26" s="107" t="n">
        <f aca="false">C26-152000</f>
        <v>39707</v>
      </c>
      <c r="F26" s="246" t="n">
        <f aca="false">D26/$D$2</f>
        <v>-13.61230148727</v>
      </c>
      <c r="G26" s="135" t="n">
        <v>21</v>
      </c>
      <c r="H26" s="247" t="n">
        <v>0</v>
      </c>
      <c r="I26" s="135" t="n">
        <f aca="false">G26+H26</f>
        <v>21</v>
      </c>
      <c r="J26" s="136" t="n">
        <f aca="false">IF(L26&gt;0,L26,0)</f>
        <v>15.92769851273</v>
      </c>
      <c r="K26" s="135" t="n">
        <f aca="false">I26+J26</f>
        <v>36.92769851273</v>
      </c>
      <c r="L26" s="135" t="n">
        <f aca="false">F26-(I26-AK26)</f>
        <v>15.92769851273</v>
      </c>
      <c r="M26" s="248" t="n">
        <v>4.74</v>
      </c>
      <c r="N26" s="135" t="n">
        <v>0</v>
      </c>
      <c r="O26" s="135" t="n">
        <v>0</v>
      </c>
      <c r="P26" s="158" t="n">
        <v>0</v>
      </c>
      <c r="Q26" s="131" t="n">
        <f aca="false">969600/325851/1.9835*1.02</f>
        <v>1.53017645675797</v>
      </c>
      <c r="R26" s="131" t="n">
        <f aca="false">((2.5)*1.04)-T26</f>
        <v>1.988168</v>
      </c>
      <c r="S26" s="131" t="n">
        <v>0</v>
      </c>
      <c r="T26" s="131" t="n">
        <f aca="false">(0.555*1.06)*1.04</f>
        <v>0.611832</v>
      </c>
      <c r="U26" s="96" t="n">
        <f aca="false">M26-(Q26+R26+S26+T26)</f>
        <v>0.609823543242031</v>
      </c>
      <c r="V26" s="135" t="n">
        <v>18.3</v>
      </c>
      <c r="W26" s="135" t="n">
        <v>0</v>
      </c>
      <c r="X26" s="135" t="n">
        <f aca="false">M26-N26-P26-O26-Q26-R26-S26-T26-U26+V26+W26</f>
        <v>18.3</v>
      </c>
      <c r="Y26" s="135" t="n">
        <f aca="false">X26-AO26</f>
        <v>18.3</v>
      </c>
      <c r="Z26" s="135"/>
      <c r="AA26" s="135"/>
      <c r="AB26" s="136"/>
      <c r="AC26" s="136" t="n">
        <v>0</v>
      </c>
      <c r="AD26" s="107"/>
      <c r="AE26" s="135" t="n">
        <v>0</v>
      </c>
      <c r="AF26" s="248"/>
      <c r="AG26" s="249"/>
      <c r="AH26" s="135" t="n">
        <v>27.5</v>
      </c>
      <c r="AI26" s="107" t="n">
        <f aca="false">AI25-AH26</f>
        <v>2399.2</v>
      </c>
      <c r="AJ26" s="107"/>
      <c r="AK26" s="134" t="n">
        <f aca="false">N26+O26+P26+Q26+R26+S26+T26+U26+X26+AE26+AH26</f>
        <v>50.54</v>
      </c>
      <c r="AL26" s="135" t="n">
        <f aca="false">IF(L26&lt;0,L26*-1,0)</f>
        <v>0</v>
      </c>
      <c r="AM26" s="135" t="n">
        <f aca="false">AK26+AL26</f>
        <v>50.54</v>
      </c>
      <c r="AN26" s="281" t="n">
        <f aca="false">X26</f>
        <v>18.3</v>
      </c>
      <c r="AO26" s="136" t="n">
        <v>0</v>
      </c>
      <c r="AP26" s="221"/>
      <c r="AV26" s="222" t="n">
        <v>0</v>
      </c>
      <c r="AW26" s="107" t="n">
        <v>23</v>
      </c>
      <c r="AX26" s="215" t="n">
        <v>-6</v>
      </c>
      <c r="AY26" s="223"/>
      <c r="AZ26" s="250" t="n">
        <f aca="false">SUM(N26,P26:U26)</f>
        <v>4.74</v>
      </c>
    </row>
    <row r="27" customFormat="false" ht="12.95" hidden="false" customHeight="true" outlineLevel="0" collapsed="false">
      <c r="A27" s="183" t="n">
        <f aca="false">A26+1</f>
        <v>13</v>
      </c>
      <c r="B27" s="106" t="n">
        <v>6871.44</v>
      </c>
      <c r="C27" s="107" t="n">
        <v>191679</v>
      </c>
      <c r="D27" s="215" t="n">
        <f aca="false">C27-C26</f>
        <v>-28</v>
      </c>
      <c r="E27" s="107" t="n">
        <f aca="false">C27-152000</f>
        <v>39679</v>
      </c>
      <c r="F27" s="246" t="n">
        <f aca="false">D27/$D$2</f>
        <v>-14.1164608016133</v>
      </c>
      <c r="G27" s="135" t="n">
        <v>21</v>
      </c>
      <c r="H27" s="247" t="n">
        <v>0</v>
      </c>
      <c r="I27" s="135" t="n">
        <f aca="false">G27+H27</f>
        <v>21</v>
      </c>
      <c r="J27" s="136" t="n">
        <f aca="false">IF(L27&gt;0,L27,0)</f>
        <v>14.8735391983867</v>
      </c>
      <c r="K27" s="135" t="n">
        <f aca="false">I27+J27</f>
        <v>35.8735391983867</v>
      </c>
      <c r="L27" s="135" t="n">
        <f aca="false">F27-(I27-AK27)</f>
        <v>14.8735391983867</v>
      </c>
      <c r="M27" s="248" t="n">
        <v>4.19</v>
      </c>
      <c r="N27" s="135" t="n">
        <v>0</v>
      </c>
      <c r="O27" s="135" t="n">
        <v>0</v>
      </c>
      <c r="P27" s="158" t="n">
        <v>0</v>
      </c>
      <c r="Q27" s="131" t="n">
        <f aca="false">1205400/325851/1.9835*1.02</f>
        <v>1.90230476585814</v>
      </c>
      <c r="R27" s="131" t="n">
        <f aca="false">((2.5)*1.04)-T27</f>
        <v>1.988168</v>
      </c>
      <c r="S27" s="131" t="n">
        <v>0</v>
      </c>
      <c r="T27" s="131" t="n">
        <f aca="false">(0.555*1.06)*1.04</f>
        <v>0.611832</v>
      </c>
      <c r="U27" s="96" t="n">
        <f aca="false">M27-(Q27+R27+S27+T27)</f>
        <v>-0.312304765858143</v>
      </c>
      <c r="V27" s="135" t="n">
        <v>18.3</v>
      </c>
      <c r="W27" s="135" t="n">
        <v>0</v>
      </c>
      <c r="X27" s="135" t="n">
        <f aca="false">M27-N27-P27-O27-Q27-R27-S27-T27-U27+V27+W27</f>
        <v>18.3</v>
      </c>
      <c r="Y27" s="135" t="n">
        <f aca="false">X27-AO27</f>
        <v>18.3</v>
      </c>
      <c r="Z27" s="135"/>
      <c r="AA27" s="135"/>
      <c r="AB27" s="136"/>
      <c r="AC27" s="136" t="n">
        <v>0</v>
      </c>
      <c r="AD27" s="107"/>
      <c r="AE27" s="135" t="n">
        <v>0</v>
      </c>
      <c r="AF27" s="248"/>
      <c r="AG27" s="249"/>
      <c r="AH27" s="135" t="n">
        <v>27.5</v>
      </c>
      <c r="AI27" s="107" t="n">
        <f aca="false">AI26-AH27</f>
        <v>2371.7</v>
      </c>
      <c r="AJ27" s="107"/>
      <c r="AK27" s="134" t="n">
        <f aca="false">N27+O27+P27+Q27+R27+S27+T27+U27+X27+AE27+AH27</f>
        <v>49.99</v>
      </c>
      <c r="AL27" s="135" t="n">
        <f aca="false">IF(L27&lt;0,L27*-1,0)</f>
        <v>0</v>
      </c>
      <c r="AM27" s="135" t="n">
        <f aca="false">AK27+AL27</f>
        <v>49.99</v>
      </c>
      <c r="AN27" s="281" t="n">
        <f aca="false">X27</f>
        <v>18.3</v>
      </c>
      <c r="AO27" s="136" t="n">
        <v>0</v>
      </c>
      <c r="AP27" s="221"/>
      <c r="AV27" s="222" t="n">
        <v>0.06</v>
      </c>
      <c r="AW27" s="107" t="n">
        <v>21</v>
      </c>
      <c r="AX27" s="215" t="n">
        <v>-2</v>
      </c>
      <c r="AY27" s="223"/>
      <c r="AZ27" s="250" t="n">
        <f aca="false">SUM(N27,P27:U27)</f>
        <v>4.19</v>
      </c>
    </row>
    <row r="28" customFormat="false" ht="12.95" hidden="false" customHeight="true" outlineLevel="0" collapsed="false">
      <c r="A28" s="183" t="n">
        <f aca="false">A27+1</f>
        <v>14</v>
      </c>
      <c r="B28" s="106" t="n">
        <v>6871.41</v>
      </c>
      <c r="C28" s="107" t="n">
        <v>191598</v>
      </c>
      <c r="D28" s="215" t="n">
        <f aca="false">C28-C27</f>
        <v>-81</v>
      </c>
      <c r="E28" s="107" t="n">
        <f aca="false">C28-152000</f>
        <v>39598</v>
      </c>
      <c r="F28" s="246" t="n">
        <f aca="false">D28/$D$2</f>
        <v>-40.8369044618099</v>
      </c>
      <c r="G28" s="135" t="n">
        <v>21</v>
      </c>
      <c r="H28" s="247" t="n">
        <v>0</v>
      </c>
      <c r="I28" s="135" t="n">
        <f aca="false">G28+H28</f>
        <v>21</v>
      </c>
      <c r="J28" s="136" t="n">
        <f aca="false">IF(L28&gt;0,L28,0)</f>
        <v>0</v>
      </c>
      <c r="K28" s="135" t="n">
        <f aca="false">I28+J28</f>
        <v>21</v>
      </c>
      <c r="L28" s="135" t="n">
        <f aca="false">F28-(I28-AK28)</f>
        <v>-11.1669044618099</v>
      </c>
      <c r="M28" s="248" t="n">
        <v>4.07</v>
      </c>
      <c r="N28" s="135" t="n">
        <v>0</v>
      </c>
      <c r="O28" s="135" t="n">
        <v>0</v>
      </c>
      <c r="P28" s="158" t="n">
        <v>0</v>
      </c>
      <c r="Q28" s="131" t="n">
        <f aca="false">905700/325851/1.9835*1.02</f>
        <v>1.42933252566594</v>
      </c>
      <c r="R28" s="131" t="n">
        <f aca="false">((2.7)*1.04)-T28</f>
        <v>2.196168</v>
      </c>
      <c r="S28" s="131" t="n">
        <v>0</v>
      </c>
      <c r="T28" s="131" t="n">
        <f aca="false">(0.555*1.06)*1.04</f>
        <v>0.611832</v>
      </c>
      <c r="U28" s="96" t="n">
        <f aca="false">M28-(Q28+R28+S28+T28)</f>
        <v>-0.167332525665937</v>
      </c>
      <c r="V28" s="135" t="n">
        <v>18.4</v>
      </c>
      <c r="W28" s="135" t="n">
        <v>0</v>
      </c>
      <c r="X28" s="135" t="n">
        <f aca="false">M28-N28-P28-O28-Q28-R28-S28-T28-U28+V28+W28</f>
        <v>18.4</v>
      </c>
      <c r="Y28" s="135" t="n">
        <f aca="false">X28-AO28</f>
        <v>18.4</v>
      </c>
      <c r="Z28" s="135"/>
      <c r="AA28" s="135"/>
      <c r="AB28" s="136"/>
      <c r="AC28" s="136" t="n">
        <v>0</v>
      </c>
      <c r="AD28" s="107"/>
      <c r="AE28" s="135" t="n">
        <v>0</v>
      </c>
      <c r="AF28" s="248"/>
      <c r="AG28" s="249"/>
      <c r="AH28" s="135" t="n">
        <v>28.2</v>
      </c>
      <c r="AI28" s="107" t="n">
        <f aca="false">AI27-AH28</f>
        <v>2343.5</v>
      </c>
      <c r="AJ28" s="107"/>
      <c r="AK28" s="134" t="n">
        <f aca="false">N28+O28+P28+Q28+R28+S28+T28+U28+X28+AE28+AH28</f>
        <v>50.67</v>
      </c>
      <c r="AL28" s="135" t="n">
        <f aca="false">IF(L28&lt;0,L28*-1,0)</f>
        <v>11.1669044618099</v>
      </c>
      <c r="AM28" s="135" t="n">
        <f aca="false">AK28+AL28</f>
        <v>61.8369044618099</v>
      </c>
      <c r="AN28" s="281" t="n">
        <f aca="false">X28</f>
        <v>18.4</v>
      </c>
      <c r="AO28" s="136" t="n">
        <v>0</v>
      </c>
      <c r="AP28" s="221"/>
      <c r="AV28" s="222" t="n">
        <v>0.16</v>
      </c>
      <c r="AW28" s="107" t="n">
        <v>23</v>
      </c>
      <c r="AX28" s="215" t="n">
        <v>-5</v>
      </c>
      <c r="AY28" s="223"/>
      <c r="AZ28" s="250" t="n">
        <f aca="false">SUM(N28,P28:U28)</f>
        <v>4.07</v>
      </c>
    </row>
    <row r="29" customFormat="false" ht="12.95" hidden="false" customHeight="true" outlineLevel="0" collapsed="false">
      <c r="A29" s="183" t="n">
        <f aca="false">A28+1</f>
        <v>15</v>
      </c>
      <c r="B29" s="106" t="n">
        <v>6871.39</v>
      </c>
      <c r="C29" s="107" t="n">
        <v>191544</v>
      </c>
      <c r="D29" s="215" t="n">
        <f aca="false">C29-C28</f>
        <v>-54</v>
      </c>
      <c r="E29" s="107" t="n">
        <f aca="false">C29-152000</f>
        <v>39544</v>
      </c>
      <c r="F29" s="246" t="n">
        <f aca="false">D29/$D$2</f>
        <v>-27.22460297454</v>
      </c>
      <c r="G29" s="135" t="n">
        <v>21</v>
      </c>
      <c r="H29" s="247" t="n">
        <v>0</v>
      </c>
      <c r="I29" s="135" t="n">
        <f aca="false">G29+H29</f>
        <v>21</v>
      </c>
      <c r="J29" s="136" t="n">
        <f aca="false">IF(L29&gt;0,L29,0)</f>
        <v>2.87539702546004</v>
      </c>
      <c r="K29" s="135" t="n">
        <f aca="false">I29+J29</f>
        <v>23.87539702546</v>
      </c>
      <c r="L29" s="135" t="n">
        <f aca="false">F29-(I29-AK29)</f>
        <v>2.87539702546004</v>
      </c>
      <c r="M29" s="248" t="n">
        <v>3.9</v>
      </c>
      <c r="N29" s="135" t="n">
        <v>0</v>
      </c>
      <c r="O29" s="135" t="n">
        <v>0</v>
      </c>
      <c r="P29" s="158" t="n">
        <v>0</v>
      </c>
      <c r="Q29" s="131" t="n">
        <f aca="false">1000500/325851/1.9835*1.02</f>
        <v>1.57894136240341</v>
      </c>
      <c r="R29" s="131" t="n">
        <f aca="false">((2.7)*1.04)-T29</f>
        <v>2.196168</v>
      </c>
      <c r="S29" s="131" t="n">
        <v>0</v>
      </c>
      <c r="T29" s="131" t="n">
        <f aca="false">(0.555*1.06)*1.04</f>
        <v>0.611832</v>
      </c>
      <c r="U29" s="96" t="n">
        <f aca="false">M29-(Q29+R29+S29+T29)</f>
        <v>-0.486941362403412</v>
      </c>
      <c r="V29" s="135" t="n">
        <v>18.8</v>
      </c>
      <c r="W29" s="135" t="n">
        <v>0</v>
      </c>
      <c r="X29" s="135" t="n">
        <f aca="false">M29-N29-P29-O29-Q29-R29-S29-T29-U29+V29+W29</f>
        <v>18.8</v>
      </c>
      <c r="Y29" s="135" t="n">
        <f aca="false">X29-AO29</f>
        <v>18.8</v>
      </c>
      <c r="Z29" s="135"/>
      <c r="AA29" s="135"/>
      <c r="AB29" s="136"/>
      <c r="AC29" s="136" t="n">
        <v>0</v>
      </c>
      <c r="AD29" s="107"/>
      <c r="AE29" s="135" t="n">
        <v>0</v>
      </c>
      <c r="AF29" s="248"/>
      <c r="AG29" s="249"/>
      <c r="AH29" s="135" t="n">
        <v>28.4</v>
      </c>
      <c r="AI29" s="107" t="n">
        <f aca="false">AI28-AH29</f>
        <v>2315.1</v>
      </c>
      <c r="AJ29" s="107"/>
      <c r="AK29" s="134" t="n">
        <f aca="false">N29+O29+P29+Q29+R29+S29+T29+U29+X29+AE29+AH29</f>
        <v>51.1</v>
      </c>
      <c r="AL29" s="135" t="n">
        <f aca="false">IF(L29&lt;0,L29*-1,0)</f>
        <v>0</v>
      </c>
      <c r="AM29" s="135" t="n">
        <f aca="false">AK29+AL29</f>
        <v>51.1</v>
      </c>
      <c r="AN29" s="281" t="n">
        <f aca="false">X29</f>
        <v>18.8</v>
      </c>
      <c r="AO29" s="136" t="n">
        <v>0</v>
      </c>
      <c r="AP29" s="221"/>
      <c r="AV29" s="222" t="n">
        <v>0</v>
      </c>
      <c r="AW29" s="107" t="n">
        <v>25</v>
      </c>
      <c r="AX29" s="215" t="n">
        <v>-11</v>
      </c>
      <c r="AY29" s="223"/>
      <c r="AZ29" s="250" t="n">
        <f aca="false">SUM(N29,P29:U29)</f>
        <v>3.9</v>
      </c>
    </row>
    <row r="30" customFormat="false" ht="12.95" hidden="false" customHeight="true" outlineLevel="0" collapsed="false">
      <c r="A30" s="183" t="n">
        <f aca="false">A29+1</f>
        <v>16</v>
      </c>
      <c r="B30" s="106" t="n">
        <v>6871.37</v>
      </c>
      <c r="C30" s="107" t="n">
        <v>191489</v>
      </c>
      <c r="D30" s="215" t="n">
        <f aca="false">C30-C29</f>
        <v>-55</v>
      </c>
      <c r="E30" s="107" t="n">
        <f aca="false">C30-152000</f>
        <v>39489</v>
      </c>
      <c r="F30" s="246" t="n">
        <f aca="false">D30/$D$2</f>
        <v>-27.7287622888833</v>
      </c>
      <c r="G30" s="135" t="n">
        <v>20</v>
      </c>
      <c r="H30" s="247" t="n">
        <v>0</v>
      </c>
      <c r="I30" s="135" t="n">
        <f aca="false">G30+H30</f>
        <v>20</v>
      </c>
      <c r="J30" s="136" t="n">
        <f aca="false">IF(L30&gt;0,L30,0)</f>
        <v>4.75123771111671</v>
      </c>
      <c r="K30" s="135" t="n">
        <f aca="false">I30+J30</f>
        <v>24.7512377111167</v>
      </c>
      <c r="L30" s="135" t="n">
        <f aca="false">F30-(I30-AK30)</f>
        <v>4.75123771111671</v>
      </c>
      <c r="M30" s="248" t="n">
        <v>4.58</v>
      </c>
      <c r="N30" s="135" t="n">
        <v>0</v>
      </c>
      <c r="O30" s="135" t="n">
        <v>0</v>
      </c>
      <c r="P30" s="158" t="n">
        <v>0</v>
      </c>
      <c r="Q30" s="131" t="n">
        <f aca="false">1068600/325851/1.9835*1.02</f>
        <v>1.68641353309774</v>
      </c>
      <c r="R30" s="131" t="n">
        <f aca="false">((2.7)*1.04)-T30</f>
        <v>2.196168</v>
      </c>
      <c r="S30" s="131" t="n">
        <v>0</v>
      </c>
      <c r="T30" s="131" t="n">
        <f aca="false">(0.555*1.06)*1.04</f>
        <v>0.611832</v>
      </c>
      <c r="U30" s="96" t="n">
        <f aca="false">M30-(Q30+R30+S30+T30)</f>
        <v>0.0855864669022628</v>
      </c>
      <c r="V30" s="135" t="n">
        <v>19.4</v>
      </c>
      <c r="W30" s="135" t="n">
        <v>0</v>
      </c>
      <c r="X30" s="135" t="n">
        <f aca="false">M30-N30-P30-O30-Q30-R30-S30-T30-U30+V30+W30</f>
        <v>19.4</v>
      </c>
      <c r="Y30" s="135" t="n">
        <f aca="false">X30-AO30</f>
        <v>19.4</v>
      </c>
      <c r="Z30" s="135"/>
      <c r="AA30" s="135"/>
      <c r="AB30" s="136"/>
      <c r="AC30" s="136" t="n">
        <v>0</v>
      </c>
      <c r="AD30" s="107"/>
      <c r="AE30" s="135" t="n">
        <v>0</v>
      </c>
      <c r="AF30" s="248"/>
      <c r="AG30" s="249"/>
      <c r="AH30" s="135" t="n">
        <v>28.5</v>
      </c>
      <c r="AI30" s="107" t="n">
        <f aca="false">AI29-AH30</f>
        <v>2286.6</v>
      </c>
      <c r="AJ30" s="107"/>
      <c r="AK30" s="134" t="n">
        <f aca="false">N30+O30+P30+Q30+R30+S30+T30+U30+X30+AE30+AH30</f>
        <v>52.48</v>
      </c>
      <c r="AL30" s="135" t="n">
        <f aca="false">IF(L30&lt;0,L30*-1,0)</f>
        <v>0</v>
      </c>
      <c r="AM30" s="135" t="n">
        <f aca="false">AK30+AL30</f>
        <v>52.48</v>
      </c>
      <c r="AN30" s="281" t="n">
        <f aca="false">X30</f>
        <v>19.4</v>
      </c>
      <c r="AO30" s="136" t="n">
        <v>0</v>
      </c>
      <c r="AP30" s="221"/>
      <c r="AV30" s="222" t="n">
        <v>0</v>
      </c>
      <c r="AW30" s="107" t="n">
        <v>31</v>
      </c>
      <c r="AX30" s="215" t="n">
        <v>-1</v>
      </c>
      <c r="AY30" s="223"/>
      <c r="AZ30" s="250" t="n">
        <f aca="false">SUM(N30,P30:U30)</f>
        <v>4.58</v>
      </c>
    </row>
    <row r="31" customFormat="false" ht="12.95" hidden="false" customHeight="true" outlineLevel="0" collapsed="false">
      <c r="A31" s="183" t="n">
        <f aca="false">A30+1</f>
        <v>17</v>
      </c>
      <c r="B31" s="106" t="n">
        <v>6871.34</v>
      </c>
      <c r="C31" s="107" t="n">
        <v>191408</v>
      </c>
      <c r="D31" s="215" t="n">
        <f aca="false">C31-C30</f>
        <v>-81</v>
      </c>
      <c r="E31" s="107" t="n">
        <f aca="false">C31-152000</f>
        <v>39408</v>
      </c>
      <c r="F31" s="246" t="n">
        <f aca="false">D31/$D$2</f>
        <v>-40.8369044618099</v>
      </c>
      <c r="G31" s="135" t="n">
        <v>20</v>
      </c>
      <c r="H31" s="247" t="n">
        <v>0</v>
      </c>
      <c r="I31" s="135" t="n">
        <f aca="false">G31+H31</f>
        <v>20</v>
      </c>
      <c r="J31" s="136" t="n">
        <f aca="false">IF(L31&gt;0,L31,0)</f>
        <v>0</v>
      </c>
      <c r="K31" s="135" t="n">
        <f aca="false">I31+J31</f>
        <v>20</v>
      </c>
      <c r="L31" s="135" t="n">
        <f aca="false">F31-(I31-AK31)</f>
        <v>-9.26690446180993</v>
      </c>
      <c r="M31" s="248" t="n">
        <v>3.97</v>
      </c>
      <c r="N31" s="135" t="n">
        <v>0</v>
      </c>
      <c r="O31" s="135" t="n">
        <v>0</v>
      </c>
      <c r="P31" s="158" t="n">
        <v>0</v>
      </c>
      <c r="Q31" s="131" t="n">
        <f aca="false">1041900/325851/1.9835*1.02</f>
        <v>1.64427686705459</v>
      </c>
      <c r="R31" s="131" t="n">
        <f aca="false">((2.7)*1.04)-T31</f>
        <v>2.196168</v>
      </c>
      <c r="S31" s="131" t="n">
        <v>0</v>
      </c>
      <c r="T31" s="131" t="n">
        <f aca="false">(0.555*1.06)*1.04</f>
        <v>0.611832</v>
      </c>
      <c r="U31" s="96" t="n">
        <f aca="false">M31-(Q31+R31+S31+T31)</f>
        <v>-0.482276867054587</v>
      </c>
      <c r="V31" s="135" t="n">
        <v>19.5</v>
      </c>
      <c r="W31" s="135" t="n">
        <v>0</v>
      </c>
      <c r="X31" s="135" t="n">
        <f aca="false">M31-N31-P31-O31-Q31-R31-S31-T31-U31+V31+W31</f>
        <v>19.5</v>
      </c>
      <c r="Y31" s="135" t="n">
        <f aca="false">X31-AO31</f>
        <v>19.5</v>
      </c>
      <c r="Z31" s="135"/>
      <c r="AA31" s="135"/>
      <c r="AB31" s="136"/>
      <c r="AC31" s="136" t="n">
        <v>0</v>
      </c>
      <c r="AD31" s="107"/>
      <c r="AE31" s="135" t="n">
        <v>0</v>
      </c>
      <c r="AF31" s="248"/>
      <c r="AG31" s="249"/>
      <c r="AH31" s="135" t="n">
        <v>28.1</v>
      </c>
      <c r="AI31" s="107" t="n">
        <f aca="false">AI30-AH31</f>
        <v>2258.5</v>
      </c>
      <c r="AJ31" s="107"/>
      <c r="AK31" s="134" t="n">
        <f aca="false">N31+O31+P31+Q31+R31+S31+T31+U31+X31+AE31+AH31</f>
        <v>51.57</v>
      </c>
      <c r="AL31" s="135" t="n">
        <f aca="false">IF(L31&lt;0,L31*-1,0)</f>
        <v>9.26690446180993</v>
      </c>
      <c r="AM31" s="135" t="n">
        <f aca="false">AK31+AL31</f>
        <v>60.8369044618099</v>
      </c>
      <c r="AN31" s="281" t="n">
        <f aca="false">X31</f>
        <v>19.5</v>
      </c>
      <c r="AO31" s="136" t="n">
        <v>0</v>
      </c>
      <c r="AP31" s="221"/>
      <c r="AV31" s="222" t="n">
        <v>0</v>
      </c>
      <c r="AW31" s="107" t="n">
        <v>47</v>
      </c>
      <c r="AX31" s="215" t="n">
        <v>4</v>
      </c>
      <c r="AY31" s="223"/>
      <c r="AZ31" s="250" t="n">
        <f aca="false">SUM(N31,P31:U31)</f>
        <v>3.97</v>
      </c>
    </row>
    <row r="32" customFormat="false" ht="12.95" hidden="false" customHeight="true" outlineLevel="0" collapsed="false">
      <c r="A32" s="183" t="n">
        <f aca="false">A31+1</f>
        <v>18</v>
      </c>
      <c r="B32" s="106" t="n">
        <v>6871.32</v>
      </c>
      <c r="C32" s="107" t="n">
        <v>191353</v>
      </c>
      <c r="D32" s="215" t="n">
        <f aca="false">C32-C31</f>
        <v>-55</v>
      </c>
      <c r="E32" s="107" t="n">
        <f aca="false">C32-152000</f>
        <v>39353</v>
      </c>
      <c r="F32" s="246" t="n">
        <f aca="false">D32/$D$2</f>
        <v>-27.7287622888833</v>
      </c>
      <c r="G32" s="135" t="n">
        <v>21</v>
      </c>
      <c r="H32" s="247" t="n">
        <v>0</v>
      </c>
      <c r="I32" s="135" t="n">
        <f aca="false">G32+H32</f>
        <v>21</v>
      </c>
      <c r="J32" s="136" t="n">
        <f aca="false">IF(L32&gt;0,L32,0)</f>
        <v>5.40123771111672</v>
      </c>
      <c r="K32" s="135" t="n">
        <f aca="false">I32+J32</f>
        <v>26.4012377111167</v>
      </c>
      <c r="L32" s="135" t="n">
        <f aca="false">F32-(I32-AK32)</f>
        <v>5.40123771111672</v>
      </c>
      <c r="M32" s="248" t="n">
        <v>3.83</v>
      </c>
      <c r="N32" s="135" t="n">
        <v>0</v>
      </c>
      <c r="O32" s="135" t="n">
        <v>0</v>
      </c>
      <c r="P32" s="158" t="n">
        <v>0</v>
      </c>
      <c r="Q32" s="131" t="n">
        <f aca="false">986900/325851/1.9835*1.02</f>
        <v>1.55747849131027</v>
      </c>
      <c r="R32" s="131" t="n">
        <f aca="false">((2.7)*1.04)-T32</f>
        <v>2.2386104</v>
      </c>
      <c r="S32" s="131" t="n">
        <v>0</v>
      </c>
      <c r="T32" s="131" t="n">
        <f aca="false">(0.5165*1.06)*1.04</f>
        <v>0.5693896</v>
      </c>
      <c r="U32" s="96" t="n">
        <f aca="false">M32-(Q32+R32+S32+T32)</f>
        <v>-0.535478491310272</v>
      </c>
      <c r="V32" s="135" t="n">
        <v>22.2</v>
      </c>
      <c r="W32" s="135" t="n">
        <v>0</v>
      </c>
      <c r="X32" s="135" t="n">
        <f aca="false">M32-N32-P32-O32-Q32-R32-S32-T32-U32+V32+W32</f>
        <v>22.2</v>
      </c>
      <c r="Y32" s="135" t="n">
        <f aca="false">X32-AO32</f>
        <v>22.2</v>
      </c>
      <c r="Z32" s="135"/>
      <c r="AA32" s="135"/>
      <c r="AB32" s="136"/>
      <c r="AC32" s="136" t="n">
        <v>0</v>
      </c>
      <c r="AD32" s="107"/>
      <c r="AE32" s="135" t="n">
        <v>0</v>
      </c>
      <c r="AF32" s="248"/>
      <c r="AG32" s="249"/>
      <c r="AH32" s="135" t="n">
        <v>28.1</v>
      </c>
      <c r="AI32" s="107" t="n">
        <f aca="false">AI31-AH32</f>
        <v>2230.4</v>
      </c>
      <c r="AJ32" s="107"/>
      <c r="AK32" s="134" t="n">
        <f aca="false">N32+O32+P32+Q32+R32+S32+T32+U32+X32+AE32+AH32</f>
        <v>54.13</v>
      </c>
      <c r="AL32" s="135" t="n">
        <f aca="false">IF(L32&lt;0,L32*-1,0)</f>
        <v>0</v>
      </c>
      <c r="AM32" s="135" t="n">
        <f aca="false">AK32+AL32</f>
        <v>54.13</v>
      </c>
      <c r="AN32" s="281" t="n">
        <f aca="false">X32</f>
        <v>22.2</v>
      </c>
      <c r="AO32" s="136" t="n">
        <v>0</v>
      </c>
      <c r="AP32" s="221"/>
      <c r="AV32" s="222" t="n">
        <v>0</v>
      </c>
      <c r="AW32" s="107" t="n">
        <v>44</v>
      </c>
      <c r="AX32" s="215" t="n">
        <v>11</v>
      </c>
      <c r="AY32" s="223"/>
      <c r="AZ32" s="250" t="n">
        <f aca="false">SUM(N32,P32:U32)</f>
        <v>3.83</v>
      </c>
    </row>
    <row r="33" customFormat="false" ht="12.95" hidden="false" customHeight="true" outlineLevel="0" collapsed="false">
      <c r="A33" s="183" t="n">
        <f aca="false">A32+1</f>
        <v>19</v>
      </c>
      <c r="B33" s="106" t="n">
        <v>6871.3</v>
      </c>
      <c r="C33" s="107" t="n">
        <v>191299</v>
      </c>
      <c r="D33" s="215" t="n">
        <f aca="false">C33-C32</f>
        <v>-54</v>
      </c>
      <c r="E33" s="107" t="n">
        <f aca="false">C33-152000</f>
        <v>39299</v>
      </c>
      <c r="F33" s="246" t="n">
        <f aca="false">D33/$D$2</f>
        <v>-27.22460297454</v>
      </c>
      <c r="G33" s="135" t="n">
        <v>21</v>
      </c>
      <c r="H33" s="247" t="n">
        <v>0.2</v>
      </c>
      <c r="I33" s="135" t="n">
        <f aca="false">G33+H33</f>
        <v>21.2</v>
      </c>
      <c r="J33" s="136" t="n">
        <f aca="false">IF(L33&gt;0,L33,0)</f>
        <v>6.10539702546004</v>
      </c>
      <c r="K33" s="135" t="n">
        <f aca="false">I33+J33</f>
        <v>27.30539702546</v>
      </c>
      <c r="L33" s="135" t="n">
        <f aca="false">F33-(I33-AK33)</f>
        <v>6.10539702546004</v>
      </c>
      <c r="M33" s="248" t="n">
        <v>4.43</v>
      </c>
      <c r="N33" s="135" t="n">
        <v>0</v>
      </c>
      <c r="O33" s="135" t="n">
        <v>0</v>
      </c>
      <c r="P33" s="158" t="n">
        <v>0</v>
      </c>
      <c r="Q33" s="131" t="n">
        <f aca="false">981200/325851/1.9835*1.02</f>
        <v>1.54848302327859</v>
      </c>
      <c r="R33" s="131" t="n">
        <f aca="false">((2.7)*1.04)-T33</f>
        <v>2.2386104</v>
      </c>
      <c r="S33" s="131" t="n">
        <v>0</v>
      </c>
      <c r="T33" s="131" t="n">
        <f aca="false">(0.5165*1.06)*1.04</f>
        <v>0.5693896</v>
      </c>
      <c r="U33" s="96" t="n">
        <f aca="false">M33-(Q33+R33+S33+T33)</f>
        <v>0.073516976721411</v>
      </c>
      <c r="V33" s="135" t="n">
        <v>22</v>
      </c>
      <c r="W33" s="135" t="n">
        <v>0</v>
      </c>
      <c r="X33" s="135" t="n">
        <f aca="false">M33-N33-P33-O33-Q33-R33-S33-T33-U33+V33+W33</f>
        <v>22</v>
      </c>
      <c r="Y33" s="135" t="n">
        <f aca="false">X33-AO33</f>
        <v>22</v>
      </c>
      <c r="Z33" s="135"/>
      <c r="AA33" s="135"/>
      <c r="AB33" s="136"/>
      <c r="AC33" s="136" t="n">
        <v>0</v>
      </c>
      <c r="AD33" s="107"/>
      <c r="AE33" s="135" t="n">
        <v>0</v>
      </c>
      <c r="AF33" s="248"/>
      <c r="AG33" s="249"/>
      <c r="AH33" s="135" t="n">
        <v>28.1</v>
      </c>
      <c r="AI33" s="107" t="n">
        <f aca="false">AI32-AH33</f>
        <v>2202.3</v>
      </c>
      <c r="AJ33" s="107"/>
      <c r="AK33" s="134" t="n">
        <f aca="false">N33+O33+P33+Q33+R33+S33+T33+U33+X33+AE33+AH33</f>
        <v>54.53</v>
      </c>
      <c r="AL33" s="135" t="n">
        <f aca="false">IF(L33&lt;0,L33*-1,0)</f>
        <v>0</v>
      </c>
      <c r="AM33" s="135" t="n">
        <f aca="false">AK33+AL33</f>
        <v>54.53</v>
      </c>
      <c r="AN33" s="281" t="n">
        <f aca="false">X33</f>
        <v>22</v>
      </c>
      <c r="AO33" s="136" t="n">
        <v>0</v>
      </c>
      <c r="AP33" s="221"/>
      <c r="AV33" s="222" t="n">
        <v>0</v>
      </c>
      <c r="AW33" s="107" t="n">
        <v>43</v>
      </c>
      <c r="AX33" s="215" t="n">
        <v>5</v>
      </c>
      <c r="AY33" s="223"/>
      <c r="AZ33" s="250" t="n">
        <f aca="false">SUM(N33,P33:U33)</f>
        <v>4.43</v>
      </c>
    </row>
    <row r="34" customFormat="false" ht="12.95" hidden="false" customHeight="true" outlineLevel="0" collapsed="false">
      <c r="A34" s="183" t="n">
        <f aca="false">A33+1</f>
        <v>20</v>
      </c>
      <c r="B34" s="106" t="n">
        <v>6871.27</v>
      </c>
      <c r="C34" s="107" t="n">
        <v>191218</v>
      </c>
      <c r="D34" s="215" t="n">
        <f aca="false">C34-C33</f>
        <v>-81</v>
      </c>
      <c r="E34" s="107" t="n">
        <f aca="false">C34-152000</f>
        <v>39218</v>
      </c>
      <c r="F34" s="246" t="n">
        <f aca="false">D34/$D$2</f>
        <v>-40.8369044618099</v>
      </c>
      <c r="G34" s="135" t="n">
        <v>22</v>
      </c>
      <c r="H34" s="247" t="n">
        <v>0</v>
      </c>
      <c r="I34" s="135" t="n">
        <f aca="false">G34+H34</f>
        <v>22</v>
      </c>
      <c r="J34" s="136" t="n">
        <f aca="false">IF(L34&gt;0,L34,0)</f>
        <v>0</v>
      </c>
      <c r="K34" s="135" t="n">
        <f aca="false">I34+J34</f>
        <v>22</v>
      </c>
      <c r="L34" s="135" t="n">
        <f aca="false">F34-(I34-AK34)</f>
        <v>-8.65690446180993</v>
      </c>
      <c r="M34" s="248" t="n">
        <v>4.08</v>
      </c>
      <c r="N34" s="135" t="n">
        <v>0</v>
      </c>
      <c r="O34" s="135" t="n">
        <v>0</v>
      </c>
      <c r="P34" s="158" t="n">
        <v>0</v>
      </c>
      <c r="Q34" s="131" t="n">
        <f aca="false">1118700/325851/1.9835*1.02</f>
        <v>1.76547896263938</v>
      </c>
      <c r="R34" s="131" t="n">
        <f aca="false">((2.7)*1.04)-T34</f>
        <v>2.2386104</v>
      </c>
      <c r="S34" s="131" t="n">
        <v>0</v>
      </c>
      <c r="T34" s="131" t="n">
        <f aca="false">(0.5165*1.06)*1.04</f>
        <v>0.5693896</v>
      </c>
      <c r="U34" s="96" t="n">
        <f aca="false">M34-(Q34+R34+S34+T34)</f>
        <v>-0.493478962639378</v>
      </c>
      <c r="V34" s="135" t="n">
        <v>22</v>
      </c>
      <c r="W34" s="135" t="n">
        <v>0</v>
      </c>
      <c r="X34" s="135" t="n">
        <f aca="false">M34-N34-P34-O34-Q34-R34-S34-T34-U34+V34+W34</f>
        <v>22</v>
      </c>
      <c r="Y34" s="135" t="n">
        <f aca="false">X34-AO34</f>
        <v>22</v>
      </c>
      <c r="Z34" s="135"/>
      <c r="AA34" s="135"/>
      <c r="AB34" s="136"/>
      <c r="AC34" s="136" t="n">
        <v>0</v>
      </c>
      <c r="AD34" s="107"/>
      <c r="AE34" s="135" t="n">
        <v>0</v>
      </c>
      <c r="AF34" s="248"/>
      <c r="AG34" s="249"/>
      <c r="AH34" s="135" t="n">
        <v>28.1</v>
      </c>
      <c r="AI34" s="107" t="n">
        <f aca="false">AI33-AH34</f>
        <v>2174.2</v>
      </c>
      <c r="AJ34" s="107"/>
      <c r="AK34" s="134" t="n">
        <f aca="false">N34+O34+P34+Q34+R34+S34+T34+U34+X34+AE34+AH34</f>
        <v>54.18</v>
      </c>
      <c r="AL34" s="135" t="n">
        <f aca="false">IF(L34&lt;0,L34*-1,0)</f>
        <v>8.65690446180993</v>
      </c>
      <c r="AM34" s="135" t="n">
        <f aca="false">AK34+AL34</f>
        <v>62.8369044618099</v>
      </c>
      <c r="AN34" s="281" t="n">
        <f aca="false">X34</f>
        <v>22</v>
      </c>
      <c r="AO34" s="136" t="n">
        <v>0</v>
      </c>
      <c r="AP34" s="221"/>
      <c r="AV34" s="222" t="n">
        <v>0</v>
      </c>
      <c r="AW34" s="107" t="n">
        <v>46</v>
      </c>
      <c r="AX34" s="215" t="n">
        <v>8</v>
      </c>
      <c r="AY34" s="223"/>
      <c r="AZ34" s="250" t="n">
        <f aca="false">SUM(N34,P34:U34)</f>
        <v>4.08</v>
      </c>
    </row>
    <row r="35" customFormat="false" ht="12.95" hidden="false" customHeight="true" outlineLevel="0" collapsed="false">
      <c r="A35" s="183" t="n">
        <f aca="false">A34+1</f>
        <v>21</v>
      </c>
      <c r="B35" s="106" t="n">
        <v>6871.3</v>
      </c>
      <c r="C35" s="107" t="n">
        <v>191299</v>
      </c>
      <c r="D35" s="215" t="n">
        <f aca="false">C35-C34</f>
        <v>81</v>
      </c>
      <c r="E35" s="107" t="n">
        <f aca="false">C35-152000</f>
        <v>39299</v>
      </c>
      <c r="F35" s="246" t="n">
        <f aca="false">D35/$D$2</f>
        <v>40.8369044618099</v>
      </c>
      <c r="G35" s="135" t="n">
        <v>22</v>
      </c>
      <c r="H35" s="247" t="n">
        <v>0</v>
      </c>
      <c r="I35" s="135" t="n">
        <f aca="false">G35+H35</f>
        <v>22</v>
      </c>
      <c r="J35" s="136" t="n">
        <f aca="false">IF(L35&gt;0,L35,0)</f>
        <v>76.2469044618099</v>
      </c>
      <c r="K35" s="135" t="n">
        <f aca="false">I35+J35</f>
        <v>98.2469044618099</v>
      </c>
      <c r="L35" s="135" t="n">
        <f aca="false">F35-(I35-AK35)</f>
        <v>76.2469044618099</v>
      </c>
      <c r="M35" s="248" t="n">
        <v>4.21</v>
      </c>
      <c r="N35" s="135" t="n">
        <v>0</v>
      </c>
      <c r="O35" s="135" t="n">
        <v>0</v>
      </c>
      <c r="P35" s="158" t="n">
        <v>0</v>
      </c>
      <c r="Q35" s="131" t="n">
        <f aca="false">1038700/325851/1.9835*1.02</f>
        <v>1.63922677973855</v>
      </c>
      <c r="R35" s="131" t="n">
        <f aca="false">((2.9)*1.04)-T35</f>
        <v>2.4466104</v>
      </c>
      <c r="S35" s="131" t="n">
        <v>0</v>
      </c>
      <c r="T35" s="131" t="n">
        <f aca="false">(0.5165*1.06)*1.04</f>
        <v>0.5693896</v>
      </c>
      <c r="U35" s="96" t="n">
        <f aca="false">M35-(Q35+R35+S35+T35)</f>
        <v>-0.445226779738555</v>
      </c>
      <c r="V35" s="135" t="n">
        <v>25.1</v>
      </c>
      <c r="W35" s="135" t="n">
        <v>0</v>
      </c>
      <c r="X35" s="135" t="n">
        <f aca="false">M35-N35-P35-O35-Q35-R35-S35-T35-U35+V35+W35</f>
        <v>25.1</v>
      </c>
      <c r="Y35" s="135" t="n">
        <f aca="false">X35-AO35</f>
        <v>25.1</v>
      </c>
      <c r="Z35" s="135"/>
      <c r="AA35" s="135"/>
      <c r="AB35" s="136"/>
      <c r="AC35" s="136" t="n">
        <v>0</v>
      </c>
      <c r="AD35" s="107"/>
      <c r="AE35" s="135" t="n">
        <v>0</v>
      </c>
      <c r="AF35" s="248"/>
      <c r="AG35" s="249"/>
      <c r="AH35" s="135" t="n">
        <v>28.1</v>
      </c>
      <c r="AI35" s="107" t="n">
        <f aca="false">AI34-AH35</f>
        <v>2146.1</v>
      </c>
      <c r="AJ35" s="107"/>
      <c r="AK35" s="134" t="n">
        <f aca="false">N35+O35+P35+Q35+R35+S35+T35+U35+X35+AE35+AH35</f>
        <v>57.41</v>
      </c>
      <c r="AL35" s="135" t="n">
        <f aca="false">IF(L35&lt;0,L35*-1,0)</f>
        <v>0</v>
      </c>
      <c r="AM35" s="135" t="n">
        <f aca="false">AK35+AL35</f>
        <v>57.41</v>
      </c>
      <c r="AN35" s="281" t="n">
        <f aca="false">X35</f>
        <v>25.1</v>
      </c>
      <c r="AO35" s="136" t="n">
        <v>0</v>
      </c>
      <c r="AP35" s="221"/>
      <c r="AV35" s="222" t="n">
        <v>0</v>
      </c>
      <c r="AW35" s="107" t="n">
        <v>45</v>
      </c>
      <c r="AX35" s="215" t="n">
        <v>9</v>
      </c>
      <c r="AY35" s="223"/>
      <c r="AZ35" s="250" t="n">
        <f aca="false">SUM(N35,P35:U35)</f>
        <v>4.21</v>
      </c>
    </row>
    <row r="36" customFormat="false" ht="12.95" hidden="false" customHeight="true" outlineLevel="0" collapsed="false">
      <c r="A36" s="183" t="n">
        <f aca="false">A35+1</f>
        <v>22</v>
      </c>
      <c r="B36" s="106" t="n">
        <v>6871.28</v>
      </c>
      <c r="C36" s="107" t="n">
        <v>191245</v>
      </c>
      <c r="D36" s="215" t="n">
        <f aca="false">C36-C35</f>
        <v>-54</v>
      </c>
      <c r="E36" s="107" t="n">
        <f aca="false">C36-152000</f>
        <v>39245</v>
      </c>
      <c r="F36" s="246" t="n">
        <f aca="false">D36/$D$2</f>
        <v>-27.22460297454</v>
      </c>
      <c r="G36" s="135" t="n">
        <v>22</v>
      </c>
      <c r="H36" s="247" t="n">
        <v>0</v>
      </c>
      <c r="I36" s="135" t="n">
        <f aca="false">G36+H36</f>
        <v>22</v>
      </c>
      <c r="J36" s="136" t="n">
        <f aca="false">IF(L36&gt;0,L36,0)</f>
        <v>8.33539702546005</v>
      </c>
      <c r="K36" s="135" t="n">
        <f aca="false">I36+J36</f>
        <v>30.33539702546</v>
      </c>
      <c r="L36" s="135" t="n">
        <f aca="false">F36-(I36-AK36)</f>
        <v>8.33539702546005</v>
      </c>
      <c r="M36" s="248" t="n">
        <v>4.36</v>
      </c>
      <c r="N36" s="135" t="n">
        <v>0</v>
      </c>
      <c r="O36" s="135" t="n">
        <v>0</v>
      </c>
      <c r="P36" s="158" t="n">
        <v>0</v>
      </c>
      <c r="Q36" s="131" t="n">
        <f aca="false">867400/325851/1.9835*1.02</f>
        <v>1.36888929310217</v>
      </c>
      <c r="R36" s="131" t="n">
        <f aca="false">((3)*1.04)-T36</f>
        <v>2.5506104</v>
      </c>
      <c r="S36" s="131" t="n">
        <v>0</v>
      </c>
      <c r="T36" s="131" t="n">
        <f aca="false">(0.5165*1.06)*1.04</f>
        <v>0.5693896</v>
      </c>
      <c r="U36" s="96" t="n">
        <f aca="false">M36-(Q36+R36+S36+T36)</f>
        <v>-0.128889293102168</v>
      </c>
      <c r="V36" s="135" t="n">
        <v>25.1</v>
      </c>
      <c r="W36" s="135" t="n">
        <v>0</v>
      </c>
      <c r="X36" s="135" t="n">
        <f aca="false">M36-N36-P36-O36-Q36-R36-S36-T36-U36+V36+W36</f>
        <v>25.1</v>
      </c>
      <c r="Y36" s="135" t="n">
        <f aca="false">X36-AO36</f>
        <v>25.1</v>
      </c>
      <c r="Z36" s="135"/>
      <c r="AA36" s="135"/>
      <c r="AB36" s="136"/>
      <c r="AC36" s="136" t="n">
        <v>0</v>
      </c>
      <c r="AD36" s="107"/>
      <c r="AE36" s="135" t="n">
        <v>0</v>
      </c>
      <c r="AF36" s="248"/>
      <c r="AG36" s="249"/>
      <c r="AH36" s="135" t="n">
        <v>28.1</v>
      </c>
      <c r="AI36" s="107" t="n">
        <f aca="false">AI35-AH36</f>
        <v>2118</v>
      </c>
      <c r="AJ36" s="107"/>
      <c r="AK36" s="134" t="n">
        <f aca="false">N36+O36+P36+Q36+R36+S36+T36+U36+X36+AE36+AH36</f>
        <v>57.56</v>
      </c>
      <c r="AL36" s="135" t="n">
        <f aca="false">IF(L36&lt;0,L36*-1,0)</f>
        <v>0</v>
      </c>
      <c r="AM36" s="135" t="n">
        <f aca="false">AK36+AL36</f>
        <v>57.56</v>
      </c>
      <c r="AN36" s="281" t="n">
        <f aca="false">X36</f>
        <v>25.1</v>
      </c>
      <c r="AO36" s="136" t="n">
        <v>0</v>
      </c>
      <c r="AP36" s="221"/>
      <c r="AV36" s="222" t="n">
        <v>0</v>
      </c>
      <c r="AW36" s="107" t="n">
        <v>49</v>
      </c>
      <c r="AX36" s="215" t="n">
        <v>10</v>
      </c>
      <c r="AY36" s="223"/>
      <c r="AZ36" s="250" t="n">
        <f aca="false">SUM(N36,P36:U36)</f>
        <v>4.36</v>
      </c>
    </row>
    <row r="37" customFormat="false" ht="12.95" hidden="false" customHeight="true" outlineLevel="0" collapsed="false">
      <c r="A37" s="183" t="n">
        <f aca="false">A36+1</f>
        <v>23</v>
      </c>
      <c r="B37" s="106" t="n">
        <v>6871.27</v>
      </c>
      <c r="C37" s="107" t="n">
        <v>191218</v>
      </c>
      <c r="D37" s="215" t="n">
        <f aca="false">C37-C36</f>
        <v>-27</v>
      </c>
      <c r="E37" s="107" t="n">
        <f aca="false">C37-152000</f>
        <v>39218</v>
      </c>
      <c r="F37" s="246" t="n">
        <f aca="false">D37/$D$2</f>
        <v>-13.61230148727</v>
      </c>
      <c r="G37" s="135" t="n">
        <v>23</v>
      </c>
      <c r="H37" s="247" t="n">
        <v>0</v>
      </c>
      <c r="I37" s="135" t="n">
        <f aca="false">G37+H37</f>
        <v>23</v>
      </c>
      <c r="J37" s="136" t="n">
        <f aca="false">IF(L37&gt;0,L37,0)</f>
        <v>20.85769851273</v>
      </c>
      <c r="K37" s="135" t="n">
        <f aca="false">I37+J37</f>
        <v>43.85769851273</v>
      </c>
      <c r="L37" s="135" t="n">
        <f aca="false">F37-(I37-AK37)</f>
        <v>20.85769851273</v>
      </c>
      <c r="M37" s="248" t="n">
        <v>4.27</v>
      </c>
      <c r="N37" s="135" t="n">
        <v>0</v>
      </c>
      <c r="O37" s="135" t="n">
        <v>0</v>
      </c>
      <c r="P37" s="158" t="n">
        <v>0</v>
      </c>
      <c r="Q37" s="131" t="n">
        <f aca="false">937300/325851/1.9835*1.02</f>
        <v>1.47920213791176</v>
      </c>
      <c r="R37" s="131" t="n">
        <f aca="false">((3)*1.04)-T37</f>
        <v>2.5506104</v>
      </c>
      <c r="S37" s="131" t="n">
        <v>0</v>
      </c>
      <c r="T37" s="131" t="n">
        <f aca="false">(0.5165*1.06)*1.04</f>
        <v>0.5693896</v>
      </c>
      <c r="U37" s="96" t="n">
        <f aca="false">M37-(Q37+R37+S37+T37)</f>
        <v>-0.329202137911763</v>
      </c>
      <c r="V37" s="135" t="n">
        <v>25.1</v>
      </c>
      <c r="W37" s="135" t="n">
        <v>0</v>
      </c>
      <c r="X37" s="135" t="n">
        <f aca="false">M37-N37-P37-O37-Q37-R37-S37-T37-U37+V37+W37</f>
        <v>25.1</v>
      </c>
      <c r="Y37" s="135" t="n">
        <f aca="false">X37-AO37</f>
        <v>25.1</v>
      </c>
      <c r="Z37" s="135"/>
      <c r="AA37" s="135"/>
      <c r="AB37" s="136"/>
      <c r="AC37" s="136" t="n">
        <v>0</v>
      </c>
      <c r="AD37" s="107"/>
      <c r="AE37" s="135" t="n">
        <v>0</v>
      </c>
      <c r="AF37" s="248"/>
      <c r="AG37" s="249"/>
      <c r="AH37" s="135" t="n">
        <v>28.1</v>
      </c>
      <c r="AI37" s="107" t="n">
        <f aca="false">AI36-AH37</f>
        <v>2089.9</v>
      </c>
      <c r="AJ37" s="107"/>
      <c r="AK37" s="134" t="n">
        <f aca="false">N37+O37+P37+Q37+R37+S37+T37+U37+X37+AE37+AH37</f>
        <v>57.47</v>
      </c>
      <c r="AL37" s="135" t="n">
        <f aca="false">IF(L37&lt;0,L37*-1,0)</f>
        <v>0</v>
      </c>
      <c r="AM37" s="135" t="n">
        <f aca="false">AK37+AL37</f>
        <v>57.47</v>
      </c>
      <c r="AN37" s="281" t="n">
        <f aca="false">X37</f>
        <v>25.1</v>
      </c>
      <c r="AO37" s="136" t="n">
        <v>0</v>
      </c>
      <c r="AP37" s="221"/>
      <c r="AV37" s="222" t="n">
        <v>0</v>
      </c>
      <c r="AW37" s="107" t="n">
        <v>58</v>
      </c>
      <c r="AX37" s="221" t="n">
        <v>14</v>
      </c>
      <c r="AY37" s="251"/>
      <c r="AZ37" s="250" t="n">
        <f aca="false">SUM(N37,P37:U37)</f>
        <v>4.27</v>
      </c>
    </row>
    <row r="38" customFormat="false" ht="12.95" hidden="false" customHeight="true" outlineLevel="0" collapsed="false">
      <c r="A38" s="183" t="n">
        <f aca="false">A37+1</f>
        <v>24</v>
      </c>
      <c r="B38" s="106" t="n">
        <v>6871.25</v>
      </c>
      <c r="C38" s="107" t="n">
        <v>191163</v>
      </c>
      <c r="D38" s="215" t="n">
        <f aca="false">C38-C37</f>
        <v>-55</v>
      </c>
      <c r="E38" s="107" t="n">
        <f aca="false">C38-152000</f>
        <v>39163</v>
      </c>
      <c r="F38" s="246" t="n">
        <f aca="false">D38/$D$2</f>
        <v>-27.7287622888833</v>
      </c>
      <c r="G38" s="135" t="n">
        <v>23</v>
      </c>
      <c r="H38" s="247" t="n">
        <v>0</v>
      </c>
      <c r="I38" s="135" t="n">
        <f aca="false">G38+H38</f>
        <v>23</v>
      </c>
      <c r="J38" s="136" t="n">
        <f aca="false">IF(L38&gt;0,L38,0)</f>
        <v>6.76123771111672</v>
      </c>
      <c r="K38" s="135" t="n">
        <f aca="false">I38+J38</f>
        <v>29.7612377111167</v>
      </c>
      <c r="L38" s="135" t="n">
        <f aca="false">F38-(I38-AK38)</f>
        <v>6.76123771111672</v>
      </c>
      <c r="M38" s="248" t="n">
        <v>4.29</v>
      </c>
      <c r="N38" s="135" t="n">
        <v>0</v>
      </c>
      <c r="O38" s="135" t="n">
        <v>0</v>
      </c>
      <c r="P38" s="158" t="n">
        <v>0</v>
      </c>
      <c r="Q38" s="131" t="n">
        <f aca="false">1039900/325851/1.9835*1.02</f>
        <v>1.64112056248207</v>
      </c>
      <c r="R38" s="131" t="n">
        <f aca="false">((3)*1.04)-T38</f>
        <v>2.5506104</v>
      </c>
      <c r="S38" s="131" t="n">
        <v>0</v>
      </c>
      <c r="T38" s="131" t="n">
        <f aca="false">(0.5165*1.06)*1.04</f>
        <v>0.5693896</v>
      </c>
      <c r="U38" s="96" t="n">
        <f aca="false">M38-(Q38+R38+S38+T38)</f>
        <v>-0.471120562482067</v>
      </c>
      <c r="V38" s="135" t="n">
        <v>25.1</v>
      </c>
      <c r="W38" s="135" t="n">
        <v>0</v>
      </c>
      <c r="X38" s="135" t="n">
        <f aca="false">M38-N38-P38-O38-Q38-R38-S38-T38-U38+V38+W38</f>
        <v>25.1</v>
      </c>
      <c r="Y38" s="135" t="n">
        <f aca="false">X38-AO38</f>
        <v>25.1</v>
      </c>
      <c r="Z38" s="135"/>
      <c r="AA38" s="135"/>
      <c r="AB38" s="136"/>
      <c r="AC38" s="136" t="n">
        <v>0</v>
      </c>
      <c r="AD38" s="107"/>
      <c r="AE38" s="135" t="n">
        <v>0</v>
      </c>
      <c r="AF38" s="248"/>
      <c r="AG38" s="249"/>
      <c r="AH38" s="135" t="n">
        <v>28.1</v>
      </c>
      <c r="AI38" s="107" t="n">
        <f aca="false">AI37-AH38</f>
        <v>2061.8</v>
      </c>
      <c r="AJ38" s="107"/>
      <c r="AK38" s="134" t="n">
        <f aca="false">N38+O38+P38+Q38+R38+S38+T38+U38+X38+AE38+AH38</f>
        <v>57.49</v>
      </c>
      <c r="AL38" s="135" t="n">
        <f aca="false">IF(L38&lt;0,L38*-1,0)</f>
        <v>0</v>
      </c>
      <c r="AM38" s="135" t="n">
        <f aca="false">AK38+AL38</f>
        <v>57.49</v>
      </c>
      <c r="AN38" s="281" t="n">
        <f aca="false">X38</f>
        <v>25.1</v>
      </c>
      <c r="AO38" s="136" t="n">
        <v>0</v>
      </c>
      <c r="AP38" s="221"/>
      <c r="AV38" s="222" t="n">
        <v>0</v>
      </c>
      <c r="AW38" s="107" t="n">
        <v>54</v>
      </c>
      <c r="AX38" s="221" t="n">
        <v>26</v>
      </c>
      <c r="AY38" s="251"/>
      <c r="AZ38" s="250" t="n">
        <f aca="false">SUM(N38,P38:U38)</f>
        <v>4.29</v>
      </c>
    </row>
    <row r="39" customFormat="false" ht="12.95" hidden="false" customHeight="true" outlineLevel="0" collapsed="false">
      <c r="A39" s="183" t="n">
        <f aca="false">A38+1</f>
        <v>25</v>
      </c>
      <c r="B39" s="106" t="n">
        <v>6871.24</v>
      </c>
      <c r="C39" s="107" t="n">
        <v>191136</v>
      </c>
      <c r="D39" s="215" t="n">
        <f aca="false">C39-C38</f>
        <v>-27</v>
      </c>
      <c r="E39" s="107" t="n">
        <f aca="false">C39-152000</f>
        <v>39136</v>
      </c>
      <c r="F39" s="246" t="n">
        <f aca="false">D39/$D$2</f>
        <v>-13.61230148727</v>
      </c>
      <c r="G39" s="135" t="n">
        <v>24</v>
      </c>
      <c r="H39" s="247" t="n">
        <v>0</v>
      </c>
      <c r="I39" s="135" t="n">
        <f aca="false">G39+H39</f>
        <v>24</v>
      </c>
      <c r="J39" s="136" t="n">
        <f aca="false">IF(L39&gt;0,L39,0)</f>
        <v>17.98769851273</v>
      </c>
      <c r="K39" s="135" t="n">
        <f aca="false">I39+J39</f>
        <v>41.98769851273</v>
      </c>
      <c r="L39" s="135" t="n">
        <f aca="false">F39-(I39-AK39)</f>
        <v>17.98769851273</v>
      </c>
      <c r="M39" s="248" t="n">
        <v>3.9</v>
      </c>
      <c r="N39" s="135" t="n">
        <v>0</v>
      </c>
      <c r="O39" s="135" t="n">
        <v>0</v>
      </c>
      <c r="P39" s="158" t="n">
        <v>0</v>
      </c>
      <c r="Q39" s="131" t="n">
        <f aca="false">866100/325851/1.9835*1.02</f>
        <v>1.36683769513003</v>
      </c>
      <c r="R39" s="131" t="n">
        <f aca="false">((2.5)*1.04)-T39</f>
        <v>1.94770992</v>
      </c>
      <c r="S39" s="131" t="n">
        <v>0</v>
      </c>
      <c r="T39" s="131" t="n">
        <f aca="false">(0.5917*1.06)*1.04</f>
        <v>0.65229008</v>
      </c>
      <c r="U39" s="96" t="n">
        <f aca="false">M39-(Q39+R39+S39+T39)</f>
        <v>-0.0668376951300305</v>
      </c>
      <c r="V39" s="135" t="n">
        <v>25.1</v>
      </c>
      <c r="W39" s="135" t="n">
        <v>0</v>
      </c>
      <c r="X39" s="135" t="n">
        <f aca="false">M39-N39-P39-O39-Q39-R39-S39-T39-U39+V39+W39</f>
        <v>25.1</v>
      </c>
      <c r="Y39" s="135" t="n">
        <f aca="false">X39-AO39</f>
        <v>25.1</v>
      </c>
      <c r="Z39" s="135"/>
      <c r="AA39" s="135"/>
      <c r="AB39" s="136"/>
      <c r="AC39" s="136" t="n">
        <v>0</v>
      </c>
      <c r="AD39" s="107"/>
      <c r="AE39" s="135" t="n">
        <v>0</v>
      </c>
      <c r="AF39" s="248"/>
      <c r="AG39" s="249"/>
      <c r="AH39" s="135" t="n">
        <v>26.6</v>
      </c>
      <c r="AI39" s="107" t="n">
        <f aca="false">AI38-AH39</f>
        <v>2035.2</v>
      </c>
      <c r="AJ39" s="107"/>
      <c r="AK39" s="134" t="n">
        <f aca="false">N39+O39+P39+Q39+R39+S39+T39+U39+X39+AE39+AH39</f>
        <v>55.6</v>
      </c>
      <c r="AL39" s="135" t="n">
        <f aca="false">IF(L39&lt;0,L39*-1,0)</f>
        <v>0</v>
      </c>
      <c r="AM39" s="135" t="n">
        <f aca="false">AK39+AL39</f>
        <v>55.6</v>
      </c>
      <c r="AN39" s="281" t="n">
        <f aca="false">X39</f>
        <v>25.1</v>
      </c>
      <c r="AO39" s="136" t="n">
        <v>0</v>
      </c>
      <c r="AP39" s="221"/>
      <c r="AV39" s="222" t="n">
        <v>0</v>
      </c>
      <c r="AW39" s="107" t="n">
        <v>46</v>
      </c>
      <c r="AX39" s="221" t="n">
        <v>33</v>
      </c>
      <c r="AY39" s="251"/>
      <c r="AZ39" s="250" t="n">
        <f aca="false">SUM(N39,P39:U39)</f>
        <v>3.9</v>
      </c>
    </row>
    <row r="40" customFormat="false" ht="12.95" hidden="false" customHeight="true" outlineLevel="0" collapsed="false">
      <c r="A40" s="183" t="n">
        <f aca="false">A39+1</f>
        <v>26</v>
      </c>
      <c r="B40" s="106" t="n">
        <v>6871.35</v>
      </c>
      <c r="C40" s="107" t="n">
        <v>191435</v>
      </c>
      <c r="D40" s="215" t="n">
        <f aca="false">C40-C39</f>
        <v>299</v>
      </c>
      <c r="E40" s="107" t="n">
        <f aca="false">C40-152000</f>
        <v>39435</v>
      </c>
      <c r="F40" s="246" t="n">
        <f aca="false">D40/$D$2</f>
        <v>150.743634988656</v>
      </c>
      <c r="G40" s="135" t="n">
        <v>28</v>
      </c>
      <c r="H40" s="247" t="n">
        <v>0</v>
      </c>
      <c r="I40" s="135" t="n">
        <f aca="false">G40+H40</f>
        <v>28</v>
      </c>
      <c r="J40" s="136" t="n">
        <f aca="false">IF(L40&gt;0,L40,0)</f>
        <v>177.673634988656</v>
      </c>
      <c r="K40" s="135" t="n">
        <f aca="false">I40+J40</f>
        <v>205.673634988656</v>
      </c>
      <c r="L40" s="135" t="n">
        <f aca="false">F40-(I40-AK40)</f>
        <v>177.673634988656</v>
      </c>
      <c r="M40" s="248" t="n">
        <v>3.83</v>
      </c>
      <c r="N40" s="135" t="n">
        <v>0</v>
      </c>
      <c r="O40" s="135" t="n">
        <v>0</v>
      </c>
      <c r="P40" s="158" t="n">
        <v>0</v>
      </c>
      <c r="Q40" s="131" t="n">
        <f aca="false">1097900/325851/1.9835*1.02</f>
        <v>1.73265339508516</v>
      </c>
      <c r="R40" s="131" t="n">
        <f aca="false">((2.5)*1.04)-T40</f>
        <v>1.94770992</v>
      </c>
      <c r="S40" s="131" t="n">
        <v>0</v>
      </c>
      <c r="T40" s="131" t="n">
        <f aca="false">(0.5917*1.06)*1.04</f>
        <v>0.65229008</v>
      </c>
      <c r="U40" s="96" t="n">
        <f aca="false">M40-(Q40+R40+S40+T40)</f>
        <v>-0.502653395085163</v>
      </c>
      <c r="V40" s="135" t="n">
        <v>25.3</v>
      </c>
      <c r="W40" s="135" t="n">
        <v>0</v>
      </c>
      <c r="X40" s="135" t="n">
        <f aca="false">M40-N40-P40-O40-Q40-R40-S40-T40-U40+V40+W40</f>
        <v>25.3</v>
      </c>
      <c r="Y40" s="135" t="n">
        <f aca="false">X40-AO40</f>
        <v>25.3</v>
      </c>
      <c r="Z40" s="135"/>
      <c r="AA40" s="135"/>
      <c r="AB40" s="136"/>
      <c r="AC40" s="136" t="n">
        <v>0</v>
      </c>
      <c r="AD40" s="107"/>
      <c r="AE40" s="135" t="n">
        <v>0</v>
      </c>
      <c r="AF40" s="248"/>
      <c r="AG40" s="249"/>
      <c r="AH40" s="135" t="n">
        <v>25.8</v>
      </c>
      <c r="AI40" s="107" t="n">
        <f aca="false">AI39-AH40</f>
        <v>2009.4</v>
      </c>
      <c r="AJ40" s="107"/>
      <c r="AK40" s="134" t="n">
        <f aca="false">N40+O40+P40+Q40+R40+S40+T40+U40+X40+AE40+AH40</f>
        <v>54.93</v>
      </c>
      <c r="AL40" s="135" t="n">
        <f aca="false">IF(L40&lt;0,L40*-1,0)</f>
        <v>0</v>
      </c>
      <c r="AM40" s="135" t="n">
        <f aca="false">AK40+AL40</f>
        <v>54.93</v>
      </c>
      <c r="AN40" s="281" t="n">
        <f aca="false">X40</f>
        <v>25.3</v>
      </c>
      <c r="AO40" s="136" t="n">
        <v>0</v>
      </c>
      <c r="AP40" s="221"/>
      <c r="AV40" s="222" t="n">
        <v>0</v>
      </c>
      <c r="AW40" s="107" t="n">
        <v>37</v>
      </c>
      <c r="AX40" s="215" t="n">
        <v>33</v>
      </c>
      <c r="AY40" s="223"/>
      <c r="AZ40" s="250" t="n">
        <f aca="false">SUM(N40,P40:U40)</f>
        <v>3.83</v>
      </c>
    </row>
    <row r="41" customFormat="false" ht="12.95" hidden="false" customHeight="true" outlineLevel="0" collapsed="false">
      <c r="A41" s="183" t="n">
        <f aca="false">A40+1</f>
        <v>27</v>
      </c>
      <c r="B41" s="106" t="n">
        <v>6871.42</v>
      </c>
      <c r="C41" s="107" t="n">
        <v>191625</v>
      </c>
      <c r="D41" s="215" t="n">
        <f aca="false">C41-C40</f>
        <v>190</v>
      </c>
      <c r="E41" s="107" t="n">
        <f aca="false">C41-152000</f>
        <v>39625</v>
      </c>
      <c r="F41" s="246" t="n">
        <f aca="false">D41/$D$2</f>
        <v>95.7902697252332</v>
      </c>
      <c r="G41" s="135" t="n">
        <v>33</v>
      </c>
      <c r="H41" s="247" t="n">
        <v>0</v>
      </c>
      <c r="I41" s="135" t="n">
        <f aca="false">G41+H41</f>
        <v>33</v>
      </c>
      <c r="J41" s="136" t="n">
        <f aca="false">IF(L41&gt;0,L41,0)</f>
        <v>118.000269725233</v>
      </c>
      <c r="K41" s="135" t="n">
        <f aca="false">I41+J41</f>
        <v>151.000269725233</v>
      </c>
      <c r="L41" s="135" t="n">
        <f aca="false">F41-(I41-AK41)</f>
        <v>118.000269725233</v>
      </c>
      <c r="M41" s="248" t="n">
        <v>3.71</v>
      </c>
      <c r="N41" s="135" t="n">
        <v>0</v>
      </c>
      <c r="O41" s="135" t="n">
        <v>0</v>
      </c>
      <c r="P41" s="158" t="n">
        <v>0</v>
      </c>
      <c r="Q41" s="131" t="n">
        <f aca="false">1225900/325851/1.9835*1.02</f>
        <v>1.93465688772648</v>
      </c>
      <c r="R41" s="131" t="n">
        <f aca="false">((2.6)*1.04)-T41</f>
        <v>2.05170992</v>
      </c>
      <c r="S41" s="131" t="n">
        <v>0</v>
      </c>
      <c r="T41" s="131" t="n">
        <f aca="false">(0.5917*1.06)*1.04</f>
        <v>0.65229008</v>
      </c>
      <c r="U41" s="96" t="n">
        <f aca="false">M41-(Q41+R41+S41+T41)</f>
        <v>-0.92865688772648</v>
      </c>
      <c r="V41" s="135" t="n">
        <v>25.4</v>
      </c>
      <c r="W41" s="135" t="n">
        <v>0</v>
      </c>
      <c r="X41" s="135" t="n">
        <f aca="false">M41-N41-P41-O41-Q41-R41-S41-T41-U41+V41+W41</f>
        <v>25.4</v>
      </c>
      <c r="Y41" s="135" t="n">
        <f aca="false">X41-AO41</f>
        <v>25.4</v>
      </c>
      <c r="Z41" s="135"/>
      <c r="AA41" s="135"/>
      <c r="AB41" s="136"/>
      <c r="AC41" s="136" t="n">
        <v>0</v>
      </c>
      <c r="AD41" s="107"/>
      <c r="AE41" s="135" t="n">
        <v>0</v>
      </c>
      <c r="AF41" s="248"/>
      <c r="AG41" s="249"/>
      <c r="AH41" s="135" t="n">
        <v>26.1</v>
      </c>
      <c r="AI41" s="107" t="n">
        <f aca="false">AI40-AH41</f>
        <v>1983.3</v>
      </c>
      <c r="AJ41" s="107"/>
      <c r="AK41" s="134" t="n">
        <f aca="false">N41+O41+P41+Q41+R41+S41+T41+U41+X41+AE41+AH41</f>
        <v>55.21</v>
      </c>
      <c r="AL41" s="135" t="n">
        <f aca="false">IF(L41&lt;0,L41*-1,0)</f>
        <v>0</v>
      </c>
      <c r="AM41" s="135" t="n">
        <f aca="false">AK41+AL41</f>
        <v>55.21</v>
      </c>
      <c r="AN41" s="281" t="n">
        <f aca="false">X41</f>
        <v>25.4</v>
      </c>
      <c r="AO41" s="136" t="n">
        <v>0</v>
      </c>
      <c r="AP41" s="221"/>
      <c r="AV41" s="222" t="n">
        <v>1.68</v>
      </c>
      <c r="AW41" s="107" t="n">
        <v>43</v>
      </c>
      <c r="AX41" s="215" t="n">
        <v>33</v>
      </c>
      <c r="AY41" s="223"/>
      <c r="AZ41" s="250" t="n">
        <f aca="false">SUM(N41,P41:U41)</f>
        <v>3.71</v>
      </c>
    </row>
    <row r="42" customFormat="false" ht="12.95" hidden="false" customHeight="true" outlineLevel="0" collapsed="false">
      <c r="A42" s="183" t="n">
        <f aca="false">A41+1</f>
        <v>28</v>
      </c>
      <c r="B42" s="106" t="n">
        <v>6871.41</v>
      </c>
      <c r="C42" s="107" t="n">
        <v>191598</v>
      </c>
      <c r="D42" s="215" t="n">
        <f aca="false">C42-C41</f>
        <v>-27</v>
      </c>
      <c r="E42" s="107" t="n">
        <f aca="false">C42-152000</f>
        <v>39598</v>
      </c>
      <c r="F42" s="246" t="n">
        <f aca="false">D42/$D$2</f>
        <v>-13.61230148727</v>
      </c>
      <c r="G42" s="135" t="n">
        <v>37</v>
      </c>
      <c r="H42" s="247" t="n">
        <v>0</v>
      </c>
      <c r="I42" s="135" t="n">
        <f aca="false">G42+H42</f>
        <v>37</v>
      </c>
      <c r="J42" s="136" t="n">
        <f aca="false">IF(L42&gt;0,L42,0)</f>
        <v>42.80769851273</v>
      </c>
      <c r="K42" s="135" t="n">
        <f aca="false">I42+J42</f>
        <v>79.80769851273</v>
      </c>
      <c r="L42" s="135" t="n">
        <f aca="false">F42-(I42-AK42)</f>
        <v>42.80769851273</v>
      </c>
      <c r="M42" s="248" t="n">
        <v>4.52</v>
      </c>
      <c r="N42" s="135" t="n">
        <v>0</v>
      </c>
      <c r="O42" s="135" t="n">
        <v>0</v>
      </c>
      <c r="P42" s="158" t="n">
        <v>0</v>
      </c>
      <c r="Q42" s="131" t="n">
        <f aca="false">1096700/325851/1.9835*1.02</f>
        <v>1.73075961234165</v>
      </c>
      <c r="R42" s="131" t="n">
        <f aca="false">((2.3)*1.04)-T42</f>
        <v>1.73970992</v>
      </c>
      <c r="S42" s="131" t="n">
        <v>0</v>
      </c>
      <c r="T42" s="131" t="n">
        <f aca="false">(0.5917*1.06)*1.04</f>
        <v>0.65229008</v>
      </c>
      <c r="U42" s="96" t="n">
        <f aca="false">M42-(Q42+R42+S42+T42)</f>
        <v>0.397240387658348</v>
      </c>
      <c r="V42" s="135" t="n">
        <v>63.2</v>
      </c>
      <c r="W42" s="135" t="n">
        <v>0</v>
      </c>
      <c r="X42" s="135" t="n">
        <f aca="false">M42-N42-P42-O42-Q42-R42-S42-T42-U42+V42+W42</f>
        <v>63.2</v>
      </c>
      <c r="Y42" s="135" t="n">
        <f aca="false">X42-AO42</f>
        <v>63.2</v>
      </c>
      <c r="Z42" s="135"/>
      <c r="AA42" s="135"/>
      <c r="AB42" s="136"/>
      <c r="AC42" s="136" t="n">
        <v>0</v>
      </c>
      <c r="AD42" s="107"/>
      <c r="AE42" s="135" t="n">
        <v>0</v>
      </c>
      <c r="AF42" s="248"/>
      <c r="AG42" s="249"/>
      <c r="AH42" s="135" t="n">
        <v>25.7</v>
      </c>
      <c r="AI42" s="107" t="n">
        <f aca="false">AI41-AH42</f>
        <v>1957.6</v>
      </c>
      <c r="AJ42" s="107"/>
      <c r="AK42" s="134" t="n">
        <f aca="false">N42+O42+P42+Q42+R42+S42+T42+U42+X42+AE42+AH42</f>
        <v>93.42</v>
      </c>
      <c r="AL42" s="135" t="n">
        <f aca="false">IF(L42&lt;0,L42*-1,0)</f>
        <v>0</v>
      </c>
      <c r="AM42" s="135" t="n">
        <f aca="false">AK42+AL42</f>
        <v>93.42</v>
      </c>
      <c r="AN42" s="281" t="n">
        <f aca="false">X42</f>
        <v>63.2</v>
      </c>
      <c r="AO42" s="136" t="n">
        <v>0</v>
      </c>
      <c r="AP42" s="221"/>
      <c r="AV42" s="222" t="n">
        <v>0.22</v>
      </c>
      <c r="AW42" s="107" t="n">
        <v>41</v>
      </c>
      <c r="AX42" s="215" t="n">
        <v>19</v>
      </c>
      <c r="AY42" s="223"/>
      <c r="AZ42" s="250" t="n">
        <f aca="false">SUM(N42,P42:U42)</f>
        <v>4.52</v>
      </c>
    </row>
    <row r="43" customFormat="false" ht="12.95" hidden="false" customHeight="true" outlineLevel="0" collapsed="false">
      <c r="A43" s="183" t="n">
        <f aca="false">A42+1</f>
        <v>29</v>
      </c>
      <c r="B43" s="106" t="n">
        <v>6871.31</v>
      </c>
      <c r="C43" s="107" t="n">
        <v>191326</v>
      </c>
      <c r="D43" s="215" t="n">
        <f aca="false">C43-C42</f>
        <v>-272</v>
      </c>
      <c r="E43" s="107" t="n">
        <f aca="false">C43-152000</f>
        <v>39326</v>
      </c>
      <c r="F43" s="246" t="n">
        <f aca="false">D43/$D$2</f>
        <v>-137.131333501386</v>
      </c>
      <c r="G43" s="135" t="n">
        <v>30</v>
      </c>
      <c r="H43" s="247" t="n">
        <v>0</v>
      </c>
      <c r="I43" s="135" t="n">
        <f aca="false">G43+H43</f>
        <v>30</v>
      </c>
      <c r="J43" s="136" t="n">
        <f aca="false">IF(L43&gt;0,L43,0)</f>
        <v>8.78866649861357</v>
      </c>
      <c r="K43" s="135" t="n">
        <f aca="false">I43+J43</f>
        <v>38.7886664986136</v>
      </c>
      <c r="L43" s="135" t="n">
        <f aca="false">F43-(I43-AK43)</f>
        <v>8.78866649861357</v>
      </c>
      <c r="M43" s="248" t="n">
        <v>4.42</v>
      </c>
      <c r="N43" s="135" t="n">
        <v>0</v>
      </c>
      <c r="O43" s="135" t="n">
        <v>0</v>
      </c>
      <c r="P43" s="158" t="n">
        <v>0</v>
      </c>
      <c r="Q43" s="131" t="n">
        <f aca="false">966500/325851/1.9835*1.02</f>
        <v>1.52528418467056</v>
      </c>
      <c r="R43" s="131" t="n">
        <f aca="false">((2.7)*1.04)-T43</f>
        <v>2.15570992</v>
      </c>
      <c r="S43" s="131" t="n">
        <v>0</v>
      </c>
      <c r="T43" s="131" t="n">
        <f aca="false">(0.5917*1.06)*1.04</f>
        <v>0.65229008</v>
      </c>
      <c r="U43" s="96" t="n">
        <f aca="false">M43-(Q43+R43+S43+T43)</f>
        <v>0.0867158153294376</v>
      </c>
      <c r="V43" s="135" t="n">
        <v>146</v>
      </c>
      <c r="W43" s="135" t="n">
        <v>0</v>
      </c>
      <c r="X43" s="135" t="n">
        <f aca="false">M43-N43-P43-O43-Q43-R43-S43-T43-U43+V43+W43</f>
        <v>146</v>
      </c>
      <c r="Y43" s="135" t="n">
        <f aca="false">X43-AO43</f>
        <v>146</v>
      </c>
      <c r="Z43" s="135"/>
      <c r="AA43" s="135"/>
      <c r="AB43" s="136"/>
      <c r="AC43" s="136" t="n">
        <v>0</v>
      </c>
      <c r="AD43" s="107"/>
      <c r="AE43" s="135" t="n">
        <v>0</v>
      </c>
      <c r="AF43" s="248"/>
      <c r="AG43" s="249"/>
      <c r="AH43" s="135" t="n">
        <v>25.5</v>
      </c>
      <c r="AI43" s="107" t="n">
        <f aca="false">AI42-AH43</f>
        <v>1932.1</v>
      </c>
      <c r="AJ43" s="107"/>
      <c r="AK43" s="134" t="n">
        <f aca="false">N43+O43+P43+Q43+R43+S43+T43+U43+X43+AE43+AH43</f>
        <v>175.92</v>
      </c>
      <c r="AL43" s="135" t="n">
        <f aca="false">IF(L43&lt;0,L43*-1,0)</f>
        <v>0</v>
      </c>
      <c r="AM43" s="135" t="n">
        <f aca="false">AK43+AL43</f>
        <v>175.92</v>
      </c>
      <c r="AN43" s="281" t="n">
        <f aca="false">X43</f>
        <v>146</v>
      </c>
      <c r="AO43" s="136" t="n">
        <v>0</v>
      </c>
      <c r="AP43" s="221"/>
      <c r="AV43" s="222" t="n">
        <v>0</v>
      </c>
      <c r="AW43" s="107" t="n">
        <v>40</v>
      </c>
      <c r="AX43" s="215" t="n">
        <v>17</v>
      </c>
      <c r="AY43" s="223"/>
      <c r="AZ43" s="250" t="n">
        <f aca="false">SUM(N43,P43:U43)</f>
        <v>4.42</v>
      </c>
    </row>
    <row r="44" customFormat="false" ht="12.95" hidden="false" customHeight="true" outlineLevel="0" collapsed="false">
      <c r="A44" s="183" t="n">
        <v>30</v>
      </c>
      <c r="B44" s="106" t="n">
        <v>6871.22</v>
      </c>
      <c r="C44" s="107" t="n">
        <v>191082</v>
      </c>
      <c r="D44" s="215" t="n">
        <f aca="false">C44-C43</f>
        <v>-244</v>
      </c>
      <c r="E44" s="107" t="n">
        <f aca="false">C44-152000</f>
        <v>39082</v>
      </c>
      <c r="F44" s="246" t="n">
        <f aca="false">D44/$D$2</f>
        <v>-123.014872699773</v>
      </c>
      <c r="G44" s="135" t="n">
        <v>25</v>
      </c>
      <c r="H44" s="247" t="n">
        <v>0</v>
      </c>
      <c r="I44" s="135" t="n">
        <f aca="false">G44+H44</f>
        <v>25</v>
      </c>
      <c r="J44" s="136" t="n">
        <f aca="false">IF(L44&gt;0,L44,0)</f>
        <v>25.2351273002269</v>
      </c>
      <c r="K44" s="135" t="n">
        <f aca="false">I44+J44</f>
        <v>50.2351273002269</v>
      </c>
      <c r="L44" s="135" t="n">
        <f aca="false">F44-(I44-AK44)</f>
        <v>25.2351273002269</v>
      </c>
      <c r="M44" s="248" t="n">
        <v>3.75</v>
      </c>
      <c r="N44" s="135" t="n">
        <v>0</v>
      </c>
      <c r="O44" s="135" t="n">
        <v>0</v>
      </c>
      <c r="P44" s="158" t="n">
        <v>0</v>
      </c>
      <c r="Q44" s="131" t="n">
        <f aca="false">1004000/325851/1.9835*1.02</f>
        <v>1.58446489540532</v>
      </c>
      <c r="R44" s="131" t="n">
        <f aca="false">((2.7)*1.04)-T44</f>
        <v>2.15570992</v>
      </c>
      <c r="S44" s="131" t="n">
        <v>0</v>
      </c>
      <c r="T44" s="131" t="n">
        <f aca="false">(0.5917*1.06)*1.04</f>
        <v>0.65229008</v>
      </c>
      <c r="U44" s="96" t="n">
        <f aca="false">M44-(Q44+R44+S44+T44)</f>
        <v>-0.642464895405324</v>
      </c>
      <c r="V44" s="135" t="n">
        <v>144</v>
      </c>
      <c r="W44" s="135" t="n">
        <v>0</v>
      </c>
      <c r="X44" s="135" t="n">
        <f aca="false">M44-N44-P44-O44-Q44-R44-S44-T44-U44+V44+W44</f>
        <v>144</v>
      </c>
      <c r="Y44" s="135" t="n">
        <f aca="false">X44-AO44</f>
        <v>144</v>
      </c>
      <c r="Z44" s="135"/>
      <c r="AA44" s="135"/>
      <c r="AB44" s="136"/>
      <c r="AC44" s="136" t="n">
        <v>0</v>
      </c>
      <c r="AD44" s="107"/>
      <c r="AE44" s="135" t="n">
        <v>0</v>
      </c>
      <c r="AF44" s="248"/>
      <c r="AG44" s="249"/>
      <c r="AH44" s="135" t="n">
        <v>25.5</v>
      </c>
      <c r="AI44" s="107" t="n">
        <f aca="false">AI43-AH44</f>
        <v>1906.6</v>
      </c>
      <c r="AJ44" s="107"/>
      <c r="AK44" s="134" t="n">
        <f aca="false">N44+O44+P44+Q44+R44+S44+T44+U44+X44+AE44+AH44</f>
        <v>173.25</v>
      </c>
      <c r="AL44" s="135" t="n">
        <f aca="false">IF(L44&lt;0,L44*-1,0)</f>
        <v>0</v>
      </c>
      <c r="AM44" s="135" t="n">
        <f aca="false">AK44+AL44</f>
        <v>173.25</v>
      </c>
      <c r="AN44" s="281" t="n">
        <f aca="false">X44</f>
        <v>144</v>
      </c>
      <c r="AO44" s="136" t="n">
        <v>0</v>
      </c>
      <c r="AP44" s="221"/>
      <c r="AV44" s="222" t="n">
        <v>0</v>
      </c>
      <c r="AW44" s="107" t="n">
        <v>41</v>
      </c>
      <c r="AX44" s="215" t="n">
        <v>18</v>
      </c>
      <c r="AY44" s="223"/>
      <c r="AZ44" s="250" t="n">
        <f aca="false">SUM(N44,P44:U44)</f>
        <v>3.75</v>
      </c>
    </row>
    <row r="45" customFormat="false" ht="12.95" hidden="false" customHeight="true" outlineLevel="0" collapsed="false">
      <c r="A45" s="183" t="n">
        <v>31</v>
      </c>
      <c r="B45" s="106" t="n">
        <v>6871.13</v>
      </c>
      <c r="C45" s="107" t="n">
        <v>190837</v>
      </c>
      <c r="D45" s="215" t="n">
        <f aca="false">C45-C44</f>
        <v>-245</v>
      </c>
      <c r="E45" s="107" t="n">
        <f aca="false">C45-152000</f>
        <v>38837</v>
      </c>
      <c r="F45" s="246" t="n">
        <f aca="false">D45/$D$2</f>
        <v>-123.519032014116</v>
      </c>
      <c r="G45" s="135" t="n">
        <v>27</v>
      </c>
      <c r="H45" s="247" t="n">
        <v>0</v>
      </c>
      <c r="I45" s="135" t="n">
        <f aca="false">G45+H45</f>
        <v>27</v>
      </c>
      <c r="J45" s="136" t="n">
        <f aca="false">IF(L45&gt;0,L45,0)</f>
        <v>21.3109679858835</v>
      </c>
      <c r="K45" s="135" t="n">
        <f aca="false">I45+J45</f>
        <v>48.3109679858836</v>
      </c>
      <c r="L45" s="135" t="n">
        <f aca="false">F45-(I45-AK45)</f>
        <v>21.3109679858835</v>
      </c>
      <c r="M45" s="248" t="n">
        <v>3.33</v>
      </c>
      <c r="N45" s="135" t="n">
        <v>0</v>
      </c>
      <c r="O45" s="135" t="n">
        <v>0</v>
      </c>
      <c r="P45" s="158" t="n">
        <v>0</v>
      </c>
      <c r="Q45" s="131" t="n">
        <f aca="false">901500/325851/1.9835*1.02</f>
        <v>1.42270428606364</v>
      </c>
      <c r="R45" s="131" t="n">
        <f aca="false">((2)*1.04)-T45</f>
        <v>1.42770992</v>
      </c>
      <c r="S45" s="131" t="n">
        <v>0</v>
      </c>
      <c r="T45" s="131" t="n">
        <f aca="false">(0.5917*1.06)*1.04</f>
        <v>0.65229008</v>
      </c>
      <c r="U45" s="96" t="n">
        <f aca="false">M45-(Q45+R45+S45+T45)</f>
        <v>-0.172704286063644</v>
      </c>
      <c r="V45" s="135" t="n">
        <v>143</v>
      </c>
      <c r="W45" s="135" t="n">
        <v>0</v>
      </c>
      <c r="X45" s="135" t="n">
        <f aca="false">M45-N45-P45-O45-Q45-R45-S45-T45-U45+V45+W45</f>
        <v>143</v>
      </c>
      <c r="Y45" s="135" t="n">
        <f aca="false">X45-AO45</f>
        <v>143</v>
      </c>
      <c r="Z45" s="135"/>
      <c r="AA45" s="135"/>
      <c r="AB45" s="136"/>
      <c r="AC45" s="136" t="n">
        <v>0</v>
      </c>
      <c r="AD45" s="107"/>
      <c r="AE45" s="135" t="n">
        <v>0</v>
      </c>
      <c r="AF45" s="248"/>
      <c r="AG45" s="249"/>
      <c r="AH45" s="135" t="n">
        <v>25.5</v>
      </c>
      <c r="AI45" s="107" t="n">
        <f aca="false">AI44-AH45</f>
        <v>1881.1</v>
      </c>
      <c r="AJ45" s="107"/>
      <c r="AK45" s="134" t="n">
        <f aca="false">N45+O45+P45+Q45+R45+S45+T45+U45+X45+AE45+AH45</f>
        <v>171.83</v>
      </c>
      <c r="AL45" s="135" t="n">
        <f aca="false">IF(L45&lt;0,L45*-1,0)</f>
        <v>0</v>
      </c>
      <c r="AM45" s="246" t="n">
        <f aca="false">AK45+AL45</f>
        <v>171.83</v>
      </c>
      <c r="AN45" s="136" t="n">
        <f aca="false">X45</f>
        <v>143</v>
      </c>
      <c r="AO45" s="136" t="n">
        <v>0</v>
      </c>
      <c r="AP45" s="221"/>
      <c r="AV45" s="222" t="n">
        <v>0</v>
      </c>
      <c r="AW45" s="107" t="n">
        <v>40</v>
      </c>
      <c r="AX45" s="215" t="n">
        <v>18</v>
      </c>
      <c r="AY45" s="223"/>
      <c r="AZ45" s="250" t="n">
        <f aca="false">SUM(N45,P45:U45)</f>
        <v>3.33</v>
      </c>
    </row>
    <row r="46" customFormat="false" ht="3" hidden="false" customHeight="true" outlineLevel="0" collapsed="false">
      <c r="A46" s="231"/>
      <c r="B46" s="252"/>
      <c r="C46" s="233"/>
      <c r="D46" s="234"/>
      <c r="E46" s="233"/>
      <c r="F46" s="235"/>
      <c r="G46" s="234"/>
      <c r="H46" s="236"/>
      <c r="I46" s="234"/>
      <c r="J46" s="234"/>
      <c r="K46" s="234"/>
      <c r="L46" s="234"/>
      <c r="M46" s="234"/>
      <c r="N46" s="234"/>
      <c r="O46" s="234"/>
      <c r="P46" s="238"/>
      <c r="Q46" s="234"/>
      <c r="R46" s="234"/>
      <c r="S46" s="234"/>
      <c r="T46" s="234"/>
      <c r="U46" s="239"/>
      <c r="V46" s="234"/>
      <c r="W46" s="234"/>
      <c r="X46" s="234" t="n">
        <f aca="false">M46-N46-O46-Q46-R46-S46+V46+W46</f>
        <v>0</v>
      </c>
      <c r="Y46" s="234" t="n">
        <f aca="false">N46-O46-P46-R46-S46-U46+W46+X46</f>
        <v>0</v>
      </c>
      <c r="Z46" s="234"/>
      <c r="AA46" s="234"/>
      <c r="AB46" s="240"/>
      <c r="AC46" s="240"/>
      <c r="AD46" s="233"/>
      <c r="AE46" s="234"/>
      <c r="AF46" s="237"/>
      <c r="AG46" s="241"/>
      <c r="AH46" s="253"/>
      <c r="AI46" s="234"/>
      <c r="AJ46" s="234"/>
      <c r="AK46" s="234" t="n">
        <f aca="false">N46+O46+Q46+R46+S46+X46+AE46+AH46</f>
        <v>0</v>
      </c>
      <c r="AL46" s="234"/>
      <c r="AM46" s="235"/>
      <c r="AN46" s="243"/>
      <c r="AO46" s="240"/>
      <c r="AP46" s="243"/>
      <c r="AQ46" s="244"/>
      <c r="AR46" s="244"/>
      <c r="AS46" s="244"/>
      <c r="AT46" s="244"/>
      <c r="AU46" s="243"/>
      <c r="AV46" s="245"/>
      <c r="AW46" s="243"/>
      <c r="AX46" s="243" t="s">
        <v>114</v>
      </c>
      <c r="AY46" s="254"/>
      <c r="AZ46" s="255" t="s">
        <v>114</v>
      </c>
    </row>
    <row r="47" customFormat="false" ht="12.95" hidden="false" customHeight="true" outlineLevel="0" collapsed="false">
      <c r="A47" s="185" t="s">
        <v>101</v>
      </c>
      <c r="B47" s="213"/>
      <c r="C47" s="107"/>
      <c r="D47" s="107"/>
      <c r="E47" s="107"/>
      <c r="F47" s="214" t="n">
        <f aca="false">SUM(F15:F45)</f>
        <v>-780.942777917822</v>
      </c>
      <c r="G47" s="107" t="n">
        <f aca="false">SUM(G15:G45)</f>
        <v>713</v>
      </c>
      <c r="H47" s="107" t="n">
        <f aca="false">SUM(H15:H45)</f>
        <v>0.2</v>
      </c>
      <c r="I47" s="107" t="n">
        <f aca="false">SUM(I15:I45)</f>
        <v>713.2</v>
      </c>
      <c r="J47" s="107" t="n">
        <f aca="false">SUM(J15:J45)</f>
        <v>597.170332745148</v>
      </c>
      <c r="K47" s="107" t="n">
        <f aca="false">SUM(K15:K45)</f>
        <v>1310.37033274515</v>
      </c>
      <c r="L47" s="107" t="n">
        <f aca="false">SUM(L15:L45)</f>
        <v>526.767222082178</v>
      </c>
      <c r="M47" s="216" t="n">
        <f aca="false">SUM(M15:M45)</f>
        <v>124.71</v>
      </c>
      <c r="N47" s="107" t="n">
        <f aca="false">SUM(N15:N45)</f>
        <v>0</v>
      </c>
      <c r="O47" s="107" t="n">
        <f aca="false">SUM(O15:O45)</f>
        <v>0</v>
      </c>
      <c r="P47" s="158"/>
      <c r="Q47" s="107" t="n">
        <f aca="false">SUM(Q15:Q45)</f>
        <v>48.7658525368145</v>
      </c>
      <c r="R47" s="107" t="n">
        <f aca="false">SUM(R15:R45)</f>
        <v>62.58874336</v>
      </c>
      <c r="S47" s="107" t="n">
        <f aca="false">SUM(S15:S45)</f>
        <v>0</v>
      </c>
      <c r="T47" s="107" t="n">
        <f aca="false">SUM(T15:T45)</f>
        <v>18.73925664</v>
      </c>
      <c r="U47" s="282" t="n">
        <f aca="false">SUM(U15:U45)</f>
        <v>-5.38385253681447</v>
      </c>
      <c r="V47" s="107" t="n">
        <f aca="false">SUM(V15:V45)</f>
        <v>1052.6</v>
      </c>
      <c r="W47" s="107" t="n">
        <f aca="false">SUM(W15:W45)</f>
        <v>0</v>
      </c>
      <c r="X47" s="107" t="n">
        <f aca="false">SUM(X15:X45)</f>
        <v>1052.6</v>
      </c>
      <c r="Y47" s="107" t="n">
        <f aca="false">SUM(Y15:Y45)</f>
        <v>1052.6</v>
      </c>
      <c r="Z47" s="107"/>
      <c r="AA47" s="107"/>
      <c r="AB47" s="136"/>
      <c r="AC47" s="107" t="n">
        <f aca="false">SUM(AC15:AC45)</f>
        <v>0</v>
      </c>
      <c r="AD47" s="107"/>
      <c r="AE47" s="107"/>
      <c r="AF47" s="216"/>
      <c r="AG47" s="218"/>
      <c r="AH47" s="107" t="n">
        <f aca="false">SUM(AH15:AH45)</f>
        <v>843.6</v>
      </c>
      <c r="AI47" s="107"/>
      <c r="AJ47" s="80" t="n">
        <f aca="false">SUM(AJ15:AJ45)</f>
        <v>0</v>
      </c>
      <c r="AK47" s="107" t="n">
        <f aca="false">SUM(AK15:AK45)</f>
        <v>2020.91</v>
      </c>
      <c r="AL47" s="107" t="n">
        <f aca="false">SUM(AL15:AL45)</f>
        <v>70.4031106629695</v>
      </c>
      <c r="AM47" s="214" t="n">
        <f aca="false">SUM(AM15:AM45)</f>
        <v>2091.31311066297</v>
      </c>
      <c r="AN47" s="136" t="n">
        <f aca="false">SUM(AN15:AN45)</f>
        <v>1052.6</v>
      </c>
      <c r="AO47" s="136" t="n">
        <f aca="false">SUM(AO15:AO45)</f>
        <v>0</v>
      </c>
      <c r="AP47" s="221"/>
      <c r="AV47" s="222" t="n">
        <f aca="false">SUM(AV15:AV45)</f>
        <v>2.12</v>
      </c>
      <c r="AW47" s="215" t="n">
        <f aca="false">AVERAGE(AW15:AW45)</f>
        <v>39.1935483870968</v>
      </c>
      <c r="AX47" s="215" t="n">
        <f aca="false">AVERAGE(AX15:AX45)</f>
        <v>8.70967741935484</v>
      </c>
      <c r="AY47" s="223" t="s">
        <v>102</v>
      </c>
      <c r="AZ47" s="256" t="n">
        <f aca="false">SUM(AZ15:AZ45)</f>
        <v>124.71</v>
      </c>
    </row>
    <row r="48" customFormat="false" ht="12.95" hidden="false" customHeight="true" outlineLevel="0" collapsed="false">
      <c r="A48" s="185" t="s">
        <v>103</v>
      </c>
      <c r="B48" s="213"/>
      <c r="C48" s="107"/>
      <c r="D48" s="107" t="n">
        <f aca="false">SUM(D15:D45)</f>
        <v>-1549</v>
      </c>
      <c r="E48" s="107"/>
      <c r="F48" s="214" t="n">
        <f aca="false">F47*$D$2</f>
        <v>-1549</v>
      </c>
      <c r="G48" s="107" t="n">
        <f aca="false">G47*$D$2</f>
        <v>1414.2355</v>
      </c>
      <c r="H48" s="107" t="n">
        <f aca="false">H47*$D$2</f>
        <v>0.3967</v>
      </c>
      <c r="I48" s="107" t="n">
        <f aca="false">I47*$D$2</f>
        <v>1414.6322</v>
      </c>
      <c r="J48" s="107" t="n">
        <f aca="false">J47*$D$2</f>
        <v>1184.487355</v>
      </c>
      <c r="K48" s="107" t="n">
        <f aca="false">K47*$D$2</f>
        <v>2599.119555</v>
      </c>
      <c r="L48" s="107" t="n">
        <f aca="false">L47*$D$2</f>
        <v>1044.842785</v>
      </c>
      <c r="M48" s="216" t="n">
        <f aca="false">M47*$D$2</f>
        <v>247.362285</v>
      </c>
      <c r="N48" s="107" t="n">
        <f aca="false">N47*$D$2</f>
        <v>0</v>
      </c>
      <c r="O48" s="107" t="n">
        <f aca="false">O47*$D$2</f>
        <v>0</v>
      </c>
      <c r="P48" s="158"/>
      <c r="Q48" s="107" t="n">
        <f aca="false">Q47*$D$2</f>
        <v>96.7270685067715</v>
      </c>
      <c r="R48" s="107" t="n">
        <f aca="false">R47*$D$2</f>
        <v>124.14477245456</v>
      </c>
      <c r="S48" s="107" t="n">
        <f aca="false">S47*$D$2</f>
        <v>0</v>
      </c>
      <c r="T48" s="107" t="n">
        <f aca="false">T47*$D$2</f>
        <v>37.16931554544</v>
      </c>
      <c r="U48" s="282" t="n">
        <f aca="false">U47*$D$2</f>
        <v>-10.6788715067715</v>
      </c>
      <c r="V48" s="107" t="n">
        <f aca="false">V47*$D$2</f>
        <v>2087.8321</v>
      </c>
      <c r="W48" s="107" t="n">
        <f aca="false">W47*$D$2</f>
        <v>0</v>
      </c>
      <c r="X48" s="107" t="n">
        <f aca="false">X47*$D$2</f>
        <v>2087.8321</v>
      </c>
      <c r="Y48" s="107" t="n">
        <f aca="false">Y47*$D$2</f>
        <v>2087.8321</v>
      </c>
      <c r="Z48" s="107"/>
      <c r="AA48" s="107"/>
      <c r="AB48" s="136"/>
      <c r="AC48" s="107" t="n">
        <f aca="false">AC47*$D$2</f>
        <v>0</v>
      </c>
      <c r="AD48" s="107"/>
      <c r="AE48" s="107"/>
      <c r="AF48" s="216"/>
      <c r="AG48" s="218"/>
      <c r="AH48" s="107" t="n">
        <f aca="false">AH47*$D$2</f>
        <v>1673.2806</v>
      </c>
      <c r="AI48" s="107"/>
      <c r="AJ48" s="80" t="n">
        <f aca="false">AJ47*$D$2</f>
        <v>0</v>
      </c>
      <c r="AK48" s="107" t="n">
        <f aca="false">AK47*$D$2</f>
        <v>4008.474985</v>
      </c>
      <c r="AL48" s="107" t="n">
        <f aca="false">AL47*$D$2</f>
        <v>139.64457</v>
      </c>
      <c r="AM48" s="214" t="n">
        <f aca="false">AM47*$D$2</f>
        <v>4148.119555</v>
      </c>
      <c r="AN48" s="136" t="n">
        <f aca="false">AN47*$D$2</f>
        <v>2087.8321</v>
      </c>
      <c r="AO48" s="136" t="n">
        <f aca="false">AO47*$D$2</f>
        <v>0</v>
      </c>
      <c r="AP48" s="221"/>
      <c r="AV48" s="222"/>
      <c r="AW48" s="215" t="n">
        <f aca="false">MAX(AW15:AW45)</f>
        <v>58</v>
      </c>
      <c r="AX48" s="215" t="n">
        <f aca="false">MAX(AX15:AX45)</f>
        <v>33</v>
      </c>
      <c r="AY48" s="223" t="s">
        <v>104</v>
      </c>
      <c r="AZ48" s="256" t="n">
        <f aca="false">AZ47*$D$2</f>
        <v>247.362285</v>
      </c>
    </row>
    <row r="49" customFormat="false" ht="3" hidden="false" customHeight="true" outlineLevel="0" collapsed="false">
      <c r="A49" s="231"/>
      <c r="B49" s="252"/>
      <c r="C49" s="233"/>
      <c r="D49" s="233"/>
      <c r="E49" s="233"/>
      <c r="F49" s="257"/>
      <c r="G49" s="233"/>
      <c r="H49" s="233"/>
      <c r="I49" s="233"/>
      <c r="J49" s="233"/>
      <c r="K49" s="233"/>
      <c r="L49" s="233"/>
      <c r="M49" s="258"/>
      <c r="N49" s="233"/>
      <c r="O49" s="233"/>
      <c r="P49" s="238"/>
      <c r="Q49" s="233"/>
      <c r="R49" s="233"/>
      <c r="S49" s="233"/>
      <c r="T49" s="233"/>
      <c r="U49" s="283"/>
      <c r="V49" s="233"/>
      <c r="W49" s="233"/>
      <c r="X49" s="233"/>
      <c r="Y49" s="233"/>
      <c r="Z49" s="233"/>
      <c r="AA49" s="233"/>
      <c r="AB49" s="240"/>
      <c r="AC49" s="233"/>
      <c r="AD49" s="233"/>
      <c r="AE49" s="233"/>
      <c r="AF49" s="258"/>
      <c r="AG49" s="259"/>
      <c r="AH49" s="233"/>
      <c r="AI49" s="234"/>
      <c r="AJ49" s="119"/>
      <c r="AK49" s="233"/>
      <c r="AL49" s="233"/>
      <c r="AM49" s="257"/>
      <c r="AN49" s="240"/>
      <c r="AO49" s="240"/>
      <c r="AP49" s="233"/>
      <c r="AQ49" s="260"/>
      <c r="AR49" s="260"/>
      <c r="AS49" s="244"/>
      <c r="AT49" s="244"/>
      <c r="AU49" s="243"/>
      <c r="AV49" s="261"/>
      <c r="AW49" s="233"/>
      <c r="AX49" s="233"/>
      <c r="AY49" s="257"/>
      <c r="AZ49" s="262"/>
    </row>
    <row r="50" customFormat="false" ht="12.95" hidden="false" customHeight="true" outlineLevel="0" collapsed="false">
      <c r="A50" s="185" t="s">
        <v>105</v>
      </c>
      <c r="B50" s="213"/>
      <c r="C50" s="107"/>
      <c r="D50" s="107"/>
      <c r="E50" s="107"/>
      <c r="F50" s="214"/>
      <c r="G50" s="107"/>
      <c r="H50" s="107"/>
      <c r="I50" s="107"/>
      <c r="J50" s="107"/>
      <c r="K50" s="107"/>
      <c r="L50" s="107"/>
      <c r="M50" s="216"/>
      <c r="N50" s="107"/>
      <c r="O50" s="107"/>
      <c r="P50" s="158"/>
      <c r="Q50" s="107"/>
      <c r="R50" s="107"/>
      <c r="S50" s="107"/>
      <c r="T50" s="107"/>
      <c r="U50" s="282"/>
      <c r="V50" s="107"/>
      <c r="W50" s="107"/>
      <c r="X50" s="107"/>
      <c r="Y50" s="107"/>
      <c r="Z50" s="107"/>
      <c r="AA50" s="107"/>
      <c r="AB50" s="136"/>
      <c r="AC50" s="107"/>
      <c r="AD50" s="107"/>
      <c r="AE50" s="107"/>
      <c r="AF50" s="216"/>
      <c r="AG50" s="218"/>
      <c r="AH50" s="107"/>
      <c r="AI50" s="107"/>
      <c r="AJ50" s="80"/>
      <c r="AK50" s="107"/>
      <c r="AL50" s="107"/>
      <c r="AM50" s="214"/>
      <c r="AN50" s="136"/>
      <c r="AO50" s="136"/>
      <c r="AP50" s="221"/>
      <c r="AV50" s="222"/>
      <c r="AW50" s="215" t="n">
        <f aca="false">MIN(AW15:AW45)</f>
        <v>21</v>
      </c>
      <c r="AX50" s="215" t="n">
        <f aca="false">MIN(AX15:AX45)</f>
        <v>-11</v>
      </c>
      <c r="AY50" s="223" t="s">
        <v>106</v>
      </c>
      <c r="AZ50" s="256"/>
    </row>
    <row r="51" customFormat="false" ht="12.95" hidden="false" customHeight="true" outlineLevel="0" collapsed="false">
      <c r="A51" s="185" t="s">
        <v>107</v>
      </c>
      <c r="B51" s="213"/>
      <c r="C51" s="107"/>
      <c r="D51" s="107"/>
      <c r="E51" s="107"/>
      <c r="F51" s="214"/>
      <c r="G51" s="107"/>
      <c r="H51" s="107"/>
      <c r="I51" s="107"/>
      <c r="J51" s="107"/>
      <c r="K51" s="107"/>
      <c r="L51" s="107"/>
      <c r="M51" s="216"/>
      <c r="N51" s="107"/>
      <c r="O51" s="107"/>
      <c r="P51" s="158"/>
      <c r="Q51" s="107"/>
      <c r="R51" s="107"/>
      <c r="S51" s="107"/>
      <c r="T51" s="107"/>
      <c r="U51" s="282"/>
      <c r="V51" s="107"/>
      <c r="W51" s="107"/>
      <c r="X51" s="107"/>
      <c r="Y51" s="107"/>
      <c r="Z51" s="107"/>
      <c r="AA51" s="107"/>
      <c r="AB51" s="136"/>
      <c r="AC51" s="107"/>
      <c r="AD51" s="107"/>
      <c r="AE51" s="107"/>
      <c r="AF51" s="216"/>
      <c r="AG51" s="218"/>
      <c r="AH51" s="107"/>
      <c r="AI51" s="107"/>
      <c r="AJ51" s="80"/>
      <c r="AK51" s="107"/>
      <c r="AL51" s="107"/>
      <c r="AM51" s="214"/>
      <c r="AN51" s="136"/>
      <c r="AO51" s="136"/>
      <c r="AP51" s="221"/>
      <c r="AV51" s="222"/>
      <c r="AW51" s="215"/>
      <c r="AX51" s="215"/>
      <c r="AY51" s="223"/>
      <c r="AZ51" s="256"/>
    </row>
    <row r="52" customFormat="false" ht="3" hidden="false" customHeight="true" outlineLevel="0" collapsed="false">
      <c r="A52" s="231"/>
      <c r="B52" s="252"/>
      <c r="C52" s="233"/>
      <c r="D52" s="233"/>
      <c r="E52" s="233"/>
      <c r="F52" s="257"/>
      <c r="G52" s="233"/>
      <c r="H52" s="243"/>
      <c r="I52" s="233"/>
      <c r="J52" s="233"/>
      <c r="K52" s="233"/>
      <c r="L52" s="233"/>
      <c r="M52" s="258"/>
      <c r="N52" s="233"/>
      <c r="O52" s="233"/>
      <c r="P52" s="238"/>
      <c r="Q52" s="233"/>
      <c r="R52" s="233"/>
      <c r="S52" s="233"/>
      <c r="T52" s="233"/>
      <c r="U52" s="283"/>
      <c r="V52" s="233"/>
      <c r="W52" s="233"/>
      <c r="X52" s="233"/>
      <c r="Y52" s="233"/>
      <c r="Z52" s="233"/>
      <c r="AA52" s="233"/>
      <c r="AB52" s="240"/>
      <c r="AC52" s="233"/>
      <c r="AD52" s="233"/>
      <c r="AE52" s="233"/>
      <c r="AF52" s="258"/>
      <c r="AG52" s="259"/>
      <c r="AH52" s="233"/>
      <c r="AI52" s="233"/>
      <c r="AJ52" s="119"/>
      <c r="AK52" s="233"/>
      <c r="AL52" s="233"/>
      <c r="AM52" s="257"/>
      <c r="AN52" s="240"/>
      <c r="AO52" s="240"/>
      <c r="AP52" s="263"/>
      <c r="AQ52" s="264"/>
      <c r="AR52" s="264"/>
      <c r="AS52" s="244"/>
      <c r="AT52" s="244"/>
      <c r="AU52" s="243"/>
      <c r="AV52" s="245"/>
      <c r="AW52" s="263"/>
      <c r="AX52" s="263"/>
      <c r="AY52" s="265"/>
      <c r="AZ52" s="262"/>
    </row>
    <row r="53" customFormat="false" ht="12.95" hidden="false" customHeight="true" outlineLevel="0" collapsed="false">
      <c r="A53" s="185" t="s">
        <v>108</v>
      </c>
      <c r="B53" s="213"/>
      <c r="C53" s="107"/>
      <c r="D53" s="107"/>
      <c r="E53" s="107"/>
      <c r="F53" s="214" t="n">
        <f aca="false">F13+F47</f>
        <v>-2176.95991933451</v>
      </c>
      <c r="G53" s="107" t="n">
        <f aca="false">G13+G47</f>
        <v>2490</v>
      </c>
      <c r="H53" s="215" t="n">
        <f aca="false">H13+H47</f>
        <v>0.82</v>
      </c>
      <c r="I53" s="107" t="n">
        <f aca="false">I13+I47</f>
        <v>2490.2</v>
      </c>
      <c r="J53" s="107" t="n">
        <f aca="false">J13+J47</f>
        <v>976.216967481724</v>
      </c>
      <c r="K53" s="107" t="n">
        <f aca="false">K13+K47</f>
        <v>3466.41696748172</v>
      </c>
      <c r="L53" s="107" t="n">
        <f aca="false">L13+L47</f>
        <v>425.34558066549</v>
      </c>
      <c r="M53" s="216" t="n">
        <f aca="false">M13+M47</f>
        <v>547.35</v>
      </c>
      <c r="N53" s="107" t="n">
        <f aca="false">N13+N47</f>
        <v>0</v>
      </c>
      <c r="O53" s="107" t="n">
        <v>0</v>
      </c>
      <c r="P53" s="158"/>
      <c r="Q53" s="107" t="n">
        <f aca="false">Q13+Q47</f>
        <v>141.359435557496</v>
      </c>
      <c r="R53" s="107" t="n">
        <f aca="false">R13+R47</f>
        <v>163.63047792</v>
      </c>
      <c r="S53" s="107" t="n">
        <f aca="false">S13+S47</f>
        <v>0</v>
      </c>
      <c r="T53" s="107" t="n">
        <f aca="false">T13+T47</f>
        <v>54.04152208</v>
      </c>
      <c r="U53" s="282" t="n">
        <f aca="false">U13+U47</f>
        <v>8.65612401388486</v>
      </c>
      <c r="V53" s="107" t="n">
        <f aca="false">V13+V47</f>
        <v>2085.92</v>
      </c>
      <c r="W53" s="107" t="n">
        <f aca="false">W13+W47</f>
        <v>84.4</v>
      </c>
      <c r="X53" s="107" t="n">
        <f aca="false">X13+X47</f>
        <v>2349.98244042862</v>
      </c>
      <c r="Y53" s="107" t="n">
        <f aca="false">Y13+Y47</f>
        <v>2026.02</v>
      </c>
      <c r="Z53" s="107"/>
      <c r="AA53" s="107"/>
      <c r="AB53" s="136"/>
      <c r="AC53" s="135" t="n">
        <f aca="false">AC13+AC47</f>
        <v>27.7</v>
      </c>
      <c r="AD53" s="107"/>
      <c r="AE53" s="107"/>
      <c r="AF53" s="216"/>
      <c r="AG53" s="218"/>
      <c r="AH53" s="107" t="n">
        <f aca="false">AH13+AH47</f>
        <v>2365.9</v>
      </c>
      <c r="AI53" s="107" t="n">
        <f aca="false">AI45</f>
        <v>1881.1</v>
      </c>
      <c r="AJ53" s="80" t="n">
        <f aca="false">AJ14+AJ47</f>
        <v>0</v>
      </c>
      <c r="AK53" s="107" t="n">
        <f aca="false">AK13+AK47</f>
        <v>5092.5055</v>
      </c>
      <c r="AL53" s="107" t="n">
        <f aca="false">AL13+AL47</f>
        <v>550.871386816234</v>
      </c>
      <c r="AM53" s="214" t="n">
        <f aca="false">AM13+AM47</f>
        <v>5643.37688681623</v>
      </c>
      <c r="AN53" s="136" t="n">
        <f aca="false">AN13+AN47</f>
        <v>2026.02</v>
      </c>
      <c r="AO53" s="136" t="n">
        <f aca="false">AO13+AO47</f>
        <v>323.962440428619</v>
      </c>
      <c r="AP53" s="221"/>
      <c r="AV53" s="222" t="n">
        <f aca="false">AV13+AV47</f>
        <v>3.793</v>
      </c>
      <c r="AW53" s="215"/>
      <c r="AX53" s="215"/>
      <c r="AY53" s="223"/>
      <c r="AZ53" s="256" t="n">
        <f aca="false">AZ13+AZ47</f>
        <v>367.687559571381</v>
      </c>
    </row>
    <row r="54" customFormat="false" ht="12.95" hidden="false" customHeight="true" outlineLevel="0" collapsed="false">
      <c r="A54" s="185" t="s">
        <v>109</v>
      </c>
      <c r="B54" s="213"/>
      <c r="C54" s="107"/>
      <c r="D54" s="107" t="n">
        <f aca="false">D13+D48</f>
        <v>-4318</v>
      </c>
      <c r="E54" s="107" t="n">
        <f aca="false">E45</f>
        <v>38837</v>
      </c>
      <c r="F54" s="214" t="n">
        <f aca="false">F53*$D$2</f>
        <v>-4318</v>
      </c>
      <c r="G54" s="107" t="n">
        <f aca="false">G53*$D$2</f>
        <v>4938.915</v>
      </c>
      <c r="H54" s="215" t="n">
        <f aca="false">H53*$D$2</f>
        <v>1.62647</v>
      </c>
      <c r="I54" s="107" t="n">
        <f aca="false">I53*$D$2</f>
        <v>4939.3117</v>
      </c>
      <c r="J54" s="107" t="n">
        <f aca="false">J53*$D$2</f>
        <v>1936.326355</v>
      </c>
      <c r="K54" s="107" t="n">
        <f aca="false">K53*$D$2</f>
        <v>6875.638055</v>
      </c>
      <c r="L54" s="107" t="n">
        <f aca="false">L53*$D$2</f>
        <v>843.67295925</v>
      </c>
      <c r="M54" s="216" t="n">
        <f aca="false">M53*$D$2</f>
        <v>1085.668725</v>
      </c>
      <c r="N54" s="107" t="n">
        <f aca="false">N53*$D$2</f>
        <v>0</v>
      </c>
      <c r="O54" s="107" t="n">
        <f aca="false">O53*$D$2</f>
        <v>0</v>
      </c>
      <c r="P54" s="158"/>
      <c r="Q54" s="107" t="n">
        <f aca="false">Q53*$D$2</f>
        <v>280.386440428294</v>
      </c>
      <c r="R54" s="107" t="n">
        <f aca="false">R53*$D$2</f>
        <v>324.56105295432</v>
      </c>
      <c r="S54" s="226" t="n">
        <f aca="false">S53*$D$2</f>
        <v>0</v>
      </c>
      <c r="T54" s="226" t="n">
        <f aca="false">T53*$D$2</f>
        <v>107.19135904568</v>
      </c>
      <c r="U54" s="284" t="n">
        <f aca="false">U53*$D$2</f>
        <v>17.1694219815406</v>
      </c>
      <c r="V54" s="107" t="n">
        <f aca="false">V53*$D$2</f>
        <v>4137.42232</v>
      </c>
      <c r="W54" s="107" t="n">
        <f aca="false">W53*$D$2</f>
        <v>167.4074</v>
      </c>
      <c r="X54" s="107" t="n">
        <f aca="false">X53*$D$2</f>
        <v>4661.19017059017</v>
      </c>
      <c r="Y54" s="107" t="n">
        <f aca="false">Y53*$D$2</f>
        <v>4018.61067</v>
      </c>
      <c r="Z54" s="107"/>
      <c r="AA54" s="107"/>
      <c r="AB54" s="136"/>
      <c r="AC54" s="107" t="n">
        <f aca="false">AC53*$D$2</f>
        <v>54.94295</v>
      </c>
      <c r="AD54" s="107"/>
      <c r="AE54" s="107"/>
      <c r="AF54" s="266"/>
      <c r="AG54" s="267"/>
      <c r="AH54" s="107" t="n">
        <f aca="false">AH53*$D$2</f>
        <v>4692.76265</v>
      </c>
      <c r="AI54" s="107" t="n">
        <f aca="false">AI53*$D$2</f>
        <v>3731.16185</v>
      </c>
      <c r="AJ54" s="80" t="n">
        <f aca="false">AJ53*$D$2</f>
        <v>0</v>
      </c>
      <c r="AK54" s="107" t="n">
        <f aca="false">AK53*$D$2</f>
        <v>10100.98465925</v>
      </c>
      <c r="AL54" s="107" t="n">
        <f aca="false">AL53*$D$2</f>
        <v>1092.65339575</v>
      </c>
      <c r="AM54" s="268" t="n">
        <f aca="false">AM53*$D$2</f>
        <v>11193.638055</v>
      </c>
      <c r="AN54" s="136" t="n">
        <f aca="false">AN53*$D$2</f>
        <v>4018.61067</v>
      </c>
      <c r="AO54" s="136" t="n">
        <f aca="false">AO53*$D$2</f>
        <v>642.579500590166</v>
      </c>
      <c r="AP54" s="221"/>
      <c r="AV54" s="222"/>
      <c r="AW54" s="215"/>
      <c r="AX54" s="215"/>
      <c r="AY54" s="223"/>
      <c r="AZ54" s="229" t="n">
        <f aca="false">AZ53*$D$2</f>
        <v>729.308274409835</v>
      </c>
    </row>
    <row r="55" customFormat="false" ht="3" hidden="false" customHeight="true" outlineLevel="0" collapsed="false">
      <c r="A55" s="231"/>
      <c r="B55" s="252"/>
      <c r="C55" s="233"/>
      <c r="D55" s="234"/>
      <c r="E55" s="233"/>
      <c r="F55" s="235"/>
      <c r="G55" s="234"/>
      <c r="H55" s="236"/>
      <c r="I55" s="234"/>
      <c r="J55" s="234"/>
      <c r="K55" s="234"/>
      <c r="L55" s="234"/>
      <c r="M55" s="237"/>
      <c r="N55" s="234"/>
      <c r="O55" s="234"/>
      <c r="P55" s="238"/>
      <c r="Q55" s="234"/>
      <c r="R55" s="234"/>
      <c r="S55" s="234"/>
      <c r="T55" s="234"/>
      <c r="U55" s="239"/>
      <c r="V55" s="234"/>
      <c r="W55" s="234"/>
      <c r="X55" s="234"/>
      <c r="Y55" s="234"/>
      <c r="Z55" s="234"/>
      <c r="AA55" s="234"/>
      <c r="AB55" s="240"/>
      <c r="AC55" s="240"/>
      <c r="AD55" s="233"/>
      <c r="AE55" s="234"/>
      <c r="AF55" s="237"/>
      <c r="AG55" s="241"/>
      <c r="AH55" s="234"/>
      <c r="AI55" s="233"/>
      <c r="AJ55" s="233"/>
      <c r="AK55" s="234"/>
      <c r="AL55" s="234"/>
      <c r="AM55" s="234"/>
      <c r="AN55" s="252"/>
      <c r="AO55" s="240"/>
      <c r="AP55" s="234"/>
      <c r="AQ55" s="269"/>
      <c r="AR55" s="269"/>
      <c r="AS55" s="244"/>
      <c r="AT55" s="244"/>
      <c r="AU55" s="243"/>
      <c r="AV55" s="252"/>
      <c r="AW55" s="234"/>
      <c r="AX55" s="234"/>
      <c r="AY55" s="234"/>
      <c r="AZ55" s="270"/>
    </row>
    <row r="56" customFormat="false" ht="11.1" hidden="false" customHeight="true" outlineLevel="0" collapsed="false">
      <c r="A56" s="185"/>
      <c r="B56" s="271"/>
      <c r="D56" s="185"/>
      <c r="F56" s="185"/>
      <c r="G56" s="185"/>
      <c r="I56" s="185"/>
      <c r="J56" s="185"/>
      <c r="K56" s="185"/>
      <c r="L56" s="185"/>
      <c r="M56" s="185"/>
      <c r="N56" s="185"/>
      <c r="O56" s="185"/>
      <c r="Q56" s="185"/>
      <c r="R56" s="185"/>
      <c r="S56" s="185"/>
      <c r="T56" s="185"/>
      <c r="V56" s="185"/>
      <c r="W56" s="185"/>
      <c r="X56" s="185"/>
      <c r="Y56" s="185"/>
      <c r="Z56" s="185"/>
      <c r="AA56" s="185"/>
      <c r="AD56" s="177"/>
      <c r="AE56" s="185"/>
      <c r="AF56" s="185"/>
      <c r="AG56" s="185"/>
      <c r="AH56" s="185"/>
      <c r="AI56" s="177"/>
      <c r="AJ56" s="225"/>
      <c r="AK56" s="185"/>
      <c r="AL56" s="185"/>
      <c r="AM56" s="185"/>
      <c r="AN56" s="183"/>
      <c r="AO56" s="194"/>
      <c r="AX56" s="182"/>
      <c r="AY56" s="182"/>
    </row>
    <row r="57" customFormat="false" ht="11.1" hidden="false" customHeight="true" outlineLevel="0" collapsed="false">
      <c r="A57" s="185"/>
      <c r="B57" s="272"/>
      <c r="F57" s="185"/>
      <c r="G57" s="185"/>
      <c r="I57" s="186"/>
      <c r="J57" s="185"/>
      <c r="K57" s="174"/>
      <c r="L57" s="185"/>
      <c r="M57" s="185"/>
      <c r="N57" s="185"/>
      <c r="O57" s="185"/>
      <c r="Q57" s="185"/>
      <c r="R57" s="185"/>
      <c r="S57" s="185"/>
      <c r="T57" s="185"/>
      <c r="V57" s="185"/>
      <c r="W57" s="185"/>
      <c r="X57" s="185"/>
      <c r="Y57" s="185"/>
      <c r="Z57" s="185"/>
      <c r="AA57" s="185"/>
      <c r="AD57" s="177"/>
      <c r="AE57" s="185"/>
      <c r="AF57" s="185"/>
      <c r="AG57" s="185"/>
      <c r="AH57" s="185"/>
      <c r="AI57" s="177"/>
      <c r="AJ57" s="225"/>
      <c r="AK57" s="185"/>
      <c r="AL57" s="185"/>
      <c r="AM57" s="185"/>
      <c r="AN57" s="183"/>
      <c r="AO57" s="194"/>
      <c r="AX57" s="182"/>
      <c r="AY57" s="182"/>
    </row>
    <row r="58" customFormat="false" ht="11.1" hidden="false" customHeight="true" outlineLevel="0" collapsed="false">
      <c r="D58" s="177"/>
      <c r="Q58" s="179"/>
      <c r="R58" s="179"/>
      <c r="S58" s="179"/>
      <c r="T58" s="179"/>
      <c r="X58" s="176"/>
      <c r="Y58" s="176"/>
      <c r="Z58" s="176"/>
      <c r="AA58" s="176"/>
      <c r="AD58" s="177"/>
      <c r="AH58" s="176"/>
      <c r="AI58" s="177"/>
      <c r="AJ58" s="225"/>
      <c r="AM58" s="176"/>
      <c r="AN58" s="183"/>
      <c r="AO58" s="194"/>
      <c r="AX58" s="182"/>
      <c r="AY58" s="182"/>
    </row>
    <row r="59" customFormat="false" ht="11.1" hidden="false" customHeight="true" outlineLevel="0" collapsed="false">
      <c r="B59" s="8"/>
      <c r="D59" s="177"/>
    </row>
    <row r="60" customFormat="false" ht="11.1" hidden="false" customHeight="true" outlineLevel="0" collapsed="false">
      <c r="G60" s="273"/>
    </row>
  </sheetData>
  <mergeCells count="1">
    <mergeCell ref="M5:U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5" activeCellId="0" sqref="A15"/>
    </sheetView>
  </sheetViews>
  <sheetFormatPr defaultColWidth="9.328125" defaultRowHeight="11.1" zeroHeight="false" outlineLevelRow="0" outlineLevelCol="0"/>
  <cols>
    <col collapsed="false" customWidth="true" hidden="false" outlineLevel="0" max="1" min="1" style="176" width="4.66"/>
    <col collapsed="false" customWidth="true" hidden="false" outlineLevel="0" max="2" min="2" style="176" width="6.99"/>
    <col collapsed="false" customWidth="true" hidden="false" outlineLevel="0" max="3" min="3" style="177" width="6.32"/>
    <col collapsed="false" customWidth="true" hidden="false" outlineLevel="0" max="4" min="4" style="176" width="6.32"/>
    <col collapsed="false" customWidth="true" hidden="false" outlineLevel="0" max="5" min="5" style="177" width="6.99"/>
    <col collapsed="false" customWidth="true" hidden="false" outlineLevel="0" max="6" min="6" style="176" width="7.32"/>
    <col collapsed="false" customWidth="true" hidden="false" outlineLevel="0" max="7" min="7" style="176" width="6.82"/>
    <col collapsed="false" customWidth="true" hidden="false" outlineLevel="0" max="8" min="8" style="285" width="5.66"/>
    <col collapsed="false" customWidth="true" hidden="false" outlineLevel="0" max="11" min="9" style="176" width="6.32"/>
    <col collapsed="false" customWidth="true" hidden="false" outlineLevel="0" max="12" min="12" style="176" width="6.82"/>
    <col collapsed="false" customWidth="true" hidden="false" outlineLevel="0" max="13" min="13" style="179" width="5.49"/>
    <col collapsed="false" customWidth="true" hidden="false" outlineLevel="0" max="14" min="14" style="179" width="4.49"/>
    <col collapsed="false" customWidth="true" hidden="false" outlineLevel="0" max="15" min="15" style="179" width="5.49"/>
    <col collapsed="false" customWidth="true" hidden="false" outlineLevel="0" max="16" min="16" style="8" width="4.82"/>
    <col collapsed="false" customWidth="true" hidden="false" outlineLevel="0" max="18" min="17" style="179" width="4.32"/>
    <col collapsed="false" customWidth="true" hidden="false" outlineLevel="0" max="20" min="19" style="8" width="4.32"/>
    <col collapsed="false" customWidth="true" hidden="false" outlineLevel="0" max="21" min="21" style="8" width="5.16"/>
    <col collapsed="false" customWidth="true" hidden="false" outlineLevel="0" max="23" min="22" style="176" width="5.49"/>
    <col collapsed="false" customWidth="true" hidden="false" outlineLevel="0" max="27" min="24" style="177" width="6.32"/>
    <col collapsed="false" customWidth="true" hidden="false" outlineLevel="0" max="28" min="28" style="176" width="5.49"/>
    <col collapsed="false" customWidth="true" hidden="false" outlineLevel="0" max="29" min="29" style="179" width="5.82"/>
    <col collapsed="false" customWidth="true" hidden="false" outlineLevel="0" max="33" min="30" style="176" width="5.49"/>
    <col collapsed="false" customWidth="true" hidden="false" outlineLevel="0" max="34" min="34" style="177" width="6.32"/>
    <col collapsed="false" customWidth="true" hidden="false" outlineLevel="0" max="35" min="35" style="176" width="5.49"/>
    <col collapsed="false" customWidth="true" hidden="false" outlineLevel="0" max="36" min="36" style="180" width="6.32"/>
    <col collapsed="false" customWidth="true" hidden="false" outlineLevel="0" max="37" min="37" style="176" width="6.32"/>
    <col collapsed="false" customWidth="true" hidden="false" outlineLevel="0" max="38" min="38" style="176" width="6.82"/>
    <col collapsed="false" customWidth="true" hidden="false" outlineLevel="0" max="39" min="39" style="8" width="6.82"/>
    <col collapsed="false" customWidth="true" hidden="false" outlineLevel="0" max="40" min="40" style="182" width="5.49"/>
    <col collapsed="false" customWidth="true" hidden="false" outlineLevel="0" max="41" min="41" style="182" width="5.32"/>
    <col collapsed="false" customWidth="true" hidden="false" outlineLevel="0" max="42" min="42" style="176" width="6.32"/>
    <col collapsed="false" customWidth="true" hidden="false" outlineLevel="0" max="43" min="43" style="286" width="6.32"/>
    <col collapsed="false" customWidth="true" hidden="false" outlineLevel="0" max="44" min="44" style="286" width="5.49"/>
    <col collapsed="false" customWidth="true" hidden="false" outlineLevel="0" max="45" min="45" style="210" width="5.32"/>
    <col collapsed="false" customWidth="true" hidden="false" outlineLevel="0" max="46" min="46" style="180" width="5.82"/>
    <col collapsed="false" customWidth="true" hidden="false" outlineLevel="0" max="47" min="47" style="176" width="4.99"/>
    <col collapsed="false" customWidth="true" hidden="false" outlineLevel="0" max="48" min="48" style="178" width="5.32"/>
    <col collapsed="false" customWidth="true" hidden="false" outlineLevel="0" max="49" min="49" style="182" width="3.82"/>
    <col collapsed="false" customWidth="true" hidden="false" outlineLevel="0" max="50" min="50" style="183" width="3.82"/>
    <col collapsed="false" customWidth="true" hidden="false" outlineLevel="0" max="51" min="51" style="184" width="3.82"/>
    <col collapsed="false" customWidth="true" hidden="false" outlineLevel="0" max="52" min="52" style="287" width="5.49"/>
    <col collapsed="false" customWidth="false" hidden="false" outlineLevel="0" max="257" min="53" style="184" width="9.32"/>
  </cols>
  <sheetData>
    <row r="1" customFormat="false" ht="14.1" hidden="false" customHeight="true" outlineLevel="0" collapsed="false">
      <c r="A1" s="185" t="s">
        <v>114</v>
      </c>
      <c r="B1" s="185"/>
      <c r="D1" s="185"/>
      <c r="F1" s="185"/>
      <c r="G1" s="185"/>
      <c r="I1" s="185"/>
      <c r="J1" s="185"/>
      <c r="K1" s="187" t="s">
        <v>0</v>
      </c>
      <c r="L1" s="185"/>
      <c r="M1" s="185"/>
      <c r="N1" s="185"/>
      <c r="O1" s="185"/>
      <c r="Q1" s="185"/>
      <c r="R1" s="185"/>
      <c r="V1" s="185"/>
      <c r="W1" s="185"/>
      <c r="AB1" s="185"/>
      <c r="AD1" s="185"/>
      <c r="AE1" s="185"/>
      <c r="AF1" s="185"/>
      <c r="AG1" s="185"/>
      <c r="AI1" s="185"/>
      <c r="AJ1" s="188"/>
      <c r="AK1" s="185"/>
      <c r="AL1" s="185"/>
      <c r="AN1" s="288"/>
      <c r="AO1" s="288"/>
      <c r="AP1" s="188"/>
      <c r="AZ1" s="289"/>
    </row>
    <row r="2" customFormat="false" ht="14.1" hidden="false" customHeight="true" outlineLevel="0" collapsed="false">
      <c r="A2" s="188" t="s">
        <v>1</v>
      </c>
      <c r="B2" s="185"/>
      <c r="D2" s="189" t="n">
        <v>1.9835</v>
      </c>
      <c r="F2" s="185"/>
      <c r="G2" s="185"/>
      <c r="I2" s="185"/>
      <c r="J2" s="185"/>
      <c r="K2" s="190" t="s">
        <v>116</v>
      </c>
      <c r="L2" s="191"/>
      <c r="M2" s="192"/>
      <c r="N2" s="192"/>
      <c r="O2" s="192"/>
      <c r="P2" s="193"/>
      <c r="Q2" s="192"/>
      <c r="R2" s="192"/>
      <c r="S2" s="193"/>
      <c r="T2" s="193"/>
      <c r="U2" s="193"/>
      <c r="V2" s="192"/>
      <c r="W2" s="192"/>
      <c r="X2" s="84"/>
      <c r="Y2" s="84"/>
      <c r="Z2" s="84"/>
      <c r="AA2" s="84"/>
      <c r="AB2" s="192"/>
      <c r="AC2" s="194"/>
      <c r="AD2" s="192"/>
      <c r="AE2" s="185"/>
      <c r="AF2" s="185"/>
      <c r="AG2" s="185"/>
      <c r="AI2" s="185"/>
      <c r="AJ2" s="188"/>
      <c r="AK2" s="185"/>
      <c r="AL2" s="185"/>
      <c r="AN2" s="288"/>
      <c r="AO2" s="288"/>
      <c r="AP2" s="188"/>
    </row>
    <row r="3" customFormat="false" ht="14.1" hidden="false" customHeight="true" outlineLevel="0" collapsed="false">
      <c r="A3" s="195"/>
      <c r="B3" s="195"/>
      <c r="C3" s="196"/>
      <c r="D3" s="197"/>
      <c r="E3" s="196"/>
      <c r="F3" s="195"/>
      <c r="G3" s="195"/>
      <c r="H3" s="290"/>
      <c r="I3" s="195"/>
      <c r="J3" s="195"/>
      <c r="K3" s="195"/>
      <c r="L3" s="195"/>
      <c r="M3" s="195"/>
      <c r="N3" s="195"/>
      <c r="O3" s="195"/>
      <c r="P3" s="199"/>
      <c r="Q3" s="195"/>
      <c r="R3" s="195"/>
      <c r="S3" s="199"/>
      <c r="T3" s="199"/>
      <c r="U3" s="199"/>
      <c r="V3" s="195"/>
      <c r="W3" s="195"/>
      <c r="X3" s="196"/>
      <c r="Y3" s="196"/>
      <c r="Z3" s="196"/>
      <c r="AA3" s="196"/>
      <c r="AB3" s="195"/>
      <c r="AC3" s="200"/>
      <c r="AD3" s="195"/>
      <c r="AE3" s="195"/>
      <c r="AF3" s="195"/>
      <c r="AG3" s="195"/>
      <c r="AH3" s="196"/>
      <c r="AI3" s="195"/>
      <c r="AJ3" s="201"/>
      <c r="AK3" s="195"/>
      <c r="AL3" s="195"/>
      <c r="AM3" s="199"/>
      <c r="AN3" s="291"/>
      <c r="AO3" s="291"/>
      <c r="AP3" s="201"/>
      <c r="AQ3" s="292"/>
      <c r="AV3" s="204"/>
      <c r="AW3" s="205"/>
      <c r="AX3" s="206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6" t="s">
        <v>111</v>
      </c>
      <c r="J4" s="35"/>
      <c r="K4" s="35"/>
      <c r="L4" s="37"/>
      <c r="M4" s="35"/>
      <c r="N4" s="35"/>
      <c r="O4" s="35"/>
      <c r="P4" s="38"/>
      <c r="Q4" s="35"/>
      <c r="R4" s="35"/>
      <c r="S4" s="35"/>
      <c r="T4" s="35"/>
      <c r="U4" s="38"/>
      <c r="V4" s="35"/>
      <c r="W4" s="35"/>
      <c r="X4" s="39" t="s">
        <v>117</v>
      </c>
      <c r="Y4" s="39"/>
      <c r="Z4" s="39"/>
      <c r="AA4" s="39"/>
      <c r="AB4" s="40"/>
      <c r="AC4" s="41"/>
      <c r="AD4" s="41"/>
      <c r="AE4" s="35"/>
      <c r="AF4" s="35"/>
      <c r="AG4" s="35"/>
      <c r="AH4" s="33"/>
      <c r="AI4" s="35"/>
      <c r="AJ4" s="42"/>
      <c r="AK4" s="35"/>
      <c r="AL4" s="35"/>
      <c r="AM4" s="38"/>
      <c r="AN4" s="43"/>
      <c r="AO4" s="44"/>
      <c r="AP4" s="45" t="s">
        <v>6</v>
      </c>
      <c r="AQ4" s="46"/>
      <c r="AR4" s="47"/>
      <c r="AS4" s="48"/>
      <c r="AT4" s="49"/>
      <c r="AU4" s="49"/>
      <c r="AV4" s="51"/>
      <c r="AW4" s="52" t="s">
        <v>7</v>
      </c>
      <c r="AX4" s="53"/>
      <c r="AY4" s="293"/>
      <c r="AZ4" s="54"/>
    </row>
    <row r="5" customFormat="false" ht="12.95" hidden="false" customHeight="true" outlineLevel="0" collapsed="false">
      <c r="A5" s="55" t="s">
        <v>8</v>
      </c>
      <c r="B5" s="56" t="s">
        <v>9</v>
      </c>
      <c r="C5" s="57" t="s">
        <v>9</v>
      </c>
      <c r="D5" s="58" t="s">
        <v>10</v>
      </c>
      <c r="E5" s="57" t="s">
        <v>11</v>
      </c>
      <c r="F5" s="59" t="s">
        <v>12</v>
      </c>
      <c r="G5" s="55" t="s">
        <v>13</v>
      </c>
      <c r="H5" s="55" t="s">
        <v>14</v>
      </c>
      <c r="I5" s="55" t="s">
        <v>15</v>
      </c>
      <c r="J5" s="55" t="s">
        <v>16</v>
      </c>
      <c r="K5" s="55" t="s">
        <v>17</v>
      </c>
      <c r="L5" s="77" t="s">
        <v>16</v>
      </c>
      <c r="M5" s="209" t="s">
        <v>18</v>
      </c>
      <c r="N5" s="209"/>
      <c r="O5" s="209"/>
      <c r="P5" s="209"/>
      <c r="Q5" s="209"/>
      <c r="R5" s="209"/>
      <c r="S5" s="209"/>
      <c r="T5" s="209"/>
      <c r="U5" s="209"/>
      <c r="V5" s="55" t="s">
        <v>19</v>
      </c>
      <c r="W5" s="5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62" t="s">
        <v>22</v>
      </c>
      <c r="AD5" s="62" t="s">
        <v>21</v>
      </c>
      <c r="AE5" s="55" t="s">
        <v>23</v>
      </c>
      <c r="AF5" s="63" t="s">
        <v>24</v>
      </c>
      <c r="AG5" s="64"/>
      <c r="AH5" s="55" t="s">
        <v>25</v>
      </c>
      <c r="AI5" s="65" t="s">
        <v>26</v>
      </c>
      <c r="AJ5" s="65" t="s">
        <v>27</v>
      </c>
      <c r="AK5" s="55" t="s">
        <v>15</v>
      </c>
      <c r="AL5" s="55" t="s">
        <v>16</v>
      </c>
      <c r="AM5" s="58" t="s">
        <v>17</v>
      </c>
      <c r="AN5" s="66" t="s">
        <v>28</v>
      </c>
      <c r="AO5" s="62" t="s">
        <v>21</v>
      </c>
      <c r="AP5" s="61" t="s">
        <v>29</v>
      </c>
      <c r="AQ5" s="67" t="s">
        <v>29</v>
      </c>
      <c r="AR5" s="62" t="s">
        <v>30</v>
      </c>
      <c r="AS5" s="68" t="s">
        <v>31</v>
      </c>
      <c r="AT5" s="68" t="s">
        <v>32</v>
      </c>
      <c r="AU5" s="210" t="s">
        <v>33</v>
      </c>
      <c r="AV5" s="70" t="s">
        <v>34</v>
      </c>
      <c r="AW5" s="71" t="s">
        <v>35</v>
      </c>
      <c r="AX5" s="71" t="s">
        <v>36</v>
      </c>
      <c r="AY5" s="294"/>
      <c r="AZ5" s="295" t="s">
        <v>17</v>
      </c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2.95" hidden="false" customHeight="true" outlineLevel="0" collapsed="false">
      <c r="A6" s="73" t="s">
        <v>118</v>
      </c>
      <c r="B6" s="56" t="s">
        <v>38</v>
      </c>
      <c r="C6" s="57"/>
      <c r="D6" s="58" t="s">
        <v>39</v>
      </c>
      <c r="E6" s="57" t="s">
        <v>40</v>
      </c>
      <c r="F6" s="59" t="s">
        <v>41</v>
      </c>
      <c r="G6" s="55" t="s">
        <v>42</v>
      </c>
      <c r="H6" s="55" t="s">
        <v>43</v>
      </c>
      <c r="I6" s="55" t="s">
        <v>44</v>
      </c>
      <c r="J6" s="55" t="s">
        <v>44</v>
      </c>
      <c r="K6" s="55" t="s">
        <v>44</v>
      </c>
      <c r="L6" s="77" t="s">
        <v>45</v>
      </c>
      <c r="M6" s="58" t="s">
        <v>46</v>
      </c>
      <c r="N6" s="58" t="s">
        <v>47</v>
      </c>
      <c r="O6" s="58" t="s">
        <v>48</v>
      </c>
      <c r="P6" s="75" t="s">
        <v>49</v>
      </c>
      <c r="Q6" s="58" t="s">
        <v>50</v>
      </c>
      <c r="R6" s="58" t="s">
        <v>51</v>
      </c>
      <c r="S6" s="58"/>
      <c r="T6" s="58" t="s">
        <v>48</v>
      </c>
      <c r="U6" s="76" t="s">
        <v>52</v>
      </c>
      <c r="V6" s="55" t="s">
        <v>53</v>
      </c>
      <c r="W6" s="5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62" t="s">
        <v>57</v>
      </c>
      <c r="AD6" s="62" t="s">
        <v>58</v>
      </c>
      <c r="AE6" s="55" t="s">
        <v>59</v>
      </c>
      <c r="AF6" s="74" t="s">
        <v>60</v>
      </c>
      <c r="AG6" s="77" t="s">
        <v>61</v>
      </c>
      <c r="AH6" s="55" t="s">
        <v>62</v>
      </c>
      <c r="AI6" s="65" t="s">
        <v>63</v>
      </c>
      <c r="AJ6" s="65"/>
      <c r="AK6" s="55" t="s">
        <v>64</v>
      </c>
      <c r="AL6" s="55" t="s">
        <v>64</v>
      </c>
      <c r="AM6" s="58" t="s">
        <v>64</v>
      </c>
      <c r="AN6" s="66" t="s">
        <v>65</v>
      </c>
      <c r="AO6" s="62" t="s">
        <v>66</v>
      </c>
      <c r="AP6" s="61" t="s">
        <v>67</v>
      </c>
      <c r="AQ6" s="67" t="s">
        <v>67</v>
      </c>
      <c r="AR6" s="62" t="s">
        <v>68</v>
      </c>
      <c r="AS6" s="68" t="s">
        <v>69</v>
      </c>
      <c r="AT6" s="68" t="s">
        <v>70</v>
      </c>
      <c r="AU6" s="210" t="s">
        <v>71</v>
      </c>
      <c r="AV6" s="78"/>
      <c r="AW6" s="71" t="s">
        <v>72</v>
      </c>
      <c r="AX6" s="71" t="s">
        <v>72</v>
      </c>
      <c r="AY6" s="294"/>
      <c r="AZ6" s="295" t="s">
        <v>73</v>
      </c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2.95" hidden="false" customHeight="true" outlineLevel="0" collapsed="false">
      <c r="A7" s="55"/>
      <c r="B7" s="56"/>
      <c r="C7" s="57"/>
      <c r="D7" s="58"/>
      <c r="E7" s="57"/>
      <c r="F7" s="59"/>
      <c r="G7" s="55"/>
      <c r="H7" s="55"/>
      <c r="I7" s="55"/>
      <c r="J7" s="55"/>
      <c r="K7" s="55"/>
      <c r="L7" s="77"/>
      <c r="M7" s="58"/>
      <c r="N7" s="58" t="s">
        <v>74</v>
      </c>
      <c r="O7" s="58" t="s">
        <v>75</v>
      </c>
      <c r="P7" s="75"/>
      <c r="Q7" s="58" t="s">
        <v>76</v>
      </c>
      <c r="R7" s="58" t="s">
        <v>76</v>
      </c>
      <c r="S7" s="58" t="s">
        <v>61</v>
      </c>
      <c r="T7" s="58" t="s">
        <v>61</v>
      </c>
      <c r="U7" s="76" t="s">
        <v>77</v>
      </c>
      <c r="V7" s="55"/>
      <c r="W7" s="5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62"/>
      <c r="AD7" s="62"/>
      <c r="AE7" s="77"/>
      <c r="AF7" s="79" t="n">
        <v>1.7</v>
      </c>
      <c r="AG7" s="79" t="n">
        <v>1.3</v>
      </c>
      <c r="AH7" s="74"/>
      <c r="AI7" s="80" t="n">
        <v>31798</v>
      </c>
      <c r="AJ7" s="65"/>
      <c r="AK7" s="55"/>
      <c r="AL7" s="55"/>
      <c r="AM7" s="58"/>
      <c r="AN7" s="66"/>
      <c r="AO7" s="62"/>
      <c r="AP7" s="61" t="s">
        <v>83</v>
      </c>
      <c r="AQ7" s="67" t="s">
        <v>84</v>
      </c>
      <c r="AR7" s="62" t="s">
        <v>85</v>
      </c>
      <c r="AS7" s="68" t="s">
        <v>86</v>
      </c>
      <c r="AT7" s="68" t="s">
        <v>87</v>
      </c>
      <c r="AU7" s="210" t="s">
        <v>88</v>
      </c>
      <c r="AV7" s="78"/>
      <c r="AW7" s="71"/>
      <c r="AX7" s="71"/>
      <c r="AY7" s="294"/>
      <c r="AZ7" s="295" t="s">
        <v>89</v>
      </c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2.95" hidden="false" customHeight="true" outlineLevel="0" collapsed="false">
      <c r="A8" s="55"/>
      <c r="B8" s="56"/>
      <c r="C8" s="57"/>
      <c r="D8" s="58"/>
      <c r="E8" s="57"/>
      <c r="F8" s="59"/>
      <c r="G8" s="55"/>
      <c r="H8" s="55"/>
      <c r="I8" s="55"/>
      <c r="J8" s="55"/>
      <c r="K8" s="55"/>
      <c r="L8" s="77"/>
      <c r="M8" s="58"/>
      <c r="N8" s="58"/>
      <c r="O8" s="58"/>
      <c r="P8" s="75"/>
      <c r="Q8" s="58" t="s">
        <v>61</v>
      </c>
      <c r="R8" s="58" t="s">
        <v>61</v>
      </c>
      <c r="S8" s="58"/>
      <c r="T8" s="58"/>
      <c r="U8" s="76"/>
      <c r="V8" s="55"/>
      <c r="W8" s="5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62"/>
      <c r="AD8" s="62"/>
      <c r="AE8" s="77"/>
      <c r="AF8" s="79"/>
      <c r="AG8" s="79"/>
      <c r="AH8" s="74"/>
      <c r="AI8" s="80"/>
      <c r="AJ8" s="65"/>
      <c r="AK8" s="55"/>
      <c r="AL8" s="55"/>
      <c r="AM8" s="58"/>
      <c r="AN8" s="66"/>
      <c r="AO8" s="62"/>
      <c r="AP8" s="61"/>
      <c r="AQ8" s="67"/>
      <c r="AR8" s="62"/>
      <c r="AS8" s="68"/>
      <c r="AT8" s="68"/>
      <c r="AU8" s="210"/>
      <c r="AV8" s="78"/>
      <c r="AW8" s="71"/>
      <c r="AX8" s="71"/>
      <c r="AY8" s="294"/>
      <c r="AZ8" s="295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2.95" hidden="false" customHeight="true" outlineLevel="0" collapsed="false">
      <c r="A9" s="55"/>
      <c r="B9" s="56"/>
      <c r="C9" s="57"/>
      <c r="D9" s="58"/>
      <c r="E9" s="57"/>
      <c r="F9" s="59"/>
      <c r="G9" s="55"/>
      <c r="H9" s="55"/>
      <c r="I9" s="55"/>
      <c r="J9" s="55"/>
      <c r="K9" s="55"/>
      <c r="L9" s="77"/>
      <c r="M9" s="58"/>
      <c r="N9" s="58"/>
      <c r="O9" s="58"/>
      <c r="P9" s="75"/>
      <c r="Q9" s="58"/>
      <c r="R9" s="81" t="n">
        <v>4.2</v>
      </c>
      <c r="S9" s="58"/>
      <c r="T9" s="58"/>
      <c r="U9" s="76"/>
      <c r="V9" s="55"/>
      <c r="W9" s="55"/>
      <c r="X9" s="65"/>
      <c r="Y9" s="57" t="s">
        <v>90</v>
      </c>
      <c r="Z9" s="61"/>
      <c r="AA9" s="57" t="s">
        <v>90</v>
      </c>
      <c r="AB9" s="61" t="s">
        <v>93</v>
      </c>
      <c r="AC9" s="62"/>
      <c r="AD9" s="62"/>
      <c r="AE9" s="77"/>
      <c r="AF9" s="79"/>
      <c r="AG9" s="79"/>
      <c r="AH9" s="74"/>
      <c r="AI9" s="80"/>
      <c r="AJ9" s="65"/>
      <c r="AK9" s="55"/>
      <c r="AL9" s="55"/>
      <c r="AM9" s="58"/>
      <c r="AN9" s="66"/>
      <c r="AO9" s="62"/>
      <c r="AP9" s="61"/>
      <c r="AQ9" s="67"/>
      <c r="AR9" s="62"/>
      <c r="AS9" s="68"/>
      <c r="AT9" s="68"/>
      <c r="AU9" s="210"/>
      <c r="AV9" s="78"/>
      <c r="AW9" s="71"/>
      <c r="AX9" s="71"/>
      <c r="AY9" s="294"/>
      <c r="AZ9" s="295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2.95" hidden="false" customHeight="true" outlineLevel="0" collapsed="false">
      <c r="A10" s="55"/>
      <c r="B10" s="56"/>
      <c r="C10" s="57" t="s">
        <v>94</v>
      </c>
      <c r="D10" s="58"/>
      <c r="E10" s="57" t="s">
        <v>95</v>
      </c>
      <c r="F10" s="59"/>
      <c r="G10" s="58" t="s">
        <v>41</v>
      </c>
      <c r="H10" s="58" t="s">
        <v>41</v>
      </c>
      <c r="I10" s="58" t="s">
        <v>41</v>
      </c>
      <c r="J10" s="58" t="s">
        <v>41</v>
      </c>
      <c r="K10" s="58" t="s">
        <v>41</v>
      </c>
      <c r="L10" s="77" t="s">
        <v>41</v>
      </c>
      <c r="M10" s="58" t="s">
        <v>41</v>
      </c>
      <c r="N10" s="58" t="s">
        <v>41</v>
      </c>
      <c r="O10" s="58" t="s">
        <v>41</v>
      </c>
      <c r="P10" s="5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77" t="s">
        <v>41</v>
      </c>
      <c r="V10" s="58" t="s">
        <v>41</v>
      </c>
      <c r="W10" s="58" t="s">
        <v>41</v>
      </c>
      <c r="X10" s="57" t="n">
        <v>153400</v>
      </c>
      <c r="Y10" s="57" t="n">
        <v>150400</v>
      </c>
      <c r="Z10" s="58"/>
      <c r="AA10" s="57"/>
      <c r="AB10" s="57" t="n">
        <v>72000</v>
      </c>
      <c r="AC10" s="296" t="s">
        <v>41</v>
      </c>
      <c r="AD10" s="58" t="s">
        <v>41</v>
      </c>
      <c r="AE10" s="77" t="s">
        <v>41</v>
      </c>
      <c r="AF10" s="58" t="s">
        <v>41</v>
      </c>
      <c r="AG10" s="58" t="s">
        <v>41</v>
      </c>
      <c r="AH10" s="74" t="s">
        <v>41</v>
      </c>
      <c r="AI10" s="58" t="s">
        <v>41</v>
      </c>
      <c r="AJ10" s="58" t="s">
        <v>41</v>
      </c>
      <c r="AK10" s="58" t="s">
        <v>41</v>
      </c>
      <c r="AL10" s="58" t="s">
        <v>41</v>
      </c>
      <c r="AM10" s="59" t="s">
        <v>41</v>
      </c>
      <c r="AN10" s="62" t="s">
        <v>41</v>
      </c>
      <c r="AO10" s="62" t="s">
        <v>41</v>
      </c>
      <c r="AP10" s="62" t="s">
        <v>41</v>
      </c>
      <c r="AQ10" s="67" t="s">
        <v>96</v>
      </c>
      <c r="AR10" s="62" t="s">
        <v>41</v>
      </c>
      <c r="AS10" s="62" t="s">
        <v>41</v>
      </c>
      <c r="AT10" s="62" t="s">
        <v>41</v>
      </c>
      <c r="AU10" s="62" t="s">
        <v>41</v>
      </c>
      <c r="AV10" s="78"/>
      <c r="AW10" s="71"/>
      <c r="AX10" s="71"/>
      <c r="AY10" s="294"/>
      <c r="AZ10" s="295" t="s">
        <v>97</v>
      </c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2.95" hidden="false" customHeight="true" outlineLevel="0" collapsed="false">
      <c r="A11" s="55"/>
      <c r="B11" s="56"/>
      <c r="C11" s="57"/>
      <c r="D11" s="58"/>
      <c r="E11" s="57"/>
      <c r="F11" s="59"/>
      <c r="G11" s="55"/>
      <c r="H11" s="55"/>
      <c r="I11" s="55"/>
      <c r="J11" s="55"/>
      <c r="K11" s="55"/>
      <c r="L11" s="77"/>
      <c r="M11" s="58"/>
      <c r="N11" s="46" t="n">
        <v>1.03</v>
      </c>
      <c r="O11" s="46" t="n">
        <v>1.05</v>
      </c>
      <c r="P11" s="46" t="n">
        <v>1.02</v>
      </c>
      <c r="Q11" s="82" t="n">
        <v>1.02</v>
      </c>
      <c r="R11" s="83" t="n">
        <v>1.04</v>
      </c>
      <c r="S11" s="58"/>
      <c r="T11" s="82" t="n">
        <v>1.04</v>
      </c>
      <c r="U11" s="76"/>
      <c r="V11" s="55"/>
      <c r="W11" s="5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62"/>
      <c r="AD11" s="61"/>
      <c r="AE11" s="85"/>
      <c r="AF11" s="79"/>
      <c r="AG11" s="79"/>
      <c r="AH11" s="74"/>
      <c r="AI11" s="80"/>
      <c r="AJ11" s="86"/>
      <c r="AK11" s="55"/>
      <c r="AL11" s="55"/>
      <c r="AM11" s="58"/>
      <c r="AN11" s="66"/>
      <c r="AO11" s="62"/>
      <c r="AP11" s="61"/>
      <c r="AQ11" s="67"/>
      <c r="AR11" s="67"/>
      <c r="AS11" s="87"/>
      <c r="AT11" s="87"/>
      <c r="AU11" s="87"/>
      <c r="AV11" s="78"/>
      <c r="AW11" s="71"/>
      <c r="AX11" s="71"/>
      <c r="AY11" s="294"/>
      <c r="AZ11" s="295" t="s">
        <v>41</v>
      </c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2.95" hidden="false" customHeight="true" outlineLevel="0" collapsed="false">
      <c r="A12" s="188" t="s">
        <v>99</v>
      </c>
      <c r="B12" s="213"/>
      <c r="C12" s="107"/>
      <c r="D12" s="107"/>
      <c r="E12" s="107"/>
      <c r="F12" s="214"/>
      <c r="G12" s="107"/>
      <c r="H12" s="297"/>
      <c r="I12" s="107"/>
      <c r="J12" s="107"/>
      <c r="K12" s="107"/>
      <c r="L12" s="107"/>
      <c r="M12" s="216"/>
      <c r="N12" s="107"/>
      <c r="O12" s="107"/>
      <c r="P12" s="158"/>
      <c r="Q12" s="107"/>
      <c r="R12" s="107"/>
      <c r="S12" s="158"/>
      <c r="T12" s="158"/>
      <c r="U12" s="217"/>
      <c r="V12" s="107"/>
      <c r="W12" s="107"/>
      <c r="X12" s="107"/>
      <c r="Y12" s="107"/>
      <c r="Z12" s="107"/>
      <c r="AA12" s="107"/>
      <c r="AB12" s="107"/>
      <c r="AC12" s="136"/>
      <c r="AD12" s="107"/>
      <c r="AE12" s="107"/>
      <c r="AF12" s="216"/>
      <c r="AG12" s="218"/>
      <c r="AH12" s="107"/>
      <c r="AI12" s="107"/>
      <c r="AJ12" s="219"/>
      <c r="AK12" s="107"/>
      <c r="AL12" s="107"/>
      <c r="AM12" s="107"/>
      <c r="AN12" s="220"/>
      <c r="AO12" s="215"/>
      <c r="AP12" s="135"/>
      <c r="AQ12" s="221"/>
      <c r="AR12" s="221"/>
      <c r="AS12" s="298"/>
      <c r="AU12" s="274"/>
      <c r="AV12" s="275"/>
      <c r="AW12" s="215"/>
      <c r="AX12" s="215"/>
      <c r="AY12" s="299"/>
      <c r="AZ12" s="300"/>
    </row>
    <row r="13" s="230" customFormat="true" ht="12.95" hidden="false" customHeight="true" outlineLevel="0" collapsed="false">
      <c r="A13" s="177" t="s">
        <v>100</v>
      </c>
      <c r="B13" s="301" t="n">
        <f aca="false">JAN!B45</f>
        <v>6871.13</v>
      </c>
      <c r="C13" s="107" t="n">
        <f aca="false">JAN!C45</f>
        <v>190837</v>
      </c>
      <c r="D13" s="107" t="n">
        <f aca="false">JAN!D54</f>
        <v>-4318</v>
      </c>
      <c r="E13" s="107" t="n">
        <f aca="false">JAN!E54</f>
        <v>38837</v>
      </c>
      <c r="F13" s="214" t="n">
        <f aca="false">JAN!F53</f>
        <v>-2176.95991933451</v>
      </c>
      <c r="G13" s="107" t="n">
        <f aca="false">JAN!G53</f>
        <v>2490</v>
      </c>
      <c r="H13" s="226" t="n">
        <f aca="false">JAN!H53</f>
        <v>0.82</v>
      </c>
      <c r="I13" s="107" t="n">
        <f aca="false">JAN!I53</f>
        <v>2490.2</v>
      </c>
      <c r="J13" s="226" t="n">
        <f aca="false">JAN!J53</f>
        <v>976.216967481724</v>
      </c>
      <c r="K13" s="107" t="n">
        <f aca="false">JAN!K53</f>
        <v>3466.41696748172</v>
      </c>
      <c r="L13" s="267" t="n">
        <f aca="false">JAN!L53</f>
        <v>425.34558066549</v>
      </c>
      <c r="M13" s="107" t="n">
        <f aca="false">JAN!M53</f>
        <v>547.35</v>
      </c>
      <c r="N13" s="226" t="n">
        <f aca="false">JAN!N53</f>
        <v>0</v>
      </c>
      <c r="O13" s="107" t="n">
        <f aca="false">JAN!O53</f>
        <v>0</v>
      </c>
      <c r="P13" s="107" t="n">
        <f aca="false">JAN!P53</f>
        <v>0</v>
      </c>
      <c r="Q13" s="107" t="n">
        <f aca="false">JAN!Q53</f>
        <v>141.359435557496</v>
      </c>
      <c r="R13" s="226" t="n">
        <f aca="false">JAN!R53</f>
        <v>163.63047792</v>
      </c>
      <c r="S13" s="107" t="n">
        <f aca="false">JAN!S53</f>
        <v>0</v>
      </c>
      <c r="T13" s="107" t="n">
        <f aca="false">JAN!T53</f>
        <v>54.04152208</v>
      </c>
      <c r="U13" s="267" t="n">
        <f aca="false">JAN!U53</f>
        <v>8.65612401388486</v>
      </c>
      <c r="V13" s="107" t="n">
        <f aca="false">JAN!V53</f>
        <v>2085.92</v>
      </c>
      <c r="W13" s="226" t="n">
        <f aca="false">JAN!W53</f>
        <v>84.4</v>
      </c>
      <c r="X13" s="107" t="n">
        <f aca="false">JAN!X53</f>
        <v>2349.98244042862</v>
      </c>
      <c r="Y13" s="226" t="n">
        <f aca="false">JAN!Y53</f>
        <v>2026.02</v>
      </c>
      <c r="Z13" s="107"/>
      <c r="AA13" s="107"/>
      <c r="AB13" s="107"/>
      <c r="AC13" s="276" t="n">
        <f aca="false">JAN!AC53</f>
        <v>27.7</v>
      </c>
      <c r="AD13" s="107"/>
      <c r="AE13" s="107"/>
      <c r="AF13" s="216"/>
      <c r="AG13" s="218"/>
      <c r="AH13" s="226" t="n">
        <f aca="false">JAN!AH53</f>
        <v>2365.9</v>
      </c>
      <c r="AI13" s="226" t="n">
        <f aca="false">JAN!AI53</f>
        <v>1881.1</v>
      </c>
      <c r="AJ13" s="226" t="n">
        <f aca="false">JAN!AJ53</f>
        <v>0</v>
      </c>
      <c r="AK13" s="226" t="n">
        <f aca="false">JAN!AK53</f>
        <v>5092.5055</v>
      </c>
      <c r="AL13" s="226" t="n">
        <f aca="false">JAN!AL53</f>
        <v>550.871386816234</v>
      </c>
      <c r="AM13" s="226" t="n">
        <f aca="false">JAN!AM53</f>
        <v>5643.37688681623</v>
      </c>
      <c r="AN13" s="220" t="n">
        <f aca="false">JAN!AN53</f>
        <v>2026.02</v>
      </c>
      <c r="AO13" s="276" t="n">
        <f aca="false">JAN!AO53</f>
        <v>323.962440428619</v>
      </c>
      <c r="AP13" s="107"/>
      <c r="AQ13" s="135"/>
      <c r="AR13" s="135"/>
      <c r="AS13" s="107"/>
      <c r="AT13" s="177"/>
      <c r="AU13" s="277"/>
      <c r="AV13" s="278" t="n">
        <f aca="false">JAN!AV53</f>
        <v>3.793</v>
      </c>
      <c r="AW13" s="215"/>
      <c r="AX13" s="215"/>
      <c r="AY13" s="302"/>
      <c r="AZ13" s="279" t="n">
        <f aca="false">JAN!AZ53</f>
        <v>367.687559571381</v>
      </c>
    </row>
    <row r="14" customFormat="false" ht="3" hidden="false" customHeight="true" outlineLevel="0" collapsed="false">
      <c r="A14" s="231"/>
      <c r="B14" s="232"/>
      <c r="C14" s="233"/>
      <c r="D14" s="234"/>
      <c r="E14" s="233"/>
      <c r="F14" s="235"/>
      <c r="G14" s="234"/>
      <c r="H14" s="303"/>
      <c r="I14" s="234"/>
      <c r="J14" s="234"/>
      <c r="K14" s="234"/>
      <c r="L14" s="234"/>
      <c r="M14" s="237"/>
      <c r="N14" s="234"/>
      <c r="O14" s="234"/>
      <c r="P14" s="238"/>
      <c r="Q14" s="234"/>
      <c r="R14" s="234"/>
      <c r="S14" s="238"/>
      <c r="T14" s="238"/>
      <c r="U14" s="239"/>
      <c r="V14" s="234"/>
      <c r="W14" s="234"/>
      <c r="X14" s="234"/>
      <c r="Y14" s="234"/>
      <c r="Z14" s="234"/>
      <c r="AA14" s="234"/>
      <c r="AB14" s="233"/>
      <c r="AC14" s="240"/>
      <c r="AD14" s="233"/>
      <c r="AE14" s="234"/>
      <c r="AF14" s="237"/>
      <c r="AG14" s="241"/>
      <c r="AH14" s="234"/>
      <c r="AI14" s="233"/>
      <c r="AJ14" s="304"/>
      <c r="AK14" s="234"/>
      <c r="AL14" s="234"/>
      <c r="AM14" s="234"/>
      <c r="AN14" s="242"/>
      <c r="AO14" s="243"/>
      <c r="AP14" s="243"/>
      <c r="AQ14" s="243"/>
      <c r="AR14" s="243"/>
      <c r="AS14" s="243"/>
      <c r="AT14" s="305"/>
      <c r="AU14" s="306"/>
      <c r="AV14" s="263"/>
      <c r="AW14" s="243"/>
      <c r="AX14" s="243"/>
      <c r="AY14" s="306"/>
      <c r="AZ14" s="307"/>
    </row>
    <row r="15" customFormat="false" ht="12.95" hidden="false" customHeight="true" outlineLevel="0" collapsed="false">
      <c r="A15" s="183" t="n">
        <v>1</v>
      </c>
      <c r="B15" s="106" t="n">
        <v>6871.02</v>
      </c>
      <c r="C15" s="107" t="n">
        <v>190538</v>
      </c>
      <c r="D15" s="215" t="n">
        <f aca="false">C15-C13</f>
        <v>-299</v>
      </c>
      <c r="E15" s="107" t="n">
        <f aca="false">C15-152000</f>
        <v>38538</v>
      </c>
      <c r="F15" s="246" t="n">
        <f aca="false">D15/$D$2</f>
        <v>-150.743634988656</v>
      </c>
      <c r="G15" s="135" t="n">
        <v>33</v>
      </c>
      <c r="H15" s="297" t="n">
        <v>0</v>
      </c>
      <c r="I15" s="135" t="n">
        <f aca="false">G15+H15</f>
        <v>33</v>
      </c>
      <c r="J15" s="136" t="n">
        <f aca="false">IF(L15&gt;0,L15,0)</f>
        <v>0</v>
      </c>
      <c r="K15" s="135" t="n">
        <f aca="false">I15+J15</f>
        <v>33</v>
      </c>
      <c r="L15" s="135" t="n">
        <f aca="false">F15-(I15-AK15)</f>
        <v>-10.8936349886564</v>
      </c>
      <c r="M15" s="248" t="n">
        <v>3.35</v>
      </c>
      <c r="N15" s="135" t="n">
        <v>0</v>
      </c>
      <c r="O15" s="135" t="n">
        <v>0</v>
      </c>
      <c r="P15" s="158" t="n">
        <v>0</v>
      </c>
      <c r="Q15" s="272" t="n">
        <f aca="false">890600/325851/1.9835*1.02</f>
        <v>1.40550242614341</v>
      </c>
      <c r="R15" s="131" t="n">
        <f aca="false">((2)*1.04)-T15</f>
        <v>1.42770992</v>
      </c>
      <c r="S15" s="83" t="n">
        <v>0</v>
      </c>
      <c r="T15" s="131" t="n">
        <f aca="false">(0.5917*1.06)*1.04</f>
        <v>0.65229008</v>
      </c>
      <c r="U15" s="96" t="n">
        <f aca="false">M15-(Q15+R15+S15+T15)</f>
        <v>-0.135502426143407</v>
      </c>
      <c r="V15" s="135" t="n">
        <v>144</v>
      </c>
      <c r="W15" s="135" t="n">
        <v>0</v>
      </c>
      <c r="X15" s="135" t="n">
        <f aca="false">M15-N15-O15-P15-Q15-R15-S15-T15-U15+V15+W15</f>
        <v>144</v>
      </c>
      <c r="Y15" s="135" t="n">
        <f aca="false">X15-AO15</f>
        <v>144</v>
      </c>
      <c r="Z15" s="135"/>
      <c r="AA15" s="135"/>
      <c r="AB15" s="107"/>
      <c r="AC15" s="136" t="n">
        <v>0</v>
      </c>
      <c r="AD15" s="107"/>
      <c r="AE15" s="135" t="n">
        <v>0</v>
      </c>
      <c r="AF15" s="248"/>
      <c r="AG15" s="249"/>
      <c r="AH15" s="135" t="n">
        <v>25.5</v>
      </c>
      <c r="AI15" s="107" t="n">
        <f aca="false">AI13-AH15</f>
        <v>1855.6</v>
      </c>
      <c r="AJ15" s="219"/>
      <c r="AK15" s="134" t="n">
        <f aca="false">N15+O15+P15+Q15+R15+S15+T15+U15+X15+AE15+AH15</f>
        <v>172.85</v>
      </c>
      <c r="AL15" s="135" t="n">
        <f aca="false">IF(L15&lt;0,L15*-1,0)</f>
        <v>10.8936349886564</v>
      </c>
      <c r="AM15" s="135" t="n">
        <f aca="false">AK15+AL15</f>
        <v>183.743634988656</v>
      </c>
      <c r="AN15" s="281" t="n">
        <f aca="false">V15</f>
        <v>144</v>
      </c>
      <c r="AO15" s="215" t="n">
        <v>0</v>
      </c>
      <c r="AP15" s="221"/>
      <c r="AQ15" s="107"/>
      <c r="AR15" s="107"/>
      <c r="AS15" s="298"/>
      <c r="AU15" s="274"/>
      <c r="AV15" s="275" t="n">
        <v>0</v>
      </c>
      <c r="AW15" s="215" t="n">
        <v>46</v>
      </c>
      <c r="AX15" s="215" t="n">
        <v>12</v>
      </c>
      <c r="AY15" s="299"/>
      <c r="AZ15" s="250" t="n">
        <f aca="false">SUM(N15,P15:U15)</f>
        <v>3.35</v>
      </c>
    </row>
    <row r="16" customFormat="false" ht="12.95" hidden="false" customHeight="true" outlineLevel="0" collapsed="false">
      <c r="A16" s="183" t="n">
        <f aca="false">A15+1</f>
        <v>2</v>
      </c>
      <c r="B16" s="106" t="n">
        <v>6870.93</v>
      </c>
      <c r="C16" s="107" t="n">
        <v>190296</v>
      </c>
      <c r="D16" s="215" t="n">
        <f aca="false">C16-C15</f>
        <v>-242</v>
      </c>
      <c r="E16" s="107" t="n">
        <f aca="false">C16-152000</f>
        <v>38296</v>
      </c>
      <c r="F16" s="246" t="n">
        <f aca="false">D16/$D$2</f>
        <v>-122.006554071086</v>
      </c>
      <c r="G16" s="135" t="n">
        <v>32</v>
      </c>
      <c r="H16" s="297" t="n">
        <v>0</v>
      </c>
      <c r="I16" s="135" t="n">
        <f aca="false">G16+H16</f>
        <v>32</v>
      </c>
      <c r="J16" s="136" t="n">
        <f aca="false">IF(L16&gt;0,L16,0)</f>
        <v>17.7134459289135</v>
      </c>
      <c r="K16" s="135" t="n">
        <f aca="false">I16+J16</f>
        <v>49.7134459289135</v>
      </c>
      <c r="L16" s="135" t="n">
        <f aca="false">F16-(I16-AK16)</f>
        <v>17.7134459289135</v>
      </c>
      <c r="M16" s="248" t="n">
        <v>3.22</v>
      </c>
      <c r="N16" s="135" t="n">
        <v>0</v>
      </c>
      <c r="O16" s="135" t="n">
        <v>0</v>
      </c>
      <c r="P16" s="158" t="n">
        <v>0</v>
      </c>
      <c r="Q16" s="272" t="n">
        <f aca="false">970800/325851/1.9835*1.02</f>
        <v>1.53207023950148</v>
      </c>
      <c r="R16" s="131" t="n">
        <f aca="false">((1.8)*1.04)-T16</f>
        <v>1.19611856</v>
      </c>
      <c r="S16" s="83" t="n">
        <v>0</v>
      </c>
      <c r="T16" s="131" t="n">
        <f aca="false">(0.6131*1.06)*1.04</f>
        <v>0.67588144</v>
      </c>
      <c r="U16" s="96" t="n">
        <f aca="false">M16-(Q16+R16+S16+T16)</f>
        <v>-0.184070239501482</v>
      </c>
      <c r="V16" s="135" t="n">
        <v>143</v>
      </c>
      <c r="W16" s="135" t="n">
        <v>0</v>
      </c>
      <c r="X16" s="135" t="n">
        <f aca="false">M16-N16-O16-P16-Q16-R16-S16-T16-U16+V16+W16</f>
        <v>143</v>
      </c>
      <c r="Y16" s="135" t="n">
        <f aca="false">X16-AO16</f>
        <v>143</v>
      </c>
      <c r="Z16" s="135"/>
      <c r="AA16" s="135"/>
      <c r="AB16" s="107"/>
      <c r="AC16" s="136" t="n">
        <v>0</v>
      </c>
      <c r="AD16" s="107"/>
      <c r="AE16" s="135" t="n">
        <v>0</v>
      </c>
      <c r="AF16" s="248"/>
      <c r="AG16" s="249"/>
      <c r="AH16" s="135" t="n">
        <v>25.5</v>
      </c>
      <c r="AI16" s="107" t="n">
        <f aca="false">AI15-AH16</f>
        <v>1830.1</v>
      </c>
      <c r="AJ16" s="219"/>
      <c r="AK16" s="134" t="n">
        <f aca="false">N16+O16+P16+Q16+R16+S16+T16+U16+X16+AE16+AH16</f>
        <v>171.72</v>
      </c>
      <c r="AL16" s="135" t="n">
        <f aca="false">IF(L16&lt;0,L16*-1,0)</f>
        <v>0</v>
      </c>
      <c r="AM16" s="135" t="n">
        <f aca="false">AK16+AL16</f>
        <v>171.72</v>
      </c>
      <c r="AN16" s="281" t="n">
        <f aca="false">V16</f>
        <v>143</v>
      </c>
      <c r="AO16" s="215" t="n">
        <v>0</v>
      </c>
      <c r="AP16" s="221"/>
      <c r="AQ16" s="107"/>
      <c r="AR16" s="107"/>
      <c r="AS16" s="298"/>
      <c r="AV16" s="222" t="n">
        <v>0</v>
      </c>
      <c r="AW16" s="215" t="n">
        <v>48</v>
      </c>
      <c r="AX16" s="215" t="n">
        <v>12</v>
      </c>
      <c r="AY16" s="299"/>
      <c r="AZ16" s="250" t="n">
        <f aca="false">SUM(N16,P16:U16)</f>
        <v>3.22</v>
      </c>
    </row>
    <row r="17" customFormat="false" ht="12.95" hidden="false" customHeight="true" outlineLevel="0" collapsed="false">
      <c r="A17" s="183" t="n">
        <f aca="false">A16+1</f>
        <v>3</v>
      </c>
      <c r="B17" s="106" t="n">
        <v>6870.82</v>
      </c>
      <c r="C17" s="107" t="n">
        <v>190001</v>
      </c>
      <c r="D17" s="215" t="n">
        <f aca="false">C17-C16</f>
        <v>-295</v>
      </c>
      <c r="E17" s="107" t="n">
        <f aca="false">C17-152000</f>
        <v>38001</v>
      </c>
      <c r="F17" s="246" t="n">
        <f aca="false">D17/$D$2</f>
        <v>-148.726997731283</v>
      </c>
      <c r="G17" s="135" t="n">
        <v>32</v>
      </c>
      <c r="H17" s="297" t="n">
        <v>0</v>
      </c>
      <c r="I17" s="135" t="n">
        <f aca="false">G17+H17</f>
        <v>32</v>
      </c>
      <c r="J17" s="136" t="n">
        <f aca="false">IF(L17&gt;0,L17,0)</f>
        <v>0</v>
      </c>
      <c r="K17" s="135" t="n">
        <f aca="false">I17+J17</f>
        <v>32</v>
      </c>
      <c r="L17" s="135" t="n">
        <f aca="false">F17-(I17-AK17)</f>
        <v>-8.9669977312831</v>
      </c>
      <c r="M17" s="248" t="n">
        <v>3.26</v>
      </c>
      <c r="N17" s="135" t="n">
        <v>0</v>
      </c>
      <c r="O17" s="135" t="n">
        <v>0</v>
      </c>
      <c r="P17" s="158" t="n">
        <v>0</v>
      </c>
      <c r="Q17" s="272" t="n">
        <f aca="false">1016100/325851/1.9835*1.02</f>
        <v>1.60356053806907</v>
      </c>
      <c r="R17" s="131" t="n">
        <f aca="false">((1.8)*1.04)-T17</f>
        <v>1.19611856</v>
      </c>
      <c r="S17" s="83" t="n">
        <v>0</v>
      </c>
      <c r="T17" s="131" t="n">
        <f aca="false">(0.6131*1.06)*1.04</f>
        <v>0.67588144</v>
      </c>
      <c r="U17" s="96" t="n">
        <f aca="false">M17-(Q17+R17+S17+T17)</f>
        <v>-0.215560538069073</v>
      </c>
      <c r="V17" s="135" t="n">
        <v>143</v>
      </c>
      <c r="W17" s="135" t="n">
        <v>0</v>
      </c>
      <c r="X17" s="135" t="n">
        <f aca="false">M17-N17-O17-P17-Q17-R17-S17-T17-U17+V17+W17</f>
        <v>143</v>
      </c>
      <c r="Y17" s="135" t="n">
        <f aca="false">X17-AO17</f>
        <v>143</v>
      </c>
      <c r="Z17" s="135"/>
      <c r="AA17" s="135"/>
      <c r="AB17" s="107"/>
      <c r="AC17" s="136" t="n">
        <v>0</v>
      </c>
      <c r="AD17" s="107"/>
      <c r="AE17" s="135" t="n">
        <v>0</v>
      </c>
      <c r="AF17" s="248"/>
      <c r="AG17" s="249"/>
      <c r="AH17" s="135" t="n">
        <v>25.5</v>
      </c>
      <c r="AI17" s="107" t="n">
        <f aca="false">AI16-AH17</f>
        <v>1804.6</v>
      </c>
      <c r="AJ17" s="219"/>
      <c r="AK17" s="134" t="n">
        <f aca="false">N17+O17+P17+Q17+R17+S17+T17+U17+X17+AE17+AH17</f>
        <v>171.76</v>
      </c>
      <c r="AL17" s="135" t="n">
        <f aca="false">IF(L17&lt;0,L17*-1,0)</f>
        <v>8.9669977312831</v>
      </c>
      <c r="AM17" s="135" t="n">
        <f aca="false">AK17+AL17</f>
        <v>180.726997731283</v>
      </c>
      <c r="AN17" s="281" t="n">
        <f aca="false">V17</f>
        <v>143</v>
      </c>
      <c r="AO17" s="215" t="n">
        <v>0</v>
      </c>
      <c r="AP17" s="221"/>
      <c r="AQ17" s="107"/>
      <c r="AR17" s="107"/>
      <c r="AS17" s="298"/>
      <c r="AV17" s="222" t="n">
        <v>0</v>
      </c>
      <c r="AW17" s="215" t="n">
        <v>46</v>
      </c>
      <c r="AX17" s="215" t="n">
        <v>19</v>
      </c>
      <c r="AY17" s="299"/>
      <c r="AZ17" s="250" t="n">
        <f aca="false">SUM(N17,P17:U17)</f>
        <v>3.26</v>
      </c>
    </row>
    <row r="18" customFormat="false" ht="12.95" hidden="false" customHeight="true" outlineLevel="0" collapsed="false">
      <c r="A18" s="308" t="n">
        <f aca="false">A17+1</f>
        <v>4</v>
      </c>
      <c r="B18" s="309" t="n">
        <v>6870.8</v>
      </c>
      <c r="C18" s="107" t="n">
        <v>189948</v>
      </c>
      <c r="D18" s="215" t="n">
        <f aca="false">C18-C17</f>
        <v>-53</v>
      </c>
      <c r="E18" s="107" t="n">
        <f aca="false">C18-152000</f>
        <v>37948</v>
      </c>
      <c r="F18" s="246" t="n">
        <f aca="false">D18/$D$2</f>
        <v>-26.7204436601966</v>
      </c>
      <c r="G18" s="135" t="n">
        <v>31</v>
      </c>
      <c r="H18" s="297" t="n">
        <v>0</v>
      </c>
      <c r="I18" s="135" t="n">
        <f aca="false">G18+H18</f>
        <v>31</v>
      </c>
      <c r="J18" s="136" t="n">
        <f aca="false">IF(L18&gt;0,L18,0)</f>
        <v>44.1995563398034</v>
      </c>
      <c r="K18" s="135" t="n">
        <f aca="false">I18+J18</f>
        <v>75.1995563398034</v>
      </c>
      <c r="L18" s="135" t="n">
        <f aca="false">F18-(I18-AK18)</f>
        <v>44.1995563398034</v>
      </c>
      <c r="M18" s="248" t="n">
        <v>3.22</v>
      </c>
      <c r="N18" s="135" t="n">
        <v>0</v>
      </c>
      <c r="O18" s="135" t="n">
        <v>0</v>
      </c>
      <c r="P18" s="158" t="n">
        <v>0</v>
      </c>
      <c r="Q18" s="272" t="n">
        <f aca="false">1039900/325851/1.9835*1.02</f>
        <v>1.64112056248207</v>
      </c>
      <c r="R18" s="131" t="n">
        <f aca="false">((2)*1.04)-T18</f>
        <v>1.40411856</v>
      </c>
      <c r="S18" s="83" t="n">
        <v>0</v>
      </c>
      <c r="T18" s="131" t="n">
        <f aca="false">(0.6131*1.06)*1.04</f>
        <v>0.67588144</v>
      </c>
      <c r="U18" s="96" t="n">
        <f aca="false">M18-(Q18+R18+S18+T18)</f>
        <v>-0.501120562482067</v>
      </c>
      <c r="V18" s="135" t="n">
        <v>73.2</v>
      </c>
      <c r="W18" s="135" t="n">
        <v>0</v>
      </c>
      <c r="X18" s="135" t="n">
        <f aca="false">M18-N18-O18-P18-Q18-R18-S18-T18-U18+V18+W18</f>
        <v>73.2</v>
      </c>
      <c r="Y18" s="135" t="n">
        <f aca="false">X18-AO18</f>
        <v>73.2</v>
      </c>
      <c r="Z18" s="135"/>
      <c r="AA18" s="135"/>
      <c r="AB18" s="107"/>
      <c r="AC18" s="136" t="n">
        <v>0</v>
      </c>
      <c r="AD18" s="107"/>
      <c r="AE18" s="135" t="n">
        <v>0</v>
      </c>
      <c r="AF18" s="248"/>
      <c r="AG18" s="249"/>
      <c r="AH18" s="135" t="n">
        <v>25.5</v>
      </c>
      <c r="AI18" s="107" t="n">
        <f aca="false">AI17-AH18</f>
        <v>1779.1</v>
      </c>
      <c r="AJ18" s="219"/>
      <c r="AK18" s="134" t="n">
        <f aca="false">N18+O18+P18+Q18+R18+S18+T18+U18+X18+AE18+AH18</f>
        <v>101.92</v>
      </c>
      <c r="AL18" s="135" t="n">
        <f aca="false">IF(L18&lt;0,L18*-1,0)</f>
        <v>0</v>
      </c>
      <c r="AM18" s="135" t="n">
        <f aca="false">AK18+AL18</f>
        <v>101.92</v>
      </c>
      <c r="AN18" s="281" t="n">
        <f aca="false">V18</f>
        <v>73.2</v>
      </c>
      <c r="AO18" s="215" t="n">
        <v>0</v>
      </c>
      <c r="AP18" s="221"/>
      <c r="AQ18" s="107"/>
      <c r="AR18" s="107"/>
      <c r="AS18" s="298"/>
      <c r="AV18" s="222" t="n">
        <v>0</v>
      </c>
      <c r="AW18" s="215" t="n">
        <v>48</v>
      </c>
      <c r="AX18" s="215" t="n">
        <v>15</v>
      </c>
      <c r="AY18" s="299"/>
      <c r="AZ18" s="250" t="n">
        <f aca="false">SUM(N18,P18:U18)</f>
        <v>3.22</v>
      </c>
    </row>
    <row r="19" customFormat="false" ht="12.95" hidden="false" customHeight="true" outlineLevel="0" collapsed="false">
      <c r="A19" s="308" t="n">
        <f aca="false">A18+1</f>
        <v>5</v>
      </c>
      <c r="B19" s="309" t="n">
        <v>6870.78</v>
      </c>
      <c r="C19" s="107" t="n">
        <v>189894</v>
      </c>
      <c r="D19" s="215" t="n">
        <f aca="false">C19-C18</f>
        <v>-54</v>
      </c>
      <c r="E19" s="107" t="n">
        <f aca="false">C19-152000</f>
        <v>37894</v>
      </c>
      <c r="F19" s="246" t="n">
        <f aca="false">D19/$D$2</f>
        <v>-27.22460297454</v>
      </c>
      <c r="G19" s="135" t="n">
        <v>30</v>
      </c>
      <c r="H19" s="297" t="n">
        <v>0</v>
      </c>
      <c r="I19" s="135" t="n">
        <f aca="false">G19+H19</f>
        <v>30</v>
      </c>
      <c r="J19" s="136" t="n">
        <f aca="false">IF(L19&gt;0,L19,0)</f>
        <v>0</v>
      </c>
      <c r="K19" s="135" t="n">
        <f aca="false">I19+J19</f>
        <v>30</v>
      </c>
      <c r="L19" s="135" t="n">
        <f aca="false">F19-(I19-AK19)</f>
        <v>-6.73460297453995</v>
      </c>
      <c r="M19" s="248" t="n">
        <v>3.99</v>
      </c>
      <c r="N19" s="135" t="n">
        <v>0</v>
      </c>
      <c r="O19" s="135" t="n">
        <v>0</v>
      </c>
      <c r="P19" s="158" t="n">
        <v>0</v>
      </c>
      <c r="Q19" s="272" t="n">
        <f aca="false">858000/325851/1.9835*1.02</f>
        <v>1.35405466161132</v>
      </c>
      <c r="R19" s="131" t="n">
        <f aca="false">((2)*1.04)-T19</f>
        <v>1.40411856</v>
      </c>
      <c r="S19" s="83" t="n">
        <v>0</v>
      </c>
      <c r="T19" s="131" t="n">
        <f aca="false">(0.6131*1.06)*1.04</f>
        <v>0.67588144</v>
      </c>
      <c r="U19" s="96" t="n">
        <f aca="false">M19-(Q19+R19+S19+T19)</f>
        <v>0.555945338388678</v>
      </c>
      <c r="V19" s="135" t="n">
        <v>21</v>
      </c>
      <c r="W19" s="135" t="n">
        <v>0</v>
      </c>
      <c r="X19" s="135" t="n">
        <f aca="false">M19-N19-O19-P19-Q19-R19-S19-T19-U19+V19+W19</f>
        <v>21</v>
      </c>
      <c r="Y19" s="135" t="n">
        <f aca="false">X19-AO19</f>
        <v>21</v>
      </c>
      <c r="Z19" s="135"/>
      <c r="AA19" s="135"/>
      <c r="AB19" s="107"/>
      <c r="AC19" s="136" t="n">
        <v>0</v>
      </c>
      <c r="AD19" s="107"/>
      <c r="AE19" s="135" t="n">
        <v>0</v>
      </c>
      <c r="AF19" s="248"/>
      <c r="AG19" s="249"/>
      <c r="AH19" s="135" t="n">
        <v>25.5</v>
      </c>
      <c r="AI19" s="107" t="n">
        <f aca="false">AI18-AH19</f>
        <v>1753.6</v>
      </c>
      <c r="AJ19" s="219"/>
      <c r="AK19" s="134" t="n">
        <f aca="false">N19+O19+P19+Q19+R19+S19+T19+U19+X19+AE19+AH19</f>
        <v>50.49</v>
      </c>
      <c r="AL19" s="135" t="n">
        <f aca="false">IF(L19&lt;0,L19*-1,0)</f>
        <v>6.73460297453995</v>
      </c>
      <c r="AM19" s="135" t="n">
        <f aca="false">AK19+AL19</f>
        <v>57.22460297454</v>
      </c>
      <c r="AN19" s="281" t="n">
        <f aca="false">V19</f>
        <v>21</v>
      </c>
      <c r="AO19" s="215" t="n">
        <v>0</v>
      </c>
      <c r="AP19" s="221"/>
      <c r="AQ19" s="107"/>
      <c r="AR19" s="107"/>
      <c r="AS19" s="298"/>
      <c r="AV19" s="222" t="n">
        <v>0</v>
      </c>
      <c r="AW19" s="215" t="n">
        <v>51</v>
      </c>
      <c r="AX19" s="215" t="n">
        <v>15</v>
      </c>
      <c r="AY19" s="299"/>
      <c r="AZ19" s="250" t="n">
        <f aca="false">SUM(N19,P19:U19)</f>
        <v>3.99</v>
      </c>
    </row>
    <row r="20" customFormat="false" ht="12.95" hidden="false" customHeight="true" outlineLevel="0" collapsed="false">
      <c r="A20" s="183" t="n">
        <f aca="false">A19+1</f>
        <v>6</v>
      </c>
      <c r="B20" s="106" t="n">
        <v>6870.75</v>
      </c>
      <c r="C20" s="107" t="n">
        <v>189814</v>
      </c>
      <c r="D20" s="215" t="n">
        <f aca="false">C20-C19</f>
        <v>-80</v>
      </c>
      <c r="E20" s="107" t="n">
        <f aca="false">C20-152000</f>
        <v>37814</v>
      </c>
      <c r="F20" s="246" t="n">
        <f aca="false">D20/$D$2</f>
        <v>-40.3327451474666</v>
      </c>
      <c r="G20" s="135" t="n">
        <v>31</v>
      </c>
      <c r="H20" s="297" t="n">
        <v>0</v>
      </c>
      <c r="I20" s="135" t="n">
        <f aca="false">G20+H20</f>
        <v>31</v>
      </c>
      <c r="J20" s="136" t="n">
        <f aca="false">IF(L20&gt;0,L20,0)</f>
        <v>0</v>
      </c>
      <c r="K20" s="135" t="n">
        <f aca="false">I20+J20</f>
        <v>31</v>
      </c>
      <c r="L20" s="135" t="n">
        <f aca="false">F20-(I20-AK20)</f>
        <v>-19.8127451474666</v>
      </c>
      <c r="M20" s="248" t="n">
        <v>3.52</v>
      </c>
      <c r="N20" s="135" t="n">
        <v>0</v>
      </c>
      <c r="O20" s="135" t="n">
        <v>0</v>
      </c>
      <c r="P20" s="158" t="n">
        <v>0</v>
      </c>
      <c r="Q20" s="272" t="n">
        <f aca="false">923000/325851/1.9835*1.02</f>
        <v>1.45663456021824</v>
      </c>
      <c r="R20" s="131" t="n">
        <f aca="false">((2.2)*1.04)-T20</f>
        <v>1.61211856</v>
      </c>
      <c r="S20" s="83" t="n">
        <v>0</v>
      </c>
      <c r="T20" s="131" t="n">
        <f aca="false">(0.6131*1.06)*1.04</f>
        <v>0.67588144</v>
      </c>
      <c r="U20" s="96" t="n">
        <f aca="false">M20-(Q20+R20+S20+T20)</f>
        <v>-0.224634560218241</v>
      </c>
      <c r="V20" s="135" t="n">
        <v>21.3</v>
      </c>
      <c r="W20" s="135" t="n">
        <v>0</v>
      </c>
      <c r="X20" s="135" t="n">
        <f aca="false">M20-N20-O20-P20-Q20-R20-S20-T20-U20+V20+W20</f>
        <v>21.3</v>
      </c>
      <c r="Y20" s="135" t="n">
        <f aca="false">X20-AO20</f>
        <v>21.3</v>
      </c>
      <c r="Z20" s="135"/>
      <c r="AA20" s="135"/>
      <c r="AB20" s="107"/>
      <c r="AC20" s="136" t="n">
        <v>0</v>
      </c>
      <c r="AD20" s="107"/>
      <c r="AE20" s="135" t="n">
        <v>0</v>
      </c>
      <c r="AF20" s="248"/>
      <c r="AG20" s="249"/>
      <c r="AH20" s="135" t="n">
        <v>26.7</v>
      </c>
      <c r="AI20" s="107" t="n">
        <f aca="false">AI19-AH20</f>
        <v>1726.9</v>
      </c>
      <c r="AJ20" s="219"/>
      <c r="AK20" s="134" t="n">
        <f aca="false">N20+O20+P20+Q20+R20+S20+T20+U20+X20+AE20+AH20</f>
        <v>51.52</v>
      </c>
      <c r="AL20" s="135" t="n">
        <f aca="false">IF(L20&lt;0,L20*-1,0)</f>
        <v>19.8127451474666</v>
      </c>
      <c r="AM20" s="135" t="n">
        <f aca="false">AK20+AL20</f>
        <v>71.3327451474666</v>
      </c>
      <c r="AN20" s="281" t="n">
        <f aca="false">V20</f>
        <v>21.3</v>
      </c>
      <c r="AO20" s="215" t="n">
        <v>0</v>
      </c>
      <c r="AP20" s="135"/>
      <c r="AQ20" s="107"/>
      <c r="AR20" s="107"/>
      <c r="AS20" s="298"/>
      <c r="AV20" s="222" t="n">
        <v>0</v>
      </c>
      <c r="AW20" s="215" t="n">
        <v>50</v>
      </c>
      <c r="AX20" s="215" t="n">
        <v>17</v>
      </c>
      <c r="AY20" s="299"/>
      <c r="AZ20" s="250" t="n">
        <f aca="false">SUM(N20,P20:U20)</f>
        <v>3.52</v>
      </c>
    </row>
    <row r="21" customFormat="false" ht="12.95" hidden="false" customHeight="true" outlineLevel="0" collapsed="false">
      <c r="A21" s="183" t="n">
        <f aca="false">A20+1</f>
        <v>7</v>
      </c>
      <c r="B21" s="106" t="n">
        <v>6870.73</v>
      </c>
      <c r="C21" s="107" t="n">
        <v>189760</v>
      </c>
      <c r="D21" s="215" t="n">
        <f aca="false">C21-C20</f>
        <v>-54</v>
      </c>
      <c r="E21" s="107" t="n">
        <f aca="false">C21-152000</f>
        <v>37760</v>
      </c>
      <c r="F21" s="246" t="n">
        <f aca="false">D21/$D$2</f>
        <v>-27.22460297454</v>
      </c>
      <c r="G21" s="135" t="n">
        <v>32</v>
      </c>
      <c r="H21" s="297" t="n">
        <v>0</v>
      </c>
      <c r="I21" s="135" t="n">
        <f aca="false">G21+H21</f>
        <v>32</v>
      </c>
      <c r="J21" s="136" t="n">
        <f aca="false">IF(L21&gt;0,L21,0)</f>
        <v>0</v>
      </c>
      <c r="K21" s="135" t="n">
        <f aca="false">I21+J21</f>
        <v>32</v>
      </c>
      <c r="L21" s="135" t="n">
        <f aca="false">F21-(I21-AK21)</f>
        <v>-7.10460297453996</v>
      </c>
      <c r="M21" s="248" t="n">
        <v>3.22</v>
      </c>
      <c r="N21" s="135" t="n">
        <v>0</v>
      </c>
      <c r="O21" s="135" t="n">
        <v>0</v>
      </c>
      <c r="P21" s="158" t="n">
        <v>0</v>
      </c>
      <c r="Q21" s="272" t="n">
        <f aca="false">896200/325851/1.9835*1.02</f>
        <v>1.41434007894646</v>
      </c>
      <c r="R21" s="131" t="n">
        <f aca="false">((2.2)*1.04)-T21</f>
        <v>1.61211856</v>
      </c>
      <c r="S21" s="83" t="n">
        <v>0</v>
      </c>
      <c r="T21" s="131" t="n">
        <f aca="false">(0.6131*1.06)*1.04</f>
        <v>0.67588144</v>
      </c>
      <c r="U21" s="96" t="n">
        <f aca="false">M21-(Q21+R21+S21+T21)</f>
        <v>-0.482340078946465</v>
      </c>
      <c r="V21" s="135" t="n">
        <v>21.7</v>
      </c>
      <c r="W21" s="135" t="n">
        <v>0</v>
      </c>
      <c r="X21" s="135" t="n">
        <f aca="false">M21-N21-O21-P21-Q21-R21-S21-T21-U21+V21+W21</f>
        <v>21.7</v>
      </c>
      <c r="Y21" s="135" t="n">
        <f aca="false">X21-AO21</f>
        <v>21.7</v>
      </c>
      <c r="Z21" s="135"/>
      <c r="AA21" s="135"/>
      <c r="AB21" s="107"/>
      <c r="AC21" s="136" t="n">
        <v>0</v>
      </c>
      <c r="AD21" s="107"/>
      <c r="AE21" s="135" t="n">
        <v>0</v>
      </c>
      <c r="AF21" s="248"/>
      <c r="AG21" s="249"/>
      <c r="AH21" s="135" t="n">
        <v>27.2</v>
      </c>
      <c r="AI21" s="107" t="n">
        <f aca="false">AI20-AH21</f>
        <v>1699.7</v>
      </c>
      <c r="AJ21" s="219"/>
      <c r="AK21" s="134" t="n">
        <f aca="false">N21+O21+P21+Q21+R21+S21+T21+U21+X21+AE21+AH21</f>
        <v>52.12</v>
      </c>
      <c r="AL21" s="135" t="n">
        <f aca="false">IF(L21&lt;0,L21*-1,0)</f>
        <v>7.10460297453996</v>
      </c>
      <c r="AM21" s="135" t="n">
        <f aca="false">AK21+AL21</f>
        <v>59.22460297454</v>
      </c>
      <c r="AN21" s="281" t="n">
        <f aca="false">V21</f>
        <v>21.7</v>
      </c>
      <c r="AO21" s="215" t="n">
        <v>0</v>
      </c>
      <c r="AP21" s="135"/>
      <c r="AQ21" s="107"/>
      <c r="AR21" s="107"/>
      <c r="AS21" s="298"/>
      <c r="AV21" s="222" t="n">
        <v>0</v>
      </c>
      <c r="AW21" s="215" t="n">
        <v>47</v>
      </c>
      <c r="AX21" s="215" t="n">
        <v>16</v>
      </c>
      <c r="AY21" s="299"/>
      <c r="AZ21" s="250" t="n">
        <f aca="false">SUM(N21,P21:U21)</f>
        <v>3.22</v>
      </c>
    </row>
    <row r="22" customFormat="false" ht="12.95" hidden="false" customHeight="true" outlineLevel="0" collapsed="false">
      <c r="A22" s="183" t="n">
        <f aca="false">A21+1</f>
        <v>8</v>
      </c>
      <c r="B22" s="106" t="n">
        <v>6870.75</v>
      </c>
      <c r="C22" s="107" t="n">
        <v>189814</v>
      </c>
      <c r="D22" s="215" t="n">
        <f aca="false">C22-C21</f>
        <v>54</v>
      </c>
      <c r="E22" s="107" t="n">
        <f aca="false">C22-152000</f>
        <v>37814</v>
      </c>
      <c r="F22" s="246" t="n">
        <f aca="false">D22/$D$2</f>
        <v>27.22460297454</v>
      </c>
      <c r="G22" s="135" t="n">
        <v>31</v>
      </c>
      <c r="H22" s="297" t="n">
        <v>0</v>
      </c>
      <c r="I22" s="135" t="n">
        <f aca="false">G22+H22</f>
        <v>31</v>
      </c>
      <c r="J22" s="136" t="n">
        <f aca="false">IF(L22&gt;0,L22,0)</f>
        <v>48.50460297454</v>
      </c>
      <c r="K22" s="135" t="n">
        <f aca="false">I22+J22</f>
        <v>79.50460297454</v>
      </c>
      <c r="L22" s="135" t="n">
        <f aca="false">F22-(I22-AK22)</f>
        <v>48.50460297454</v>
      </c>
      <c r="M22" s="248" t="n">
        <v>3.78</v>
      </c>
      <c r="N22" s="135" t="n">
        <v>0</v>
      </c>
      <c r="O22" s="135" t="n">
        <v>0</v>
      </c>
      <c r="P22" s="158" t="n">
        <v>0</v>
      </c>
      <c r="Q22" s="272" t="n">
        <f aca="false">861700/325851/1.9835*1.02</f>
        <v>1.35989382507049</v>
      </c>
      <c r="R22" s="131" t="n">
        <f aca="false">((2.2)*1.04)-T22</f>
        <v>1.61211856</v>
      </c>
      <c r="S22" s="83" t="n">
        <v>0</v>
      </c>
      <c r="T22" s="131" t="n">
        <f aca="false">(0.6131*1.06)*1.04</f>
        <v>0.67588144</v>
      </c>
      <c r="U22" s="96" t="n">
        <f aca="false">M22-(Q22+R22+S22+T22)</f>
        <v>0.132106174929515</v>
      </c>
      <c r="V22" s="135" t="n">
        <v>21.6</v>
      </c>
      <c r="W22" s="135" t="n">
        <v>0</v>
      </c>
      <c r="X22" s="135" t="n">
        <f aca="false">M22-N22-O22-P22-Q22-R22-S22-T22-U22+V22+W22</f>
        <v>21.6</v>
      </c>
      <c r="Y22" s="135" t="n">
        <f aca="false">X22-AO22</f>
        <v>21.6</v>
      </c>
      <c r="Z22" s="135"/>
      <c r="AA22" s="135"/>
      <c r="AB22" s="107"/>
      <c r="AC22" s="136" t="n">
        <v>0</v>
      </c>
      <c r="AD22" s="107"/>
      <c r="AE22" s="135" t="n">
        <v>0</v>
      </c>
      <c r="AF22" s="248"/>
      <c r="AG22" s="249"/>
      <c r="AH22" s="135" t="n">
        <v>26.9</v>
      </c>
      <c r="AI22" s="107" t="n">
        <f aca="false">AI21-AH22</f>
        <v>1672.8</v>
      </c>
      <c r="AJ22" s="219"/>
      <c r="AK22" s="134" t="n">
        <f aca="false">N22+O22+P22+Q22+R22+S22+T22+U22+X22+AE22+AH22</f>
        <v>52.28</v>
      </c>
      <c r="AL22" s="135" t="n">
        <f aca="false">IF(L22&lt;0,L22*-1,0)</f>
        <v>0</v>
      </c>
      <c r="AM22" s="135" t="n">
        <f aca="false">AK22+AL22</f>
        <v>52.28</v>
      </c>
      <c r="AN22" s="281" t="n">
        <f aca="false">V22</f>
        <v>21.6</v>
      </c>
      <c r="AO22" s="215" t="n">
        <v>0</v>
      </c>
      <c r="AP22" s="135"/>
      <c r="AQ22" s="107"/>
      <c r="AR22" s="107"/>
      <c r="AS22" s="298"/>
      <c r="AV22" s="222" t="n">
        <v>0</v>
      </c>
      <c r="AW22" s="215" t="n">
        <v>44</v>
      </c>
      <c r="AX22" s="215" t="n">
        <v>18</v>
      </c>
      <c r="AY22" s="299"/>
      <c r="AZ22" s="250" t="n">
        <f aca="false">SUM(N22,P22:U22)</f>
        <v>3.78</v>
      </c>
    </row>
    <row r="23" customFormat="false" ht="12.95" hidden="false" customHeight="true" outlineLevel="0" collapsed="false">
      <c r="A23" s="183" t="n">
        <f aca="false">A22+1</f>
        <v>9</v>
      </c>
      <c r="B23" s="106" t="n">
        <v>6870.76</v>
      </c>
      <c r="C23" s="107" t="n">
        <v>189841</v>
      </c>
      <c r="D23" s="215" t="n">
        <f aca="false">C23-C22</f>
        <v>27</v>
      </c>
      <c r="E23" s="107" t="n">
        <f aca="false">C23-152000</f>
        <v>37841</v>
      </c>
      <c r="F23" s="246" t="n">
        <f aca="false">D23/$D$2</f>
        <v>13.61230148727</v>
      </c>
      <c r="G23" s="135" t="n">
        <v>31</v>
      </c>
      <c r="H23" s="297" t="n">
        <v>0</v>
      </c>
      <c r="I23" s="135" t="n">
        <f aca="false">G23+H23</f>
        <v>31</v>
      </c>
      <c r="J23" s="136" t="n">
        <f aca="false">IF(L23&gt;0,L23,0)</f>
        <v>34.54230148727</v>
      </c>
      <c r="K23" s="135" t="n">
        <f aca="false">I23+J23</f>
        <v>65.54230148727</v>
      </c>
      <c r="L23" s="135" t="n">
        <f aca="false">F23-(I23-AK23)</f>
        <v>34.54230148727</v>
      </c>
      <c r="M23" s="248" t="n">
        <v>3.33</v>
      </c>
      <c r="N23" s="135" t="n">
        <v>0</v>
      </c>
      <c r="O23" s="135" t="n">
        <v>0</v>
      </c>
      <c r="P23" s="158" t="n">
        <v>0</v>
      </c>
      <c r="Q23" s="272" t="n">
        <f aca="false">927200/325851/1.9835*1.02</f>
        <v>1.46326279982053</v>
      </c>
      <c r="R23" s="131" t="n">
        <f aca="false">((2.2)*1.04)-T23</f>
        <v>1.58312544</v>
      </c>
      <c r="S23" s="83" t="n">
        <v>0</v>
      </c>
      <c r="T23" s="131" t="n">
        <f aca="false">(0.6394*1.06)*1.04</f>
        <v>0.70487456</v>
      </c>
      <c r="U23" s="96" t="n">
        <f aca="false">M23-(Q23+R23+S23+T23)</f>
        <v>-0.421262799820533</v>
      </c>
      <c r="V23" s="135" t="n">
        <v>21.6</v>
      </c>
      <c r="W23" s="135" t="n">
        <v>0</v>
      </c>
      <c r="X23" s="135" t="n">
        <f aca="false">M23-N23-O23-P23-Q23-R23-S23-T23-U23+V23+W23</f>
        <v>21.6</v>
      </c>
      <c r="Y23" s="135" t="n">
        <f aca="false">X23-AO23</f>
        <v>21.6</v>
      </c>
      <c r="Z23" s="135"/>
      <c r="AA23" s="135"/>
      <c r="AB23" s="107"/>
      <c r="AC23" s="136" t="n">
        <v>0</v>
      </c>
      <c r="AD23" s="107"/>
      <c r="AE23" s="135" t="n">
        <v>0</v>
      </c>
      <c r="AF23" s="248"/>
      <c r="AG23" s="249"/>
      <c r="AH23" s="135" t="n">
        <v>27</v>
      </c>
      <c r="AI23" s="107" t="n">
        <f aca="false">AI22-AH23</f>
        <v>1645.8</v>
      </c>
      <c r="AJ23" s="219"/>
      <c r="AK23" s="134" t="n">
        <f aca="false">N23+O23+P23+Q23+R23+S23+T23+U23+X23+AE23+AH23</f>
        <v>51.93</v>
      </c>
      <c r="AL23" s="135" t="n">
        <f aca="false">IF(L23&lt;0,L23*-1,0)</f>
        <v>0</v>
      </c>
      <c r="AM23" s="135" t="n">
        <f aca="false">AK23+AL23</f>
        <v>51.93</v>
      </c>
      <c r="AN23" s="281" t="n">
        <f aca="false">V23</f>
        <v>21.6</v>
      </c>
      <c r="AO23" s="215" t="n">
        <v>0</v>
      </c>
      <c r="AP23" s="135"/>
      <c r="AQ23" s="107"/>
      <c r="AR23" s="107"/>
      <c r="AS23" s="298"/>
      <c r="AV23" s="222" t="n">
        <v>0.25</v>
      </c>
      <c r="AW23" s="221" t="n">
        <v>36</v>
      </c>
      <c r="AX23" s="215" t="n">
        <v>19</v>
      </c>
      <c r="AY23" s="299"/>
      <c r="AZ23" s="250" t="n">
        <f aca="false">SUM(N23,P23:U23)</f>
        <v>3.33</v>
      </c>
    </row>
    <row r="24" customFormat="false" ht="12.95" hidden="false" customHeight="true" outlineLevel="0" collapsed="false">
      <c r="A24" s="183" t="n">
        <f aca="false">A23+1</f>
        <v>10</v>
      </c>
      <c r="B24" s="106" t="n">
        <v>6870.78</v>
      </c>
      <c r="C24" s="107" t="n">
        <v>189894</v>
      </c>
      <c r="D24" s="215" t="n">
        <f aca="false">C24-C23</f>
        <v>53</v>
      </c>
      <c r="E24" s="107" t="n">
        <f aca="false">C24-152000</f>
        <v>37894</v>
      </c>
      <c r="F24" s="246" t="n">
        <f aca="false">D24/$D$2</f>
        <v>26.7204436601966</v>
      </c>
      <c r="G24" s="135" t="n">
        <v>30</v>
      </c>
      <c r="H24" s="297" t="n">
        <v>0</v>
      </c>
      <c r="I24" s="135" t="n">
        <f aca="false">G24+H24</f>
        <v>30</v>
      </c>
      <c r="J24" s="136" t="n">
        <f aca="false">IF(L24&gt;0,L24,0)</f>
        <v>49.0404436601966</v>
      </c>
      <c r="K24" s="135" t="n">
        <f aca="false">I24+J24</f>
        <v>79.0404436601966</v>
      </c>
      <c r="L24" s="135" t="n">
        <f aca="false">F24-(I24-AK24)</f>
        <v>49.0404436601966</v>
      </c>
      <c r="M24" s="248" t="n">
        <v>3.52</v>
      </c>
      <c r="N24" s="135" t="n">
        <v>0</v>
      </c>
      <c r="O24" s="135" t="n">
        <v>0</v>
      </c>
      <c r="P24" s="158" t="n">
        <v>0</v>
      </c>
      <c r="Q24" s="272" t="n">
        <f aca="false">1112800/325851/1.9835*1.02</f>
        <v>1.75616786415044</v>
      </c>
      <c r="R24" s="131" t="n">
        <f aca="false">((2)*1.04)-T24</f>
        <v>1.37512544</v>
      </c>
      <c r="S24" s="83" t="n">
        <v>0</v>
      </c>
      <c r="T24" s="131" t="n">
        <f aca="false">(0.6394*1.06)*1.04</f>
        <v>0.70487456</v>
      </c>
      <c r="U24" s="96" t="n">
        <f aca="false">M24-(Q24+R24+S24+T24)</f>
        <v>-0.316167864150442</v>
      </c>
      <c r="V24" s="135" t="n">
        <v>21.7</v>
      </c>
      <c r="W24" s="135" t="n">
        <v>0</v>
      </c>
      <c r="X24" s="135" t="n">
        <f aca="false">M24-N24-O24-P24-Q24-R24-S24-T24-U24+V24+W24</f>
        <v>21.7</v>
      </c>
      <c r="Y24" s="135" t="n">
        <f aca="false">X24-AO24</f>
        <v>21.7</v>
      </c>
      <c r="Z24" s="135"/>
      <c r="AA24" s="135"/>
      <c r="AB24" s="107"/>
      <c r="AC24" s="136" t="n">
        <v>0</v>
      </c>
      <c r="AD24" s="107"/>
      <c r="AE24" s="135" t="n">
        <v>0</v>
      </c>
      <c r="AF24" s="248"/>
      <c r="AG24" s="249"/>
      <c r="AH24" s="135" t="n">
        <v>27.1</v>
      </c>
      <c r="AI24" s="107" t="n">
        <f aca="false">AI23-AH24</f>
        <v>1618.7</v>
      </c>
      <c r="AJ24" s="219"/>
      <c r="AK24" s="134" t="n">
        <f aca="false">N24+O24+P24+Q24+R24+S24+T24+U24+X24+AE24+AH24</f>
        <v>52.32</v>
      </c>
      <c r="AL24" s="135" t="n">
        <f aca="false">IF(L24&lt;0,L24*-1,0)</f>
        <v>0</v>
      </c>
      <c r="AM24" s="135" t="n">
        <f aca="false">AK24+AL24</f>
        <v>52.32</v>
      </c>
      <c r="AN24" s="281" t="n">
        <f aca="false">V24</f>
        <v>21.7</v>
      </c>
      <c r="AO24" s="215" t="n">
        <v>0</v>
      </c>
      <c r="AP24" s="135"/>
      <c r="AQ24" s="107"/>
      <c r="AR24" s="107"/>
      <c r="AS24" s="298"/>
      <c r="AV24" s="222" t="n">
        <v>0.25</v>
      </c>
      <c r="AW24" s="215" t="n">
        <v>35</v>
      </c>
      <c r="AX24" s="215" t="n">
        <v>2</v>
      </c>
      <c r="AY24" s="299"/>
      <c r="AZ24" s="250" t="n">
        <f aca="false">SUM(N24,P24:U24)</f>
        <v>3.52</v>
      </c>
    </row>
    <row r="25" customFormat="false" ht="12.95" hidden="false" customHeight="true" outlineLevel="0" collapsed="false">
      <c r="A25" s="183" t="n">
        <f aca="false">A24+1</f>
        <v>11</v>
      </c>
      <c r="B25" s="106" t="n">
        <v>6870.77</v>
      </c>
      <c r="C25" s="107" t="n">
        <v>189867</v>
      </c>
      <c r="D25" s="215" t="n">
        <f aca="false">C25-C24</f>
        <v>-27</v>
      </c>
      <c r="E25" s="107" t="n">
        <f aca="false">C25-152000</f>
        <v>37867</v>
      </c>
      <c r="F25" s="246" t="n">
        <f aca="false">D25/$D$2</f>
        <v>-13.61230148727</v>
      </c>
      <c r="G25" s="135" t="n">
        <v>30</v>
      </c>
      <c r="H25" s="297" t="n">
        <v>0</v>
      </c>
      <c r="I25" s="135" t="n">
        <f aca="false">G25+H25</f>
        <v>30</v>
      </c>
      <c r="J25" s="136" t="n">
        <f aca="false">IF(L25&gt;0,L25,0)</f>
        <v>8.71769851273002</v>
      </c>
      <c r="K25" s="135" t="n">
        <f aca="false">I25+J25</f>
        <v>38.71769851273</v>
      </c>
      <c r="L25" s="135" t="n">
        <f aca="false">F25-(I25-AK25)</f>
        <v>8.71769851273002</v>
      </c>
      <c r="M25" s="248" t="n">
        <v>3.43</v>
      </c>
      <c r="N25" s="135" t="n">
        <v>0</v>
      </c>
      <c r="O25" s="135" t="n">
        <v>0</v>
      </c>
      <c r="P25" s="158" t="n">
        <v>0</v>
      </c>
      <c r="Q25" s="272" t="n">
        <f aca="false">986900/325851/1.9835*1.02</f>
        <v>1.55747849131027</v>
      </c>
      <c r="R25" s="131" t="n">
        <f aca="false">((2)*1.04)-T25</f>
        <v>1.37512544</v>
      </c>
      <c r="S25" s="83" t="n">
        <v>0</v>
      </c>
      <c r="T25" s="131" t="n">
        <f aca="false">(0.6394*1.06)*1.04</f>
        <v>0.70487456</v>
      </c>
      <c r="U25" s="96" t="n">
        <f aca="false">M25-(Q25+R25+S25+T25)</f>
        <v>-0.207478491310272</v>
      </c>
      <c r="V25" s="135" t="n">
        <v>21.8</v>
      </c>
      <c r="W25" s="135" t="n">
        <v>0</v>
      </c>
      <c r="X25" s="135" t="n">
        <f aca="false">M25-N25-O25-P25-Q25-R25-S25-T25-U25+V25+W25</f>
        <v>21.8</v>
      </c>
      <c r="Y25" s="135" t="n">
        <f aca="false">X25-AO25</f>
        <v>21.8</v>
      </c>
      <c r="Z25" s="135"/>
      <c r="AA25" s="135"/>
      <c r="AB25" s="107"/>
      <c r="AC25" s="136" t="n">
        <v>0</v>
      </c>
      <c r="AD25" s="107"/>
      <c r="AE25" s="135" t="n">
        <v>0</v>
      </c>
      <c r="AF25" s="248"/>
      <c r="AG25" s="249"/>
      <c r="AH25" s="135" t="n">
        <v>27.1</v>
      </c>
      <c r="AI25" s="107" t="n">
        <f aca="false">AI24-AH25</f>
        <v>1591.6</v>
      </c>
      <c r="AJ25" s="219"/>
      <c r="AK25" s="134" t="n">
        <f aca="false">N25+O25+P25+Q25+R25+S25+T25+U25+X25+AE25+AH25</f>
        <v>52.33</v>
      </c>
      <c r="AL25" s="135" t="n">
        <f aca="false">IF(L25&lt;0,L25*-1,0)</f>
        <v>0</v>
      </c>
      <c r="AM25" s="135" t="n">
        <f aca="false">AK25+AL25</f>
        <v>52.33</v>
      </c>
      <c r="AN25" s="281" t="n">
        <f aca="false">V25</f>
        <v>21.8</v>
      </c>
      <c r="AO25" s="215" t="n">
        <v>0</v>
      </c>
      <c r="AP25" s="135"/>
      <c r="AQ25" s="107"/>
      <c r="AR25" s="107"/>
      <c r="AS25" s="298"/>
      <c r="AV25" s="222" t="n">
        <v>0</v>
      </c>
      <c r="AW25" s="215" t="n">
        <v>35</v>
      </c>
      <c r="AX25" s="215" t="n">
        <v>-5</v>
      </c>
      <c r="AY25" s="299"/>
      <c r="AZ25" s="250" t="n">
        <f aca="false">SUM(N25,P25:U25)</f>
        <v>3.43</v>
      </c>
    </row>
    <row r="26" customFormat="false" ht="12.95" hidden="false" customHeight="true" outlineLevel="0" collapsed="false">
      <c r="A26" s="183" t="n">
        <f aca="false">A25+1</f>
        <v>12</v>
      </c>
      <c r="B26" s="106" t="n">
        <v>6870.75</v>
      </c>
      <c r="C26" s="107" t="n">
        <v>189814</v>
      </c>
      <c r="D26" s="215" t="n">
        <f aca="false">C26-C25</f>
        <v>-53</v>
      </c>
      <c r="E26" s="107" t="n">
        <f aca="false">C26-152000</f>
        <v>37814</v>
      </c>
      <c r="F26" s="246" t="n">
        <f aca="false">D26/$D$2</f>
        <v>-26.7204436601966</v>
      </c>
      <c r="G26" s="135" t="n">
        <v>29</v>
      </c>
      <c r="H26" s="297" t="n">
        <v>0</v>
      </c>
      <c r="I26" s="135" t="n">
        <f aca="false">G26+H26</f>
        <v>29</v>
      </c>
      <c r="J26" s="136" t="n">
        <f aca="false">IF(L26&gt;0,L26,0)</f>
        <v>0</v>
      </c>
      <c r="K26" s="135" t="n">
        <f aca="false">I26+J26</f>
        <v>29</v>
      </c>
      <c r="L26" s="135" t="n">
        <f aca="false">F26-(I26-AK26)</f>
        <v>-3.58044366019662</v>
      </c>
      <c r="M26" s="248" t="n">
        <v>3.24</v>
      </c>
      <c r="N26" s="135" t="n">
        <v>0</v>
      </c>
      <c r="O26" s="135" t="n">
        <v>0</v>
      </c>
      <c r="P26" s="158" t="n">
        <v>0</v>
      </c>
      <c r="Q26" s="272" t="n">
        <f aca="false">1092100/325851/1.9835*1.02</f>
        <v>1.72350011182485</v>
      </c>
      <c r="R26" s="131" t="n">
        <f aca="false">((2)*1.04)-T26</f>
        <v>1.37512544</v>
      </c>
      <c r="S26" s="83" t="n">
        <v>0</v>
      </c>
      <c r="T26" s="131" t="n">
        <f aca="false">(0.6394*1.06)*1.04</f>
        <v>0.70487456</v>
      </c>
      <c r="U26" s="96" t="n">
        <f aca="false">M26-(Q26+R26+S26+T26)</f>
        <v>-0.563500111824854</v>
      </c>
      <c r="V26" s="135" t="n">
        <v>21.7</v>
      </c>
      <c r="W26" s="135" t="n">
        <v>0</v>
      </c>
      <c r="X26" s="135" t="n">
        <f aca="false">M26-N26-O26-P26-Q26-R26-S26-T26-U26+V26+W26</f>
        <v>21.7</v>
      </c>
      <c r="Y26" s="135" t="n">
        <f aca="false">X26-AO26</f>
        <v>21.7</v>
      </c>
      <c r="Z26" s="135"/>
      <c r="AA26" s="135"/>
      <c r="AB26" s="107"/>
      <c r="AC26" s="136" t="n">
        <v>0</v>
      </c>
      <c r="AD26" s="107"/>
      <c r="AE26" s="135" t="n">
        <v>0</v>
      </c>
      <c r="AF26" s="248"/>
      <c r="AG26" s="249"/>
      <c r="AH26" s="135" t="n">
        <v>27.2</v>
      </c>
      <c r="AI26" s="107" t="n">
        <f aca="false">AI25-AH26</f>
        <v>1564.4</v>
      </c>
      <c r="AJ26" s="219"/>
      <c r="AK26" s="134" t="n">
        <f aca="false">N26+O26+P26+Q26+R26+S26+T26+U26+X26+AE26+AH26</f>
        <v>52.14</v>
      </c>
      <c r="AL26" s="135" t="n">
        <f aca="false">IF(L26&lt;0,L26*-1,0)</f>
        <v>3.58044366019662</v>
      </c>
      <c r="AM26" s="135" t="n">
        <f aca="false">AK26+AL26</f>
        <v>55.7204436601966</v>
      </c>
      <c r="AN26" s="281" t="n">
        <f aca="false">V26</f>
        <v>21.7</v>
      </c>
      <c r="AO26" s="215" t="n">
        <v>0</v>
      </c>
      <c r="AP26" s="135"/>
      <c r="AQ26" s="107"/>
      <c r="AR26" s="107"/>
      <c r="AS26" s="298"/>
      <c r="AV26" s="222" t="n">
        <v>0</v>
      </c>
      <c r="AW26" s="215" t="n">
        <v>42</v>
      </c>
      <c r="AX26" s="215" t="n">
        <v>-2</v>
      </c>
      <c r="AY26" s="299"/>
      <c r="AZ26" s="250" t="n">
        <f aca="false">SUM(N26,P26:U26)</f>
        <v>3.24</v>
      </c>
    </row>
    <row r="27" customFormat="false" ht="12.95" hidden="false" customHeight="true" outlineLevel="0" collapsed="false">
      <c r="A27" s="183" t="n">
        <f aca="false">A26+1</f>
        <v>13</v>
      </c>
      <c r="B27" s="106" t="n">
        <v>6870.73</v>
      </c>
      <c r="C27" s="107" t="n">
        <v>189760</v>
      </c>
      <c r="D27" s="215" t="n">
        <f aca="false">C27-C26</f>
        <v>-54</v>
      </c>
      <c r="E27" s="107" t="n">
        <f aca="false">C27-152000</f>
        <v>37760</v>
      </c>
      <c r="F27" s="246" t="n">
        <f aca="false">D27/$D$2</f>
        <v>-27.22460297454</v>
      </c>
      <c r="G27" s="135" t="n">
        <v>29</v>
      </c>
      <c r="H27" s="297" t="n">
        <v>0</v>
      </c>
      <c r="I27" s="135" t="n">
        <f aca="false">G27+H27</f>
        <v>29</v>
      </c>
      <c r="J27" s="136" t="n">
        <f aca="false">IF(L27&gt;0,L27,0)</f>
        <v>0</v>
      </c>
      <c r="K27" s="135" t="n">
        <f aca="false">I27+J27</f>
        <v>29</v>
      </c>
      <c r="L27" s="135" t="n">
        <f aca="false">F27-(I27-AK27)</f>
        <v>-4.07460297453995</v>
      </c>
      <c r="M27" s="248" t="n">
        <v>3.25</v>
      </c>
      <c r="N27" s="135" t="n">
        <v>0</v>
      </c>
      <c r="O27" s="135" t="n">
        <v>0</v>
      </c>
      <c r="P27" s="158" t="n">
        <v>0</v>
      </c>
      <c r="Q27" s="272" t="n">
        <f aca="false">639300/325851/1.9835*1.02</f>
        <v>1.0089127566062</v>
      </c>
      <c r="R27" s="131" t="n">
        <f aca="false">((2)*1.04)-T27</f>
        <v>1.37512544</v>
      </c>
      <c r="S27" s="83" t="n">
        <v>0</v>
      </c>
      <c r="T27" s="131" t="n">
        <f aca="false">(0.6394*1.06)*1.04</f>
        <v>0.70487456</v>
      </c>
      <c r="U27" s="96" t="n">
        <f aca="false">M27-(Q27+R27+S27+T27)</f>
        <v>0.161087243393802</v>
      </c>
      <c r="V27" s="135" t="n">
        <v>21.6</v>
      </c>
      <c r="W27" s="135" t="n">
        <v>0</v>
      </c>
      <c r="X27" s="135" t="n">
        <f aca="false">M27-N27-O27-P27-Q27-R27-S27-T27-U27+V27+W27</f>
        <v>21.6</v>
      </c>
      <c r="Y27" s="135" t="n">
        <f aca="false">X27-AO27</f>
        <v>21.6</v>
      </c>
      <c r="Z27" s="135"/>
      <c r="AA27" s="135"/>
      <c r="AB27" s="107"/>
      <c r="AC27" s="136" t="n">
        <v>0</v>
      </c>
      <c r="AD27" s="107"/>
      <c r="AE27" s="135" t="n">
        <v>0</v>
      </c>
      <c r="AF27" s="248"/>
      <c r="AG27" s="249"/>
      <c r="AH27" s="135" t="n">
        <v>27.3</v>
      </c>
      <c r="AI27" s="107" t="n">
        <f aca="false">AI26-AH27</f>
        <v>1537.1</v>
      </c>
      <c r="AJ27" s="219"/>
      <c r="AK27" s="134" t="n">
        <f aca="false">N27+O27+P27+Q27+R27+S27+T27+U27+X27+AE27+AH27</f>
        <v>52.15</v>
      </c>
      <c r="AL27" s="135" t="n">
        <f aca="false">IF(L27&lt;0,L27*-1,0)</f>
        <v>4.07460297453995</v>
      </c>
      <c r="AM27" s="135" t="n">
        <f aca="false">AK27+AL27</f>
        <v>56.22460297454</v>
      </c>
      <c r="AN27" s="281" t="n">
        <f aca="false">V27</f>
        <v>21.6</v>
      </c>
      <c r="AO27" s="215" t="n">
        <v>0</v>
      </c>
      <c r="AP27" s="135"/>
      <c r="AQ27" s="107"/>
      <c r="AR27" s="107"/>
      <c r="AS27" s="298"/>
      <c r="AV27" s="222" t="n">
        <v>0</v>
      </c>
      <c r="AW27" s="215" t="n">
        <v>41</v>
      </c>
      <c r="AX27" s="215" t="n">
        <v>6</v>
      </c>
      <c r="AY27" s="299"/>
      <c r="AZ27" s="250" t="n">
        <f aca="false">SUM(N27,P27:U27)</f>
        <v>3.25</v>
      </c>
    </row>
    <row r="28" customFormat="false" ht="12.95" hidden="false" customHeight="true" outlineLevel="0" collapsed="false">
      <c r="A28" s="183" t="n">
        <f aca="false">A27+1</f>
        <v>14</v>
      </c>
      <c r="B28" s="106" t="n">
        <v>6870.72</v>
      </c>
      <c r="C28" s="107" t="n">
        <v>189733</v>
      </c>
      <c r="D28" s="215" t="n">
        <f aca="false">C28-C27</f>
        <v>-27</v>
      </c>
      <c r="E28" s="107" t="n">
        <f aca="false">C28-152000</f>
        <v>37733</v>
      </c>
      <c r="F28" s="246" t="n">
        <f aca="false">D28/$D$2</f>
        <v>-13.61230148727</v>
      </c>
      <c r="G28" s="135" t="n">
        <v>30</v>
      </c>
      <c r="H28" s="297" t="n">
        <v>0</v>
      </c>
      <c r="I28" s="135" t="n">
        <f aca="false">G28+H28</f>
        <v>30</v>
      </c>
      <c r="J28" s="136" t="n">
        <f aca="false">IF(L28&gt;0,L28,0)</f>
        <v>9.52769851273002</v>
      </c>
      <c r="K28" s="135" t="n">
        <f aca="false">I28+J28</f>
        <v>39.52769851273</v>
      </c>
      <c r="L28" s="135" t="n">
        <f aca="false">F28-(I28-AK28)</f>
        <v>9.52769851273002</v>
      </c>
      <c r="M28" s="248" t="n">
        <v>4.14</v>
      </c>
      <c r="N28" s="135" t="n">
        <v>0</v>
      </c>
      <c r="O28" s="135" t="n">
        <v>0</v>
      </c>
      <c r="P28" s="158" t="n">
        <v>0</v>
      </c>
      <c r="Q28" s="272" t="n">
        <f aca="false">1048700/325851/1.9835*1.02</f>
        <v>1.65500830260116</v>
      </c>
      <c r="R28" s="131" t="n">
        <f aca="false">((2)*1.04)-T28</f>
        <v>1.37512544</v>
      </c>
      <c r="S28" s="83" t="n">
        <v>0</v>
      </c>
      <c r="T28" s="131" t="n">
        <f aca="false">(0.6394*1.06)*1.04</f>
        <v>0.70487456</v>
      </c>
      <c r="U28" s="96" t="n">
        <f aca="false">M28-(Q28+R28+S28+T28)</f>
        <v>0.404991697398842</v>
      </c>
      <c r="V28" s="135" t="n">
        <v>21.6</v>
      </c>
      <c r="W28" s="135" t="n">
        <v>0</v>
      </c>
      <c r="X28" s="135" t="n">
        <f aca="false">M28-N28-O28-P28-Q28-R28-S28-T28-U28+V28+W28</f>
        <v>21.6</v>
      </c>
      <c r="Y28" s="135" t="n">
        <f aca="false">X28-AO28</f>
        <v>21.6</v>
      </c>
      <c r="Z28" s="135"/>
      <c r="AA28" s="135"/>
      <c r="AB28" s="107"/>
      <c r="AC28" s="136" t="n">
        <v>0</v>
      </c>
      <c r="AD28" s="107"/>
      <c r="AE28" s="135" t="n">
        <v>0</v>
      </c>
      <c r="AF28" s="248"/>
      <c r="AG28" s="249"/>
      <c r="AH28" s="135" t="n">
        <v>27.4</v>
      </c>
      <c r="AI28" s="107" t="n">
        <f aca="false">AI27-AH28</f>
        <v>1509.7</v>
      </c>
      <c r="AJ28" s="219"/>
      <c r="AK28" s="134" t="n">
        <f aca="false">N28+O28+P28+Q28+R28+S28+T28+U28+X28+AE28+AH28</f>
        <v>53.14</v>
      </c>
      <c r="AL28" s="135" t="n">
        <f aca="false">IF(L28&lt;0,L28*-1,0)</f>
        <v>0</v>
      </c>
      <c r="AM28" s="135" t="n">
        <f aca="false">AK28+AL28</f>
        <v>53.14</v>
      </c>
      <c r="AN28" s="281" t="n">
        <f aca="false">V28</f>
        <v>21.6</v>
      </c>
      <c r="AO28" s="215" t="n">
        <v>0</v>
      </c>
      <c r="AP28" s="135"/>
      <c r="AQ28" s="107"/>
      <c r="AR28" s="107"/>
      <c r="AS28" s="298"/>
      <c r="AV28" s="222" t="n">
        <v>0</v>
      </c>
      <c r="AW28" s="221" t="n">
        <v>47</v>
      </c>
      <c r="AX28" s="215" t="n">
        <v>5</v>
      </c>
      <c r="AY28" s="299"/>
      <c r="AZ28" s="250" t="n">
        <f aca="false">SUM(N28,P28:U28)</f>
        <v>4.14</v>
      </c>
    </row>
    <row r="29" customFormat="false" ht="12.95" hidden="false" customHeight="true" outlineLevel="0" collapsed="false">
      <c r="A29" s="183" t="n">
        <f aca="false">A28+1</f>
        <v>15</v>
      </c>
      <c r="B29" s="106" t="n">
        <v>6870.71</v>
      </c>
      <c r="C29" s="107" t="n">
        <v>189707</v>
      </c>
      <c r="D29" s="215" t="n">
        <f aca="false">C29-C28</f>
        <v>-26</v>
      </c>
      <c r="E29" s="107" t="n">
        <f aca="false">C29-152000</f>
        <v>37707</v>
      </c>
      <c r="F29" s="246" t="n">
        <f aca="false">D29/$D$2</f>
        <v>-13.1081421729266</v>
      </c>
      <c r="G29" s="135" t="n">
        <v>30</v>
      </c>
      <c r="H29" s="297" t="n">
        <v>0</v>
      </c>
      <c r="I29" s="135" t="n">
        <f aca="false">G29+H29</f>
        <v>30</v>
      </c>
      <c r="J29" s="136" t="n">
        <f aca="false">IF(L29&gt;0,L29,0)</f>
        <v>9.66185782707336</v>
      </c>
      <c r="K29" s="135" t="n">
        <f aca="false">I29+J29</f>
        <v>39.6618578270734</v>
      </c>
      <c r="L29" s="135" t="n">
        <f aca="false">F29-(I29-AK29)</f>
        <v>9.66185782707336</v>
      </c>
      <c r="M29" s="248" t="n">
        <v>3.67</v>
      </c>
      <c r="N29" s="135" t="n">
        <v>0</v>
      </c>
      <c r="O29" s="135" t="n">
        <v>0</v>
      </c>
      <c r="P29" s="158" t="n">
        <v>0</v>
      </c>
      <c r="Q29" s="272" t="n">
        <f aca="false">872900/325851/1.9835*1.02</f>
        <v>1.3775691306766</v>
      </c>
      <c r="R29" s="131" t="n">
        <f aca="false">((2.2)*1.04)-T29</f>
        <v>1.58312544</v>
      </c>
      <c r="S29" s="83" t="n">
        <v>0</v>
      </c>
      <c r="T29" s="131" t="n">
        <f aca="false">(0.6394*1.06)*1.04</f>
        <v>0.70487456</v>
      </c>
      <c r="U29" s="96" t="n">
        <f aca="false">M29-(Q29+R29+S29+T29)</f>
        <v>0.00443086932339964</v>
      </c>
      <c r="V29" s="135" t="n">
        <v>21.6</v>
      </c>
      <c r="W29" s="135" t="n">
        <v>0</v>
      </c>
      <c r="X29" s="135" t="n">
        <f aca="false">M29-N29-O29-P29-Q29-R29-S29-T29-U29+V29+W29</f>
        <v>21.6</v>
      </c>
      <c r="Y29" s="135" t="n">
        <f aca="false">X29-AO29</f>
        <v>21.6</v>
      </c>
      <c r="Z29" s="135"/>
      <c r="AA29" s="135"/>
      <c r="AB29" s="107"/>
      <c r="AC29" s="136" t="n">
        <v>0</v>
      </c>
      <c r="AD29" s="107"/>
      <c r="AE29" s="135" t="n">
        <v>0</v>
      </c>
      <c r="AF29" s="248"/>
      <c r="AG29" s="249"/>
      <c r="AH29" s="135" t="n">
        <v>27.5</v>
      </c>
      <c r="AI29" s="107" t="n">
        <f aca="false">AI28-AH29</f>
        <v>1482.2</v>
      </c>
      <c r="AJ29" s="219"/>
      <c r="AK29" s="134" t="n">
        <f aca="false">N29+O29+P29+Q29+R29+S29+T29+U29+X29+AE29+AH29</f>
        <v>52.77</v>
      </c>
      <c r="AL29" s="135" t="n">
        <f aca="false">IF(L29&lt;0,L29*-1,0)</f>
        <v>0</v>
      </c>
      <c r="AM29" s="135" t="n">
        <f aca="false">AK29+AL29</f>
        <v>52.77</v>
      </c>
      <c r="AN29" s="281" t="n">
        <f aca="false">V29</f>
        <v>21.6</v>
      </c>
      <c r="AO29" s="215" t="n">
        <v>0</v>
      </c>
      <c r="AP29" s="135"/>
      <c r="AQ29" s="107"/>
      <c r="AR29" s="107"/>
      <c r="AS29" s="298"/>
      <c r="AV29" s="222" t="n">
        <v>0</v>
      </c>
      <c r="AW29" s="221" t="n">
        <v>48</v>
      </c>
      <c r="AX29" s="215" t="n">
        <v>7</v>
      </c>
      <c r="AY29" s="299"/>
      <c r="AZ29" s="250" t="n">
        <f aca="false">SUM(N29,P29:U29)</f>
        <v>3.67</v>
      </c>
    </row>
    <row r="30" customFormat="false" ht="12.95" hidden="false" customHeight="true" outlineLevel="0" collapsed="false">
      <c r="A30" s="183" t="n">
        <f aca="false">A29+1</f>
        <v>16</v>
      </c>
      <c r="B30" s="106" t="n">
        <v>6870.69</v>
      </c>
      <c r="C30" s="107" t="n">
        <v>189653</v>
      </c>
      <c r="D30" s="215" t="n">
        <f aca="false">C30-C29</f>
        <v>-54</v>
      </c>
      <c r="E30" s="107" t="n">
        <f aca="false">C30-152000</f>
        <v>37653</v>
      </c>
      <c r="F30" s="246" t="n">
        <f aca="false">D30/$D$2</f>
        <v>-27.22460297454</v>
      </c>
      <c r="G30" s="135" t="n">
        <v>30</v>
      </c>
      <c r="H30" s="297" t="n">
        <v>4.55</v>
      </c>
      <c r="I30" s="135" t="n">
        <f aca="false">G30+H30</f>
        <v>34.55</v>
      </c>
      <c r="J30" s="136" t="n">
        <f aca="false">IF(L30&gt;0,L30,0)</f>
        <v>0</v>
      </c>
      <c r="K30" s="135" t="n">
        <f aca="false">I30+J30</f>
        <v>34.55</v>
      </c>
      <c r="L30" s="135" t="n">
        <f aca="false">F30-(I30-AK30)</f>
        <v>-9.59460297453995</v>
      </c>
      <c r="M30" s="248" t="n">
        <v>3.08</v>
      </c>
      <c r="N30" s="135" t="n">
        <v>0</v>
      </c>
      <c r="O30" s="135" t="n">
        <v>0</v>
      </c>
      <c r="P30" s="158" t="n">
        <v>0</v>
      </c>
      <c r="Q30" s="272" t="n">
        <f aca="false">837800/325851/1.9835*1.02</f>
        <v>1.32217598542886</v>
      </c>
      <c r="R30" s="131" t="n">
        <f aca="false">((2.2)*1.04)-T30</f>
        <v>1.75708416</v>
      </c>
      <c r="S30" s="83" t="n">
        <v>0</v>
      </c>
      <c r="T30" s="131" t="n">
        <f aca="false">(0.4816*1.06)*1.04</f>
        <v>0.53091584</v>
      </c>
      <c r="U30" s="96" t="n">
        <f aca="false">M30-(Q30+R30+S30+T30)</f>
        <v>-0.530175985428864</v>
      </c>
      <c r="V30" s="135" t="n">
        <v>21.6</v>
      </c>
      <c r="W30" s="135" t="n">
        <v>0</v>
      </c>
      <c r="X30" s="135" t="n">
        <f aca="false">M30-N30-O30-P30-Q30-R30-S30-T30-U30+V30+W30</f>
        <v>21.6</v>
      </c>
      <c r="Y30" s="135" t="n">
        <f aca="false">X30-AO30</f>
        <v>21.6</v>
      </c>
      <c r="Z30" s="135"/>
      <c r="AA30" s="135"/>
      <c r="AB30" s="107"/>
      <c r="AC30" s="136" t="n">
        <v>0</v>
      </c>
      <c r="AD30" s="107"/>
      <c r="AE30" s="135" t="n">
        <v>0</v>
      </c>
      <c r="AF30" s="248"/>
      <c r="AG30" s="249"/>
      <c r="AH30" s="135" t="n">
        <v>27.5</v>
      </c>
      <c r="AI30" s="107" t="n">
        <f aca="false">AI29-AH30</f>
        <v>1454.7</v>
      </c>
      <c r="AJ30" s="219"/>
      <c r="AK30" s="134" t="n">
        <f aca="false">N30+O30+P30+Q30+R30+S30+T30+U30+X30+AE30+AH30</f>
        <v>52.18</v>
      </c>
      <c r="AL30" s="135" t="n">
        <f aca="false">IF(L30&lt;0,L30*-1,0)</f>
        <v>9.59460297453995</v>
      </c>
      <c r="AM30" s="135" t="n">
        <f aca="false">AK30+AL30</f>
        <v>61.77460297454</v>
      </c>
      <c r="AN30" s="281" t="n">
        <f aca="false">V30</f>
        <v>21.6</v>
      </c>
      <c r="AO30" s="215" t="n">
        <v>0</v>
      </c>
      <c r="AP30" s="135"/>
      <c r="AQ30" s="107"/>
      <c r="AR30" s="107"/>
      <c r="AS30" s="298"/>
      <c r="AV30" s="222" t="n">
        <v>0</v>
      </c>
      <c r="AW30" s="221" t="n">
        <v>52</v>
      </c>
      <c r="AX30" s="215" t="n">
        <v>12</v>
      </c>
      <c r="AY30" s="299"/>
      <c r="AZ30" s="250" t="n">
        <f aca="false">SUM(N30,P30:U30)</f>
        <v>3.08</v>
      </c>
    </row>
    <row r="31" customFormat="false" ht="12.95" hidden="false" customHeight="true" outlineLevel="0" collapsed="false">
      <c r="A31" s="183" t="n">
        <f aca="false">A30+1</f>
        <v>17</v>
      </c>
      <c r="B31" s="106" t="n">
        <v>6870.67</v>
      </c>
      <c r="C31" s="107" t="n">
        <v>189599</v>
      </c>
      <c r="D31" s="215" t="n">
        <f aca="false">C31-C30</f>
        <v>-54</v>
      </c>
      <c r="E31" s="107" t="n">
        <f aca="false">C31-152000</f>
        <v>37599</v>
      </c>
      <c r="F31" s="246" t="n">
        <f aca="false">D31/$D$2</f>
        <v>-27.22460297454</v>
      </c>
      <c r="G31" s="135" t="n">
        <v>30</v>
      </c>
      <c r="H31" s="297" t="n">
        <v>6.34</v>
      </c>
      <c r="I31" s="135" t="n">
        <f aca="false">G31+H31</f>
        <v>36.34</v>
      </c>
      <c r="J31" s="136" t="n">
        <f aca="false">IF(L31&gt;0,L31,0)</f>
        <v>0</v>
      </c>
      <c r="K31" s="135" t="n">
        <f aca="false">I31+J31</f>
        <v>36.34</v>
      </c>
      <c r="L31" s="135" t="n">
        <f aca="false">F31-(I31-AK31)</f>
        <v>-10.53460297454</v>
      </c>
      <c r="M31" s="248" t="n">
        <v>3.93</v>
      </c>
      <c r="N31" s="135" t="n">
        <v>0</v>
      </c>
      <c r="O31" s="135" t="n">
        <v>0</v>
      </c>
      <c r="P31" s="158" t="n">
        <v>0</v>
      </c>
      <c r="Q31" s="272" t="n">
        <f aca="false">1061300/325851/1.9835*1.02</f>
        <v>1.67489302140804</v>
      </c>
      <c r="R31" s="131" t="n">
        <f aca="false">((2.2)*1.04)-T31</f>
        <v>1.75708416</v>
      </c>
      <c r="S31" s="83" t="n">
        <v>0</v>
      </c>
      <c r="T31" s="131" t="n">
        <f aca="false">(0.4816*1.06)*1.04</f>
        <v>0.53091584</v>
      </c>
      <c r="U31" s="96" t="n">
        <f aca="false">M31-(Q31+R31+S31+T31)</f>
        <v>-0.0328930214080372</v>
      </c>
      <c r="V31" s="135" t="n">
        <v>21.6</v>
      </c>
      <c r="W31" s="135" t="n">
        <v>0</v>
      </c>
      <c r="X31" s="135" t="n">
        <f aca="false">M31-N31-O31-P31-Q31-R31-S31-T31-U31+V31+W31</f>
        <v>21.6</v>
      </c>
      <c r="Y31" s="135" t="n">
        <f aca="false">X31-AO31</f>
        <v>21.6</v>
      </c>
      <c r="Z31" s="135"/>
      <c r="AA31" s="135"/>
      <c r="AB31" s="107"/>
      <c r="AC31" s="136" t="n">
        <v>0</v>
      </c>
      <c r="AD31" s="107"/>
      <c r="AE31" s="135" t="n">
        <v>0</v>
      </c>
      <c r="AF31" s="248"/>
      <c r="AG31" s="249"/>
      <c r="AH31" s="135" t="n">
        <v>27.5</v>
      </c>
      <c r="AI31" s="107" t="n">
        <f aca="false">AI30-AH31</f>
        <v>1427.2</v>
      </c>
      <c r="AJ31" s="219"/>
      <c r="AK31" s="134" t="n">
        <f aca="false">N31+O31+P31+Q31+R31+S31+T31+U31+X31+AE31+AH31</f>
        <v>53.03</v>
      </c>
      <c r="AL31" s="135" t="n">
        <f aca="false">IF(L31&lt;0,L31*-1,0)</f>
        <v>10.53460297454</v>
      </c>
      <c r="AM31" s="135" t="n">
        <f aca="false">AK31+AL31</f>
        <v>63.56460297454</v>
      </c>
      <c r="AN31" s="281" t="n">
        <f aca="false">V31</f>
        <v>21.6</v>
      </c>
      <c r="AO31" s="215" t="n">
        <v>0</v>
      </c>
      <c r="AP31" s="135"/>
      <c r="AQ31" s="107"/>
      <c r="AR31" s="107"/>
      <c r="AS31" s="298"/>
      <c r="AV31" s="222" t="n">
        <v>0</v>
      </c>
      <c r="AW31" s="221" t="n">
        <v>52</v>
      </c>
      <c r="AX31" s="215" t="n">
        <v>15</v>
      </c>
      <c r="AY31" s="299"/>
      <c r="AZ31" s="250" t="n">
        <f aca="false">SUM(N31,P31:U31)</f>
        <v>3.93</v>
      </c>
    </row>
    <row r="32" customFormat="false" ht="12.95" hidden="false" customHeight="true" outlineLevel="0" collapsed="false">
      <c r="A32" s="183" t="n">
        <f aca="false">A31+1</f>
        <v>18</v>
      </c>
      <c r="B32" s="106" t="n">
        <v>6870.66</v>
      </c>
      <c r="C32" s="310" t="n">
        <v>189573</v>
      </c>
      <c r="D32" s="215" t="n">
        <f aca="false">C32-C31</f>
        <v>-26</v>
      </c>
      <c r="E32" s="107" t="n">
        <f aca="false">C32-152000</f>
        <v>37573</v>
      </c>
      <c r="F32" s="246" t="n">
        <f aca="false">D32/$D$2</f>
        <v>-13.1081421729266</v>
      </c>
      <c r="G32" s="135" t="n">
        <v>31</v>
      </c>
      <c r="H32" s="297" t="n">
        <v>1.46</v>
      </c>
      <c r="I32" s="135" t="n">
        <f aca="false">G32+H32</f>
        <v>32.46</v>
      </c>
      <c r="J32" s="136" t="n">
        <f aca="false">IF(L32&gt;0,L32,0)</f>
        <v>7.34185782707335</v>
      </c>
      <c r="K32" s="135" t="n">
        <f aca="false">I32+J32</f>
        <v>39.8018578270733</v>
      </c>
      <c r="L32" s="135" t="n">
        <f aca="false">F32-(I32-AK32)</f>
        <v>7.34185782707335</v>
      </c>
      <c r="M32" s="248" t="n">
        <v>3.81</v>
      </c>
      <c r="N32" s="135" t="n">
        <v>0</v>
      </c>
      <c r="O32" s="135" t="n">
        <v>0</v>
      </c>
      <c r="P32" s="158" t="n">
        <v>0</v>
      </c>
      <c r="Q32" s="272" t="n">
        <f aca="false">989900/325851/1.9835*1.02</f>
        <v>1.56221294816905</v>
      </c>
      <c r="R32" s="131" t="n">
        <f aca="false">((2.2)*1.04)-T32</f>
        <v>1.75708416</v>
      </c>
      <c r="S32" s="83" t="n">
        <v>0</v>
      </c>
      <c r="T32" s="131" t="n">
        <f aca="false">(0.4816*1.06)*1.04</f>
        <v>0.53091584</v>
      </c>
      <c r="U32" s="96" t="n">
        <f aca="false">M32-(Q32+R32+S32+T32)</f>
        <v>-0.040212948169053</v>
      </c>
      <c r="V32" s="135" t="n">
        <v>21.6</v>
      </c>
      <c r="W32" s="135" t="n">
        <v>0</v>
      </c>
      <c r="X32" s="135" t="n">
        <f aca="false">M32-N32-O32-P32-Q32-R32-S32-T32-U32+V32+W32</f>
        <v>21.6</v>
      </c>
      <c r="Y32" s="135" t="n">
        <f aca="false">X32-AO32</f>
        <v>21.6</v>
      </c>
      <c r="Z32" s="135"/>
      <c r="AA32" s="135"/>
      <c r="AB32" s="107"/>
      <c r="AC32" s="136" t="n">
        <v>0</v>
      </c>
      <c r="AD32" s="107"/>
      <c r="AE32" s="135" t="n">
        <v>0</v>
      </c>
      <c r="AF32" s="248"/>
      <c r="AG32" s="249"/>
      <c r="AH32" s="135" t="n">
        <v>27.5</v>
      </c>
      <c r="AI32" s="107" t="n">
        <f aca="false">AI31-AH32</f>
        <v>1399.7</v>
      </c>
      <c r="AJ32" s="219"/>
      <c r="AK32" s="134" t="n">
        <f aca="false">N32+O32+P32+Q32+R32+S32+T32+U32+X32+AE32+AH32</f>
        <v>52.91</v>
      </c>
      <c r="AL32" s="135" t="n">
        <f aca="false">IF(L32&lt;0,L32*-1,0)</f>
        <v>0</v>
      </c>
      <c r="AM32" s="135" t="n">
        <f aca="false">AK32+AL32</f>
        <v>52.91</v>
      </c>
      <c r="AN32" s="281" t="n">
        <f aca="false">V32</f>
        <v>21.6</v>
      </c>
      <c r="AO32" s="215" t="n">
        <v>0</v>
      </c>
      <c r="AP32" s="135"/>
      <c r="AQ32" s="107"/>
      <c r="AR32" s="107"/>
      <c r="AS32" s="298"/>
      <c r="AV32" s="311" t="n">
        <v>0</v>
      </c>
      <c r="AW32" s="221" t="n">
        <v>39</v>
      </c>
      <c r="AX32" s="215" t="n">
        <v>10</v>
      </c>
      <c r="AY32" s="299"/>
      <c r="AZ32" s="250" t="n">
        <f aca="false">SUM(N32,P32:U32)</f>
        <v>3.81</v>
      </c>
    </row>
    <row r="33" customFormat="false" ht="12.95" hidden="false" customHeight="true" outlineLevel="0" collapsed="false">
      <c r="A33" s="183" t="n">
        <f aca="false">A32+1</f>
        <v>19</v>
      </c>
      <c r="B33" s="106" t="n">
        <v>6870.65</v>
      </c>
      <c r="C33" s="310" t="n">
        <v>189546</v>
      </c>
      <c r="D33" s="215" t="n">
        <f aca="false">C33-C32</f>
        <v>-27</v>
      </c>
      <c r="E33" s="107" t="n">
        <f aca="false">C33-152000</f>
        <v>37546</v>
      </c>
      <c r="F33" s="246" t="n">
        <f aca="false">D33/$D$2</f>
        <v>-13.61230148727</v>
      </c>
      <c r="G33" s="135" t="n">
        <v>30</v>
      </c>
      <c r="H33" s="297" t="n">
        <v>1.04</v>
      </c>
      <c r="I33" s="135" t="n">
        <f aca="false">G33+H33</f>
        <v>31.04</v>
      </c>
      <c r="J33" s="136" t="n">
        <f aca="false">IF(L33&gt;0,L33,0)</f>
        <v>7.82769851273003</v>
      </c>
      <c r="K33" s="135" t="n">
        <f aca="false">I33+J33</f>
        <v>38.86769851273</v>
      </c>
      <c r="L33" s="135" t="n">
        <f aca="false">F33-(I33-AK33)</f>
        <v>7.82769851273003</v>
      </c>
      <c r="M33" s="248" t="n">
        <v>3.38</v>
      </c>
      <c r="N33" s="135" t="n">
        <v>0</v>
      </c>
      <c r="O33" s="135" t="n">
        <v>0</v>
      </c>
      <c r="P33" s="158" t="n">
        <v>0</v>
      </c>
      <c r="Q33" s="272" t="n">
        <f aca="false">1015200/325851/1.9835*1.02</f>
        <v>1.60214020101144</v>
      </c>
      <c r="R33" s="131" t="n">
        <f aca="false">((2.2)*1.04)-T33</f>
        <v>1.75708416</v>
      </c>
      <c r="S33" s="83" t="n">
        <v>0</v>
      </c>
      <c r="T33" s="131" t="n">
        <f aca="false">(0.4816*1.06)*1.04</f>
        <v>0.53091584</v>
      </c>
      <c r="U33" s="96" t="n">
        <f aca="false">M33-(Q33+R33+S33+T33)</f>
        <v>-0.510140201011439</v>
      </c>
      <c r="V33" s="135" t="n">
        <v>21.6</v>
      </c>
      <c r="W33" s="135" t="n">
        <v>0</v>
      </c>
      <c r="X33" s="135" t="n">
        <f aca="false">M33-N33-O33-P33-Q33-R33-S33-T33-U33+V33+W33</f>
        <v>21.6</v>
      </c>
      <c r="Y33" s="135" t="n">
        <f aca="false">X33-AO33</f>
        <v>21.6</v>
      </c>
      <c r="Z33" s="135"/>
      <c r="AA33" s="135"/>
      <c r="AB33" s="107"/>
      <c r="AC33" s="136" t="n">
        <v>0</v>
      </c>
      <c r="AD33" s="107"/>
      <c r="AE33" s="135" t="n">
        <v>0</v>
      </c>
      <c r="AF33" s="248"/>
      <c r="AG33" s="249"/>
      <c r="AH33" s="135" t="n">
        <v>27.5</v>
      </c>
      <c r="AI33" s="107" t="n">
        <f aca="false">AI32-AH33</f>
        <v>1372.2</v>
      </c>
      <c r="AJ33" s="219"/>
      <c r="AK33" s="134" t="n">
        <f aca="false">N33+O33+P33+Q33+R33+S33+T33+U33+X33+AE33+AH33</f>
        <v>52.48</v>
      </c>
      <c r="AL33" s="135" t="n">
        <f aca="false">IF(L33&lt;0,L33*-1,0)</f>
        <v>0</v>
      </c>
      <c r="AM33" s="135" t="n">
        <f aca="false">AK33+AL33</f>
        <v>52.48</v>
      </c>
      <c r="AN33" s="281" t="n">
        <f aca="false">V33</f>
        <v>21.6</v>
      </c>
      <c r="AO33" s="215" t="n">
        <v>0</v>
      </c>
      <c r="AP33" s="135"/>
      <c r="AQ33" s="107"/>
      <c r="AR33" s="107"/>
      <c r="AS33" s="298"/>
      <c r="AV33" s="222" t="n">
        <v>0</v>
      </c>
      <c r="AW33" s="221" t="n">
        <v>49</v>
      </c>
      <c r="AX33" s="215" t="n">
        <v>9</v>
      </c>
      <c r="AY33" s="299"/>
      <c r="AZ33" s="250" t="n">
        <f aca="false">SUM(N33,P33:U33)</f>
        <v>3.38</v>
      </c>
    </row>
    <row r="34" customFormat="false" ht="12.95" hidden="false" customHeight="true" outlineLevel="0" collapsed="false">
      <c r="A34" s="183" t="n">
        <f aca="false">A33+1</f>
        <v>20</v>
      </c>
      <c r="B34" s="106" t="n">
        <v>6870.64</v>
      </c>
      <c r="C34" s="107" t="n">
        <v>189519</v>
      </c>
      <c r="D34" s="215" t="n">
        <f aca="false">C34-C33</f>
        <v>-27</v>
      </c>
      <c r="E34" s="107" t="n">
        <f aca="false">C34-152000</f>
        <v>37519</v>
      </c>
      <c r="F34" s="246" t="n">
        <f aca="false">D34/$D$2</f>
        <v>-13.61230148727</v>
      </c>
      <c r="G34" s="135" t="n">
        <v>31</v>
      </c>
      <c r="H34" s="297" t="n">
        <v>0</v>
      </c>
      <c r="I34" s="135" t="n">
        <f aca="false">G34+H34</f>
        <v>31</v>
      </c>
      <c r="J34" s="136" t="n">
        <f aca="false">IF(L34&gt;0,L34,0)</f>
        <v>7.91769851273002</v>
      </c>
      <c r="K34" s="135" t="n">
        <f aca="false">I34+J34</f>
        <v>38.91769851273</v>
      </c>
      <c r="L34" s="135" t="n">
        <f aca="false">F34-(I34-AK34)</f>
        <v>7.91769851273002</v>
      </c>
      <c r="M34" s="248" t="n">
        <v>3.43</v>
      </c>
      <c r="N34" s="135" t="n">
        <v>0</v>
      </c>
      <c r="O34" s="135" t="n">
        <v>0</v>
      </c>
      <c r="P34" s="158" t="n">
        <v>0</v>
      </c>
      <c r="Q34" s="272" t="n">
        <f aca="false">944200/325851/1.9835*1.02</f>
        <v>1.49009138868696</v>
      </c>
      <c r="R34" s="131" t="n">
        <f aca="false">((2.2)*1.04)-T34</f>
        <v>1.75708416</v>
      </c>
      <c r="S34" s="83" t="n">
        <v>0</v>
      </c>
      <c r="T34" s="131" t="n">
        <f aca="false">(0.4816*1.06)*1.04</f>
        <v>0.53091584</v>
      </c>
      <c r="U34" s="96" t="n">
        <f aca="false">M34-(Q34+R34+S34+T34)</f>
        <v>-0.348091388686958</v>
      </c>
      <c r="V34" s="135" t="n">
        <v>21.6</v>
      </c>
      <c r="W34" s="135" t="n">
        <v>0</v>
      </c>
      <c r="X34" s="135" t="n">
        <f aca="false">M34-N34-O34-P34-Q34-R34-S34-T34-U34+V34+W34</f>
        <v>21.6</v>
      </c>
      <c r="Y34" s="135" t="n">
        <f aca="false">X34-AO34</f>
        <v>21.6</v>
      </c>
      <c r="Z34" s="135"/>
      <c r="AA34" s="135"/>
      <c r="AB34" s="107"/>
      <c r="AC34" s="136" t="n">
        <v>0</v>
      </c>
      <c r="AD34" s="107"/>
      <c r="AE34" s="135" t="n">
        <v>0</v>
      </c>
      <c r="AF34" s="248"/>
      <c r="AG34" s="249"/>
      <c r="AH34" s="135" t="n">
        <v>27.5</v>
      </c>
      <c r="AI34" s="107" t="n">
        <f aca="false">AI33-AH34</f>
        <v>1344.7</v>
      </c>
      <c r="AJ34" s="219"/>
      <c r="AK34" s="134" t="n">
        <f aca="false">N34+O34+P34+Q34+R34+S34+T34+U34+X34+AE34+AH34</f>
        <v>52.53</v>
      </c>
      <c r="AL34" s="135" t="n">
        <f aca="false">IF(L34&lt;0,L34*-1,0)</f>
        <v>0</v>
      </c>
      <c r="AM34" s="135" t="n">
        <f aca="false">AK34+AL34</f>
        <v>52.53</v>
      </c>
      <c r="AN34" s="281" t="n">
        <f aca="false">V34</f>
        <v>21.6</v>
      </c>
      <c r="AO34" s="215" t="n">
        <v>0</v>
      </c>
      <c r="AP34" s="135"/>
      <c r="AQ34" s="107"/>
      <c r="AR34" s="107"/>
      <c r="AS34" s="298"/>
      <c r="AV34" s="222" t="n">
        <v>0</v>
      </c>
      <c r="AW34" s="221" t="n">
        <v>41</v>
      </c>
      <c r="AX34" s="215" t="n">
        <v>11</v>
      </c>
      <c r="AY34" s="299"/>
      <c r="AZ34" s="250" t="n">
        <f aca="false">SUM(N34,P34:U34)</f>
        <v>3.43</v>
      </c>
    </row>
    <row r="35" customFormat="false" ht="12.95" hidden="false" customHeight="true" outlineLevel="0" collapsed="false">
      <c r="A35" s="183" t="n">
        <f aca="false">A34+1</f>
        <v>21</v>
      </c>
      <c r="B35" s="106" t="n">
        <v>6870.63</v>
      </c>
      <c r="C35" s="107" t="n">
        <v>189492</v>
      </c>
      <c r="D35" s="215" t="n">
        <f aca="false">C35-C34</f>
        <v>-27</v>
      </c>
      <c r="E35" s="107" t="n">
        <f aca="false">C35-152000</f>
        <v>37492</v>
      </c>
      <c r="F35" s="246" t="n">
        <f aca="false">D35/$D$2</f>
        <v>-13.61230148727</v>
      </c>
      <c r="G35" s="135" t="n">
        <v>31</v>
      </c>
      <c r="H35" s="297" t="n">
        <v>0</v>
      </c>
      <c r="I35" s="135" t="n">
        <f aca="false">G35+H35</f>
        <v>31</v>
      </c>
      <c r="J35" s="136" t="n">
        <f aca="false">IF(L35&gt;0,L35,0)</f>
        <v>8.14769851273003</v>
      </c>
      <c r="K35" s="135" t="n">
        <f aca="false">I35+J35</f>
        <v>39.14769851273</v>
      </c>
      <c r="L35" s="135" t="n">
        <f aca="false">F35-(I35-AK35)</f>
        <v>8.14769851273003</v>
      </c>
      <c r="M35" s="248" t="n">
        <v>3.66</v>
      </c>
      <c r="N35" s="135" t="n">
        <v>0</v>
      </c>
      <c r="O35" s="135" t="n">
        <v>0</v>
      </c>
      <c r="P35" s="158" t="n">
        <v>0</v>
      </c>
      <c r="Q35" s="272" t="n">
        <f aca="false">854100/325851/1.9835*1.02</f>
        <v>1.34789986769491</v>
      </c>
      <c r="R35" s="131" t="n">
        <f aca="false">((2.2)*1.04)-T35</f>
        <v>1.75708416</v>
      </c>
      <c r="S35" s="83" t="n">
        <v>0</v>
      </c>
      <c r="T35" s="131" t="n">
        <f aca="false">(0.4816*1.06)*1.04</f>
        <v>0.53091584</v>
      </c>
      <c r="U35" s="96" t="n">
        <f aca="false">M35-(Q35+R35+S35+T35)</f>
        <v>0.0241001323050933</v>
      </c>
      <c r="V35" s="135" t="n">
        <v>21.6</v>
      </c>
      <c r="W35" s="135" t="n">
        <v>0</v>
      </c>
      <c r="X35" s="135" t="n">
        <f aca="false">M35-N35-O35-P35-Q35-R35-S35-T35-U35+V35+W35</f>
        <v>21.6</v>
      </c>
      <c r="Y35" s="135" t="n">
        <f aca="false">X35-AO35</f>
        <v>21.6</v>
      </c>
      <c r="Z35" s="135"/>
      <c r="AA35" s="135"/>
      <c r="AB35" s="107"/>
      <c r="AC35" s="136" t="n">
        <v>0</v>
      </c>
      <c r="AD35" s="107"/>
      <c r="AE35" s="135" t="n">
        <v>0</v>
      </c>
      <c r="AF35" s="248"/>
      <c r="AG35" s="249"/>
      <c r="AH35" s="135" t="n">
        <v>27.5</v>
      </c>
      <c r="AI35" s="107" t="n">
        <f aca="false">AI34-AH35</f>
        <v>1317.2</v>
      </c>
      <c r="AJ35" s="219"/>
      <c r="AK35" s="134" t="n">
        <f aca="false">N35+O35+P35+Q35+R35+S35+T35+U35+X35+AE35+AH35</f>
        <v>52.76</v>
      </c>
      <c r="AL35" s="135" t="n">
        <f aca="false">IF(L35&lt;0,L35*-1,0)</f>
        <v>0</v>
      </c>
      <c r="AM35" s="135" t="n">
        <f aca="false">AK35+AL35</f>
        <v>52.76</v>
      </c>
      <c r="AN35" s="281" t="n">
        <f aca="false">V35</f>
        <v>21.6</v>
      </c>
      <c r="AO35" s="215" t="n">
        <v>0</v>
      </c>
      <c r="AP35" s="135"/>
      <c r="AQ35" s="107"/>
      <c r="AR35" s="107"/>
      <c r="AS35" s="298"/>
      <c r="AV35" s="222" t="n">
        <v>0</v>
      </c>
      <c r="AW35" s="215" t="n">
        <v>40</v>
      </c>
      <c r="AX35" s="215" t="n">
        <v>12</v>
      </c>
      <c r="AY35" s="299"/>
      <c r="AZ35" s="250" t="n">
        <f aca="false">SUM(N35,P35:U35)</f>
        <v>3.66</v>
      </c>
    </row>
    <row r="36" customFormat="false" ht="12.95" hidden="false" customHeight="true" outlineLevel="0" collapsed="false">
      <c r="A36" s="183" t="n">
        <f aca="false">A35+1</f>
        <v>22</v>
      </c>
      <c r="B36" s="106" t="n">
        <v>6870.61</v>
      </c>
      <c r="C36" s="107" t="n">
        <v>189438</v>
      </c>
      <c r="D36" s="215" t="n">
        <f aca="false">C36-C35</f>
        <v>-54</v>
      </c>
      <c r="E36" s="107" t="n">
        <f aca="false">C36-152000</f>
        <v>37438</v>
      </c>
      <c r="F36" s="246" t="n">
        <f aca="false">D36/$D$2</f>
        <v>-27.22460297454</v>
      </c>
      <c r="G36" s="135" t="n">
        <v>30</v>
      </c>
      <c r="H36" s="297" t="n">
        <v>0</v>
      </c>
      <c r="I36" s="135" t="n">
        <f aca="false">G36+H36</f>
        <v>30</v>
      </c>
      <c r="J36" s="136" t="n">
        <f aca="false">IF(L36&gt;0,L36,0)</f>
        <v>0</v>
      </c>
      <c r="K36" s="135" t="n">
        <f aca="false">I36+J36</f>
        <v>30</v>
      </c>
      <c r="L36" s="135" t="n">
        <f aca="false">F36-(I36-AK36)</f>
        <v>-4.65460297453996</v>
      </c>
      <c r="M36" s="248" t="n">
        <v>3.47</v>
      </c>
      <c r="N36" s="135" t="n">
        <v>0</v>
      </c>
      <c r="O36" s="135" t="n">
        <v>0</v>
      </c>
      <c r="P36" s="158" t="n">
        <v>0</v>
      </c>
      <c r="Q36" s="272" t="n">
        <f aca="false">878900/325851/1.9835*1.02</f>
        <v>1.38703804439416</v>
      </c>
      <c r="R36" s="131" t="n">
        <f aca="false">((2.2)*1.04)-T36</f>
        <v>1.75708416</v>
      </c>
      <c r="S36" s="83" t="n">
        <v>0</v>
      </c>
      <c r="T36" s="131" t="n">
        <f aca="false">(0.4816*1.06)*1.04</f>
        <v>0.53091584</v>
      </c>
      <c r="U36" s="96" t="n">
        <f aca="false">M36-(Q36+R36+S36+T36)</f>
        <v>-0.205038044394162</v>
      </c>
      <c r="V36" s="135" t="n">
        <v>21.6</v>
      </c>
      <c r="W36" s="135" t="n">
        <v>0</v>
      </c>
      <c r="X36" s="135" t="n">
        <f aca="false">M36-N36-O36-P36-Q36-R36-S36-T36-U36+V36+W36</f>
        <v>21.6</v>
      </c>
      <c r="Y36" s="135" t="n">
        <f aca="false">X36-AO36</f>
        <v>21.6</v>
      </c>
      <c r="Z36" s="135"/>
      <c r="AA36" s="135"/>
      <c r="AB36" s="107"/>
      <c r="AC36" s="136" t="n">
        <v>0</v>
      </c>
      <c r="AD36" s="107"/>
      <c r="AE36" s="135" t="n">
        <v>0</v>
      </c>
      <c r="AF36" s="248"/>
      <c r="AG36" s="249"/>
      <c r="AH36" s="135" t="n">
        <v>27.5</v>
      </c>
      <c r="AI36" s="107" t="n">
        <f aca="false">AI35-AH36</f>
        <v>1289.7</v>
      </c>
      <c r="AJ36" s="219"/>
      <c r="AK36" s="134" t="n">
        <f aca="false">N36+O36+P36+Q36+R36+S36+T36+U36+X36+AE36+AH36</f>
        <v>52.57</v>
      </c>
      <c r="AL36" s="135" t="n">
        <f aca="false">IF(L36&lt;0,L36*-1,0)</f>
        <v>4.65460297453996</v>
      </c>
      <c r="AM36" s="135" t="n">
        <f aca="false">AK36+AL36</f>
        <v>57.22460297454</v>
      </c>
      <c r="AN36" s="281" t="n">
        <f aca="false">V36</f>
        <v>21.6</v>
      </c>
      <c r="AO36" s="215" t="n">
        <v>0</v>
      </c>
      <c r="AP36" s="135"/>
      <c r="AQ36" s="107"/>
      <c r="AR36" s="107"/>
      <c r="AS36" s="298"/>
      <c r="AV36" s="222" t="n">
        <v>0</v>
      </c>
      <c r="AW36" s="215" t="n">
        <v>35</v>
      </c>
      <c r="AX36" s="215" t="n">
        <v>6</v>
      </c>
      <c r="AY36" s="299"/>
      <c r="AZ36" s="250" t="n">
        <f aca="false">SUM(N36,P36:U36)</f>
        <v>3.47</v>
      </c>
    </row>
    <row r="37" customFormat="false" ht="12.95" hidden="false" customHeight="true" outlineLevel="0" collapsed="false">
      <c r="A37" s="183" t="n">
        <f aca="false">A36+1</f>
        <v>23</v>
      </c>
      <c r="B37" s="106" t="n">
        <v>6870.59</v>
      </c>
      <c r="C37" s="107" t="n">
        <v>189385</v>
      </c>
      <c r="D37" s="215" t="n">
        <f aca="false">C37-C36</f>
        <v>-53</v>
      </c>
      <c r="E37" s="107" t="n">
        <f aca="false">C37-152000</f>
        <v>37385</v>
      </c>
      <c r="F37" s="246" t="n">
        <f aca="false">D37/$D$2</f>
        <v>-26.7204436601966</v>
      </c>
      <c r="G37" s="135" t="n">
        <v>28</v>
      </c>
      <c r="H37" s="297" t="n">
        <v>0</v>
      </c>
      <c r="I37" s="135" t="n">
        <f aca="false">G37+H37</f>
        <v>28</v>
      </c>
      <c r="J37" s="136" t="n">
        <f aca="false">IF(L37&gt;0,L37,0)</f>
        <v>0</v>
      </c>
      <c r="K37" s="135" t="n">
        <f aca="false">I37+J37</f>
        <v>28</v>
      </c>
      <c r="L37" s="135" t="n">
        <f aca="false">F37-(I37-AK37)</f>
        <v>-1.93044366019662</v>
      </c>
      <c r="M37" s="248" t="n">
        <v>3.69</v>
      </c>
      <c r="N37" s="135" t="n">
        <v>0</v>
      </c>
      <c r="O37" s="135" t="n">
        <v>0</v>
      </c>
      <c r="P37" s="158" t="n">
        <v>0</v>
      </c>
      <c r="Q37" s="272" t="n">
        <f aca="false">945700/325851/1.9835*1.02</f>
        <v>1.49245861711635</v>
      </c>
      <c r="R37" s="131" t="n">
        <f aca="false">((2.2)*1.04)-T37</f>
        <v>1.47949984</v>
      </c>
      <c r="S37" s="83" t="n">
        <v>0</v>
      </c>
      <c r="T37" s="131" t="n">
        <f aca="false">(0.7334*1.06)*1.04</f>
        <v>0.80850016</v>
      </c>
      <c r="U37" s="96" t="n">
        <f aca="false">M37-(Q37+R37+S37+T37)</f>
        <v>-0.0904586171163486</v>
      </c>
      <c r="V37" s="135" t="n">
        <v>21.6</v>
      </c>
      <c r="W37" s="135" t="n">
        <v>0</v>
      </c>
      <c r="X37" s="135" t="n">
        <f aca="false">M37-N37-O37-P37-Q37-R37-S37-T37-U37+V37+W37</f>
        <v>21.6</v>
      </c>
      <c r="Y37" s="135" t="n">
        <f aca="false">X37-AO37</f>
        <v>21.6</v>
      </c>
      <c r="Z37" s="135"/>
      <c r="AA37" s="135"/>
      <c r="AB37" s="107"/>
      <c r="AC37" s="136" t="n">
        <v>0</v>
      </c>
      <c r="AD37" s="107"/>
      <c r="AE37" s="135" t="n">
        <v>0</v>
      </c>
      <c r="AF37" s="248"/>
      <c r="AG37" s="249"/>
      <c r="AH37" s="135" t="n">
        <v>27.5</v>
      </c>
      <c r="AI37" s="107" t="n">
        <f aca="false">AI36-AH37</f>
        <v>1262.2</v>
      </c>
      <c r="AJ37" s="219"/>
      <c r="AK37" s="134" t="n">
        <f aca="false">N37+O37+P37+Q37+R37+S37+T37+U37+X37+AE37+AH37</f>
        <v>52.79</v>
      </c>
      <c r="AL37" s="135" t="n">
        <f aca="false">IF(L37&lt;0,L37*-1,0)</f>
        <v>1.93044366019662</v>
      </c>
      <c r="AM37" s="135" t="n">
        <f aca="false">AK37+AL37</f>
        <v>54.7204436601966</v>
      </c>
      <c r="AN37" s="281" t="n">
        <f aca="false">V37</f>
        <v>21.6</v>
      </c>
      <c r="AO37" s="215" t="n">
        <v>0</v>
      </c>
      <c r="AP37" s="135"/>
      <c r="AQ37" s="107"/>
      <c r="AR37" s="107"/>
      <c r="AS37" s="298"/>
      <c r="AV37" s="222" t="n">
        <v>0</v>
      </c>
      <c r="AW37" s="215" t="n">
        <v>38</v>
      </c>
      <c r="AX37" s="221" t="n">
        <v>4</v>
      </c>
      <c r="AY37" s="299"/>
      <c r="AZ37" s="250" t="n">
        <f aca="false">SUM(N37,P37:U37)</f>
        <v>3.69</v>
      </c>
    </row>
    <row r="38" customFormat="false" ht="12.95" hidden="false" customHeight="true" outlineLevel="0" collapsed="false">
      <c r="A38" s="183" t="n">
        <f aca="false">A37+1</f>
        <v>24</v>
      </c>
      <c r="B38" s="106" t="n">
        <v>6870.57</v>
      </c>
      <c r="C38" s="107" t="n">
        <v>189331</v>
      </c>
      <c r="D38" s="215" t="n">
        <f aca="false">C38-C37</f>
        <v>-54</v>
      </c>
      <c r="E38" s="107" t="n">
        <f aca="false">C38-152000</f>
        <v>37331</v>
      </c>
      <c r="F38" s="246" t="n">
        <f aca="false">D38/$D$2</f>
        <v>-27.22460297454</v>
      </c>
      <c r="G38" s="135" t="n">
        <v>30</v>
      </c>
      <c r="H38" s="297" t="n">
        <v>0</v>
      </c>
      <c r="I38" s="135" t="n">
        <f aca="false">G38+H38</f>
        <v>30</v>
      </c>
      <c r="J38" s="136" t="n">
        <f aca="false">IF(L38&gt;0,L38,0)</f>
        <v>0</v>
      </c>
      <c r="K38" s="135" t="n">
        <f aca="false">I38+J38</f>
        <v>30</v>
      </c>
      <c r="L38" s="135" t="n">
        <f aca="false">F38-(I38-AK38)</f>
        <v>-4.28460297453995</v>
      </c>
      <c r="M38" s="248" t="n">
        <v>3.74</v>
      </c>
      <c r="N38" s="135" t="n">
        <v>0</v>
      </c>
      <c r="O38" s="135" t="n">
        <v>0</v>
      </c>
      <c r="P38" s="158" t="n">
        <v>0</v>
      </c>
      <c r="Q38" s="272" t="n">
        <f aca="false">1097400/325851/1.9835*1.02</f>
        <v>1.73186431894203</v>
      </c>
      <c r="R38" s="131" t="n">
        <f aca="false">((2.2)*1.04)-T38</f>
        <v>1.47949984</v>
      </c>
      <c r="S38" s="83" t="n">
        <v>0</v>
      </c>
      <c r="T38" s="131" t="n">
        <f aca="false">(0.7334*1.06)*1.04</f>
        <v>0.80850016</v>
      </c>
      <c r="U38" s="96" t="n">
        <f aca="false">M38-(Q38+R38+S38+T38)</f>
        <v>-0.279864318942034</v>
      </c>
      <c r="V38" s="135" t="n">
        <v>21.6</v>
      </c>
      <c r="W38" s="135" t="n">
        <v>0</v>
      </c>
      <c r="X38" s="135" t="n">
        <f aca="false">M38-N38-O38-P38-Q38-R38-S38-T38-U38+V38+W38</f>
        <v>21.6</v>
      </c>
      <c r="Y38" s="135" t="n">
        <f aca="false">X38-AO38</f>
        <v>21.6</v>
      </c>
      <c r="Z38" s="135"/>
      <c r="AA38" s="135"/>
      <c r="AB38" s="107"/>
      <c r="AC38" s="136" t="n">
        <v>0</v>
      </c>
      <c r="AD38" s="107"/>
      <c r="AE38" s="135" t="n">
        <v>0</v>
      </c>
      <c r="AF38" s="248"/>
      <c r="AG38" s="249"/>
      <c r="AH38" s="135" t="n">
        <v>27.6</v>
      </c>
      <c r="AI38" s="107" t="n">
        <f aca="false">AI37-AH38</f>
        <v>1234.6</v>
      </c>
      <c r="AJ38" s="219"/>
      <c r="AK38" s="134" t="n">
        <f aca="false">N38+O38+P38+Q38+R38+S38+T38+U38+X38+AE38+AH38</f>
        <v>52.94</v>
      </c>
      <c r="AL38" s="135" t="n">
        <f aca="false">IF(L38&lt;0,L38*-1,0)</f>
        <v>4.28460297453995</v>
      </c>
      <c r="AM38" s="135" t="n">
        <f aca="false">AK38+AL38</f>
        <v>57.22460297454</v>
      </c>
      <c r="AN38" s="281" t="n">
        <f aca="false">V38</f>
        <v>21.6</v>
      </c>
      <c r="AO38" s="215" t="n">
        <v>0</v>
      </c>
      <c r="AP38" s="135"/>
      <c r="AQ38" s="107"/>
      <c r="AR38" s="107"/>
      <c r="AS38" s="298"/>
      <c r="AV38" s="222" t="n">
        <v>0</v>
      </c>
      <c r="AW38" s="215" t="n">
        <v>31</v>
      </c>
      <c r="AX38" s="221" t="n">
        <v>-4</v>
      </c>
      <c r="AY38" s="299"/>
      <c r="AZ38" s="250" t="n">
        <f aca="false">SUM(N38,P38:U38)</f>
        <v>3.74</v>
      </c>
    </row>
    <row r="39" customFormat="false" ht="12.95" hidden="false" customHeight="true" outlineLevel="0" collapsed="false">
      <c r="A39" s="183" t="n">
        <f aca="false">A38+1</f>
        <v>25</v>
      </c>
      <c r="B39" s="106" t="n">
        <v>6870.55</v>
      </c>
      <c r="C39" s="107" t="n">
        <v>189278</v>
      </c>
      <c r="D39" s="215" t="n">
        <f aca="false">C39-C38</f>
        <v>-53</v>
      </c>
      <c r="E39" s="107" t="n">
        <f aca="false">C39-152000</f>
        <v>37278</v>
      </c>
      <c r="F39" s="246" t="n">
        <f aca="false">D39/$D$2</f>
        <v>-26.7204436601966</v>
      </c>
      <c r="G39" s="135" t="n">
        <v>29</v>
      </c>
      <c r="H39" s="297" t="n">
        <v>0</v>
      </c>
      <c r="I39" s="135" t="n">
        <f aca="false">G39+H39</f>
        <v>29</v>
      </c>
      <c r="J39" s="136" t="n">
        <f aca="false">IF(L39&gt;0,L39,0)</f>
        <v>0</v>
      </c>
      <c r="K39" s="135" t="n">
        <f aca="false">I39+J39</f>
        <v>29</v>
      </c>
      <c r="L39" s="135" t="n">
        <f aca="false">F39-(I39-AK39)</f>
        <v>-2.62044366019662</v>
      </c>
      <c r="M39" s="248" t="n">
        <v>3.9</v>
      </c>
      <c r="N39" s="135" t="n">
        <v>0</v>
      </c>
      <c r="O39" s="135" t="n">
        <v>0</v>
      </c>
      <c r="P39" s="158" t="n">
        <v>0</v>
      </c>
      <c r="Q39" s="272" t="n">
        <f aca="false">1059000/325851/1.9835*1.02</f>
        <v>1.67126327114964</v>
      </c>
      <c r="R39" s="131" t="n">
        <f aca="false">((2.2)*1.04)-T39</f>
        <v>1.47949984</v>
      </c>
      <c r="S39" s="83" t="n">
        <v>0</v>
      </c>
      <c r="T39" s="131" t="n">
        <f aca="false">(0.7334*1.06)*1.04</f>
        <v>0.80850016</v>
      </c>
      <c r="U39" s="96" t="n">
        <f aca="false">M39-(Q39+R39+S39+T39)</f>
        <v>-0.0592632711496388</v>
      </c>
      <c r="V39" s="135" t="n">
        <v>21.6</v>
      </c>
      <c r="W39" s="135" t="n">
        <v>0</v>
      </c>
      <c r="X39" s="135" t="n">
        <f aca="false">M39-N39-O39-P39-Q39-R39-S39-T39-U39+V39+W39</f>
        <v>21.6</v>
      </c>
      <c r="Y39" s="135" t="n">
        <f aca="false">X39-AO39</f>
        <v>21.6</v>
      </c>
      <c r="Z39" s="135"/>
      <c r="AA39" s="135"/>
      <c r="AB39" s="107"/>
      <c r="AC39" s="136" t="n">
        <v>0</v>
      </c>
      <c r="AD39" s="107"/>
      <c r="AE39" s="135" t="n">
        <v>0</v>
      </c>
      <c r="AF39" s="248"/>
      <c r="AG39" s="249"/>
      <c r="AH39" s="135" t="n">
        <v>27.6</v>
      </c>
      <c r="AI39" s="107" t="n">
        <f aca="false">AI38-AH39</f>
        <v>1207</v>
      </c>
      <c r="AJ39" s="219"/>
      <c r="AK39" s="134" t="n">
        <f aca="false">N39+O39+P39+Q39+R39+S39+T39+U39+X39+AE39+AH39</f>
        <v>53.1</v>
      </c>
      <c r="AL39" s="135" t="n">
        <f aca="false">IF(L39&lt;0,L39*-1,0)</f>
        <v>2.62044366019662</v>
      </c>
      <c r="AM39" s="135" t="n">
        <f aca="false">AK39+AL39</f>
        <v>55.7204436601966</v>
      </c>
      <c r="AN39" s="281" t="n">
        <f aca="false">V39</f>
        <v>21.6</v>
      </c>
      <c r="AO39" s="215" t="n">
        <v>0</v>
      </c>
      <c r="AP39" s="135"/>
      <c r="AQ39" s="107"/>
      <c r="AR39" s="107"/>
      <c r="AS39" s="298"/>
      <c r="AV39" s="222" t="n">
        <v>0</v>
      </c>
      <c r="AW39" s="215" t="n">
        <v>41</v>
      </c>
      <c r="AX39" s="221" t="n">
        <v>15</v>
      </c>
      <c r="AY39" s="299"/>
      <c r="AZ39" s="250" t="n">
        <f aca="false">SUM(N39,P39:U39)</f>
        <v>3.9</v>
      </c>
    </row>
    <row r="40" customFormat="false" ht="12.95" hidden="false" customHeight="true" outlineLevel="0" collapsed="false">
      <c r="A40" s="183" t="n">
        <f aca="false">A39+1</f>
        <v>26</v>
      </c>
      <c r="B40" s="106" t="n">
        <v>6870.54</v>
      </c>
      <c r="C40" s="107" t="n">
        <v>189254</v>
      </c>
      <c r="D40" s="215" t="n">
        <f aca="false">C40-C39</f>
        <v>-24</v>
      </c>
      <c r="E40" s="107" t="n">
        <f aca="false">C40-152000</f>
        <v>37254</v>
      </c>
      <c r="F40" s="246" t="n">
        <f aca="false">D40/$D$2</f>
        <v>-12.09982354424</v>
      </c>
      <c r="G40" s="135" t="n">
        <v>30</v>
      </c>
      <c r="H40" s="297" t="n">
        <v>0</v>
      </c>
      <c r="I40" s="135" t="n">
        <f aca="false">G40+H40</f>
        <v>30</v>
      </c>
      <c r="J40" s="136" t="n">
        <f aca="false">IF(L40&gt;0,L40,0)</f>
        <v>10.00017645576</v>
      </c>
      <c r="K40" s="135" t="n">
        <f aca="false">I40+J40</f>
        <v>40.00017645576</v>
      </c>
      <c r="L40" s="135" t="n">
        <f aca="false">F40-(I40-AK40)</f>
        <v>10.00017645576</v>
      </c>
      <c r="M40" s="248" t="n">
        <v>3.9</v>
      </c>
      <c r="N40" s="135" t="n">
        <v>0</v>
      </c>
      <c r="O40" s="135" t="n">
        <v>0</v>
      </c>
      <c r="P40" s="158" t="n">
        <v>0</v>
      </c>
      <c r="Q40" s="272" t="n">
        <f aca="false">874800/325851/1.9835*1.02</f>
        <v>1.38056762002049</v>
      </c>
      <c r="R40" s="131" t="n">
        <f aca="false">((2.5)*1.04)-T40</f>
        <v>1.79149984</v>
      </c>
      <c r="S40" s="83" t="n">
        <v>0</v>
      </c>
      <c r="T40" s="131" t="n">
        <f aca="false">(0.7334*1.06)*1.04</f>
        <v>0.80850016</v>
      </c>
      <c r="U40" s="96" t="n">
        <f aca="false">M40-(Q40+R40+S40+T40)</f>
        <v>-0.0805676200204952</v>
      </c>
      <c r="V40" s="135" t="n">
        <v>21.6</v>
      </c>
      <c r="W40" s="135" t="n">
        <v>0</v>
      </c>
      <c r="X40" s="135" t="n">
        <f aca="false">M40-N40-O40-P40-Q40-R40-S40-T40-U40+V40+W40</f>
        <v>21.6</v>
      </c>
      <c r="Y40" s="135" t="n">
        <f aca="false">X40-AO40</f>
        <v>21.6</v>
      </c>
      <c r="Z40" s="135"/>
      <c r="AA40" s="135"/>
      <c r="AB40" s="107"/>
      <c r="AC40" s="136" t="n">
        <v>0</v>
      </c>
      <c r="AD40" s="107"/>
      <c r="AE40" s="135" t="n">
        <v>0</v>
      </c>
      <c r="AF40" s="248"/>
      <c r="AG40" s="249"/>
      <c r="AH40" s="135" t="n">
        <v>26.6</v>
      </c>
      <c r="AI40" s="107" t="n">
        <f aca="false">AI39-AH40</f>
        <v>1180.4</v>
      </c>
      <c r="AJ40" s="219"/>
      <c r="AK40" s="134" t="n">
        <f aca="false">N40+O40+P40+Q40+R40+S40+T40+U40+X40+AE40+AH40</f>
        <v>52.1</v>
      </c>
      <c r="AL40" s="135" t="n">
        <f aca="false">IF(L40&lt;0,L40*-1,0)</f>
        <v>0</v>
      </c>
      <c r="AM40" s="135" t="n">
        <f aca="false">AK40+AL40</f>
        <v>52.1</v>
      </c>
      <c r="AN40" s="281" t="n">
        <f aca="false">V40</f>
        <v>21.6</v>
      </c>
      <c r="AO40" s="215" t="n">
        <v>0</v>
      </c>
      <c r="AP40" s="135"/>
      <c r="AQ40" s="107"/>
      <c r="AR40" s="107"/>
      <c r="AS40" s="298"/>
      <c r="AV40" s="222" t="n">
        <v>0</v>
      </c>
      <c r="AW40" s="215" t="n">
        <v>34</v>
      </c>
      <c r="AX40" s="215" t="n">
        <v>7</v>
      </c>
      <c r="AY40" s="299"/>
      <c r="AZ40" s="250" t="n">
        <f aca="false">SUM(N40,P40:U40)</f>
        <v>3.9</v>
      </c>
    </row>
    <row r="41" customFormat="false" ht="12.95" hidden="false" customHeight="true" outlineLevel="0" collapsed="false">
      <c r="A41" s="183" t="n">
        <f aca="false">A40+1</f>
        <v>27</v>
      </c>
      <c r="B41" s="106" t="n">
        <v>6870.53</v>
      </c>
      <c r="C41" s="107" t="n">
        <v>189224</v>
      </c>
      <c r="D41" s="215" t="n">
        <f aca="false">C41-C40</f>
        <v>-30</v>
      </c>
      <c r="E41" s="107" t="n">
        <f aca="false">C41-152000</f>
        <v>37224</v>
      </c>
      <c r="F41" s="246" t="n">
        <f aca="false">D41/$D$2</f>
        <v>-15.1247794303</v>
      </c>
      <c r="G41" s="135" t="n">
        <v>28</v>
      </c>
      <c r="H41" s="297" t="n">
        <v>0.22</v>
      </c>
      <c r="I41" s="135" t="n">
        <f aca="false">G41+H41</f>
        <v>28.22</v>
      </c>
      <c r="J41" s="136" t="n">
        <f aca="false">IF(L41&gt;0,L41,0)</f>
        <v>7.65522056970003</v>
      </c>
      <c r="K41" s="135" t="n">
        <f aca="false">I41+J41</f>
        <v>35.8752205697</v>
      </c>
      <c r="L41" s="135" t="n">
        <f aca="false">F41-(I41-AK41)</f>
        <v>7.65522056970003</v>
      </c>
      <c r="M41" s="248" t="n">
        <v>3.9</v>
      </c>
      <c r="N41" s="135" t="n">
        <v>0</v>
      </c>
      <c r="O41" s="135" t="n">
        <v>0</v>
      </c>
      <c r="P41" s="158" t="n">
        <v>0</v>
      </c>
      <c r="Q41" s="272" t="n">
        <f aca="false">938500/325851/1.9835*1.02</f>
        <v>1.48109592065527</v>
      </c>
      <c r="R41" s="131" t="n">
        <f aca="false">((2.5)*1.04)-T41</f>
        <v>1.79149984</v>
      </c>
      <c r="S41" s="83" t="n">
        <v>0</v>
      </c>
      <c r="T41" s="131" t="n">
        <f aca="false">(0.7334*1.06)*1.04</f>
        <v>0.80850016</v>
      </c>
      <c r="U41" s="96" t="n">
        <f aca="false">M41-(Q41+R41+S41+T41)</f>
        <v>-0.181095920655275</v>
      </c>
      <c r="V41" s="135" t="n">
        <v>21.6</v>
      </c>
      <c r="W41" s="135" t="n">
        <v>0</v>
      </c>
      <c r="X41" s="135" t="n">
        <f aca="false">M41-N41-O41-P41-Q41-R41-S41-T41-U41+V41+W41</f>
        <v>21.6</v>
      </c>
      <c r="Y41" s="135" t="n">
        <f aca="false">X41-AO41</f>
        <v>21.6</v>
      </c>
      <c r="Z41" s="135"/>
      <c r="AA41" s="135"/>
      <c r="AB41" s="107"/>
      <c r="AC41" s="136" t="n">
        <v>0</v>
      </c>
      <c r="AD41" s="107"/>
      <c r="AE41" s="135" t="n">
        <v>0</v>
      </c>
      <c r="AF41" s="248"/>
      <c r="AG41" s="249"/>
      <c r="AH41" s="135" t="n">
        <v>25.5</v>
      </c>
      <c r="AI41" s="107" t="n">
        <f aca="false">AI40-AH41</f>
        <v>1154.9</v>
      </c>
      <c r="AJ41" s="219"/>
      <c r="AK41" s="134" t="n">
        <f aca="false">N41+O41+P41+Q41+R41+S41+T41+U41+X41+AE41+AH41</f>
        <v>51</v>
      </c>
      <c r="AL41" s="135" t="n">
        <f aca="false">IF(L41&lt;0,L41*-1,0)</f>
        <v>0</v>
      </c>
      <c r="AM41" s="135" t="n">
        <f aca="false">AK41+AL41</f>
        <v>51</v>
      </c>
      <c r="AN41" s="281" t="n">
        <f aca="false">V41</f>
        <v>21.6</v>
      </c>
      <c r="AO41" s="215" t="n">
        <v>0</v>
      </c>
      <c r="AP41" s="135"/>
      <c r="AQ41" s="107"/>
      <c r="AR41" s="107"/>
      <c r="AS41" s="298"/>
      <c r="AV41" s="222" t="n">
        <v>0</v>
      </c>
      <c r="AW41" s="215" t="n">
        <v>40</v>
      </c>
      <c r="AX41" s="215" t="n">
        <v>7</v>
      </c>
      <c r="AY41" s="299"/>
      <c r="AZ41" s="250" t="n">
        <f aca="false">SUM(N41,P41:U41)</f>
        <v>3.9</v>
      </c>
    </row>
    <row r="42" customFormat="false" ht="12.95" hidden="false" customHeight="true" outlineLevel="0" collapsed="false">
      <c r="A42" s="183" t="n">
        <v>28</v>
      </c>
      <c r="B42" s="106" t="n">
        <v>6870.52</v>
      </c>
      <c r="C42" s="107" t="n">
        <v>189197</v>
      </c>
      <c r="D42" s="215" t="n">
        <f aca="false">C42-C41</f>
        <v>-27</v>
      </c>
      <c r="E42" s="107" t="n">
        <f aca="false">C42-152000</f>
        <v>37197</v>
      </c>
      <c r="F42" s="246" t="n">
        <f aca="false">D42/$D$2</f>
        <v>-13.61230148727</v>
      </c>
      <c r="G42" s="135" t="n">
        <v>28</v>
      </c>
      <c r="H42" s="297" t="n">
        <v>0.22</v>
      </c>
      <c r="I42" s="135" t="n">
        <f aca="false">G42+H42</f>
        <v>28.22</v>
      </c>
      <c r="J42" s="136" t="n">
        <f aca="false">IF(L42&gt;0,L42,0)</f>
        <v>13.98769851273</v>
      </c>
      <c r="K42" s="135" t="n">
        <f aca="false">I42+J42</f>
        <v>42.20769851273</v>
      </c>
      <c r="L42" s="135" t="n">
        <f aca="false">F42-(I42-AK42)</f>
        <v>13.98769851273</v>
      </c>
      <c r="M42" s="248" t="n">
        <v>4.82</v>
      </c>
      <c r="N42" s="135" t="n">
        <v>0</v>
      </c>
      <c r="O42" s="135" t="n">
        <v>0</v>
      </c>
      <c r="P42" s="158" t="n">
        <v>0</v>
      </c>
      <c r="Q42" s="272" t="n">
        <f aca="false">929100/325851/1.9835*1.02</f>
        <v>1.46626128916443</v>
      </c>
      <c r="R42" s="131" t="n">
        <f aca="false">((3)*1.04)-T42</f>
        <v>2.31149984</v>
      </c>
      <c r="S42" s="83" t="n">
        <v>0</v>
      </c>
      <c r="T42" s="131" t="n">
        <f aca="false">(0.7334*1.06)*1.04</f>
        <v>0.80850016</v>
      </c>
      <c r="U42" s="96" t="n">
        <f aca="false">M42-(Q42+R42+S42+T42)</f>
        <v>0.233738710835572</v>
      </c>
      <c r="V42" s="135" t="n">
        <v>21.3</v>
      </c>
      <c r="W42" s="135" t="n">
        <v>0</v>
      </c>
      <c r="X42" s="135" t="n">
        <f aca="false">M42-N42-O42-P42-Q42-R42-S42-T42-U42+V42+W42</f>
        <v>21.3</v>
      </c>
      <c r="Y42" s="135" t="n">
        <f aca="false">X42-AO42</f>
        <v>21.3</v>
      </c>
      <c r="Z42" s="135"/>
      <c r="AA42" s="135"/>
      <c r="AB42" s="107"/>
      <c r="AC42" s="136" t="n">
        <v>0</v>
      </c>
      <c r="AD42" s="107"/>
      <c r="AE42" s="135" t="n">
        <v>0</v>
      </c>
      <c r="AF42" s="248"/>
      <c r="AG42" s="249"/>
      <c r="AH42" s="135" t="n">
        <v>29.7</v>
      </c>
      <c r="AI42" s="107" t="n">
        <f aca="false">AI41-AH42</f>
        <v>1125.2</v>
      </c>
      <c r="AJ42" s="219"/>
      <c r="AK42" s="134" t="n">
        <f aca="false">N42+O42+P42+Q42+R42+S42+T42+U42+X42+AE42+AH42</f>
        <v>55.82</v>
      </c>
      <c r="AL42" s="135" t="n">
        <f aca="false">IF(L42&lt;0,L42*-1,0)</f>
        <v>0</v>
      </c>
      <c r="AM42" s="135" t="n">
        <f aca="false">AK42+AL42</f>
        <v>55.82</v>
      </c>
      <c r="AN42" s="281" t="n">
        <f aca="false">V42</f>
        <v>21.3</v>
      </c>
      <c r="AO42" s="215" t="n">
        <v>0</v>
      </c>
      <c r="AP42" s="135"/>
      <c r="AQ42" s="107"/>
      <c r="AR42" s="107"/>
      <c r="AS42" s="298"/>
      <c r="AV42" s="222" t="n">
        <v>0</v>
      </c>
      <c r="AW42" s="215" t="n">
        <v>44</v>
      </c>
      <c r="AX42" s="215" t="n">
        <v>8</v>
      </c>
      <c r="AY42" s="299"/>
      <c r="AZ42" s="250" t="n">
        <f aca="false">SUM(N42,P42:U42)</f>
        <v>4.82</v>
      </c>
    </row>
    <row r="43" customFormat="false" ht="3" hidden="false" customHeight="true" outlineLevel="0" collapsed="false">
      <c r="A43" s="312"/>
      <c r="B43" s="252"/>
      <c r="C43" s="233"/>
      <c r="D43" s="233"/>
      <c r="E43" s="233"/>
      <c r="F43" s="257"/>
      <c r="G43" s="233"/>
      <c r="H43" s="243"/>
      <c r="I43" s="233"/>
      <c r="J43" s="233"/>
      <c r="K43" s="233"/>
      <c r="L43" s="233"/>
      <c r="M43" s="258"/>
      <c r="N43" s="233"/>
      <c r="O43" s="233"/>
      <c r="P43" s="238"/>
      <c r="Q43" s="233"/>
      <c r="R43" s="233"/>
      <c r="S43" s="243"/>
      <c r="T43" s="243"/>
      <c r="U43" s="239"/>
      <c r="V43" s="233"/>
      <c r="W43" s="233"/>
      <c r="X43" s="233"/>
      <c r="Y43" s="233"/>
      <c r="Z43" s="233"/>
      <c r="AA43" s="233"/>
      <c r="AB43" s="233"/>
      <c r="AC43" s="240"/>
      <c r="AD43" s="233"/>
      <c r="AE43" s="233"/>
      <c r="AF43" s="258"/>
      <c r="AG43" s="259"/>
      <c r="AH43" s="233"/>
      <c r="AI43" s="234"/>
      <c r="AJ43" s="270"/>
      <c r="AK43" s="233"/>
      <c r="AL43" s="233"/>
      <c r="AM43" s="257"/>
      <c r="AN43" s="243"/>
      <c r="AO43" s="243"/>
      <c r="AP43" s="233"/>
      <c r="AQ43" s="233"/>
      <c r="AR43" s="233"/>
      <c r="AS43" s="243"/>
      <c r="AT43" s="305"/>
      <c r="AU43" s="305"/>
      <c r="AV43" s="261"/>
      <c r="AW43" s="233"/>
      <c r="AX43" s="233"/>
      <c r="AY43" s="306"/>
      <c r="AZ43" s="307"/>
    </row>
    <row r="44" customFormat="false" ht="12.95" hidden="false" customHeight="true" outlineLevel="0" collapsed="false">
      <c r="A44" s="188" t="s">
        <v>101</v>
      </c>
      <c r="B44" s="220"/>
      <c r="C44" s="215"/>
      <c r="D44" s="215"/>
      <c r="E44" s="215"/>
      <c r="F44" s="223" t="n">
        <f aca="false">SUM(F15:F42)</f>
        <v>-826.821275523065</v>
      </c>
      <c r="G44" s="215" t="n">
        <f aca="false">SUM(G15:G42)</f>
        <v>847</v>
      </c>
      <c r="H44" s="215" t="n">
        <f aca="false">SUM(H15:H42)</f>
        <v>13.83</v>
      </c>
      <c r="I44" s="215" t="n">
        <f aca="false">SUM(I15:I42)</f>
        <v>860.83</v>
      </c>
      <c r="J44" s="215" t="n">
        <f aca="false">SUM(J15:J42)</f>
        <v>284.78565414671</v>
      </c>
      <c r="K44" s="215" t="n">
        <f aca="false">SUM(K15:K42)</f>
        <v>1145.61565414671</v>
      </c>
      <c r="L44" s="215" t="n">
        <f aca="false">SUM(L15:L42)</f>
        <v>189.998724476935</v>
      </c>
      <c r="M44" s="313" t="n">
        <f aca="false">SUM(M15:M42)</f>
        <v>100.85</v>
      </c>
      <c r="N44" s="215" t="n">
        <f aca="false">SUM(N15:N42)</f>
        <v>0</v>
      </c>
      <c r="O44" s="215" t="n">
        <f aca="false">SUM(O15:O42)</f>
        <v>0</v>
      </c>
      <c r="P44" s="215" t="n">
        <f aca="false">SUM(P15:P42)</f>
        <v>0</v>
      </c>
      <c r="Q44" s="215" t="n">
        <f aca="false">SUM(Q15:Q42)</f>
        <v>41.9190388428742</v>
      </c>
      <c r="R44" s="215" t="n">
        <f aca="false">SUM(R15:R42)</f>
        <v>44.13900608</v>
      </c>
      <c r="S44" s="215" t="n">
        <f aca="false">SUM(S15:S42)</f>
        <v>0</v>
      </c>
      <c r="T44" s="215" t="n">
        <f aca="false">SUM(T15:T42)</f>
        <v>18.88499392</v>
      </c>
      <c r="U44" s="314" t="n">
        <f aca="false">SUM(U15:U42)</f>
        <v>-4.09303884287424</v>
      </c>
      <c r="V44" s="215" t="n">
        <f aca="false">SUM(V15:V42)</f>
        <v>1020.9</v>
      </c>
      <c r="W44" s="215" t="n">
        <f aca="false">SUM(W15:W42)</f>
        <v>0</v>
      </c>
      <c r="X44" s="215" t="n">
        <f aca="false">SUM(X15:X42)</f>
        <v>1020.9</v>
      </c>
      <c r="Y44" s="215" t="n">
        <f aca="false">SUM(Y15:Y42)</f>
        <v>1020.9</v>
      </c>
      <c r="Z44" s="215"/>
      <c r="AA44" s="215"/>
      <c r="AB44" s="215"/>
      <c r="AC44" s="136" t="n">
        <f aca="false">SUM(AC15:AC42)</f>
        <v>0</v>
      </c>
      <c r="AD44" s="215"/>
      <c r="AE44" s="215"/>
      <c r="AF44" s="248"/>
      <c r="AG44" s="249"/>
      <c r="AH44" s="215" t="n">
        <f aca="false">SUM(AH15:AH42)</f>
        <v>755.9</v>
      </c>
      <c r="AI44" s="215"/>
      <c r="AJ44" s="215" t="n">
        <f aca="false">SUM(AJ15:AJ42)</f>
        <v>0</v>
      </c>
      <c r="AK44" s="215" t="n">
        <f aca="false">SUM(AK15:AK42)</f>
        <v>1877.65</v>
      </c>
      <c r="AL44" s="215" t="n">
        <f aca="false">SUM(AL15:AL42)</f>
        <v>94.7869296697757</v>
      </c>
      <c r="AM44" s="223" t="n">
        <f aca="false">SUM(AM15:AM42)</f>
        <v>1972.43692966978</v>
      </c>
      <c r="AN44" s="215" t="n">
        <f aca="false">SUM(AN15:AN42)</f>
        <v>1020.9</v>
      </c>
      <c r="AO44" s="215" t="n">
        <f aca="false">SUM(AO15:AO42)</f>
        <v>0</v>
      </c>
      <c r="AP44" s="135"/>
      <c r="AQ44" s="135"/>
      <c r="AR44" s="135"/>
      <c r="AS44" s="298"/>
      <c r="AV44" s="222" t="n">
        <f aca="false">SUM(AV15:AV42)</f>
        <v>0.5</v>
      </c>
      <c r="AW44" s="215" t="n">
        <f aca="false">AVERAGE(AW15:AW42)</f>
        <v>42.8571428571429</v>
      </c>
      <c r="AX44" s="215" t="n">
        <f aca="false">AVERAGE(AX15:AX42)</f>
        <v>9.57142857142857</v>
      </c>
      <c r="AY44" s="315" t="s">
        <v>119</v>
      </c>
      <c r="AZ44" s="316" t="n">
        <f aca="false">SUM(AZ15:AZ42)</f>
        <v>100.85</v>
      </c>
    </row>
    <row r="45" customFormat="false" ht="12.95" hidden="false" customHeight="true" outlineLevel="0" collapsed="false">
      <c r="A45" s="188" t="s">
        <v>103</v>
      </c>
      <c r="B45" s="220"/>
      <c r="C45" s="215"/>
      <c r="D45" s="215" t="n">
        <f aca="false">SUM(D15:D42)</f>
        <v>-1640</v>
      </c>
      <c r="E45" s="215"/>
      <c r="F45" s="223" t="n">
        <f aca="false">F44*$D$2</f>
        <v>-1640</v>
      </c>
      <c r="G45" s="215" t="n">
        <f aca="false">G44*$D$2</f>
        <v>1680.0245</v>
      </c>
      <c r="H45" s="215" t="n">
        <f aca="false">H44*$D$2</f>
        <v>27.431805</v>
      </c>
      <c r="I45" s="215" t="n">
        <f aca="false">I44*$D$2</f>
        <v>1707.456305</v>
      </c>
      <c r="J45" s="215" t="n">
        <f aca="false">J44*$D$2</f>
        <v>564.872345</v>
      </c>
      <c r="K45" s="215" t="n">
        <f aca="false">K44*$D$2</f>
        <v>2272.32865</v>
      </c>
      <c r="L45" s="215" t="n">
        <f aca="false">L44*$D$2</f>
        <v>376.86247</v>
      </c>
      <c r="M45" s="317" t="n">
        <f aca="false">M44*$D$2</f>
        <v>200.035975</v>
      </c>
      <c r="N45" s="215" t="n">
        <f aca="false">N44*$D$2</f>
        <v>0</v>
      </c>
      <c r="O45" s="215" t="n">
        <f aca="false">O44*$D$2</f>
        <v>0</v>
      </c>
      <c r="P45" s="158"/>
      <c r="Q45" s="215" t="n">
        <f aca="false">Q44*$D$2</f>
        <v>83.1464135448411</v>
      </c>
      <c r="R45" s="215" t="n">
        <f aca="false">R44*$D$2</f>
        <v>87.54971855968</v>
      </c>
      <c r="S45" s="215" t="n">
        <f aca="false">S44*$D$2</f>
        <v>0</v>
      </c>
      <c r="T45" s="215" t="n">
        <f aca="false">T44*$D$2</f>
        <v>37.45838544032</v>
      </c>
      <c r="U45" s="318" t="n">
        <f aca="false">U44*$D$2</f>
        <v>-8.11854254484105</v>
      </c>
      <c r="V45" s="215" t="n">
        <f aca="false">V44*$D$2</f>
        <v>2024.95515</v>
      </c>
      <c r="W45" s="215" t="n">
        <f aca="false">W44*$D$2</f>
        <v>0</v>
      </c>
      <c r="X45" s="215" t="n">
        <f aca="false">X44*$D$2</f>
        <v>2024.95515</v>
      </c>
      <c r="Y45" s="215" t="n">
        <f aca="false">Y44*$D$2</f>
        <v>2024.95515</v>
      </c>
      <c r="Z45" s="215"/>
      <c r="AA45" s="215"/>
      <c r="AB45" s="215"/>
      <c r="AC45" s="136" t="n">
        <f aca="false">AC44*$D$2</f>
        <v>0</v>
      </c>
      <c r="AD45" s="215"/>
      <c r="AE45" s="215"/>
      <c r="AF45" s="248"/>
      <c r="AG45" s="249"/>
      <c r="AH45" s="215" t="n">
        <f aca="false">AH44*$D$2</f>
        <v>1499.32765</v>
      </c>
      <c r="AI45" s="215"/>
      <c r="AJ45" s="215" t="n">
        <f aca="false">AJ44*$D$2</f>
        <v>0</v>
      </c>
      <c r="AK45" s="215" t="n">
        <f aca="false">AK44*$D$2</f>
        <v>3724.318775</v>
      </c>
      <c r="AL45" s="215" t="n">
        <f aca="false">AL44*$D$2</f>
        <v>188.009875</v>
      </c>
      <c r="AM45" s="223" t="n">
        <f aca="false">AM44*$D$2</f>
        <v>3912.32865</v>
      </c>
      <c r="AN45" s="215" t="n">
        <f aca="false">AN44*$D$2</f>
        <v>2024.95515</v>
      </c>
      <c r="AO45" s="215" t="n">
        <f aca="false">AO44*$D$2</f>
        <v>0</v>
      </c>
      <c r="AP45" s="135"/>
      <c r="AQ45" s="135"/>
      <c r="AR45" s="135"/>
      <c r="AS45" s="298"/>
      <c r="AV45" s="222"/>
      <c r="AW45" s="215" t="n">
        <f aca="false">MAX(AW15:AW42)</f>
        <v>52</v>
      </c>
      <c r="AX45" s="215" t="n">
        <f aca="false">MAX(AX15:AX42)</f>
        <v>19</v>
      </c>
      <c r="AY45" s="223" t="s">
        <v>104</v>
      </c>
      <c r="AZ45" s="316" t="n">
        <f aca="false">AZ44*$D$2</f>
        <v>200.035975</v>
      </c>
    </row>
    <row r="46" customFormat="false" ht="3" hidden="false" customHeight="true" outlineLevel="0" collapsed="false">
      <c r="A46" s="312"/>
      <c r="B46" s="252"/>
      <c r="C46" s="233"/>
      <c r="D46" s="233"/>
      <c r="E46" s="233"/>
      <c r="F46" s="257"/>
      <c r="G46" s="233"/>
      <c r="H46" s="243"/>
      <c r="I46" s="233"/>
      <c r="J46" s="233"/>
      <c r="K46" s="233"/>
      <c r="L46" s="233"/>
      <c r="M46" s="258"/>
      <c r="N46" s="233"/>
      <c r="O46" s="233"/>
      <c r="P46" s="238"/>
      <c r="Q46" s="233"/>
      <c r="R46" s="233"/>
      <c r="S46" s="243"/>
      <c r="T46" s="243"/>
      <c r="U46" s="239"/>
      <c r="V46" s="233"/>
      <c r="W46" s="233"/>
      <c r="X46" s="233"/>
      <c r="Y46" s="233"/>
      <c r="Z46" s="233"/>
      <c r="AA46" s="233"/>
      <c r="AB46" s="233"/>
      <c r="AC46" s="240"/>
      <c r="AD46" s="233"/>
      <c r="AE46" s="233"/>
      <c r="AF46" s="258"/>
      <c r="AG46" s="259"/>
      <c r="AH46" s="233"/>
      <c r="AI46" s="234"/>
      <c r="AJ46" s="233"/>
      <c r="AK46" s="233"/>
      <c r="AL46" s="233"/>
      <c r="AM46" s="257"/>
      <c r="AN46" s="243"/>
      <c r="AO46" s="243"/>
      <c r="AP46" s="233"/>
      <c r="AQ46" s="233"/>
      <c r="AR46" s="233"/>
      <c r="AS46" s="243"/>
      <c r="AT46" s="305"/>
      <c r="AU46" s="305"/>
      <c r="AV46" s="261"/>
      <c r="AW46" s="233"/>
      <c r="AX46" s="233"/>
      <c r="AY46" s="254"/>
      <c r="AZ46" s="319"/>
    </row>
    <row r="47" customFormat="false" ht="12.95" hidden="false" customHeight="true" outlineLevel="0" collapsed="false">
      <c r="A47" s="188" t="s">
        <v>105</v>
      </c>
      <c r="B47" s="220"/>
      <c r="C47" s="215"/>
      <c r="D47" s="215"/>
      <c r="E47" s="215"/>
      <c r="F47" s="223"/>
      <c r="G47" s="215"/>
      <c r="H47" s="215"/>
      <c r="I47" s="215"/>
      <c r="J47" s="215"/>
      <c r="K47" s="215"/>
      <c r="L47" s="215"/>
      <c r="M47" s="317"/>
      <c r="N47" s="215"/>
      <c r="O47" s="215"/>
      <c r="P47" s="158"/>
      <c r="Q47" s="215"/>
      <c r="R47" s="215"/>
      <c r="S47" s="215"/>
      <c r="T47" s="215"/>
      <c r="U47" s="217"/>
      <c r="V47" s="215"/>
      <c r="W47" s="215"/>
      <c r="X47" s="215"/>
      <c r="Y47" s="215"/>
      <c r="Z47" s="215"/>
      <c r="AA47" s="215"/>
      <c r="AB47" s="215"/>
      <c r="AC47" s="136"/>
      <c r="AD47" s="215"/>
      <c r="AE47" s="215"/>
      <c r="AF47" s="248"/>
      <c r="AG47" s="249"/>
      <c r="AH47" s="215"/>
      <c r="AI47" s="215"/>
      <c r="AJ47" s="215"/>
      <c r="AK47" s="215"/>
      <c r="AL47" s="215"/>
      <c r="AM47" s="223"/>
      <c r="AN47" s="215"/>
      <c r="AO47" s="215"/>
      <c r="AP47" s="215"/>
      <c r="AQ47" s="215"/>
      <c r="AR47" s="215"/>
      <c r="AS47" s="320"/>
      <c r="AV47" s="220"/>
      <c r="AW47" s="215" t="n">
        <f aca="false">MIN(AW15:AW42)</f>
        <v>31</v>
      </c>
      <c r="AX47" s="215" t="n">
        <f aca="false">MIN(AX15:AX42)</f>
        <v>-5</v>
      </c>
      <c r="AY47" s="223" t="s">
        <v>106</v>
      </c>
      <c r="AZ47" s="316"/>
    </row>
    <row r="48" customFormat="false" ht="12.95" hidden="false" customHeight="true" outlineLevel="0" collapsed="false">
      <c r="A48" s="188" t="s">
        <v>107</v>
      </c>
      <c r="B48" s="220"/>
      <c r="C48" s="215"/>
      <c r="D48" s="215"/>
      <c r="E48" s="215"/>
      <c r="F48" s="223"/>
      <c r="G48" s="215"/>
      <c r="H48" s="215"/>
      <c r="I48" s="215"/>
      <c r="J48" s="215"/>
      <c r="K48" s="215"/>
      <c r="L48" s="215"/>
      <c r="M48" s="317"/>
      <c r="N48" s="215"/>
      <c r="O48" s="215"/>
      <c r="P48" s="158"/>
      <c r="Q48" s="215"/>
      <c r="R48" s="215"/>
      <c r="S48" s="215"/>
      <c r="T48" s="215"/>
      <c r="U48" s="217"/>
      <c r="V48" s="215"/>
      <c r="W48" s="215"/>
      <c r="X48" s="215"/>
      <c r="Y48" s="215"/>
      <c r="Z48" s="215"/>
      <c r="AA48" s="215"/>
      <c r="AB48" s="215"/>
      <c r="AC48" s="136"/>
      <c r="AD48" s="215"/>
      <c r="AE48" s="215"/>
      <c r="AF48" s="248"/>
      <c r="AG48" s="249"/>
      <c r="AH48" s="215"/>
      <c r="AI48" s="215"/>
      <c r="AJ48" s="215"/>
      <c r="AK48" s="215"/>
      <c r="AL48" s="215"/>
      <c r="AM48" s="223"/>
      <c r="AN48" s="215"/>
      <c r="AO48" s="215"/>
      <c r="AP48" s="215"/>
      <c r="AQ48" s="215"/>
      <c r="AR48" s="215"/>
      <c r="AS48" s="320"/>
      <c r="AV48" s="220"/>
      <c r="AW48" s="215"/>
      <c r="AX48" s="215"/>
      <c r="AY48" s="299"/>
      <c r="AZ48" s="316"/>
    </row>
    <row r="49" customFormat="false" ht="3" hidden="false" customHeight="true" outlineLevel="0" collapsed="false">
      <c r="A49" s="312"/>
      <c r="B49" s="242"/>
      <c r="C49" s="243"/>
      <c r="D49" s="243"/>
      <c r="E49" s="243"/>
      <c r="F49" s="254"/>
      <c r="G49" s="243"/>
      <c r="H49" s="243"/>
      <c r="I49" s="243"/>
      <c r="J49" s="243"/>
      <c r="K49" s="243"/>
      <c r="L49" s="243"/>
      <c r="M49" s="321"/>
      <c r="N49" s="243"/>
      <c r="O49" s="243"/>
      <c r="P49" s="238"/>
      <c r="Q49" s="243"/>
      <c r="R49" s="243"/>
      <c r="S49" s="243"/>
      <c r="T49" s="243"/>
      <c r="U49" s="239"/>
      <c r="V49" s="243"/>
      <c r="W49" s="243"/>
      <c r="X49" s="243"/>
      <c r="Y49" s="243"/>
      <c r="Z49" s="243"/>
      <c r="AA49" s="243"/>
      <c r="AB49" s="243"/>
      <c r="AC49" s="240"/>
      <c r="AD49" s="243"/>
      <c r="AE49" s="243"/>
      <c r="AF49" s="321"/>
      <c r="AG49" s="283"/>
      <c r="AH49" s="243"/>
      <c r="AI49" s="243"/>
      <c r="AJ49" s="243"/>
      <c r="AK49" s="243"/>
      <c r="AL49" s="243"/>
      <c r="AM49" s="254"/>
      <c r="AN49" s="243"/>
      <c r="AO49" s="243"/>
      <c r="AP49" s="243"/>
      <c r="AQ49" s="243"/>
      <c r="AR49" s="243"/>
      <c r="AS49" s="243"/>
      <c r="AT49" s="305"/>
      <c r="AU49" s="305"/>
      <c r="AV49" s="242"/>
      <c r="AW49" s="243"/>
      <c r="AX49" s="243"/>
      <c r="AY49" s="306"/>
      <c r="AZ49" s="255"/>
    </row>
    <row r="50" customFormat="false" ht="12.95" hidden="false" customHeight="true" outlineLevel="0" collapsed="false">
      <c r="A50" s="188" t="s">
        <v>108</v>
      </c>
      <c r="B50" s="220"/>
      <c r="C50" s="215"/>
      <c r="D50" s="215"/>
      <c r="E50" s="215"/>
      <c r="F50" s="223" t="n">
        <f aca="false">F13+F44</f>
        <v>-3003.78119485757</v>
      </c>
      <c r="G50" s="215" t="n">
        <f aca="false">G13+G44</f>
        <v>3337</v>
      </c>
      <c r="H50" s="215" t="n">
        <f aca="false">H13+H44</f>
        <v>14.65</v>
      </c>
      <c r="I50" s="215" t="n">
        <f aca="false">I13+I44</f>
        <v>3351.03</v>
      </c>
      <c r="J50" s="215" t="n">
        <f aca="false">J13+J44</f>
        <v>1261.00262162843</v>
      </c>
      <c r="K50" s="215" t="n">
        <f aca="false">K13+K44</f>
        <v>4612.03262162844</v>
      </c>
      <c r="L50" s="215" t="n">
        <f aca="false">L13+L44</f>
        <v>615.344305142425</v>
      </c>
      <c r="M50" s="317" t="n">
        <f aca="false">M13+M44</f>
        <v>648.2</v>
      </c>
      <c r="N50" s="215" t="n">
        <f aca="false">N13+N44</f>
        <v>0</v>
      </c>
      <c r="O50" s="215" t="n">
        <f aca="false">O13+O44</f>
        <v>0</v>
      </c>
      <c r="P50" s="215" t="n">
        <f aca="false">P13+P44</f>
        <v>0</v>
      </c>
      <c r="Q50" s="215" t="n">
        <f aca="false">Q13+Q44</f>
        <v>183.278474400371</v>
      </c>
      <c r="R50" s="215" t="n">
        <f aca="false">R13+R44</f>
        <v>207.769484</v>
      </c>
      <c r="S50" s="215" t="n">
        <f aca="false">S13+S44</f>
        <v>0</v>
      </c>
      <c r="T50" s="215" t="n">
        <f aca="false">T13+T44</f>
        <v>72.926516</v>
      </c>
      <c r="U50" s="318" t="n">
        <f aca="false">U13+U44</f>
        <v>4.56308517101062</v>
      </c>
      <c r="V50" s="215" t="n">
        <f aca="false">V13+V44</f>
        <v>3106.82</v>
      </c>
      <c r="W50" s="215" t="n">
        <f aca="false">W13+W44</f>
        <v>84.4</v>
      </c>
      <c r="X50" s="215" t="n">
        <f aca="false">X13+X44</f>
        <v>3370.88244042862</v>
      </c>
      <c r="Y50" s="215" t="n">
        <f aca="false">Y13+Y44</f>
        <v>3046.92</v>
      </c>
      <c r="Z50" s="215"/>
      <c r="AA50" s="215"/>
      <c r="AB50" s="215"/>
      <c r="AC50" s="136" t="n">
        <f aca="false">AC13+AC44</f>
        <v>27.7</v>
      </c>
      <c r="AD50" s="215"/>
      <c r="AE50" s="215"/>
      <c r="AF50" s="248"/>
      <c r="AG50" s="249"/>
      <c r="AH50" s="215" t="n">
        <f aca="false">AH13+AH44</f>
        <v>3121.8</v>
      </c>
      <c r="AI50" s="215" t="n">
        <f aca="false">AI42</f>
        <v>1125.2</v>
      </c>
      <c r="AJ50" s="215" t="n">
        <f aca="false">AJ13+AJ44</f>
        <v>0</v>
      </c>
      <c r="AK50" s="215" t="n">
        <f aca="false">AK13+AK44</f>
        <v>6970.1555</v>
      </c>
      <c r="AL50" s="215" t="n">
        <f aca="false">AL13+AL44</f>
        <v>645.658316486009</v>
      </c>
      <c r="AM50" s="223" t="n">
        <f aca="false">AM13+AM44</f>
        <v>7615.81381648601</v>
      </c>
      <c r="AN50" s="215" t="n">
        <f aca="false">AN13+AN44</f>
        <v>3046.92</v>
      </c>
      <c r="AO50" s="215" t="n">
        <f aca="false">AO13+AO44</f>
        <v>323.962440428619</v>
      </c>
      <c r="AP50" s="215"/>
      <c r="AQ50" s="215"/>
      <c r="AR50" s="215"/>
      <c r="AS50" s="320"/>
      <c r="AV50" s="322" t="n">
        <f aca="false">AV13+AV44</f>
        <v>4.293</v>
      </c>
      <c r="AW50" s="215"/>
      <c r="AX50" s="215"/>
      <c r="AY50" s="299"/>
      <c r="AZ50" s="316" t="n">
        <f aca="false">AZ13+AZ44</f>
        <v>468.537559571381</v>
      </c>
    </row>
    <row r="51" customFormat="false" ht="12.95" hidden="false" customHeight="true" outlineLevel="0" collapsed="false">
      <c r="A51" s="188" t="s">
        <v>109</v>
      </c>
      <c r="B51" s="220"/>
      <c r="C51" s="215"/>
      <c r="D51" s="215" t="n">
        <f aca="false">D13+D45</f>
        <v>-5958</v>
      </c>
      <c r="E51" s="107" t="n">
        <f aca="false">E42</f>
        <v>37197</v>
      </c>
      <c r="F51" s="223" t="n">
        <f aca="false">F50*$D$2</f>
        <v>-5958</v>
      </c>
      <c r="G51" s="215" t="n">
        <f aca="false">G50*$D$2</f>
        <v>6618.9395</v>
      </c>
      <c r="H51" s="215" t="n">
        <f aca="false">H50*$D$2</f>
        <v>29.058275</v>
      </c>
      <c r="I51" s="215" t="n">
        <f aca="false">I50*$D$2</f>
        <v>6646.768005</v>
      </c>
      <c r="J51" s="215" t="n">
        <f aca="false">J50*$D$2</f>
        <v>2501.1987</v>
      </c>
      <c r="K51" s="215" t="n">
        <f aca="false">K50*$D$2</f>
        <v>9147.966705</v>
      </c>
      <c r="L51" s="215" t="n">
        <f aca="false">L50*$D$2</f>
        <v>1220.53542925</v>
      </c>
      <c r="M51" s="317" t="n">
        <f aca="false">M50*$D$2</f>
        <v>1285.7047</v>
      </c>
      <c r="N51" s="215" t="n">
        <f aca="false">N50*$D$2</f>
        <v>0</v>
      </c>
      <c r="O51" s="215" t="n">
        <f aca="false">O50*$D$2</f>
        <v>0</v>
      </c>
      <c r="P51" s="215" t="n">
        <f aca="false">P50*$D$2</f>
        <v>0</v>
      </c>
      <c r="Q51" s="215" t="n">
        <f aca="false">Q50*$D$2</f>
        <v>363.532853973135</v>
      </c>
      <c r="R51" s="215" t="n">
        <f aca="false">R50*$D$2</f>
        <v>412.110771514</v>
      </c>
      <c r="S51" s="215" t="n">
        <f aca="false">S50*$D$2</f>
        <v>0</v>
      </c>
      <c r="T51" s="215" t="n">
        <f aca="false">T50*$D$2</f>
        <v>144.649744486</v>
      </c>
      <c r="U51" s="318" t="n">
        <f aca="false">U50*$D$2</f>
        <v>9.05087943669957</v>
      </c>
      <c r="V51" s="215" t="n">
        <f aca="false">V50*$D$2</f>
        <v>6162.37747</v>
      </c>
      <c r="W51" s="215" t="n">
        <f aca="false">W50*$D$2</f>
        <v>167.4074</v>
      </c>
      <c r="X51" s="215" t="n">
        <f aca="false">X50*$D$2</f>
        <v>6686.14532059017</v>
      </c>
      <c r="Y51" s="215" t="n">
        <f aca="false">Y50*$D$2</f>
        <v>6043.56582</v>
      </c>
      <c r="Z51" s="215"/>
      <c r="AA51" s="215"/>
      <c r="AB51" s="215"/>
      <c r="AC51" s="136" t="n">
        <f aca="false">AC50*$D$2</f>
        <v>54.94295</v>
      </c>
      <c r="AD51" s="215"/>
      <c r="AE51" s="215"/>
      <c r="AF51" s="248"/>
      <c r="AG51" s="249"/>
      <c r="AH51" s="215" t="n">
        <f aca="false">AH50*$D$2</f>
        <v>6192.0903</v>
      </c>
      <c r="AI51" s="215" t="n">
        <f aca="false">AI50*$D$2</f>
        <v>2231.8342</v>
      </c>
      <c r="AJ51" s="215" t="n">
        <f aca="false">AJ50*$D$2</f>
        <v>0</v>
      </c>
      <c r="AK51" s="215" t="n">
        <f aca="false">AK50*$D$2</f>
        <v>13825.30343425</v>
      </c>
      <c r="AL51" s="215" t="n">
        <f aca="false">AL50*$D$2</f>
        <v>1280.66327075</v>
      </c>
      <c r="AM51" s="323" t="n">
        <f aca="false">AM50*$D$2</f>
        <v>15105.966705</v>
      </c>
      <c r="AN51" s="215" t="n">
        <f aca="false">AN50*$D$2</f>
        <v>6043.56582</v>
      </c>
      <c r="AO51" s="215" t="n">
        <f aca="false">AO50*$D$2</f>
        <v>642.579500590166</v>
      </c>
      <c r="AP51" s="215"/>
      <c r="AQ51" s="215"/>
      <c r="AR51" s="215"/>
      <c r="AS51" s="320"/>
      <c r="AT51" s="324"/>
      <c r="AV51" s="220"/>
      <c r="AW51" s="215"/>
      <c r="AX51" s="215"/>
      <c r="AY51" s="299"/>
      <c r="AZ51" s="316" t="n">
        <f aca="false">AZ50*$D$2</f>
        <v>929.344249409835</v>
      </c>
    </row>
    <row r="52" customFormat="false" ht="3" hidden="false" customHeight="true" outlineLevel="0" collapsed="false">
      <c r="A52" s="231"/>
      <c r="B52" s="252"/>
      <c r="C52" s="233"/>
      <c r="D52" s="234"/>
      <c r="E52" s="233"/>
      <c r="F52" s="235"/>
      <c r="G52" s="234"/>
      <c r="H52" s="303"/>
      <c r="I52" s="234"/>
      <c r="J52" s="234"/>
      <c r="K52" s="234"/>
      <c r="L52" s="234"/>
      <c r="M52" s="237"/>
      <c r="N52" s="234"/>
      <c r="O52" s="234"/>
      <c r="P52" s="238"/>
      <c r="Q52" s="234"/>
      <c r="R52" s="234"/>
      <c r="S52" s="238"/>
      <c r="T52" s="238"/>
      <c r="U52" s="239"/>
      <c r="V52" s="234"/>
      <c r="W52" s="234"/>
      <c r="X52" s="234"/>
      <c r="Y52" s="234"/>
      <c r="Z52" s="234"/>
      <c r="AA52" s="234"/>
      <c r="AB52" s="233"/>
      <c r="AC52" s="240"/>
      <c r="AD52" s="233"/>
      <c r="AE52" s="234"/>
      <c r="AF52" s="237"/>
      <c r="AG52" s="241"/>
      <c r="AH52" s="234"/>
      <c r="AI52" s="233"/>
      <c r="AJ52" s="304"/>
      <c r="AK52" s="234"/>
      <c r="AL52" s="234"/>
      <c r="AM52" s="234"/>
      <c r="AN52" s="242"/>
      <c r="AO52" s="243"/>
      <c r="AP52" s="234"/>
      <c r="AQ52" s="234"/>
      <c r="AR52" s="234"/>
      <c r="AS52" s="243"/>
      <c r="AT52" s="305"/>
      <c r="AU52" s="305"/>
      <c r="AV52" s="252"/>
      <c r="AW52" s="234"/>
      <c r="AX52" s="234"/>
      <c r="AY52" s="306"/>
      <c r="AZ52" s="307"/>
    </row>
    <row r="53" customFormat="false" ht="11.1" hidden="false" customHeight="true" outlineLevel="0" collapsed="false">
      <c r="A53" s="185"/>
      <c r="B53" s="271"/>
      <c r="D53" s="185"/>
      <c r="F53" s="185"/>
      <c r="G53" s="185"/>
      <c r="I53" s="185"/>
      <c r="J53" s="185"/>
      <c r="K53" s="185"/>
      <c r="L53" s="185"/>
      <c r="M53" s="185"/>
      <c r="N53" s="185"/>
      <c r="O53" s="185"/>
      <c r="Q53" s="185"/>
      <c r="R53" s="185"/>
      <c r="V53" s="185"/>
      <c r="W53" s="185"/>
      <c r="X53" s="185"/>
      <c r="Y53" s="185"/>
      <c r="Z53" s="185"/>
      <c r="AA53" s="185"/>
      <c r="AB53" s="177"/>
      <c r="AD53" s="177"/>
      <c r="AE53" s="185"/>
      <c r="AF53" s="185"/>
      <c r="AG53" s="185"/>
      <c r="AH53" s="185"/>
      <c r="AI53" s="177"/>
      <c r="AJ53" s="225"/>
      <c r="AK53" s="185"/>
      <c r="AL53" s="185"/>
      <c r="AM53" s="185"/>
      <c r="AP53" s="188"/>
      <c r="AQ53" s="325"/>
      <c r="AR53" s="325"/>
    </row>
    <row r="54" customFormat="false" ht="11.1" hidden="false" customHeight="true" outlineLevel="0" collapsed="false">
      <c r="A54" s="185"/>
      <c r="B54" s="272"/>
      <c r="F54" s="185"/>
      <c r="G54" s="185"/>
      <c r="H54" s="326"/>
      <c r="I54" s="177"/>
      <c r="J54" s="185"/>
      <c r="K54" s="174"/>
      <c r="L54" s="185"/>
      <c r="M54" s="185"/>
      <c r="N54" s="185"/>
      <c r="O54" s="185"/>
      <c r="Q54" s="185"/>
      <c r="R54" s="185"/>
      <c r="V54" s="185"/>
      <c r="W54" s="185"/>
      <c r="X54" s="185"/>
      <c r="Y54" s="185"/>
      <c r="Z54" s="185"/>
      <c r="AA54" s="185"/>
      <c r="AB54" s="177"/>
      <c r="AD54" s="177"/>
      <c r="AE54" s="185"/>
      <c r="AF54" s="185"/>
      <c r="AG54" s="185"/>
      <c r="AH54" s="185"/>
      <c r="AI54" s="177"/>
      <c r="AJ54" s="225"/>
      <c r="AK54" s="185"/>
      <c r="AL54" s="185"/>
      <c r="AM54" s="185"/>
      <c r="AN54" s="183"/>
      <c r="AO54" s="183"/>
      <c r="AP54" s="188"/>
      <c r="AQ54" s="325"/>
      <c r="AR54" s="325"/>
      <c r="AX54" s="182"/>
    </row>
    <row r="55" customFormat="false" ht="11.1" hidden="false" customHeight="true" outlineLevel="0" collapsed="false">
      <c r="D55" s="177"/>
      <c r="I55" s="177"/>
      <c r="X55" s="176"/>
      <c r="Y55" s="176"/>
      <c r="Z55" s="176"/>
      <c r="AA55" s="176"/>
      <c r="AB55" s="177"/>
      <c r="AD55" s="177"/>
      <c r="AH55" s="176"/>
      <c r="AI55" s="177"/>
      <c r="AJ55" s="225"/>
      <c r="AM55" s="176"/>
      <c r="AN55" s="183"/>
      <c r="AO55" s="183"/>
      <c r="AP55" s="180"/>
      <c r="AQ55" s="210"/>
      <c r="AR55" s="210"/>
      <c r="AX55" s="182"/>
    </row>
    <row r="56" customFormat="false" ht="11.1" hidden="false" customHeight="true" outlineLevel="0" collapsed="false">
      <c r="B56" s="8"/>
      <c r="D56" s="177"/>
      <c r="I56" s="177"/>
      <c r="X56" s="176"/>
      <c r="Y56" s="176"/>
      <c r="Z56" s="176"/>
      <c r="AA56" s="176"/>
      <c r="AB56" s="177"/>
      <c r="AD56" s="177"/>
      <c r="AH56" s="176"/>
      <c r="AI56" s="177"/>
      <c r="AJ56" s="225"/>
      <c r="AM56" s="176"/>
      <c r="AN56" s="183"/>
      <c r="AO56" s="183"/>
      <c r="AP56" s="180"/>
      <c r="AQ56" s="210"/>
      <c r="AR56" s="210"/>
      <c r="AX56" s="182"/>
    </row>
    <row r="57" customFormat="false" ht="11.1" hidden="false" customHeight="true" outlineLevel="0" collapsed="false">
      <c r="G57" s="273"/>
      <c r="X57" s="176"/>
      <c r="Y57" s="176"/>
      <c r="Z57" s="176"/>
      <c r="AA57" s="176"/>
      <c r="AB57" s="177"/>
      <c r="AD57" s="177"/>
      <c r="AH57" s="176"/>
      <c r="AI57" s="177"/>
      <c r="AJ57" s="225"/>
      <c r="AM57" s="176"/>
      <c r="AN57" s="183"/>
      <c r="AO57" s="183"/>
      <c r="AP57" s="180"/>
      <c r="AQ57" s="210"/>
      <c r="AR57" s="210"/>
      <c r="AX57" s="182"/>
    </row>
    <row r="58" customFormat="false" ht="11.1" hidden="false" customHeight="true" outlineLevel="0" collapsed="false">
      <c r="X58" s="176"/>
      <c r="Y58" s="176"/>
      <c r="Z58" s="176"/>
      <c r="AA58" s="176"/>
      <c r="AB58" s="177"/>
      <c r="AD58" s="177"/>
      <c r="AH58" s="176"/>
      <c r="AI58" s="177"/>
      <c r="AJ58" s="225"/>
      <c r="AM58" s="176"/>
      <c r="AN58" s="183"/>
      <c r="AO58" s="183"/>
      <c r="AX58" s="182"/>
    </row>
  </sheetData>
  <mergeCells count="1">
    <mergeCell ref="M5:U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5" activeCellId="0" sqref="A15"/>
    </sheetView>
  </sheetViews>
  <sheetFormatPr defaultColWidth="9.328125" defaultRowHeight="11.1" zeroHeight="false" outlineLevelRow="0" outlineLevelCol="0"/>
  <cols>
    <col collapsed="false" customWidth="true" hidden="false" outlineLevel="0" max="1" min="1" style="176" width="4.66"/>
    <col collapsed="false" customWidth="true" hidden="false" outlineLevel="0" max="2" min="2" style="176" width="6.99"/>
    <col collapsed="false" customWidth="true" hidden="false" outlineLevel="0" max="3" min="3" style="177" width="6.32"/>
    <col collapsed="false" customWidth="true" hidden="false" outlineLevel="0" max="4" min="4" style="176" width="6.32"/>
    <col collapsed="false" customWidth="true" hidden="false" outlineLevel="0" max="5" min="5" style="177" width="6.99"/>
    <col collapsed="false" customWidth="true" hidden="false" outlineLevel="0" max="6" min="6" style="176" width="7.32"/>
    <col collapsed="false" customWidth="true" hidden="false" outlineLevel="0" max="7" min="7" style="176" width="6.82"/>
    <col collapsed="false" customWidth="true" hidden="false" outlineLevel="0" max="8" min="8" style="178" width="5.66"/>
    <col collapsed="false" customWidth="true" hidden="false" outlineLevel="0" max="11" min="9" style="176" width="6.32"/>
    <col collapsed="false" customWidth="true" hidden="false" outlineLevel="0" max="12" min="12" style="176" width="6.82"/>
    <col collapsed="false" customWidth="true" hidden="false" outlineLevel="0" max="13" min="13" style="179" width="5.49"/>
    <col collapsed="false" customWidth="true" hidden="false" outlineLevel="0" max="14" min="14" style="179" width="4.49"/>
    <col collapsed="false" customWidth="true" hidden="false" outlineLevel="0" max="15" min="15" style="179" width="5.49"/>
    <col collapsed="false" customWidth="true" hidden="false" outlineLevel="0" max="16" min="16" style="8" width="4.82"/>
    <col collapsed="false" customWidth="true" hidden="false" outlineLevel="0" max="18" min="17" style="179" width="4.32"/>
    <col collapsed="false" customWidth="true" hidden="false" outlineLevel="0" max="20" min="19" style="176" width="4.32"/>
    <col collapsed="false" customWidth="true" hidden="false" outlineLevel="0" max="21" min="21" style="193" width="5.16"/>
    <col collapsed="false" customWidth="true" hidden="false" outlineLevel="0" max="23" min="22" style="176" width="5.49"/>
    <col collapsed="false" customWidth="true" hidden="false" outlineLevel="0" max="27" min="24" style="177" width="6.32"/>
    <col collapsed="false" customWidth="true" hidden="false" outlineLevel="0" max="28" min="28" style="176" width="5.49"/>
    <col collapsed="false" customWidth="true" hidden="false" outlineLevel="0" max="29" min="29" style="179" width="5.82"/>
    <col collapsed="false" customWidth="true" hidden="false" outlineLevel="0" max="33" min="30" style="176" width="5.49"/>
    <col collapsed="false" customWidth="true" hidden="false" outlineLevel="0" max="34" min="34" style="177" width="6.32"/>
    <col collapsed="false" customWidth="true" hidden="false" outlineLevel="0" max="35" min="35" style="176" width="5.49"/>
    <col collapsed="false" customWidth="true" hidden="false" outlineLevel="0" max="36" min="36" style="327" width="6.32"/>
    <col collapsed="false" customWidth="true" hidden="false" outlineLevel="0" max="37" min="37" style="176" width="6.32"/>
    <col collapsed="false" customWidth="true" hidden="false" outlineLevel="0" max="38" min="38" style="176" width="6.82"/>
    <col collapsed="false" customWidth="true" hidden="false" outlineLevel="0" max="39" min="39" style="8" width="6.82"/>
    <col collapsed="false" customWidth="true" hidden="false" outlineLevel="0" max="40" min="40" style="182" width="5.49"/>
    <col collapsed="false" customWidth="true" hidden="false" outlineLevel="0" max="41" min="41" style="179" width="5.49"/>
    <col collapsed="false" customWidth="true" hidden="false" outlineLevel="0" max="43" min="42" style="176" width="6.32"/>
    <col collapsed="false" customWidth="true" hidden="false" outlineLevel="0" max="44" min="44" style="176" width="5.49"/>
    <col collapsed="false" customWidth="true" hidden="false" outlineLevel="0" max="45" min="45" style="176" width="5.32"/>
    <col collapsed="false" customWidth="true" hidden="false" outlineLevel="0" max="46" min="46" style="286" width="5.82"/>
    <col collapsed="false" customWidth="true" hidden="false" outlineLevel="0" max="47" min="47" style="180" width="4.99"/>
    <col collapsed="false" customWidth="true" hidden="false" outlineLevel="0" max="48" min="48" style="178" width="5.32"/>
    <col collapsed="false" customWidth="true" hidden="false" outlineLevel="0" max="49" min="49" style="182" width="3.82"/>
    <col collapsed="false" customWidth="true" hidden="false" outlineLevel="0" max="50" min="50" style="183" width="3.82"/>
    <col collapsed="false" customWidth="true" hidden="false" outlineLevel="0" max="51" min="51" style="184" width="3.82"/>
    <col collapsed="false" customWidth="true" hidden="false" outlineLevel="0" max="52" min="52" style="184" width="5.49"/>
    <col collapsed="false" customWidth="false" hidden="false" outlineLevel="0" max="257" min="53" style="184" width="9.32"/>
  </cols>
  <sheetData>
    <row r="1" customFormat="false" ht="14.1" hidden="false" customHeight="true" outlineLevel="0" collapsed="false">
      <c r="A1" s="185"/>
      <c r="B1" s="185"/>
      <c r="D1" s="185"/>
      <c r="F1" s="185"/>
      <c r="G1" s="185"/>
      <c r="I1" s="185"/>
      <c r="J1" s="185"/>
      <c r="K1" s="187" t="s">
        <v>0</v>
      </c>
      <c r="L1" s="185"/>
      <c r="M1" s="185"/>
      <c r="N1" s="185"/>
      <c r="O1" s="185"/>
      <c r="Q1" s="185"/>
      <c r="R1" s="185"/>
      <c r="S1" s="185"/>
      <c r="T1" s="185"/>
      <c r="V1" s="185"/>
      <c r="W1" s="185"/>
      <c r="AB1" s="185"/>
      <c r="AD1" s="185"/>
      <c r="AE1" s="185"/>
      <c r="AF1" s="185"/>
      <c r="AG1" s="185"/>
      <c r="AI1" s="185"/>
      <c r="AK1" s="185"/>
      <c r="AL1" s="185"/>
      <c r="AN1" s="288"/>
      <c r="AO1" s="327"/>
      <c r="AP1" s="188"/>
    </row>
    <row r="2" customFormat="false" ht="14.1" hidden="false" customHeight="true" outlineLevel="0" collapsed="false">
      <c r="A2" s="188" t="s">
        <v>1</v>
      </c>
      <c r="B2" s="185"/>
      <c r="D2" s="189" t="n">
        <v>1.9835</v>
      </c>
      <c r="F2" s="185"/>
      <c r="G2" s="185"/>
      <c r="I2" s="185"/>
      <c r="J2" s="185"/>
      <c r="K2" s="191" t="s">
        <v>120</v>
      </c>
      <c r="L2" s="191"/>
      <c r="M2" s="191"/>
      <c r="N2" s="191"/>
      <c r="O2" s="191"/>
      <c r="P2" s="191"/>
      <c r="Q2" s="191"/>
      <c r="R2" s="191"/>
      <c r="S2" s="191"/>
      <c r="T2" s="191"/>
      <c r="V2" s="192"/>
      <c r="W2" s="192"/>
      <c r="X2" s="84"/>
      <c r="Y2" s="84"/>
      <c r="Z2" s="84"/>
      <c r="AA2" s="84"/>
      <c r="AB2" s="192"/>
      <c r="AC2" s="194"/>
      <c r="AD2" s="192"/>
      <c r="AE2" s="185"/>
      <c r="AF2" s="185"/>
      <c r="AG2" s="185"/>
      <c r="AI2" s="185"/>
      <c r="AK2" s="185"/>
      <c r="AL2" s="185"/>
      <c r="AN2" s="288"/>
      <c r="AO2" s="327"/>
      <c r="AP2" s="188"/>
    </row>
    <row r="3" customFormat="false" ht="14.1" hidden="false" customHeight="true" outlineLevel="0" collapsed="false">
      <c r="A3" s="195"/>
      <c r="B3" s="195"/>
      <c r="C3" s="196"/>
      <c r="D3" s="197"/>
      <c r="E3" s="196"/>
      <c r="F3" s="195"/>
      <c r="G3" s="195"/>
      <c r="H3" s="204"/>
      <c r="I3" s="195"/>
      <c r="J3" s="195"/>
      <c r="K3" s="195"/>
      <c r="L3" s="195"/>
      <c r="M3" s="195"/>
      <c r="N3" s="195"/>
      <c r="O3" s="195"/>
      <c r="P3" s="199"/>
      <c r="Q3" s="195"/>
      <c r="R3" s="195"/>
      <c r="S3" s="195"/>
      <c r="T3" s="195"/>
      <c r="U3" s="328"/>
      <c r="V3" s="195"/>
      <c r="W3" s="195"/>
      <c r="X3" s="196"/>
      <c r="Y3" s="196"/>
      <c r="Z3" s="196"/>
      <c r="AA3" s="196"/>
      <c r="AB3" s="195"/>
      <c r="AC3" s="200"/>
      <c r="AD3" s="195"/>
      <c r="AE3" s="195"/>
      <c r="AF3" s="195"/>
      <c r="AG3" s="195"/>
      <c r="AH3" s="196"/>
      <c r="AI3" s="195"/>
      <c r="AJ3" s="329"/>
      <c r="AK3" s="195"/>
      <c r="AL3" s="195"/>
      <c r="AM3" s="199"/>
      <c r="AN3" s="291"/>
      <c r="AO3" s="329"/>
      <c r="AP3" s="201"/>
      <c r="AQ3" s="202"/>
      <c r="AV3" s="204"/>
      <c r="AW3" s="205"/>
      <c r="AX3" s="206"/>
    </row>
    <row r="4" s="1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6" t="s">
        <v>111</v>
      </c>
      <c r="J4" s="35"/>
      <c r="K4" s="35"/>
      <c r="L4" s="37"/>
      <c r="M4" s="35"/>
      <c r="N4" s="35"/>
      <c r="O4" s="35"/>
      <c r="P4" s="38"/>
      <c r="Q4" s="35"/>
      <c r="R4" s="35"/>
      <c r="S4" s="35"/>
      <c r="T4" s="35"/>
      <c r="U4" s="38"/>
      <c r="V4" s="35"/>
      <c r="W4" s="35"/>
      <c r="X4" s="39" t="s">
        <v>117</v>
      </c>
      <c r="Y4" s="39"/>
      <c r="Z4" s="39"/>
      <c r="AA4" s="39"/>
      <c r="AB4" s="40"/>
      <c r="AC4" s="41"/>
      <c r="AD4" s="41"/>
      <c r="AE4" s="35"/>
      <c r="AF4" s="35"/>
      <c r="AG4" s="35"/>
      <c r="AH4" s="33"/>
      <c r="AI4" s="35"/>
      <c r="AJ4" s="42"/>
      <c r="AK4" s="35"/>
      <c r="AL4" s="35"/>
      <c r="AM4" s="38"/>
      <c r="AN4" s="43"/>
      <c r="AO4" s="44"/>
      <c r="AP4" s="45" t="s">
        <v>6</v>
      </c>
      <c r="AQ4" s="46"/>
      <c r="AR4" s="47"/>
      <c r="AS4" s="48"/>
      <c r="AT4" s="49"/>
      <c r="AU4" s="49"/>
      <c r="AV4" s="51"/>
      <c r="AW4" s="52" t="s">
        <v>7</v>
      </c>
      <c r="AX4" s="53"/>
      <c r="AY4" s="293"/>
      <c r="AZ4" s="330"/>
    </row>
    <row r="5" customFormat="false" ht="12.95" hidden="false" customHeight="true" outlineLevel="0" collapsed="false">
      <c r="A5" s="55" t="s">
        <v>8</v>
      </c>
      <c r="B5" s="56" t="s">
        <v>9</v>
      </c>
      <c r="C5" s="57" t="s">
        <v>9</v>
      </c>
      <c r="D5" s="58" t="s">
        <v>10</v>
      </c>
      <c r="E5" s="57" t="s">
        <v>11</v>
      </c>
      <c r="F5" s="59" t="s">
        <v>12</v>
      </c>
      <c r="G5" s="55" t="s">
        <v>13</v>
      </c>
      <c r="H5" s="55" t="s">
        <v>14</v>
      </c>
      <c r="I5" s="55" t="s">
        <v>15</v>
      </c>
      <c r="J5" s="55" t="s">
        <v>16</v>
      </c>
      <c r="K5" s="55" t="s">
        <v>17</v>
      </c>
      <c r="L5" s="77" t="s">
        <v>16</v>
      </c>
      <c r="M5" s="209" t="s">
        <v>18</v>
      </c>
      <c r="N5" s="209"/>
      <c r="O5" s="209"/>
      <c r="P5" s="209"/>
      <c r="Q5" s="209"/>
      <c r="R5" s="209"/>
      <c r="S5" s="209"/>
      <c r="T5" s="209"/>
      <c r="U5" s="209"/>
      <c r="V5" s="55" t="s">
        <v>19</v>
      </c>
      <c r="W5" s="5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62" t="s">
        <v>22</v>
      </c>
      <c r="AD5" s="62" t="s">
        <v>21</v>
      </c>
      <c r="AE5" s="55" t="s">
        <v>23</v>
      </c>
      <c r="AF5" s="63" t="s">
        <v>24</v>
      </c>
      <c r="AG5" s="64"/>
      <c r="AH5" s="55" t="s">
        <v>25</v>
      </c>
      <c r="AI5" s="65" t="s">
        <v>26</v>
      </c>
      <c r="AJ5" s="65" t="s">
        <v>27</v>
      </c>
      <c r="AK5" s="55" t="s">
        <v>15</v>
      </c>
      <c r="AL5" s="55" t="s">
        <v>16</v>
      </c>
      <c r="AM5" s="58" t="s">
        <v>17</v>
      </c>
      <c r="AN5" s="66" t="s">
        <v>28</v>
      </c>
      <c r="AO5" s="62" t="s">
        <v>21</v>
      </c>
      <c r="AP5" s="61" t="s">
        <v>29</v>
      </c>
      <c r="AQ5" s="67" t="s">
        <v>29</v>
      </c>
      <c r="AR5" s="62" t="s">
        <v>30</v>
      </c>
      <c r="AS5" s="68" t="s">
        <v>31</v>
      </c>
      <c r="AT5" s="68" t="s">
        <v>32</v>
      </c>
      <c r="AU5" s="210" t="s">
        <v>33</v>
      </c>
      <c r="AV5" s="70" t="s">
        <v>34</v>
      </c>
      <c r="AW5" s="71" t="s">
        <v>35</v>
      </c>
      <c r="AX5" s="71" t="s">
        <v>36</v>
      </c>
      <c r="AY5" s="294"/>
      <c r="AZ5" s="295" t="s">
        <v>17</v>
      </c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</row>
    <row r="6" customFormat="false" ht="12.95" hidden="false" customHeight="true" outlineLevel="0" collapsed="false">
      <c r="A6" s="73" t="s">
        <v>121</v>
      </c>
      <c r="B6" s="56" t="s">
        <v>38</v>
      </c>
      <c r="C6" s="57"/>
      <c r="D6" s="58" t="s">
        <v>39</v>
      </c>
      <c r="E6" s="57" t="s">
        <v>40</v>
      </c>
      <c r="F6" s="59" t="s">
        <v>41</v>
      </c>
      <c r="G6" s="55" t="s">
        <v>42</v>
      </c>
      <c r="H6" s="55" t="s">
        <v>43</v>
      </c>
      <c r="I6" s="55" t="s">
        <v>44</v>
      </c>
      <c r="J6" s="55" t="s">
        <v>44</v>
      </c>
      <c r="K6" s="55" t="s">
        <v>44</v>
      </c>
      <c r="L6" s="77" t="s">
        <v>45</v>
      </c>
      <c r="M6" s="58" t="s">
        <v>46</v>
      </c>
      <c r="N6" s="58" t="s">
        <v>47</v>
      </c>
      <c r="O6" s="58" t="s">
        <v>48</v>
      </c>
      <c r="P6" s="75" t="s">
        <v>49</v>
      </c>
      <c r="Q6" s="58" t="s">
        <v>50</v>
      </c>
      <c r="R6" s="58" t="s">
        <v>51</v>
      </c>
      <c r="S6" s="58"/>
      <c r="T6" s="58" t="s">
        <v>48</v>
      </c>
      <c r="U6" s="76" t="s">
        <v>52</v>
      </c>
      <c r="V6" s="55" t="s">
        <v>53</v>
      </c>
      <c r="W6" s="5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62" t="s">
        <v>57</v>
      </c>
      <c r="AD6" s="62" t="s">
        <v>58</v>
      </c>
      <c r="AE6" s="55" t="s">
        <v>59</v>
      </c>
      <c r="AF6" s="74" t="s">
        <v>60</v>
      </c>
      <c r="AG6" s="77" t="s">
        <v>61</v>
      </c>
      <c r="AH6" s="55" t="s">
        <v>62</v>
      </c>
      <c r="AI6" s="65" t="s">
        <v>63</v>
      </c>
      <c r="AJ6" s="65"/>
      <c r="AK6" s="55" t="s">
        <v>64</v>
      </c>
      <c r="AL6" s="55" t="s">
        <v>64</v>
      </c>
      <c r="AM6" s="58" t="s">
        <v>64</v>
      </c>
      <c r="AN6" s="66" t="s">
        <v>65</v>
      </c>
      <c r="AO6" s="62" t="s">
        <v>66</v>
      </c>
      <c r="AP6" s="61" t="s">
        <v>67</v>
      </c>
      <c r="AQ6" s="67" t="s">
        <v>67</v>
      </c>
      <c r="AR6" s="62" t="s">
        <v>68</v>
      </c>
      <c r="AS6" s="68" t="s">
        <v>69</v>
      </c>
      <c r="AT6" s="68" t="s">
        <v>70</v>
      </c>
      <c r="AU6" s="210" t="s">
        <v>71</v>
      </c>
      <c r="AV6" s="78"/>
      <c r="AW6" s="71" t="s">
        <v>72</v>
      </c>
      <c r="AX6" s="71" t="s">
        <v>72</v>
      </c>
      <c r="AY6" s="294"/>
      <c r="AZ6" s="295" t="s">
        <v>73</v>
      </c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</row>
    <row r="7" customFormat="false" ht="12.95" hidden="false" customHeight="true" outlineLevel="0" collapsed="false">
      <c r="A7" s="55"/>
      <c r="B7" s="56"/>
      <c r="C7" s="57"/>
      <c r="D7" s="58"/>
      <c r="E7" s="57"/>
      <c r="F7" s="59"/>
      <c r="G7" s="55"/>
      <c r="H7" s="55"/>
      <c r="I7" s="55"/>
      <c r="J7" s="55"/>
      <c r="K7" s="55"/>
      <c r="L7" s="77"/>
      <c r="M7" s="58"/>
      <c r="N7" s="58" t="s">
        <v>74</v>
      </c>
      <c r="O7" s="58" t="s">
        <v>75</v>
      </c>
      <c r="P7" s="75"/>
      <c r="Q7" s="58" t="s">
        <v>76</v>
      </c>
      <c r="R7" s="58" t="s">
        <v>76</v>
      </c>
      <c r="S7" s="58" t="s">
        <v>61</v>
      </c>
      <c r="T7" s="58" t="s">
        <v>61</v>
      </c>
      <c r="U7" s="76" t="s">
        <v>77</v>
      </c>
      <c r="V7" s="55"/>
      <c r="W7" s="5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62"/>
      <c r="AD7" s="62"/>
      <c r="AE7" s="77"/>
      <c r="AF7" s="79" t="n">
        <v>1.7</v>
      </c>
      <c r="AG7" s="79" t="n">
        <v>1.3</v>
      </c>
      <c r="AH7" s="74"/>
      <c r="AI7" s="80" t="n">
        <v>31798</v>
      </c>
      <c r="AJ7" s="65"/>
      <c r="AK7" s="55"/>
      <c r="AL7" s="55"/>
      <c r="AM7" s="58"/>
      <c r="AN7" s="66"/>
      <c r="AO7" s="62"/>
      <c r="AP7" s="61" t="s">
        <v>83</v>
      </c>
      <c r="AQ7" s="67" t="s">
        <v>84</v>
      </c>
      <c r="AR7" s="62" t="s">
        <v>85</v>
      </c>
      <c r="AS7" s="68" t="s">
        <v>86</v>
      </c>
      <c r="AT7" s="68" t="s">
        <v>87</v>
      </c>
      <c r="AU7" s="210" t="s">
        <v>88</v>
      </c>
      <c r="AV7" s="78"/>
      <c r="AW7" s="71"/>
      <c r="AX7" s="71"/>
      <c r="AY7" s="294"/>
      <c r="AZ7" s="295" t="s">
        <v>89</v>
      </c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</row>
    <row r="8" customFormat="false" ht="12.95" hidden="false" customHeight="true" outlineLevel="0" collapsed="false">
      <c r="A8" s="55"/>
      <c r="B8" s="56"/>
      <c r="C8" s="57"/>
      <c r="D8" s="58"/>
      <c r="E8" s="57"/>
      <c r="F8" s="59"/>
      <c r="G8" s="55"/>
      <c r="H8" s="55"/>
      <c r="I8" s="55"/>
      <c r="J8" s="55"/>
      <c r="K8" s="55"/>
      <c r="L8" s="77"/>
      <c r="M8" s="58"/>
      <c r="N8" s="58"/>
      <c r="O8" s="58"/>
      <c r="P8" s="75"/>
      <c r="Q8" s="58" t="s">
        <v>61</v>
      </c>
      <c r="R8" s="58" t="s">
        <v>61</v>
      </c>
      <c r="S8" s="58"/>
      <c r="T8" s="58"/>
      <c r="U8" s="76"/>
      <c r="V8" s="55"/>
      <c r="W8" s="5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62"/>
      <c r="AD8" s="62"/>
      <c r="AE8" s="77"/>
      <c r="AF8" s="79"/>
      <c r="AG8" s="79"/>
      <c r="AH8" s="74"/>
      <c r="AI8" s="80"/>
      <c r="AJ8" s="65"/>
      <c r="AK8" s="55"/>
      <c r="AL8" s="55"/>
      <c r="AM8" s="58"/>
      <c r="AN8" s="66"/>
      <c r="AO8" s="62"/>
      <c r="AP8" s="61"/>
      <c r="AQ8" s="67"/>
      <c r="AR8" s="62"/>
      <c r="AS8" s="68"/>
      <c r="AT8" s="68"/>
      <c r="AU8" s="210"/>
      <c r="AV8" s="78"/>
      <c r="AW8" s="71"/>
      <c r="AX8" s="71"/>
      <c r="AY8" s="294"/>
      <c r="AZ8" s="295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2.95" hidden="false" customHeight="true" outlineLevel="0" collapsed="false">
      <c r="A9" s="55"/>
      <c r="B9" s="56"/>
      <c r="C9" s="57"/>
      <c r="D9" s="58"/>
      <c r="E9" s="57"/>
      <c r="F9" s="59"/>
      <c r="G9" s="55"/>
      <c r="H9" s="55"/>
      <c r="I9" s="55"/>
      <c r="J9" s="55"/>
      <c r="K9" s="55"/>
      <c r="L9" s="77"/>
      <c r="M9" s="58"/>
      <c r="N9" s="58"/>
      <c r="O9" s="58"/>
      <c r="P9" s="75"/>
      <c r="Q9" s="58"/>
      <c r="R9" s="81" t="n">
        <v>4.2</v>
      </c>
      <c r="S9" s="58"/>
      <c r="T9" s="58"/>
      <c r="U9" s="76"/>
      <c r="V9" s="55"/>
      <c r="W9" s="55"/>
      <c r="X9" s="65"/>
      <c r="Y9" s="57" t="s">
        <v>90</v>
      </c>
      <c r="Z9" s="61"/>
      <c r="AA9" s="57" t="s">
        <v>90</v>
      </c>
      <c r="AB9" s="61" t="s">
        <v>93</v>
      </c>
      <c r="AC9" s="62"/>
      <c r="AD9" s="62"/>
      <c r="AE9" s="77"/>
      <c r="AF9" s="79"/>
      <c r="AG9" s="79"/>
      <c r="AH9" s="74"/>
      <c r="AI9" s="80"/>
      <c r="AJ9" s="65"/>
      <c r="AK9" s="55"/>
      <c r="AL9" s="55"/>
      <c r="AM9" s="58"/>
      <c r="AN9" s="66"/>
      <c r="AO9" s="62"/>
      <c r="AP9" s="61"/>
      <c r="AQ9" s="67"/>
      <c r="AR9" s="62"/>
      <c r="AS9" s="68"/>
      <c r="AT9" s="68"/>
      <c r="AU9" s="210"/>
      <c r="AV9" s="78"/>
      <c r="AW9" s="71"/>
      <c r="AX9" s="71"/>
      <c r="AY9" s="294"/>
      <c r="AZ9" s="295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</row>
    <row r="10" customFormat="false" ht="12.95" hidden="false" customHeight="true" outlineLevel="0" collapsed="false">
      <c r="A10" s="55"/>
      <c r="B10" s="56"/>
      <c r="C10" s="57" t="s">
        <v>94</v>
      </c>
      <c r="D10" s="58"/>
      <c r="E10" s="57" t="s">
        <v>95</v>
      </c>
      <c r="F10" s="59"/>
      <c r="G10" s="58" t="s">
        <v>41</v>
      </c>
      <c r="H10" s="58" t="s">
        <v>41</v>
      </c>
      <c r="I10" s="58" t="s">
        <v>41</v>
      </c>
      <c r="J10" s="58" t="s">
        <v>41</v>
      </c>
      <c r="K10" s="58" t="s">
        <v>41</v>
      </c>
      <c r="L10" s="77" t="s">
        <v>41</v>
      </c>
      <c r="M10" s="58" t="s">
        <v>41</v>
      </c>
      <c r="N10" s="58" t="s">
        <v>41</v>
      </c>
      <c r="O10" s="58" t="s">
        <v>41</v>
      </c>
      <c r="P10" s="5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77" t="s">
        <v>41</v>
      </c>
      <c r="V10" s="58" t="s">
        <v>41</v>
      </c>
      <c r="W10" s="58" t="s">
        <v>41</v>
      </c>
      <c r="X10" s="57" t="n">
        <v>153400</v>
      </c>
      <c r="Y10" s="57" t="n">
        <v>150400</v>
      </c>
      <c r="Z10" s="58"/>
      <c r="AA10" s="57"/>
      <c r="AB10" s="57" t="n">
        <v>72000</v>
      </c>
      <c r="AC10" s="296" t="s">
        <v>41</v>
      </c>
      <c r="AD10" s="58" t="s">
        <v>41</v>
      </c>
      <c r="AE10" s="77" t="s">
        <v>41</v>
      </c>
      <c r="AF10" s="58" t="s">
        <v>41</v>
      </c>
      <c r="AG10" s="58" t="s">
        <v>41</v>
      </c>
      <c r="AH10" s="74" t="s">
        <v>41</v>
      </c>
      <c r="AI10" s="58" t="s">
        <v>41</v>
      </c>
      <c r="AJ10" s="58" t="s">
        <v>41</v>
      </c>
      <c r="AK10" s="58" t="s">
        <v>41</v>
      </c>
      <c r="AL10" s="58" t="s">
        <v>41</v>
      </c>
      <c r="AM10" s="58" t="s">
        <v>41</v>
      </c>
      <c r="AN10" s="66" t="s">
        <v>41</v>
      </c>
      <c r="AO10" s="62" t="s">
        <v>41</v>
      </c>
      <c r="AP10" s="62" t="s">
        <v>41</v>
      </c>
      <c r="AQ10" s="67" t="s">
        <v>96</v>
      </c>
      <c r="AR10" s="62" t="s">
        <v>41</v>
      </c>
      <c r="AS10" s="62" t="s">
        <v>41</v>
      </c>
      <c r="AT10" s="62" t="s">
        <v>41</v>
      </c>
      <c r="AU10" s="62" t="s">
        <v>41</v>
      </c>
      <c r="AV10" s="78"/>
      <c r="AW10" s="71"/>
      <c r="AX10" s="71"/>
      <c r="AY10" s="294"/>
      <c r="AZ10" s="295" t="s">
        <v>97</v>
      </c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2.95" hidden="false" customHeight="true" outlineLevel="0" collapsed="false">
      <c r="A11" s="55"/>
      <c r="B11" s="56"/>
      <c r="C11" s="57"/>
      <c r="D11" s="58"/>
      <c r="E11" s="57"/>
      <c r="F11" s="59"/>
      <c r="G11" s="55"/>
      <c r="H11" s="55"/>
      <c r="I11" s="55"/>
      <c r="J11" s="55"/>
      <c r="K11" s="55"/>
      <c r="L11" s="77"/>
      <c r="M11" s="58"/>
      <c r="N11" s="46" t="n">
        <v>1.03</v>
      </c>
      <c r="O11" s="46" t="n">
        <v>1.05</v>
      </c>
      <c r="P11" s="46" t="n">
        <v>1.02</v>
      </c>
      <c r="Q11" s="82" t="n">
        <v>1.02</v>
      </c>
      <c r="R11" s="83" t="n">
        <v>1.04</v>
      </c>
      <c r="S11" s="58"/>
      <c r="T11" s="82" t="n">
        <v>1.04</v>
      </c>
      <c r="U11" s="76"/>
      <c r="V11" s="55"/>
      <c r="W11" s="5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62"/>
      <c r="AD11" s="61"/>
      <c r="AE11" s="85"/>
      <c r="AF11" s="79"/>
      <c r="AG11" s="79"/>
      <c r="AH11" s="74"/>
      <c r="AI11" s="80"/>
      <c r="AJ11" s="86"/>
      <c r="AK11" s="55"/>
      <c r="AL11" s="55"/>
      <c r="AM11" s="58"/>
      <c r="AN11" s="66"/>
      <c r="AO11" s="62"/>
      <c r="AP11" s="61"/>
      <c r="AQ11" s="67"/>
      <c r="AR11" s="67"/>
      <c r="AS11" s="87"/>
      <c r="AT11" s="87"/>
      <c r="AU11" s="87"/>
      <c r="AV11" s="78"/>
      <c r="AW11" s="71"/>
      <c r="AX11" s="71"/>
      <c r="AY11" s="294"/>
      <c r="AZ11" s="295" t="s">
        <v>41</v>
      </c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2.95" hidden="false" customHeight="true" outlineLevel="0" collapsed="false">
      <c r="A12" s="188" t="s">
        <v>99</v>
      </c>
      <c r="B12" s="213"/>
      <c r="C12" s="107"/>
      <c r="D12" s="107"/>
      <c r="E12" s="107"/>
      <c r="F12" s="214"/>
      <c r="G12" s="107"/>
      <c r="H12" s="275"/>
      <c r="I12" s="107"/>
      <c r="J12" s="107"/>
      <c r="K12" s="107"/>
      <c r="L12" s="107"/>
      <c r="M12" s="216"/>
      <c r="N12" s="107"/>
      <c r="O12" s="107"/>
      <c r="P12" s="158"/>
      <c r="Q12" s="107"/>
      <c r="R12" s="107"/>
      <c r="S12" s="107"/>
      <c r="T12" s="107"/>
      <c r="U12" s="331"/>
      <c r="V12" s="107"/>
      <c r="W12" s="107"/>
      <c r="X12" s="107"/>
      <c r="Y12" s="107"/>
      <c r="Z12" s="107"/>
      <c r="AA12" s="107"/>
      <c r="AB12" s="107"/>
      <c r="AC12" s="136"/>
      <c r="AD12" s="107"/>
      <c r="AE12" s="107"/>
      <c r="AF12" s="216"/>
      <c r="AG12" s="218"/>
      <c r="AH12" s="107"/>
      <c r="AI12" s="107"/>
      <c r="AJ12" s="332"/>
      <c r="AK12" s="107"/>
      <c r="AL12" s="107"/>
      <c r="AM12" s="107"/>
      <c r="AN12" s="220"/>
      <c r="AO12" s="136"/>
      <c r="AP12" s="135"/>
      <c r="AQ12" s="221"/>
      <c r="AR12" s="221"/>
      <c r="AS12" s="221"/>
      <c r="AV12" s="222"/>
      <c r="AW12" s="215"/>
      <c r="AX12" s="215"/>
      <c r="AY12" s="299"/>
      <c r="AZ12" s="333"/>
    </row>
    <row r="13" s="230" customFormat="true" ht="12.95" hidden="false" customHeight="true" outlineLevel="0" collapsed="false">
      <c r="A13" s="225" t="s">
        <v>100</v>
      </c>
      <c r="B13" s="301" t="n">
        <f aca="false">FEB!B42</f>
        <v>6870.52</v>
      </c>
      <c r="C13" s="107" t="n">
        <f aca="false">FEB!C42</f>
        <v>189197</v>
      </c>
      <c r="D13" s="107" t="n">
        <f aca="false">FEB!D51</f>
        <v>-5958</v>
      </c>
      <c r="E13" s="107" t="n">
        <f aca="false">FEB!E51</f>
        <v>37197</v>
      </c>
      <c r="F13" s="214" t="n">
        <f aca="false">FEB!F50</f>
        <v>-3003.78119485757</v>
      </c>
      <c r="G13" s="107" t="n">
        <f aca="false">FEB!G50</f>
        <v>3337</v>
      </c>
      <c r="H13" s="334" t="n">
        <f aca="false">FEB!H50</f>
        <v>14.65</v>
      </c>
      <c r="I13" s="107" t="n">
        <f aca="false">FEB!I50</f>
        <v>3351.03</v>
      </c>
      <c r="J13" s="107" t="n">
        <f aca="false">FEB!J50</f>
        <v>1261.00262162843</v>
      </c>
      <c r="K13" s="107" t="n">
        <f aca="false">FEB!K50</f>
        <v>4612.03262162844</v>
      </c>
      <c r="L13" s="107" t="n">
        <f aca="false">FEB!L50</f>
        <v>615.344305142425</v>
      </c>
      <c r="M13" s="216" t="n">
        <f aca="false">FEB!M50</f>
        <v>648.2</v>
      </c>
      <c r="N13" s="107" t="n">
        <f aca="false">FEB!N50</f>
        <v>0</v>
      </c>
      <c r="O13" s="107" t="n">
        <f aca="false">FEB!O50</f>
        <v>0</v>
      </c>
      <c r="P13" s="107" t="n">
        <f aca="false">FEB!P50</f>
        <v>0</v>
      </c>
      <c r="Q13" s="107" t="n">
        <f aca="false">FEB!Q50</f>
        <v>183.278474400371</v>
      </c>
      <c r="R13" s="107" t="n">
        <f aca="false">FEB!R50</f>
        <v>207.769484</v>
      </c>
      <c r="S13" s="107" t="n">
        <f aca="false">FEB!S50</f>
        <v>0</v>
      </c>
      <c r="T13" s="107" t="n">
        <f aca="false">FEB!T50</f>
        <v>72.926516</v>
      </c>
      <c r="U13" s="318" t="n">
        <f aca="false">FEB!U50</f>
        <v>4.56308517101062</v>
      </c>
      <c r="V13" s="107" t="n">
        <f aca="false">FEB!V50</f>
        <v>3106.82</v>
      </c>
      <c r="W13" s="107" t="n">
        <f aca="false">FEB!W50</f>
        <v>84.4</v>
      </c>
      <c r="X13" s="107" t="n">
        <f aca="false">FEB!X50</f>
        <v>3370.88244042862</v>
      </c>
      <c r="Y13" s="107" t="n">
        <f aca="false">FEB!Y50</f>
        <v>3046.92</v>
      </c>
      <c r="Z13" s="107"/>
      <c r="AA13" s="107"/>
      <c r="AB13" s="107"/>
      <c r="AC13" s="136" t="n">
        <f aca="false">FEB!AC50</f>
        <v>27.7</v>
      </c>
      <c r="AD13" s="107"/>
      <c r="AE13" s="107"/>
      <c r="AF13" s="216"/>
      <c r="AG13" s="218"/>
      <c r="AH13" s="266" t="n">
        <f aca="false">FEB!AH50</f>
        <v>3121.8</v>
      </c>
      <c r="AI13" s="107" t="n">
        <f aca="false">FEB!AI50</f>
        <v>1125.2</v>
      </c>
      <c r="AJ13" s="136" t="n">
        <f aca="false">FEB!AJ50</f>
        <v>0</v>
      </c>
      <c r="AK13" s="107" t="n">
        <f aca="false">FEB!AK50</f>
        <v>6970.1555</v>
      </c>
      <c r="AL13" s="107" t="n">
        <f aca="false">FEB!AL50</f>
        <v>645.658316486009</v>
      </c>
      <c r="AM13" s="107" t="n">
        <f aca="false">FEB!AM50</f>
        <v>7615.81381648601</v>
      </c>
      <c r="AN13" s="220" t="n">
        <f aca="false">FEB!AN50</f>
        <v>3046.92</v>
      </c>
      <c r="AO13" s="136" t="n">
        <f aca="false">FEB!AO50</f>
        <v>323.962440428619</v>
      </c>
      <c r="AP13" s="107"/>
      <c r="AQ13" s="135"/>
      <c r="AR13" s="135"/>
      <c r="AS13" s="107"/>
      <c r="AT13" s="84"/>
      <c r="AU13" s="177"/>
      <c r="AV13" s="222" t="n">
        <f aca="false">FEB!AV50</f>
        <v>4.293</v>
      </c>
      <c r="AW13" s="215"/>
      <c r="AX13" s="215"/>
      <c r="AY13" s="302"/>
      <c r="AZ13" s="229" t="n">
        <f aca="false">FEB!AZ50</f>
        <v>468.537559571381</v>
      </c>
    </row>
    <row r="14" customFormat="false" ht="3" hidden="false" customHeight="true" outlineLevel="0" collapsed="false">
      <c r="A14" s="231"/>
      <c r="B14" s="232"/>
      <c r="C14" s="233"/>
      <c r="D14" s="234"/>
      <c r="E14" s="233"/>
      <c r="F14" s="235"/>
      <c r="G14" s="234"/>
      <c r="H14" s="263"/>
      <c r="I14" s="234"/>
      <c r="J14" s="234"/>
      <c r="K14" s="234"/>
      <c r="L14" s="234"/>
      <c r="M14" s="237"/>
      <c r="N14" s="234"/>
      <c r="O14" s="234"/>
      <c r="P14" s="238"/>
      <c r="Q14" s="234"/>
      <c r="R14" s="234"/>
      <c r="S14" s="234"/>
      <c r="T14" s="234"/>
      <c r="U14" s="335"/>
      <c r="V14" s="234"/>
      <c r="W14" s="234"/>
      <c r="X14" s="234"/>
      <c r="Y14" s="234"/>
      <c r="Z14" s="234"/>
      <c r="AA14" s="234"/>
      <c r="AB14" s="233"/>
      <c r="AC14" s="240"/>
      <c r="AD14" s="233"/>
      <c r="AE14" s="234"/>
      <c r="AF14" s="237"/>
      <c r="AG14" s="241"/>
      <c r="AH14" s="234"/>
      <c r="AI14" s="233"/>
      <c r="AJ14" s="240"/>
      <c r="AK14" s="234"/>
      <c r="AL14" s="234"/>
      <c r="AM14" s="234"/>
      <c r="AN14" s="242"/>
      <c r="AO14" s="240"/>
      <c r="AP14" s="243"/>
      <c r="AQ14" s="243"/>
      <c r="AR14" s="243"/>
      <c r="AS14" s="243"/>
      <c r="AT14" s="336"/>
      <c r="AU14" s="336"/>
      <c r="AV14" s="245"/>
      <c r="AW14" s="243"/>
      <c r="AX14" s="243"/>
      <c r="AY14" s="254"/>
      <c r="AZ14" s="254"/>
    </row>
    <row r="15" customFormat="false" ht="12.95" hidden="false" customHeight="true" outlineLevel="0" collapsed="false">
      <c r="A15" s="183" t="n">
        <v>1</v>
      </c>
      <c r="B15" s="106" t="n">
        <v>6870.49</v>
      </c>
      <c r="C15" s="107" t="n">
        <v>189117</v>
      </c>
      <c r="D15" s="215" t="n">
        <f aca="false">C15-C13</f>
        <v>-80</v>
      </c>
      <c r="E15" s="107" t="n">
        <f aca="false">C15-152000</f>
        <v>37117</v>
      </c>
      <c r="F15" s="246" t="n">
        <f aca="false">D15/$D$2</f>
        <v>-40.3327451474666</v>
      </c>
      <c r="G15" s="135" t="n">
        <v>29</v>
      </c>
      <c r="H15" s="337" t="n">
        <v>0.25</v>
      </c>
      <c r="I15" s="135" t="n">
        <f aca="false">G15+H15</f>
        <v>29.25</v>
      </c>
      <c r="J15" s="136" t="n">
        <f aca="false">IF(L15&gt;0,L15,0)</f>
        <v>0</v>
      </c>
      <c r="K15" s="135" t="n">
        <f aca="false">I15+J15</f>
        <v>29.25</v>
      </c>
      <c r="L15" s="135" t="n">
        <f aca="false">F15-(I15-AK15)</f>
        <v>-9.0327451474666</v>
      </c>
      <c r="M15" s="248" t="n">
        <v>4.35</v>
      </c>
      <c r="N15" s="135" t="n">
        <v>0</v>
      </c>
      <c r="O15" s="135" t="n">
        <v>0</v>
      </c>
      <c r="P15" s="158" t="n">
        <v>0</v>
      </c>
      <c r="Q15" s="338" t="n">
        <f aca="false">866000/325851/1.9835*1.02</f>
        <v>1.3666798799014</v>
      </c>
      <c r="R15" s="131" t="n">
        <f aca="false">((4.5)*1.04)-T15</f>
        <v>4.00985104</v>
      </c>
      <c r="S15" s="131" t="n">
        <v>0</v>
      </c>
      <c r="T15" s="131" t="n">
        <f aca="false">(0.6079*1.06)*1.04</f>
        <v>0.67014896</v>
      </c>
      <c r="U15" s="96" t="n">
        <f aca="false">M15-(Q15+R15+S15+T15)</f>
        <v>-1.6966798799014</v>
      </c>
      <c r="V15" s="135" t="n">
        <v>20.8</v>
      </c>
      <c r="W15" s="135" t="n">
        <v>0</v>
      </c>
      <c r="X15" s="135" t="n">
        <f aca="false">M15-N15-O15-P15-Q15-R15-S15-T15-U15+V15+W15</f>
        <v>20.8</v>
      </c>
      <c r="Y15" s="135" t="n">
        <f aca="false">X15-AO15</f>
        <v>20.8</v>
      </c>
      <c r="Z15" s="135"/>
      <c r="AA15" s="135"/>
      <c r="AB15" s="107"/>
      <c r="AC15" s="136" t="n">
        <v>0</v>
      </c>
      <c r="AD15" s="107"/>
      <c r="AE15" s="135" t="n">
        <v>0</v>
      </c>
      <c r="AF15" s="248"/>
      <c r="AG15" s="249"/>
      <c r="AH15" s="135" t="n">
        <v>35.4</v>
      </c>
      <c r="AI15" s="107" t="n">
        <f aca="false">AI13-AH15</f>
        <v>1089.8</v>
      </c>
      <c r="AJ15" s="136"/>
      <c r="AK15" s="134" t="n">
        <f aca="false">N15+O15+P15+Q15+R15+S15+T15+U15+X15+AE15+AH15</f>
        <v>60.55</v>
      </c>
      <c r="AL15" s="135" t="n">
        <f aca="false">IF(L15&lt;0,L15*-1,0)</f>
        <v>9.0327451474666</v>
      </c>
      <c r="AM15" s="135" t="n">
        <f aca="false">AK15+AL15</f>
        <v>69.5827451474666</v>
      </c>
      <c r="AN15" s="220" t="n">
        <f aca="false">V15</f>
        <v>20.8</v>
      </c>
      <c r="AO15" s="136"/>
      <c r="AP15" s="221"/>
      <c r="AQ15" s="107"/>
      <c r="AR15" s="107"/>
      <c r="AS15" s="221"/>
      <c r="AU15" s="176"/>
      <c r="AV15" s="222" t="n">
        <v>0</v>
      </c>
      <c r="AW15" s="215" t="n">
        <v>49</v>
      </c>
      <c r="AX15" s="215" t="n">
        <v>17</v>
      </c>
      <c r="AY15" s="299"/>
      <c r="AZ15" s="250" t="n">
        <f aca="false">SUM(N15,P15:U15)</f>
        <v>4.35</v>
      </c>
    </row>
    <row r="16" customFormat="false" ht="12.95" hidden="false" customHeight="true" outlineLevel="0" collapsed="false">
      <c r="A16" s="183" t="n">
        <f aca="false">A15+1</f>
        <v>2</v>
      </c>
      <c r="B16" s="106" t="n">
        <v>6870.47</v>
      </c>
      <c r="C16" s="107" t="n">
        <v>189063</v>
      </c>
      <c r="D16" s="215" t="n">
        <f aca="false">C16-C15</f>
        <v>-54</v>
      </c>
      <c r="E16" s="107" t="n">
        <f aca="false">C16-152000</f>
        <v>37063</v>
      </c>
      <c r="F16" s="246" t="n">
        <f aca="false">D16/$D$2</f>
        <v>-27.22460297454</v>
      </c>
      <c r="G16" s="135" t="n">
        <v>30</v>
      </c>
      <c r="H16" s="337" t="n">
        <v>0.38</v>
      </c>
      <c r="I16" s="135" t="n">
        <f aca="false">G16+H16</f>
        <v>30.38</v>
      </c>
      <c r="J16" s="136" t="n">
        <f aca="false">IF(L16&gt;0,L16,0)</f>
        <v>2.63539702546004</v>
      </c>
      <c r="K16" s="135" t="n">
        <f aca="false">I16+J16</f>
        <v>33.01539702546</v>
      </c>
      <c r="L16" s="135" t="n">
        <f aca="false">F16-(I16-AK16)</f>
        <v>2.63539702546004</v>
      </c>
      <c r="M16" s="248" t="n">
        <v>4.14</v>
      </c>
      <c r="N16" s="135" t="n">
        <v>0</v>
      </c>
      <c r="O16" s="135" t="n">
        <v>0</v>
      </c>
      <c r="P16" s="158" t="n">
        <v>0</v>
      </c>
      <c r="Q16" s="338" t="n">
        <f aca="false">991800/325851/1.9835*1.02</f>
        <v>1.56521143751295</v>
      </c>
      <c r="R16" s="131" t="n">
        <f aca="false">((2.2)*1.04)-T16</f>
        <v>1.61785104</v>
      </c>
      <c r="S16" s="131" t="n">
        <v>0</v>
      </c>
      <c r="T16" s="131" t="n">
        <f aca="false">(0.6079*1.06)*1.04</f>
        <v>0.67014896</v>
      </c>
      <c r="U16" s="96" t="n">
        <f aca="false">M16-(Q16+R16+S16+T16)</f>
        <v>0.286788562487052</v>
      </c>
      <c r="V16" s="135" t="n">
        <v>20.7</v>
      </c>
      <c r="W16" s="135" t="n">
        <v>0</v>
      </c>
      <c r="X16" s="135" t="n">
        <f aca="false">M16-N16-O16-P16-Q16-R16-S16-T16-U16+V16+W16</f>
        <v>20.7</v>
      </c>
      <c r="Y16" s="135" t="n">
        <f aca="false">X16-AO16</f>
        <v>20.7</v>
      </c>
      <c r="Z16" s="135"/>
      <c r="AA16" s="135"/>
      <c r="AB16" s="107"/>
      <c r="AC16" s="136" t="n">
        <v>0</v>
      </c>
      <c r="AD16" s="107"/>
      <c r="AE16" s="135" t="n">
        <v>0</v>
      </c>
      <c r="AF16" s="248"/>
      <c r="AG16" s="249"/>
      <c r="AH16" s="135" t="n">
        <v>35.4</v>
      </c>
      <c r="AI16" s="107" t="n">
        <f aca="false">AI15-AH16</f>
        <v>1054.4</v>
      </c>
      <c r="AJ16" s="136"/>
      <c r="AK16" s="134" t="n">
        <f aca="false">N16+O16+P16+Q16+R16+S16+T16+U16+X16+AE16+AH16</f>
        <v>60.24</v>
      </c>
      <c r="AL16" s="135" t="n">
        <f aca="false">IF(L16&lt;0,L16*-1,0)</f>
        <v>0</v>
      </c>
      <c r="AM16" s="135" t="n">
        <f aca="false">AK16+AL16</f>
        <v>60.24</v>
      </c>
      <c r="AN16" s="220" t="n">
        <f aca="false">V16</f>
        <v>20.7</v>
      </c>
      <c r="AO16" s="136"/>
      <c r="AP16" s="221"/>
      <c r="AQ16" s="107"/>
      <c r="AR16" s="107"/>
      <c r="AS16" s="221"/>
      <c r="AU16" s="176"/>
      <c r="AV16" s="222" t="n">
        <v>0</v>
      </c>
      <c r="AW16" s="215" t="n">
        <v>58</v>
      </c>
      <c r="AX16" s="215" t="n">
        <v>17</v>
      </c>
      <c r="AY16" s="299"/>
      <c r="AZ16" s="250" t="n">
        <f aca="false">SUM(N16,P16:U16)</f>
        <v>4.14</v>
      </c>
    </row>
    <row r="17" customFormat="false" ht="12.95" hidden="false" customHeight="true" outlineLevel="0" collapsed="false">
      <c r="A17" s="183" t="n">
        <f aca="false">A16+1</f>
        <v>3</v>
      </c>
      <c r="B17" s="106" t="n">
        <v>6870.46</v>
      </c>
      <c r="C17" s="107" t="n">
        <v>189036</v>
      </c>
      <c r="D17" s="215" t="n">
        <f aca="false">C17-C16</f>
        <v>-27</v>
      </c>
      <c r="E17" s="107" t="n">
        <f aca="false">C17-152000</f>
        <v>37036</v>
      </c>
      <c r="F17" s="246" t="n">
        <f aca="false">D17/$D$2</f>
        <v>-13.61230148727</v>
      </c>
      <c r="G17" s="135" t="n">
        <v>35</v>
      </c>
      <c r="H17" s="337" t="n">
        <v>0.54</v>
      </c>
      <c r="I17" s="135" t="n">
        <f aca="false">G17+H17</f>
        <v>35.54</v>
      </c>
      <c r="J17" s="136" t="n">
        <f aca="false">IF(L17&gt;0,L17,0)</f>
        <v>10.23769851273</v>
      </c>
      <c r="K17" s="135" t="n">
        <f aca="false">I17+J17</f>
        <v>45.77769851273</v>
      </c>
      <c r="L17" s="135" t="n">
        <f aca="false">F17-(I17-AK17)</f>
        <v>10.23769851273</v>
      </c>
      <c r="M17" s="248" t="n">
        <v>3.29</v>
      </c>
      <c r="N17" s="135" t="n">
        <v>0</v>
      </c>
      <c r="O17" s="135" t="n">
        <v>0</v>
      </c>
      <c r="P17" s="158" t="n">
        <v>0</v>
      </c>
      <c r="Q17" s="338" t="n">
        <f aca="false">1029000/325851/1.9835*1.02</f>
        <v>1.62391870256183</v>
      </c>
      <c r="R17" s="131" t="n">
        <f aca="false">((2.2)*1.04)-T17</f>
        <v>1.61785104</v>
      </c>
      <c r="S17" s="131" t="n">
        <v>0</v>
      </c>
      <c r="T17" s="131" t="n">
        <f aca="false">(0.6079*1.06)*1.04</f>
        <v>0.67014896</v>
      </c>
      <c r="U17" s="96" t="n">
        <f aca="false">M17-(Q17+R17+S17+T17)</f>
        <v>-0.62191870256183</v>
      </c>
      <c r="V17" s="135" t="n">
        <v>20.6</v>
      </c>
      <c r="W17" s="135" t="n">
        <v>0</v>
      </c>
      <c r="X17" s="135" t="n">
        <f aca="false">M17-N17-O17-P17-Q17-R17-S17-T17-U17+V17+W17</f>
        <v>20.6</v>
      </c>
      <c r="Y17" s="135" t="n">
        <f aca="false">X17-AO17</f>
        <v>20.6</v>
      </c>
      <c r="Z17" s="135"/>
      <c r="AA17" s="135"/>
      <c r="AB17" s="107"/>
      <c r="AC17" s="136" t="n">
        <v>0</v>
      </c>
      <c r="AD17" s="107"/>
      <c r="AE17" s="135" t="n">
        <v>0</v>
      </c>
      <c r="AF17" s="248"/>
      <c r="AG17" s="249"/>
      <c r="AH17" s="135" t="n">
        <v>35.5</v>
      </c>
      <c r="AI17" s="107" t="n">
        <f aca="false">AI16-AH17</f>
        <v>1018.9</v>
      </c>
      <c r="AJ17" s="136"/>
      <c r="AK17" s="134" t="n">
        <f aca="false">N17+O17+P17+Q17+R17+S17+T17+U17+X17+AE17+AH17</f>
        <v>59.39</v>
      </c>
      <c r="AL17" s="135" t="n">
        <f aca="false">IF(L17&lt;0,L17*-1,0)</f>
        <v>0</v>
      </c>
      <c r="AM17" s="135" t="n">
        <f aca="false">AK17+AL17</f>
        <v>59.39</v>
      </c>
      <c r="AN17" s="220" t="n">
        <f aca="false">V17</f>
        <v>20.6</v>
      </c>
      <c r="AO17" s="136"/>
      <c r="AP17" s="221"/>
      <c r="AQ17" s="107"/>
      <c r="AR17" s="107"/>
      <c r="AS17" s="221"/>
      <c r="AU17" s="176"/>
      <c r="AV17" s="222" t="n">
        <v>0</v>
      </c>
      <c r="AW17" s="215" t="n">
        <v>56</v>
      </c>
      <c r="AX17" s="215" t="n">
        <v>28</v>
      </c>
      <c r="AY17" s="299"/>
      <c r="AZ17" s="250" t="n">
        <f aca="false">SUM(N17,P17:U17)</f>
        <v>3.29</v>
      </c>
    </row>
    <row r="18" customFormat="false" ht="12.95" hidden="false" customHeight="true" outlineLevel="0" collapsed="false">
      <c r="A18" s="183" t="n">
        <f aca="false">A17+1</f>
        <v>4</v>
      </c>
      <c r="B18" s="106" t="n">
        <v>6870.43</v>
      </c>
      <c r="C18" s="107" t="n">
        <v>188956</v>
      </c>
      <c r="D18" s="215" t="n">
        <f aca="false">C18-C17</f>
        <v>-80</v>
      </c>
      <c r="E18" s="107" t="n">
        <f aca="false">C18-152000</f>
        <v>36956</v>
      </c>
      <c r="F18" s="246" t="n">
        <f aca="false">D18/$D$2</f>
        <v>-40.3327451474666</v>
      </c>
      <c r="G18" s="135" t="n">
        <v>38</v>
      </c>
      <c r="H18" s="337" t="n">
        <v>0.61</v>
      </c>
      <c r="I18" s="135" t="n">
        <f aca="false">G18+H18</f>
        <v>38.61</v>
      </c>
      <c r="J18" s="136" t="n">
        <f aca="false">IF(L18&gt;0,L18,0)</f>
        <v>0</v>
      </c>
      <c r="K18" s="135" t="n">
        <f aca="false">I18+J18</f>
        <v>38.61</v>
      </c>
      <c r="L18" s="135" t="n">
        <f aca="false">F18-(I18-AK18)</f>
        <v>-11.5627451474666</v>
      </c>
      <c r="M18" s="248" t="n">
        <v>3.88</v>
      </c>
      <c r="N18" s="135" t="n">
        <v>0</v>
      </c>
      <c r="O18" s="135" t="n">
        <v>0</v>
      </c>
      <c r="P18" s="158" t="n">
        <v>0</v>
      </c>
      <c r="Q18" s="338" t="n">
        <f aca="false">995100/325851/1.9835*1.02</f>
        <v>1.57041934005761</v>
      </c>
      <c r="R18" s="131" t="n">
        <f aca="false">((2.2)*1.04)-T18</f>
        <v>1.61785104</v>
      </c>
      <c r="S18" s="131" t="n">
        <v>0</v>
      </c>
      <c r="T18" s="131" t="n">
        <f aca="false">(0.6079*1.06)*1.04</f>
        <v>0.67014896</v>
      </c>
      <c r="U18" s="96" t="n">
        <f aca="false">M18-(Q18+R18+S18+T18)</f>
        <v>0.0215806599423929</v>
      </c>
      <c r="V18" s="135" t="n">
        <v>28</v>
      </c>
      <c r="W18" s="135" t="n">
        <v>0</v>
      </c>
      <c r="X18" s="135" t="n">
        <f aca="false">M18-N18-O18-P18-Q18-R18-S18-T18-U18+V18+W18</f>
        <v>28</v>
      </c>
      <c r="Y18" s="135" t="n">
        <f aca="false">X18-AO18</f>
        <v>28</v>
      </c>
      <c r="Z18" s="135"/>
      <c r="AA18" s="135"/>
      <c r="AB18" s="107"/>
      <c r="AC18" s="136" t="n">
        <v>0</v>
      </c>
      <c r="AD18" s="107"/>
      <c r="AE18" s="135" t="n">
        <v>0</v>
      </c>
      <c r="AF18" s="248"/>
      <c r="AG18" s="249"/>
      <c r="AH18" s="135" t="n">
        <v>35.5</v>
      </c>
      <c r="AI18" s="107" t="n">
        <f aca="false">AI17-AH18</f>
        <v>983.399999999998</v>
      </c>
      <c r="AJ18" s="136"/>
      <c r="AK18" s="134" t="n">
        <f aca="false">N18+O18+P18+Q18+R18+S18+T18+U18+X18+AE18+AH18</f>
        <v>67.38</v>
      </c>
      <c r="AL18" s="135" t="n">
        <f aca="false">IF(L18&lt;0,L18*-1,0)</f>
        <v>11.5627451474666</v>
      </c>
      <c r="AM18" s="135" t="n">
        <f aca="false">AK18+AL18</f>
        <v>78.9427451474666</v>
      </c>
      <c r="AN18" s="220" t="n">
        <f aca="false">V18</f>
        <v>28</v>
      </c>
      <c r="AO18" s="136"/>
      <c r="AP18" s="221"/>
      <c r="AQ18" s="107"/>
      <c r="AR18" s="107"/>
      <c r="AS18" s="221"/>
      <c r="AU18" s="176"/>
      <c r="AV18" s="222" t="n">
        <v>0</v>
      </c>
      <c r="AW18" s="215" t="n">
        <v>52</v>
      </c>
      <c r="AX18" s="215" t="n">
        <v>26</v>
      </c>
      <c r="AY18" s="299"/>
      <c r="AZ18" s="250" t="n">
        <f aca="false">SUM(N18,P18:U18)</f>
        <v>3.88</v>
      </c>
    </row>
    <row r="19" customFormat="false" ht="12.95" hidden="false" customHeight="true" outlineLevel="0" collapsed="false">
      <c r="A19" s="183" t="n">
        <f aca="false">A18+1</f>
        <v>5</v>
      </c>
      <c r="B19" s="106" t="n">
        <v>6870.41</v>
      </c>
      <c r="C19" s="107" t="n">
        <v>188902</v>
      </c>
      <c r="D19" s="215" t="n">
        <f aca="false">C19-C18</f>
        <v>-54</v>
      </c>
      <c r="E19" s="107" t="n">
        <f aca="false">C19-152000</f>
        <v>36902</v>
      </c>
      <c r="F19" s="246" t="n">
        <f aca="false">D19/$D$2</f>
        <v>-27.22460297454</v>
      </c>
      <c r="G19" s="135" t="n">
        <v>36</v>
      </c>
      <c r="H19" s="337" t="n">
        <v>0.61</v>
      </c>
      <c r="I19" s="135" t="n">
        <f aca="false">G19+H19</f>
        <v>36.61</v>
      </c>
      <c r="J19" s="136" t="n">
        <f aca="false">IF(L19&gt;0,L19,0)</f>
        <v>8.93539702546004</v>
      </c>
      <c r="K19" s="135" t="n">
        <f aca="false">I19+J19</f>
        <v>45.54539702546</v>
      </c>
      <c r="L19" s="135" t="n">
        <f aca="false">F19-(I19-AK19)</f>
        <v>8.93539702546004</v>
      </c>
      <c r="M19" s="248" t="n">
        <v>3.47</v>
      </c>
      <c r="N19" s="135" t="n">
        <v>0</v>
      </c>
      <c r="O19" s="135" t="n">
        <v>0</v>
      </c>
      <c r="P19" s="158" t="n">
        <v>0</v>
      </c>
      <c r="Q19" s="338" t="n">
        <f aca="false">966400/325851/1.9835*1.02</f>
        <v>1.52512636944194</v>
      </c>
      <c r="R19" s="131" t="n">
        <f aca="false">((2.2)*1.04)-T19</f>
        <v>1.61785104</v>
      </c>
      <c r="S19" s="131" t="n">
        <v>0</v>
      </c>
      <c r="T19" s="131" t="n">
        <f aca="false">(0.6079*1.06)*1.04</f>
        <v>0.67014896</v>
      </c>
      <c r="U19" s="96" t="n">
        <f aca="false">M19-(Q19+R19+S19+T19)</f>
        <v>-0.343126369441936</v>
      </c>
      <c r="V19" s="135" t="n">
        <v>33.4</v>
      </c>
      <c r="W19" s="135" t="n">
        <v>0</v>
      </c>
      <c r="X19" s="135" t="n">
        <f aca="false">M19-N19-O19-P19-Q19-R19-S19-T19-U19+V19+W19</f>
        <v>33.4</v>
      </c>
      <c r="Y19" s="135" t="n">
        <f aca="false">X19-AO19</f>
        <v>33.4</v>
      </c>
      <c r="Z19" s="135"/>
      <c r="AA19" s="135"/>
      <c r="AB19" s="107"/>
      <c r="AC19" s="136" t="n">
        <v>0</v>
      </c>
      <c r="AD19" s="107"/>
      <c r="AE19" s="135" t="n">
        <v>0</v>
      </c>
      <c r="AF19" s="248"/>
      <c r="AG19" s="249"/>
      <c r="AH19" s="135" t="n">
        <v>35.9</v>
      </c>
      <c r="AI19" s="107" t="n">
        <f aca="false">AI18-AH19</f>
        <v>947.499999999998</v>
      </c>
      <c r="AJ19" s="136"/>
      <c r="AK19" s="134" t="n">
        <f aca="false">N19+O19+P19+Q19+R19+S19+T19+U19+X19+AE19+AH19</f>
        <v>72.77</v>
      </c>
      <c r="AL19" s="135" t="n">
        <f aca="false">IF(L19&lt;0,L19*-1,0)</f>
        <v>0</v>
      </c>
      <c r="AM19" s="135" t="n">
        <f aca="false">AK19+AL19</f>
        <v>72.77</v>
      </c>
      <c r="AN19" s="220" t="n">
        <f aca="false">V19</f>
        <v>33.4</v>
      </c>
      <c r="AO19" s="136"/>
      <c r="AP19" s="221"/>
      <c r="AQ19" s="107"/>
      <c r="AR19" s="107"/>
      <c r="AS19" s="221"/>
      <c r="AU19" s="176"/>
      <c r="AV19" s="222" t="n">
        <v>0</v>
      </c>
      <c r="AW19" s="215" t="n">
        <v>55</v>
      </c>
      <c r="AX19" s="215" t="n">
        <v>16</v>
      </c>
      <c r="AY19" s="299"/>
      <c r="AZ19" s="250" t="n">
        <f aca="false">SUM(N19,P19:U19)</f>
        <v>3.47</v>
      </c>
    </row>
    <row r="20" customFormat="false" ht="12.95" hidden="false" customHeight="true" outlineLevel="0" collapsed="false">
      <c r="A20" s="183" t="n">
        <f aca="false">A19+1</f>
        <v>6</v>
      </c>
      <c r="B20" s="106" t="n">
        <v>6870.41</v>
      </c>
      <c r="C20" s="107" t="n">
        <v>188902</v>
      </c>
      <c r="D20" s="215" t="n">
        <f aca="false">C20-C19</f>
        <v>0</v>
      </c>
      <c r="E20" s="107" t="n">
        <f aca="false">C20-152000</f>
        <v>36902</v>
      </c>
      <c r="F20" s="246" t="n">
        <f aca="false">D20/$D$2</f>
        <v>0</v>
      </c>
      <c r="G20" s="135" t="n">
        <v>37</v>
      </c>
      <c r="H20" s="337" t="n">
        <v>0.8</v>
      </c>
      <c r="I20" s="135" t="n">
        <f aca="false">G20+H20</f>
        <v>37.8</v>
      </c>
      <c r="J20" s="136" t="n">
        <f aca="false">IF(L20&gt;0,L20,0)</f>
        <v>34.84</v>
      </c>
      <c r="K20" s="135" t="n">
        <f aca="false">I20+J20</f>
        <v>72.64</v>
      </c>
      <c r="L20" s="135" t="n">
        <f aca="false">F20-(I20-AK20)</f>
        <v>34.84</v>
      </c>
      <c r="M20" s="248" t="n">
        <v>3.64</v>
      </c>
      <c r="N20" s="135" t="n">
        <v>0</v>
      </c>
      <c r="O20" s="135" t="n">
        <v>0</v>
      </c>
      <c r="P20" s="158" t="n">
        <v>0</v>
      </c>
      <c r="Q20" s="338" t="n">
        <f aca="false">771400/325851/1.9835*1.02</f>
        <v>1.21738667362118</v>
      </c>
      <c r="R20" s="131" t="n">
        <f aca="false">((2.2)*1.04)-T20</f>
        <v>1.61785104</v>
      </c>
      <c r="S20" s="131" t="n">
        <v>0</v>
      </c>
      <c r="T20" s="131" t="n">
        <f aca="false">(0.6079*1.06)*1.04</f>
        <v>0.67014896</v>
      </c>
      <c r="U20" s="96" t="n">
        <f aca="false">M20-(Q20+R20+S20+T20)</f>
        <v>0.134613326378819</v>
      </c>
      <c r="V20" s="135" t="n">
        <v>33.4</v>
      </c>
      <c r="W20" s="135" t="n">
        <v>0</v>
      </c>
      <c r="X20" s="135" t="n">
        <f aca="false">M20-N20-O20-P20-Q20-R20-S20-T20-U20+V20+W20</f>
        <v>33.4</v>
      </c>
      <c r="Y20" s="135" t="n">
        <f aca="false">X20-AO20</f>
        <v>33.4</v>
      </c>
      <c r="Z20" s="135"/>
      <c r="AA20" s="135"/>
      <c r="AB20" s="107"/>
      <c r="AC20" s="136" t="n">
        <v>0</v>
      </c>
      <c r="AD20" s="107"/>
      <c r="AE20" s="135" t="n">
        <v>0</v>
      </c>
      <c r="AF20" s="248"/>
      <c r="AG20" s="249"/>
      <c r="AH20" s="135" t="n">
        <v>35.6</v>
      </c>
      <c r="AI20" s="107" t="n">
        <f aca="false">AI19-AH20</f>
        <v>911.899999999998</v>
      </c>
      <c r="AJ20" s="136"/>
      <c r="AK20" s="134" t="n">
        <f aca="false">N20+O20+P20+Q20+R20+S20+T20+U20+X20+AE20+AH20</f>
        <v>72.64</v>
      </c>
      <c r="AL20" s="135" t="n">
        <f aca="false">IF(L20&lt;0,L20*-1,0)</f>
        <v>0</v>
      </c>
      <c r="AM20" s="135" t="n">
        <f aca="false">AK20+AL20</f>
        <v>72.64</v>
      </c>
      <c r="AN20" s="220" t="n">
        <f aca="false">V20</f>
        <v>33.4</v>
      </c>
      <c r="AO20" s="136"/>
      <c r="AP20" s="135"/>
      <c r="AQ20" s="107"/>
      <c r="AR20" s="107"/>
      <c r="AS20" s="221"/>
      <c r="AU20" s="176"/>
      <c r="AV20" s="222" t="n">
        <v>0</v>
      </c>
      <c r="AW20" s="215" t="n">
        <v>60</v>
      </c>
      <c r="AX20" s="215" t="n">
        <v>29</v>
      </c>
      <c r="AY20" s="299"/>
      <c r="AZ20" s="250" t="n">
        <f aca="false">SUM(N20,P20:U20)</f>
        <v>3.64</v>
      </c>
    </row>
    <row r="21" customFormat="false" ht="12.95" hidden="false" customHeight="true" outlineLevel="0" collapsed="false">
      <c r="A21" s="183" t="n">
        <f aca="false">A20+1</f>
        <v>7</v>
      </c>
      <c r="B21" s="106" t="n">
        <v>6870.42</v>
      </c>
      <c r="C21" s="107" t="n">
        <v>188929</v>
      </c>
      <c r="D21" s="215" t="n">
        <f aca="false">C21-C20</f>
        <v>27</v>
      </c>
      <c r="E21" s="107" t="n">
        <f aca="false">C21-152000</f>
        <v>36929</v>
      </c>
      <c r="F21" s="246" t="n">
        <f aca="false">D21/$D$2</f>
        <v>13.61230148727</v>
      </c>
      <c r="G21" s="135" t="n">
        <v>41</v>
      </c>
      <c r="H21" s="337" t="n">
        <v>0.97</v>
      </c>
      <c r="I21" s="135" t="n">
        <f aca="false">G21+H21</f>
        <v>41.97</v>
      </c>
      <c r="J21" s="136" t="n">
        <f aca="false">IF(L21&gt;0,L21,0)</f>
        <v>43.98230148727</v>
      </c>
      <c r="K21" s="135" t="n">
        <f aca="false">I21+J21</f>
        <v>85.95230148727</v>
      </c>
      <c r="L21" s="135" t="n">
        <f aca="false">F21-(I21-AK21)</f>
        <v>43.98230148727</v>
      </c>
      <c r="M21" s="248" t="n">
        <v>3.54</v>
      </c>
      <c r="N21" s="135" t="n">
        <v>0</v>
      </c>
      <c r="O21" s="135" t="n">
        <v>0</v>
      </c>
      <c r="P21" s="158" t="n">
        <v>0</v>
      </c>
      <c r="Q21" s="338" t="n">
        <f aca="false">1008100/325851/1.9835*1.02</f>
        <v>1.59093531977899</v>
      </c>
      <c r="R21" s="131" t="n">
        <f aca="false">((2.2)*1.04)-T21</f>
        <v>1.61785104</v>
      </c>
      <c r="S21" s="131" t="n">
        <v>0</v>
      </c>
      <c r="T21" s="131" t="n">
        <f aca="false">(0.6079*1.06)*1.04</f>
        <v>0.67014896</v>
      </c>
      <c r="U21" s="96" t="n">
        <f aca="false">M21-(Q21+R21+S21+T21)</f>
        <v>-0.338935319778991</v>
      </c>
      <c r="V21" s="135" t="n">
        <v>33.4</v>
      </c>
      <c r="W21" s="135" t="n">
        <v>0</v>
      </c>
      <c r="X21" s="135" t="n">
        <f aca="false">M21-N21-O21-P21-Q21-R21-S21-T21-U21+V21+W21</f>
        <v>33.4</v>
      </c>
      <c r="Y21" s="135" t="n">
        <f aca="false">X21-AO21</f>
        <v>33.4</v>
      </c>
      <c r="Z21" s="135"/>
      <c r="AA21" s="135"/>
      <c r="AB21" s="107"/>
      <c r="AC21" s="136" t="n">
        <v>0</v>
      </c>
      <c r="AD21" s="107"/>
      <c r="AE21" s="135" t="n">
        <v>0</v>
      </c>
      <c r="AF21" s="248"/>
      <c r="AG21" s="249"/>
      <c r="AH21" s="135" t="n">
        <v>35.4</v>
      </c>
      <c r="AI21" s="107" t="n">
        <f aca="false">AI20-AH21</f>
        <v>876.499999999998</v>
      </c>
      <c r="AJ21" s="136"/>
      <c r="AK21" s="134" t="n">
        <f aca="false">N21+O21+P21+Q21+R21+S21+T21+U21+X21+AE21+AH21</f>
        <v>72.34</v>
      </c>
      <c r="AL21" s="135" t="n">
        <f aca="false">IF(L21&lt;0,L21*-1,0)</f>
        <v>0</v>
      </c>
      <c r="AM21" s="135" t="n">
        <f aca="false">AK21+AL21</f>
        <v>72.34</v>
      </c>
      <c r="AN21" s="220" t="n">
        <f aca="false">V21</f>
        <v>33.4</v>
      </c>
      <c r="AO21" s="136"/>
      <c r="AP21" s="135"/>
      <c r="AQ21" s="107"/>
      <c r="AR21" s="107"/>
      <c r="AS21" s="221"/>
      <c r="AU21" s="176"/>
      <c r="AV21" s="222" t="n">
        <v>0</v>
      </c>
      <c r="AW21" s="215" t="n">
        <v>52</v>
      </c>
      <c r="AX21" s="215" t="n">
        <v>29</v>
      </c>
      <c r="AY21" s="299"/>
      <c r="AZ21" s="250" t="n">
        <f aca="false">SUM(N21,P21:U21)</f>
        <v>3.54</v>
      </c>
    </row>
    <row r="22" customFormat="false" ht="12.95" hidden="false" customHeight="true" outlineLevel="0" collapsed="false">
      <c r="A22" s="183" t="n">
        <f aca="false">A21+1</f>
        <v>8</v>
      </c>
      <c r="B22" s="106" t="n">
        <v>6870.43</v>
      </c>
      <c r="C22" s="107" t="n">
        <v>188956</v>
      </c>
      <c r="D22" s="215" t="n">
        <f aca="false">C22-C21</f>
        <v>27</v>
      </c>
      <c r="E22" s="107" t="n">
        <f aca="false">C22-152000</f>
        <v>36956</v>
      </c>
      <c r="F22" s="246" t="n">
        <f aca="false">D22/$D$2</f>
        <v>13.61230148727</v>
      </c>
      <c r="G22" s="135" t="n">
        <v>45</v>
      </c>
      <c r="H22" s="337" t="n">
        <v>1.1</v>
      </c>
      <c r="I22" s="135" t="n">
        <f aca="false">G22+H22</f>
        <v>46.1</v>
      </c>
      <c r="J22" s="136" t="n">
        <f aca="false">IF(L22&gt;0,L22,0)</f>
        <v>40.16230148727</v>
      </c>
      <c r="K22" s="135" t="n">
        <f aca="false">I22+J22</f>
        <v>86.26230148727</v>
      </c>
      <c r="L22" s="135" t="n">
        <f aca="false">F22-(I22-AK22)</f>
        <v>40.16230148727</v>
      </c>
      <c r="M22" s="248" t="n">
        <v>3.75</v>
      </c>
      <c r="N22" s="135" t="n">
        <v>0</v>
      </c>
      <c r="O22" s="135" t="n">
        <v>0</v>
      </c>
      <c r="P22" s="158" t="n">
        <v>0</v>
      </c>
      <c r="Q22" s="338" t="n">
        <f aca="false">791500/325851/1.9835*1.02</f>
        <v>1.24910753457501</v>
      </c>
      <c r="R22" s="131" t="n">
        <f aca="false">((2.2)*1.04)-T22</f>
        <v>1.76347808</v>
      </c>
      <c r="S22" s="131" t="n">
        <v>0</v>
      </c>
      <c r="T22" s="131" t="n">
        <f aca="false">(0.4758*1.06)*1.04</f>
        <v>0.52452192</v>
      </c>
      <c r="U22" s="96" t="n">
        <f aca="false">M22-(Q22+R22+S22+T22)</f>
        <v>0.212892465424987</v>
      </c>
      <c r="V22" s="135" t="n">
        <v>33.4</v>
      </c>
      <c r="W22" s="135" t="n">
        <v>0</v>
      </c>
      <c r="X22" s="135" t="n">
        <f aca="false">M22-N22-O22-P22-Q22-R22-S22-T22-U22+V22+W22</f>
        <v>33.4</v>
      </c>
      <c r="Y22" s="135" t="n">
        <f aca="false">X22-AO22</f>
        <v>33.4</v>
      </c>
      <c r="Z22" s="135"/>
      <c r="AA22" s="135"/>
      <c r="AB22" s="107"/>
      <c r="AC22" s="136" t="n">
        <v>0</v>
      </c>
      <c r="AD22" s="107"/>
      <c r="AE22" s="135" t="n">
        <v>0</v>
      </c>
      <c r="AF22" s="248"/>
      <c r="AG22" s="249"/>
      <c r="AH22" s="135" t="n">
        <v>35.5</v>
      </c>
      <c r="AI22" s="107" t="n">
        <f aca="false">AI21-AH22</f>
        <v>840.999999999998</v>
      </c>
      <c r="AJ22" s="136"/>
      <c r="AK22" s="134" t="n">
        <f aca="false">N22+O22+P22+Q22+R22+S22+T22+U22+X22+AE22+AH22</f>
        <v>72.65</v>
      </c>
      <c r="AL22" s="135" t="n">
        <f aca="false">IF(L22&lt;0,L22*-1,0)</f>
        <v>0</v>
      </c>
      <c r="AM22" s="135" t="n">
        <f aca="false">AK22+AL22</f>
        <v>72.65</v>
      </c>
      <c r="AN22" s="220" t="n">
        <f aca="false">V22</f>
        <v>33.4</v>
      </c>
      <c r="AO22" s="136"/>
      <c r="AP22" s="135"/>
      <c r="AQ22" s="107"/>
      <c r="AR22" s="107"/>
      <c r="AS22" s="221"/>
      <c r="AU22" s="176"/>
      <c r="AV22" s="222" t="n">
        <v>0.21</v>
      </c>
      <c r="AW22" s="215" t="n">
        <v>45</v>
      </c>
      <c r="AX22" s="215" t="n">
        <v>30</v>
      </c>
      <c r="AY22" s="299"/>
      <c r="AZ22" s="250" t="n">
        <f aca="false">SUM(N22,P22:U22)</f>
        <v>3.75</v>
      </c>
    </row>
    <row r="23" customFormat="false" ht="12.95" hidden="false" customHeight="true" outlineLevel="0" collapsed="false">
      <c r="A23" s="183" t="n">
        <f aca="false">A22+1</f>
        <v>9</v>
      </c>
      <c r="B23" s="106" t="n">
        <v>6870.41</v>
      </c>
      <c r="C23" s="107" t="n">
        <v>188902</v>
      </c>
      <c r="D23" s="215" t="n">
        <f aca="false">C23-C22</f>
        <v>-54</v>
      </c>
      <c r="E23" s="107" t="n">
        <f aca="false">C23-152000</f>
        <v>36902</v>
      </c>
      <c r="F23" s="246" t="n">
        <f aca="false">D23/$D$2</f>
        <v>-27.22460297454</v>
      </c>
      <c r="G23" s="135" t="n">
        <v>44</v>
      </c>
      <c r="H23" s="337" t="n">
        <v>1</v>
      </c>
      <c r="I23" s="135" t="n">
        <f aca="false">G23+H23</f>
        <v>45</v>
      </c>
      <c r="J23" s="136" t="n">
        <f aca="false">IF(L23&gt;0,L23,0)</f>
        <v>0</v>
      </c>
      <c r="K23" s="135" t="n">
        <f aca="false">I23+J23</f>
        <v>45</v>
      </c>
      <c r="L23" s="135" t="n">
        <f aca="false">F23-(I23-AK23)</f>
        <v>-0.194602974539954</v>
      </c>
      <c r="M23" s="248" t="n">
        <v>3.23</v>
      </c>
      <c r="N23" s="135" t="n">
        <v>0</v>
      </c>
      <c r="O23" s="135" t="n">
        <v>0</v>
      </c>
      <c r="P23" s="158" t="n">
        <v>0</v>
      </c>
      <c r="Q23" s="338" t="n">
        <f aca="false">831200/325851/1.9835*1.02</f>
        <v>1.31176018033955</v>
      </c>
      <c r="R23" s="131" t="n">
        <f aca="false">((2.2)*1.04)-T23</f>
        <v>1.76347808</v>
      </c>
      <c r="S23" s="131" t="n">
        <v>0</v>
      </c>
      <c r="T23" s="131" t="n">
        <f aca="false">(0.4758*1.06)*1.04</f>
        <v>0.52452192</v>
      </c>
      <c r="U23" s="96" t="n">
        <f aca="false">M23-(Q23+R23+S23+T23)</f>
        <v>-0.369760180339547</v>
      </c>
      <c r="V23" s="135" t="n">
        <v>33.4</v>
      </c>
      <c r="W23" s="135" t="n">
        <v>0</v>
      </c>
      <c r="X23" s="135" t="n">
        <f aca="false">M23-N23-O23-P23-Q23-R23-S23-T23-U23+V23+W23</f>
        <v>33.4</v>
      </c>
      <c r="Y23" s="135" t="n">
        <f aca="false">X23-AO23</f>
        <v>33.4</v>
      </c>
      <c r="Z23" s="135"/>
      <c r="AA23" s="135"/>
      <c r="AB23" s="107"/>
      <c r="AC23" s="136" t="n">
        <v>0</v>
      </c>
      <c r="AD23" s="107"/>
      <c r="AE23" s="135" t="n">
        <v>0</v>
      </c>
      <c r="AF23" s="248"/>
      <c r="AG23" s="249"/>
      <c r="AH23" s="135" t="n">
        <v>35.4</v>
      </c>
      <c r="AI23" s="107" t="n">
        <f aca="false">AI22-AH23</f>
        <v>805.599999999998</v>
      </c>
      <c r="AJ23" s="136"/>
      <c r="AK23" s="134" t="n">
        <f aca="false">N23+O23+P23+Q23+R23+S23+T23+U23+X23+AE23+AH23</f>
        <v>72.03</v>
      </c>
      <c r="AL23" s="135" t="n">
        <f aca="false">IF(L23&lt;0,L23*-1,0)</f>
        <v>0.194602974539954</v>
      </c>
      <c r="AM23" s="135" t="n">
        <f aca="false">AK23+AL23</f>
        <v>72.2246029745399</v>
      </c>
      <c r="AN23" s="220" t="n">
        <f aca="false">V23</f>
        <v>33.4</v>
      </c>
      <c r="AO23" s="136"/>
      <c r="AP23" s="135"/>
      <c r="AQ23" s="107"/>
      <c r="AR23" s="107"/>
      <c r="AS23" s="221"/>
      <c r="AU23" s="176"/>
      <c r="AV23" s="222" t="n">
        <v>0.21</v>
      </c>
      <c r="AW23" s="221" t="n">
        <v>38</v>
      </c>
      <c r="AX23" s="215" t="n">
        <v>22</v>
      </c>
      <c r="AY23" s="299"/>
      <c r="AZ23" s="250" t="n">
        <f aca="false">SUM(N23,P23:U23)</f>
        <v>3.23</v>
      </c>
    </row>
    <row r="24" customFormat="false" ht="12.95" hidden="false" customHeight="true" outlineLevel="0" collapsed="false">
      <c r="A24" s="183" t="n">
        <f aca="false">A23+1</f>
        <v>10</v>
      </c>
      <c r="B24" s="106" t="n">
        <v>6870.39</v>
      </c>
      <c r="C24" s="107" t="n">
        <v>188849</v>
      </c>
      <c r="D24" s="215" t="n">
        <f aca="false">C24-C23</f>
        <v>-53</v>
      </c>
      <c r="E24" s="107" t="n">
        <f aca="false">C24-152000</f>
        <v>36849</v>
      </c>
      <c r="F24" s="246" t="n">
        <f aca="false">D24/$D$2</f>
        <v>-26.7204436601966</v>
      </c>
      <c r="G24" s="135" t="n">
        <v>41</v>
      </c>
      <c r="H24" s="337" t="n">
        <v>0.76</v>
      </c>
      <c r="I24" s="135" t="n">
        <f aca="false">G24+H24</f>
        <v>41.76</v>
      </c>
      <c r="J24" s="136" t="n">
        <f aca="false">IF(L24&gt;0,L24,0)</f>
        <v>3.41955633980339</v>
      </c>
      <c r="K24" s="135" t="n">
        <f aca="false">I24+J24</f>
        <v>45.1795563398034</v>
      </c>
      <c r="L24" s="135" t="n">
        <f aca="false">F24-(I24-AK24)</f>
        <v>3.41955633980339</v>
      </c>
      <c r="M24" s="248" t="n">
        <v>3.2</v>
      </c>
      <c r="N24" s="135" t="n">
        <v>0</v>
      </c>
      <c r="O24" s="135" t="n">
        <v>0</v>
      </c>
      <c r="P24" s="158" t="n">
        <v>0</v>
      </c>
      <c r="Q24" s="338" t="n">
        <f aca="false">1047200/325851/1.9835*1.02</f>
        <v>1.65264107417177</v>
      </c>
      <c r="R24" s="131" t="n">
        <f aca="false">((2)*1.04)-T24</f>
        <v>1.55547808</v>
      </c>
      <c r="S24" s="131" t="n">
        <v>0</v>
      </c>
      <c r="T24" s="131" t="n">
        <f aca="false">(0.4758*1.06)*1.04</f>
        <v>0.52452192</v>
      </c>
      <c r="U24" s="96" t="n">
        <f aca="false">M24-(Q24+R24+S24+T24)</f>
        <v>-0.532641074171767</v>
      </c>
      <c r="V24" s="135" t="n">
        <v>33.3</v>
      </c>
      <c r="W24" s="135" t="n">
        <v>0</v>
      </c>
      <c r="X24" s="135" t="n">
        <f aca="false">M24-N24-O24-P24-Q24-R24-S24-T24-U24+V24+W24</f>
        <v>33.3</v>
      </c>
      <c r="Y24" s="135" t="n">
        <f aca="false">X24-AO24</f>
        <v>33.3</v>
      </c>
      <c r="Z24" s="135"/>
      <c r="AA24" s="135"/>
      <c r="AB24" s="107"/>
      <c r="AC24" s="136" t="n">
        <v>0</v>
      </c>
      <c r="AD24" s="107"/>
      <c r="AE24" s="135" t="n">
        <v>0</v>
      </c>
      <c r="AF24" s="248"/>
      <c r="AG24" s="249"/>
      <c r="AH24" s="135" t="n">
        <v>35.4</v>
      </c>
      <c r="AI24" s="107" t="n">
        <f aca="false">AI23-AH24</f>
        <v>770.199999999998</v>
      </c>
      <c r="AJ24" s="136"/>
      <c r="AK24" s="134" t="n">
        <f aca="false">N24+O24+P24+Q24+R24+S24+T24+U24+X24+AE24+AH24</f>
        <v>71.9</v>
      </c>
      <c r="AL24" s="135" t="n">
        <f aca="false">IF(L24&lt;0,L24*-1,0)</f>
        <v>0</v>
      </c>
      <c r="AM24" s="135" t="n">
        <f aca="false">AK24+AL24</f>
        <v>71.9</v>
      </c>
      <c r="AN24" s="220" t="n">
        <f aca="false">V24</f>
        <v>33.3</v>
      </c>
      <c r="AO24" s="136"/>
      <c r="AP24" s="135"/>
      <c r="AQ24" s="107"/>
      <c r="AR24" s="107"/>
      <c r="AS24" s="221"/>
      <c r="AU24" s="176"/>
      <c r="AV24" s="222" t="n">
        <v>0</v>
      </c>
      <c r="AW24" s="215" t="n">
        <v>44</v>
      </c>
      <c r="AX24" s="215" t="n">
        <v>20</v>
      </c>
      <c r="AY24" s="299"/>
      <c r="AZ24" s="250" t="n">
        <f aca="false">SUM(N24,P24:U24)</f>
        <v>3.2</v>
      </c>
    </row>
    <row r="25" customFormat="false" ht="12.95" hidden="false" customHeight="true" outlineLevel="0" collapsed="false">
      <c r="A25" s="183" t="n">
        <f aca="false">A24+1</f>
        <v>11</v>
      </c>
      <c r="B25" s="106" t="n">
        <v>6870.38</v>
      </c>
      <c r="C25" s="107" t="n">
        <v>188822</v>
      </c>
      <c r="D25" s="215" t="n">
        <f aca="false">C25-C24</f>
        <v>-27</v>
      </c>
      <c r="E25" s="107" t="n">
        <f aca="false">C25-152000</f>
        <v>36822</v>
      </c>
      <c r="F25" s="246" t="n">
        <f aca="false">D25/$D$2</f>
        <v>-13.61230148727</v>
      </c>
      <c r="G25" s="135" t="n">
        <v>42</v>
      </c>
      <c r="H25" s="337" t="n">
        <v>0.8</v>
      </c>
      <c r="I25" s="135" t="n">
        <f aca="false">G25+H25</f>
        <v>42.8</v>
      </c>
      <c r="J25" s="136" t="n">
        <f aca="false">IF(L25&gt;0,L25,0)</f>
        <v>15.65769851273</v>
      </c>
      <c r="K25" s="135" t="n">
        <f aca="false">I25+J25</f>
        <v>58.45769851273</v>
      </c>
      <c r="L25" s="135" t="n">
        <f aca="false">F25-(I25-AK25)</f>
        <v>15.65769851273</v>
      </c>
      <c r="M25" s="248" t="n">
        <v>3.57</v>
      </c>
      <c r="N25" s="135" t="n">
        <v>0</v>
      </c>
      <c r="O25" s="135" t="n">
        <v>0</v>
      </c>
      <c r="P25" s="158" t="n">
        <v>0</v>
      </c>
      <c r="Q25" s="338" t="n">
        <f aca="false">925700/325851/1.9835*1.02</f>
        <v>1.46089557139114</v>
      </c>
      <c r="R25" s="131" t="n">
        <f aca="false">((2)*1.04)-T25</f>
        <v>1.55547808</v>
      </c>
      <c r="S25" s="131" t="n">
        <v>0</v>
      </c>
      <c r="T25" s="131" t="n">
        <f aca="false">(0.4758*1.06)*1.04</f>
        <v>0.52452192</v>
      </c>
      <c r="U25" s="96" t="n">
        <f aca="false">M25-(Q25+R25+S25+T25)</f>
        <v>0.0291044286088571</v>
      </c>
      <c r="V25" s="135" t="n">
        <v>33.2</v>
      </c>
      <c r="W25" s="135" t="n">
        <v>0</v>
      </c>
      <c r="X25" s="135" t="n">
        <f aca="false">M25-N25-O25-P25-Q25-R25-S25-T25-U25+V25+W25</f>
        <v>33.2</v>
      </c>
      <c r="Y25" s="135" t="n">
        <f aca="false">X25-AO25</f>
        <v>33.2</v>
      </c>
      <c r="Z25" s="135"/>
      <c r="AA25" s="135"/>
      <c r="AB25" s="107"/>
      <c r="AC25" s="136" t="n">
        <v>0</v>
      </c>
      <c r="AD25" s="107"/>
      <c r="AE25" s="135" t="n">
        <v>0</v>
      </c>
      <c r="AF25" s="248"/>
      <c r="AG25" s="249"/>
      <c r="AH25" s="135" t="n">
        <v>35.3</v>
      </c>
      <c r="AI25" s="107" t="n">
        <f aca="false">AI24-AH25</f>
        <v>734.899999999998</v>
      </c>
      <c r="AJ25" s="136"/>
      <c r="AK25" s="134" t="n">
        <f aca="false">N25+O25+P25+Q25+R25+S25+T25+U25+X25+AE25+AH25</f>
        <v>72.07</v>
      </c>
      <c r="AL25" s="135" t="n">
        <f aca="false">IF(L25&lt;0,L25*-1,0)</f>
        <v>0</v>
      </c>
      <c r="AM25" s="135" t="n">
        <f aca="false">AK25+AL25</f>
        <v>72.07</v>
      </c>
      <c r="AN25" s="220" t="n">
        <f aca="false">V25</f>
        <v>33.2</v>
      </c>
      <c r="AO25" s="136"/>
      <c r="AP25" s="135"/>
      <c r="AQ25" s="107"/>
      <c r="AR25" s="107"/>
      <c r="AS25" s="221"/>
      <c r="AU25" s="176"/>
      <c r="AV25" s="222" t="n">
        <v>0</v>
      </c>
      <c r="AW25" s="215" t="n">
        <v>52</v>
      </c>
      <c r="AX25" s="215" t="n">
        <v>18</v>
      </c>
      <c r="AY25" s="299"/>
      <c r="AZ25" s="250" t="n">
        <f aca="false">SUM(N25,P25:U25)</f>
        <v>3.57</v>
      </c>
    </row>
    <row r="26" customFormat="false" ht="12.95" hidden="false" customHeight="true" outlineLevel="0" collapsed="false">
      <c r="A26" s="183" t="n">
        <f aca="false">A25+1</f>
        <v>12</v>
      </c>
      <c r="B26" s="106" t="n">
        <v>6870.37</v>
      </c>
      <c r="C26" s="107" t="n">
        <v>188795</v>
      </c>
      <c r="D26" s="215" t="n">
        <f aca="false">C26-C25</f>
        <v>-27</v>
      </c>
      <c r="E26" s="107" t="n">
        <f aca="false">C26-152000</f>
        <v>36795</v>
      </c>
      <c r="F26" s="246" t="n">
        <f aca="false">D26/$D$2</f>
        <v>-13.61230148727</v>
      </c>
      <c r="G26" s="135" t="n">
        <v>47</v>
      </c>
      <c r="H26" s="337" t="n">
        <v>1.1</v>
      </c>
      <c r="I26" s="135" t="n">
        <f aca="false">G26+H26</f>
        <v>48.1</v>
      </c>
      <c r="J26" s="136" t="n">
        <f aca="false">IF(L26&gt;0,L26,0)</f>
        <v>9.38769851273002</v>
      </c>
      <c r="K26" s="135" t="n">
        <f aca="false">I26+J26</f>
        <v>57.48769851273</v>
      </c>
      <c r="L26" s="135" t="n">
        <f aca="false">F26-(I26-AK26)</f>
        <v>9.38769851273002</v>
      </c>
      <c r="M26" s="248" t="n">
        <v>3.2</v>
      </c>
      <c r="N26" s="135" t="n">
        <v>0</v>
      </c>
      <c r="O26" s="135" t="n">
        <v>0</v>
      </c>
      <c r="P26" s="158" t="n">
        <v>0</v>
      </c>
      <c r="Q26" s="338" t="n">
        <f aca="false">818700/325851/1.9835*1.02</f>
        <v>1.29203327676129</v>
      </c>
      <c r="R26" s="131" t="n">
        <f aca="false">((2)*1.04)-T26</f>
        <v>1.55547808</v>
      </c>
      <c r="S26" s="131" t="n">
        <v>0</v>
      </c>
      <c r="T26" s="131" t="n">
        <f aca="false">(0.4758*1.06)*1.04</f>
        <v>0.52452192</v>
      </c>
      <c r="U26" s="96" t="n">
        <f aca="false">M26-(Q26+R26+S26+T26)</f>
        <v>-0.172033276761292</v>
      </c>
      <c r="V26" s="135" t="n">
        <v>33.1</v>
      </c>
      <c r="W26" s="135" t="n">
        <v>0</v>
      </c>
      <c r="X26" s="135" t="n">
        <f aca="false">M26-N26-O26-P26-Q26-R26-S26-T26-U26+V26+W26</f>
        <v>33.1</v>
      </c>
      <c r="Y26" s="135" t="n">
        <f aca="false">X26-AO26</f>
        <v>33.1</v>
      </c>
      <c r="Z26" s="135"/>
      <c r="AA26" s="135"/>
      <c r="AB26" s="107"/>
      <c r="AC26" s="136" t="n">
        <v>0</v>
      </c>
      <c r="AD26" s="107"/>
      <c r="AE26" s="135" t="n">
        <v>0</v>
      </c>
      <c r="AF26" s="248"/>
      <c r="AG26" s="249"/>
      <c r="AH26" s="135" t="n">
        <v>34.8</v>
      </c>
      <c r="AI26" s="107" t="n">
        <f aca="false">AI25-AH26</f>
        <v>700.099999999998</v>
      </c>
      <c r="AJ26" s="136"/>
      <c r="AK26" s="134" t="n">
        <f aca="false">N26+O26+P26+Q26+R26+S26+T26+U26+X26+AE26+AH26</f>
        <v>71.1</v>
      </c>
      <c r="AL26" s="135" t="n">
        <f aca="false">IF(L26&lt;0,L26*-1,0)</f>
        <v>0</v>
      </c>
      <c r="AM26" s="135" t="n">
        <f aca="false">AK26+AL26</f>
        <v>71.1</v>
      </c>
      <c r="AN26" s="220" t="n">
        <f aca="false">V26</f>
        <v>33.1</v>
      </c>
      <c r="AO26" s="136"/>
      <c r="AP26" s="135"/>
      <c r="AQ26" s="107"/>
      <c r="AR26" s="107"/>
      <c r="AS26" s="221"/>
      <c r="AU26" s="176"/>
      <c r="AV26" s="222" t="n">
        <v>0</v>
      </c>
      <c r="AW26" s="215" t="n">
        <v>58</v>
      </c>
      <c r="AX26" s="215" t="n">
        <v>24</v>
      </c>
      <c r="AY26" s="299"/>
      <c r="AZ26" s="250" t="n">
        <f aca="false">SUM(N26,P26:U26)</f>
        <v>3.2</v>
      </c>
    </row>
    <row r="27" customFormat="false" ht="12.95" hidden="false" customHeight="true" outlineLevel="0" collapsed="false">
      <c r="A27" s="183" t="n">
        <f aca="false">A26+1</f>
        <v>13</v>
      </c>
      <c r="B27" s="106" t="n">
        <v>6870.37</v>
      </c>
      <c r="C27" s="107" t="n">
        <v>188795</v>
      </c>
      <c r="D27" s="215" t="n">
        <f aca="false">C27-C26</f>
        <v>0</v>
      </c>
      <c r="E27" s="107" t="n">
        <f aca="false">C27-152000</f>
        <v>36795</v>
      </c>
      <c r="F27" s="246" t="n">
        <f aca="false">D27/$D$2</f>
        <v>0</v>
      </c>
      <c r="G27" s="135" t="n">
        <v>58</v>
      </c>
      <c r="H27" s="337" t="n">
        <v>1.5</v>
      </c>
      <c r="I27" s="135" t="n">
        <f aca="false">G27+H27</f>
        <v>59.5</v>
      </c>
      <c r="J27" s="136" t="n">
        <f aca="false">IF(L27&gt;0,L27,0)</f>
        <v>14.66</v>
      </c>
      <c r="K27" s="135" t="n">
        <f aca="false">I27+J27</f>
        <v>74.16</v>
      </c>
      <c r="L27" s="135" t="n">
        <f aca="false">F27-(I27-AK27)</f>
        <v>14.66</v>
      </c>
      <c r="M27" s="248" t="n">
        <v>3.56</v>
      </c>
      <c r="N27" s="135" t="n">
        <v>0</v>
      </c>
      <c r="O27" s="135" t="n">
        <v>0</v>
      </c>
      <c r="P27" s="158" t="n">
        <v>0</v>
      </c>
      <c r="Q27" s="338" t="n">
        <f aca="false">930800/325851/1.9835*1.02</f>
        <v>1.46894414805107</v>
      </c>
      <c r="R27" s="131" t="n">
        <f aca="false">((2)*1.04)-T27</f>
        <v>1.55547808</v>
      </c>
      <c r="S27" s="131" t="n">
        <v>0</v>
      </c>
      <c r="T27" s="131" t="n">
        <f aca="false">(0.4758*1.06)*1.04</f>
        <v>0.52452192</v>
      </c>
      <c r="U27" s="96" t="n">
        <f aca="false">M27-(Q27+R27+S27+T27)</f>
        <v>0.0110558519489299</v>
      </c>
      <c r="V27" s="135" t="n">
        <v>35.5</v>
      </c>
      <c r="W27" s="135" t="n">
        <v>0</v>
      </c>
      <c r="X27" s="135" t="n">
        <f aca="false">M27-N27-O27-P27-Q27-R27-S27-T27-U27+V27+W27</f>
        <v>35.5</v>
      </c>
      <c r="Y27" s="135" t="n">
        <f aca="false">X27-AO27</f>
        <v>35.5</v>
      </c>
      <c r="Z27" s="135"/>
      <c r="AA27" s="135"/>
      <c r="AB27" s="107"/>
      <c r="AC27" s="136" t="n">
        <v>0</v>
      </c>
      <c r="AD27" s="107"/>
      <c r="AE27" s="135" t="n">
        <v>0</v>
      </c>
      <c r="AF27" s="248"/>
      <c r="AG27" s="249"/>
      <c r="AH27" s="135" t="n">
        <v>35.1</v>
      </c>
      <c r="AI27" s="107" t="n">
        <f aca="false">AI26-AH27</f>
        <v>664.999999999998</v>
      </c>
      <c r="AJ27" s="136"/>
      <c r="AK27" s="134" t="n">
        <f aca="false">N27+O27+P27+Q27+R27+S27+T27+U27+X27+AE27+AH27</f>
        <v>74.16</v>
      </c>
      <c r="AL27" s="135" t="n">
        <f aca="false">IF(L27&lt;0,L27*-1,0)</f>
        <v>0</v>
      </c>
      <c r="AM27" s="135" t="n">
        <f aca="false">AK27+AL27</f>
        <v>74.16</v>
      </c>
      <c r="AN27" s="220" t="n">
        <f aca="false">V27</f>
        <v>35.5</v>
      </c>
      <c r="AO27" s="136"/>
      <c r="AP27" s="135"/>
      <c r="AQ27" s="107"/>
      <c r="AR27" s="107"/>
      <c r="AS27" s="221"/>
      <c r="AU27" s="176"/>
      <c r="AV27" s="222" t="n">
        <v>0</v>
      </c>
      <c r="AW27" s="215" t="n">
        <v>63</v>
      </c>
      <c r="AX27" s="215" t="n">
        <v>28</v>
      </c>
      <c r="AY27" s="299"/>
      <c r="AZ27" s="250" t="n">
        <f aca="false">SUM(N27,P27:U27)</f>
        <v>3.56</v>
      </c>
    </row>
    <row r="28" customFormat="false" ht="12.95" hidden="false" customHeight="true" outlineLevel="0" collapsed="false">
      <c r="A28" s="183" t="n">
        <f aca="false">A27+1</f>
        <v>14</v>
      </c>
      <c r="B28" s="106" t="n">
        <v>6870.39</v>
      </c>
      <c r="C28" s="107" t="n">
        <v>188849</v>
      </c>
      <c r="D28" s="215" t="n">
        <f aca="false">C28-C27</f>
        <v>54</v>
      </c>
      <c r="E28" s="107" t="n">
        <f aca="false">C28-152000</f>
        <v>36849</v>
      </c>
      <c r="F28" s="246" t="n">
        <f aca="false">D28/$D$2</f>
        <v>27.22460297454</v>
      </c>
      <c r="G28" s="135" t="n">
        <v>72</v>
      </c>
      <c r="H28" s="337" t="n">
        <v>2</v>
      </c>
      <c r="I28" s="135" t="n">
        <f aca="false">G28+H28</f>
        <v>74</v>
      </c>
      <c r="J28" s="136" t="n">
        <f aca="false">IF(L28&gt;0,L28,0)</f>
        <v>34.11460297454</v>
      </c>
      <c r="K28" s="135" t="n">
        <f aca="false">I28+J28</f>
        <v>108.11460297454</v>
      </c>
      <c r="L28" s="135" t="n">
        <f aca="false">F28-(I28-AK28)</f>
        <v>34.11460297454</v>
      </c>
      <c r="M28" s="248" t="n">
        <v>3.49</v>
      </c>
      <c r="N28" s="135" t="n">
        <v>0</v>
      </c>
      <c r="O28" s="135" t="n">
        <v>0</v>
      </c>
      <c r="P28" s="158" t="n">
        <v>0</v>
      </c>
      <c r="Q28" s="338" t="n">
        <f aca="false">923500/325851/1.9835*1.02</f>
        <v>1.45742363636137</v>
      </c>
      <c r="R28" s="131" t="n">
        <f aca="false">((2)*1.04)-T28</f>
        <v>1.55547808</v>
      </c>
      <c r="S28" s="131" t="n">
        <v>0</v>
      </c>
      <c r="T28" s="131" t="n">
        <f aca="false">(0.4758*1.06)*1.04</f>
        <v>0.52452192</v>
      </c>
      <c r="U28" s="96" t="n">
        <f aca="false">M28-(Q28+R28+S28+T28)</f>
        <v>-0.04742363636137</v>
      </c>
      <c r="V28" s="135" t="n">
        <v>42.1</v>
      </c>
      <c r="W28" s="135" t="n">
        <v>0</v>
      </c>
      <c r="X28" s="135" t="n">
        <f aca="false">M28-N28-O28-P28-Q28-R28-S28-T28-U28+V28+W28</f>
        <v>42.1</v>
      </c>
      <c r="Y28" s="135" t="n">
        <f aca="false">X28-AO28</f>
        <v>42.1</v>
      </c>
      <c r="Z28" s="135"/>
      <c r="AA28" s="135"/>
      <c r="AB28" s="107"/>
      <c r="AC28" s="136" t="n">
        <v>0</v>
      </c>
      <c r="AD28" s="107"/>
      <c r="AE28" s="135" t="n">
        <v>0</v>
      </c>
      <c r="AF28" s="248"/>
      <c r="AG28" s="249"/>
      <c r="AH28" s="135" t="n">
        <v>35.3</v>
      </c>
      <c r="AI28" s="107" t="n">
        <f aca="false">AI27-AH28</f>
        <v>629.699999999998</v>
      </c>
      <c r="AJ28" s="136"/>
      <c r="AK28" s="134" t="n">
        <f aca="false">N28+O28+P28+Q28+R28+S28+T28+U28+X28+AE28+AH28</f>
        <v>80.89</v>
      </c>
      <c r="AL28" s="135" t="n">
        <f aca="false">IF(L28&lt;0,L28*-1,0)</f>
        <v>0</v>
      </c>
      <c r="AM28" s="135" t="n">
        <f aca="false">AK28+AL28</f>
        <v>80.89</v>
      </c>
      <c r="AN28" s="220" t="n">
        <f aca="false">V28</f>
        <v>42.1</v>
      </c>
      <c r="AO28" s="136"/>
      <c r="AP28" s="135"/>
      <c r="AQ28" s="107"/>
      <c r="AR28" s="107"/>
      <c r="AS28" s="221"/>
      <c r="AU28" s="176"/>
      <c r="AV28" s="222" t="n">
        <v>0</v>
      </c>
      <c r="AW28" s="221" t="n">
        <v>69</v>
      </c>
      <c r="AX28" s="215" t="n">
        <v>32</v>
      </c>
      <c r="AY28" s="299"/>
      <c r="AZ28" s="250" t="n">
        <f aca="false">SUM(N28,P28:U28)</f>
        <v>3.49</v>
      </c>
    </row>
    <row r="29" customFormat="false" ht="12.95" hidden="false" customHeight="true" outlineLevel="0" collapsed="false">
      <c r="A29" s="183" t="n">
        <f aca="false">A28+1</f>
        <v>15</v>
      </c>
      <c r="B29" s="106" t="n">
        <v>6870.41</v>
      </c>
      <c r="C29" s="107" t="n">
        <v>188902</v>
      </c>
      <c r="D29" s="215" t="n">
        <f aca="false">C29-C28</f>
        <v>53</v>
      </c>
      <c r="E29" s="107" t="n">
        <f aca="false">C29-152000</f>
        <v>36902</v>
      </c>
      <c r="F29" s="246" t="n">
        <f aca="false">D29/$D$2</f>
        <v>26.7204436601966</v>
      </c>
      <c r="G29" s="135" t="n">
        <v>79</v>
      </c>
      <c r="H29" s="337" t="n">
        <v>2.4</v>
      </c>
      <c r="I29" s="135" t="n">
        <f aca="false">G29+H29</f>
        <v>81.4</v>
      </c>
      <c r="J29" s="136" t="n">
        <f aca="false">IF(L29&gt;0,L29,0)</f>
        <v>26.7604436601966</v>
      </c>
      <c r="K29" s="135" t="n">
        <f aca="false">I29+J29</f>
        <v>108.160443660197</v>
      </c>
      <c r="L29" s="135" t="n">
        <f aca="false">F29-(I29-AK29)</f>
        <v>26.7604436601966</v>
      </c>
      <c r="M29" s="248" t="n">
        <v>3.54</v>
      </c>
      <c r="N29" s="135" t="n">
        <v>0</v>
      </c>
      <c r="O29" s="135" t="n">
        <v>0</v>
      </c>
      <c r="P29" s="158" t="n">
        <v>0</v>
      </c>
      <c r="Q29" s="338" t="n">
        <f aca="false">901700/325851/1.9835*1.02</f>
        <v>1.4230199165209</v>
      </c>
      <c r="R29" s="131" t="n">
        <f aca="false">((2)*1.04)-T29</f>
        <v>1.43311168</v>
      </c>
      <c r="S29" s="131" t="n">
        <v>0</v>
      </c>
      <c r="T29" s="131" t="n">
        <f aca="false">(0.5868*1.06)*1.04</f>
        <v>0.64688832</v>
      </c>
      <c r="U29" s="96" t="n">
        <f aca="false">M29-(Q29+R29+S29+T29)</f>
        <v>0.0369800834791039</v>
      </c>
      <c r="V29" s="135" t="n">
        <v>42.6</v>
      </c>
      <c r="W29" s="135" t="n">
        <v>0</v>
      </c>
      <c r="X29" s="135" t="n">
        <f aca="false">M29-N29-O29-P29-Q29-R29-S29-T29-U29+V29+W29</f>
        <v>42.6</v>
      </c>
      <c r="Y29" s="135" t="n">
        <f aca="false">X29-AO29</f>
        <v>42.6</v>
      </c>
      <c r="Z29" s="135"/>
      <c r="AA29" s="135"/>
      <c r="AB29" s="107"/>
      <c r="AC29" s="136" t="n">
        <v>0</v>
      </c>
      <c r="AD29" s="107"/>
      <c r="AE29" s="135" t="n">
        <v>0</v>
      </c>
      <c r="AF29" s="248"/>
      <c r="AG29" s="249"/>
      <c r="AH29" s="135" t="n">
        <v>35.3</v>
      </c>
      <c r="AI29" s="107" t="n">
        <f aca="false">AI28-AH29</f>
        <v>594.399999999998</v>
      </c>
      <c r="AJ29" s="136"/>
      <c r="AK29" s="134" t="n">
        <f aca="false">N29+O29+P29+Q29+R29+S29+T29+U29+X29+AE29+AH29</f>
        <v>81.44</v>
      </c>
      <c r="AL29" s="135" t="n">
        <f aca="false">IF(L29&lt;0,L29*-1,0)</f>
        <v>0</v>
      </c>
      <c r="AM29" s="135" t="n">
        <f aca="false">AK29+AL29</f>
        <v>81.44</v>
      </c>
      <c r="AN29" s="220" t="n">
        <f aca="false">V29</f>
        <v>42.6</v>
      </c>
      <c r="AO29" s="136"/>
      <c r="AP29" s="135"/>
      <c r="AQ29" s="107"/>
      <c r="AR29" s="107"/>
      <c r="AS29" s="221"/>
      <c r="AU29" s="176"/>
      <c r="AV29" s="222" t="n">
        <v>0</v>
      </c>
      <c r="AW29" s="221" t="n">
        <v>71</v>
      </c>
      <c r="AX29" s="215" t="n">
        <v>34</v>
      </c>
      <c r="AY29" s="299"/>
      <c r="AZ29" s="250" t="n">
        <f aca="false">SUM(N29,P29:U29)</f>
        <v>3.54</v>
      </c>
    </row>
    <row r="30" customFormat="false" ht="12.95" hidden="false" customHeight="true" outlineLevel="0" collapsed="false">
      <c r="A30" s="183" t="n">
        <f aca="false">A29+1</f>
        <v>16</v>
      </c>
      <c r="B30" s="106" t="n">
        <v>6870.42</v>
      </c>
      <c r="C30" s="107" t="n">
        <v>188929</v>
      </c>
      <c r="D30" s="215" t="n">
        <f aca="false">C30-C29</f>
        <v>27</v>
      </c>
      <c r="E30" s="107" t="n">
        <f aca="false">C30-152000</f>
        <v>36929</v>
      </c>
      <c r="F30" s="246" t="n">
        <f aca="false">D30/$D$2</f>
        <v>13.61230148727</v>
      </c>
      <c r="G30" s="135" t="n">
        <v>92</v>
      </c>
      <c r="H30" s="337" t="n">
        <v>2.9</v>
      </c>
      <c r="I30" s="135" t="n">
        <f aca="false">G30+H30</f>
        <v>94.9</v>
      </c>
      <c r="J30" s="136" t="n">
        <f aca="false">IF(L30&gt;0,L30,0)</f>
        <v>0</v>
      </c>
      <c r="K30" s="135" t="n">
        <f aca="false">I30+J30</f>
        <v>94.9</v>
      </c>
      <c r="L30" s="135" t="n">
        <f aca="false">F30-(I30-AK30)</f>
        <v>-0.147698512730027</v>
      </c>
      <c r="M30" s="248" t="n">
        <v>3.14</v>
      </c>
      <c r="N30" s="135" t="n">
        <v>0</v>
      </c>
      <c r="O30" s="135" t="n">
        <v>0</v>
      </c>
      <c r="P30" s="158" t="n">
        <v>0</v>
      </c>
      <c r="Q30" s="338" t="n">
        <f aca="false">952200/325851/1.9835*1.02</f>
        <v>1.50271660697704</v>
      </c>
      <c r="R30" s="131" t="n">
        <f aca="false">((2)*1.04)-T30</f>
        <v>1.43311168</v>
      </c>
      <c r="S30" s="131" t="n">
        <v>0</v>
      </c>
      <c r="T30" s="131" t="n">
        <f aca="false">(0.5868*1.06)*1.04</f>
        <v>0.64688832</v>
      </c>
      <c r="U30" s="96" t="n">
        <f aca="false">M30-(Q30+R30+S30+T30)</f>
        <v>-0.442716606977041</v>
      </c>
      <c r="V30" s="135" t="n">
        <v>42.6</v>
      </c>
      <c r="W30" s="135" t="n">
        <v>0</v>
      </c>
      <c r="X30" s="135" t="n">
        <f aca="false">M30-N30-O30-P30-Q30-R30-S30-T30-U30+V30+W30</f>
        <v>42.6</v>
      </c>
      <c r="Y30" s="135" t="n">
        <f aca="false">X30-AO30</f>
        <v>42.6</v>
      </c>
      <c r="Z30" s="135"/>
      <c r="AA30" s="135"/>
      <c r="AB30" s="107"/>
      <c r="AC30" s="136" t="n">
        <v>0</v>
      </c>
      <c r="AD30" s="107"/>
      <c r="AE30" s="135" t="n">
        <v>0</v>
      </c>
      <c r="AF30" s="248"/>
      <c r="AG30" s="249"/>
      <c r="AH30" s="135" t="n">
        <v>35.4</v>
      </c>
      <c r="AI30" s="107" t="n">
        <f aca="false">AI29-AH30</f>
        <v>558.999999999998</v>
      </c>
      <c r="AJ30" s="136"/>
      <c r="AK30" s="134" t="n">
        <f aca="false">N30+O30+P30+Q30+R30+S30+T30+U30+X30+AE30+AH30</f>
        <v>81.14</v>
      </c>
      <c r="AL30" s="135" t="n">
        <f aca="false">IF(L30&lt;0,L30*-1,0)</f>
        <v>0.147698512730027</v>
      </c>
      <c r="AM30" s="135" t="n">
        <f aca="false">AK30+AL30</f>
        <v>81.28769851273</v>
      </c>
      <c r="AN30" s="220" t="n">
        <f aca="false">V30</f>
        <v>42.6</v>
      </c>
      <c r="AO30" s="136"/>
      <c r="AP30" s="135"/>
      <c r="AQ30" s="101"/>
      <c r="AR30" s="101"/>
      <c r="AS30" s="221"/>
      <c r="AU30" s="176"/>
      <c r="AV30" s="222" t="n">
        <v>0</v>
      </c>
      <c r="AW30" s="221" t="n">
        <v>60</v>
      </c>
      <c r="AX30" s="215" t="n">
        <v>32</v>
      </c>
      <c r="AY30" s="299"/>
      <c r="AZ30" s="250" t="n">
        <f aca="false">SUM(N30,P30:U30)</f>
        <v>3.14</v>
      </c>
    </row>
    <row r="31" customFormat="false" ht="12.95" hidden="false" customHeight="true" outlineLevel="0" collapsed="false">
      <c r="A31" s="183" t="n">
        <v>17</v>
      </c>
      <c r="B31" s="106" t="n">
        <v>6870.43</v>
      </c>
      <c r="C31" s="107" t="n">
        <v>188956</v>
      </c>
      <c r="D31" s="215" t="n">
        <f aca="false">C31-C30</f>
        <v>27</v>
      </c>
      <c r="E31" s="107" t="n">
        <f aca="false">C31-152000</f>
        <v>36956</v>
      </c>
      <c r="F31" s="246" t="n">
        <f aca="false">D31/$D$2</f>
        <v>13.61230148727</v>
      </c>
      <c r="G31" s="135" t="n">
        <v>89</v>
      </c>
      <c r="H31" s="337" t="n">
        <v>3.1</v>
      </c>
      <c r="I31" s="135" t="n">
        <f aca="false">G31+H31</f>
        <v>92.1</v>
      </c>
      <c r="J31" s="136" t="n">
        <f aca="false">IF(L31&gt;0,L31,0)</f>
        <v>3.19230148726999</v>
      </c>
      <c r="K31" s="135" t="n">
        <f aca="false">I31+J31</f>
        <v>95.29230148727</v>
      </c>
      <c r="L31" s="135" t="n">
        <f aca="false">F31-(I31-AK31)</f>
        <v>3.19230148726999</v>
      </c>
      <c r="M31" s="248" t="n">
        <v>3.68</v>
      </c>
      <c r="N31" s="135" t="n">
        <v>0</v>
      </c>
      <c r="O31" s="135" t="n">
        <v>0</v>
      </c>
      <c r="P31" s="158" t="n">
        <v>0</v>
      </c>
      <c r="Q31" s="338" t="n">
        <f aca="false">1055600/325851/1.9835*1.02</f>
        <v>1.66589755337635</v>
      </c>
      <c r="R31" s="131" t="n">
        <f aca="false">((2)*1.04)-T31</f>
        <v>1.43311168</v>
      </c>
      <c r="S31" s="131" t="n">
        <v>0</v>
      </c>
      <c r="T31" s="131" t="n">
        <f aca="false">(0.5868*1.06)*1.04</f>
        <v>0.64688832</v>
      </c>
      <c r="U31" s="96" t="n">
        <f aca="false">M31-(Q31+R31+S31+T31)</f>
        <v>-0.0658975533763533</v>
      </c>
      <c r="V31" s="135" t="n">
        <v>42.6</v>
      </c>
      <c r="W31" s="135" t="n">
        <v>0</v>
      </c>
      <c r="X31" s="135" t="n">
        <f aca="false">M31-N31-O31-P31-Q31-R31-S31-T31-U31+V31+W31</f>
        <v>42.6</v>
      </c>
      <c r="Y31" s="135" t="n">
        <f aca="false">X31-AO31</f>
        <v>42.6</v>
      </c>
      <c r="Z31" s="135"/>
      <c r="AA31" s="135"/>
      <c r="AB31" s="107"/>
      <c r="AC31" s="136" t="n">
        <v>0</v>
      </c>
      <c r="AD31" s="107"/>
      <c r="AE31" s="135" t="n">
        <v>0</v>
      </c>
      <c r="AF31" s="248"/>
      <c r="AG31" s="249"/>
      <c r="AH31" s="135" t="n">
        <v>35.4</v>
      </c>
      <c r="AI31" s="107" t="n">
        <f aca="false">AI30-AH31</f>
        <v>523.599999999998</v>
      </c>
      <c r="AJ31" s="136"/>
      <c r="AK31" s="134" t="n">
        <f aca="false">N31+O31+P31+Q31+R31+S31+T31+U31+X31+AE31+AH31</f>
        <v>81.68</v>
      </c>
      <c r="AL31" s="135" t="n">
        <f aca="false">IF(L31&lt;0,L31*-1,0)</f>
        <v>0</v>
      </c>
      <c r="AM31" s="135" t="n">
        <f aca="false">AK31+AL31</f>
        <v>81.68</v>
      </c>
      <c r="AN31" s="220" t="n">
        <f aca="false">V31</f>
        <v>42.6</v>
      </c>
      <c r="AO31" s="136"/>
      <c r="AP31" s="135"/>
      <c r="AQ31" s="107"/>
      <c r="AR31" s="107"/>
      <c r="AS31" s="221"/>
      <c r="AU31" s="176"/>
      <c r="AV31" s="222" t="n">
        <v>0</v>
      </c>
      <c r="AW31" s="221" t="n">
        <v>60</v>
      </c>
      <c r="AX31" s="215" t="n">
        <v>30</v>
      </c>
      <c r="AY31" s="299"/>
      <c r="AZ31" s="250" t="n">
        <f aca="false">SUM(N31,P31:U31)</f>
        <v>3.68</v>
      </c>
    </row>
    <row r="32" customFormat="false" ht="12.95" hidden="false" customHeight="true" outlineLevel="0" collapsed="false">
      <c r="A32" s="183" t="n">
        <f aca="false">A31+1</f>
        <v>18</v>
      </c>
      <c r="B32" s="106" t="n">
        <v>6870.41</v>
      </c>
      <c r="C32" s="107" t="n">
        <v>188902</v>
      </c>
      <c r="D32" s="215" t="n">
        <f aca="false">C32-C31</f>
        <v>-54</v>
      </c>
      <c r="E32" s="107" t="n">
        <f aca="false">C32-152000</f>
        <v>36902</v>
      </c>
      <c r="F32" s="246" t="n">
        <f aca="false">D32/$D$2</f>
        <v>-27.22460297454</v>
      </c>
      <c r="G32" s="135" t="n">
        <v>77</v>
      </c>
      <c r="H32" s="337" t="n">
        <v>2.7</v>
      </c>
      <c r="I32" s="135" t="n">
        <f aca="false">G32+H32</f>
        <v>79.7</v>
      </c>
      <c r="J32" s="136" t="n">
        <f aca="false">IF(L32&gt;0,L32,0)</f>
        <v>4.65539702546003</v>
      </c>
      <c r="K32" s="135" t="n">
        <f aca="false">I32+J32</f>
        <v>84.35539702546</v>
      </c>
      <c r="L32" s="135" t="n">
        <f aca="false">F32-(I32-AK32)</f>
        <v>4.65539702546003</v>
      </c>
      <c r="M32" s="248" t="n">
        <v>3.38</v>
      </c>
      <c r="N32" s="135" t="n">
        <v>0</v>
      </c>
      <c r="O32" s="135" t="n">
        <v>0</v>
      </c>
      <c r="P32" s="158" t="n">
        <v>0</v>
      </c>
      <c r="Q32" s="338" t="n">
        <f aca="false">875200/325851/1.9835*1.02</f>
        <v>1.381198880935</v>
      </c>
      <c r="R32" s="131" t="n">
        <f aca="false">((2)*1.04)-T32</f>
        <v>1.43311168</v>
      </c>
      <c r="S32" s="131" t="n">
        <v>0</v>
      </c>
      <c r="T32" s="131" t="n">
        <f aca="false">(0.5868*1.06)*1.04</f>
        <v>0.64688832</v>
      </c>
      <c r="U32" s="96" t="n">
        <f aca="false">M32-(Q32+R32+S32+T32)</f>
        <v>-0.0811988809349988</v>
      </c>
      <c r="V32" s="135" t="n">
        <v>72.8</v>
      </c>
      <c r="W32" s="135" t="n">
        <v>0</v>
      </c>
      <c r="X32" s="135" t="n">
        <f aca="false">M32-N32-O32-P32-Q32-R32-S32-T32-U32+V32+W32</f>
        <v>72.8</v>
      </c>
      <c r="Y32" s="135" t="n">
        <f aca="false">X32-AO32</f>
        <v>72.8</v>
      </c>
      <c r="Z32" s="135"/>
      <c r="AA32" s="135"/>
      <c r="AB32" s="107"/>
      <c r="AC32" s="136" t="n">
        <v>0</v>
      </c>
      <c r="AD32" s="107"/>
      <c r="AE32" s="135" t="n">
        <v>0</v>
      </c>
      <c r="AF32" s="248"/>
      <c r="AG32" s="249"/>
      <c r="AH32" s="135" t="n">
        <v>35.4</v>
      </c>
      <c r="AI32" s="107" t="n">
        <f aca="false">AI31-AH32</f>
        <v>488.199999999998</v>
      </c>
      <c r="AJ32" s="136"/>
      <c r="AK32" s="134" t="n">
        <f aca="false">N32+O32+P32+Q32+R32+S32+T32+U32+X32+AE32+AH32</f>
        <v>111.58</v>
      </c>
      <c r="AL32" s="135" t="n">
        <f aca="false">IF(L32&lt;0,L32*-1,0)</f>
        <v>0</v>
      </c>
      <c r="AM32" s="135" t="n">
        <f aca="false">AK32+AL32</f>
        <v>111.58</v>
      </c>
      <c r="AN32" s="220" t="n">
        <f aca="false">V32</f>
        <v>72.8</v>
      </c>
      <c r="AO32" s="136"/>
      <c r="AP32" s="135"/>
      <c r="AQ32" s="107"/>
      <c r="AR32" s="107"/>
      <c r="AS32" s="221"/>
      <c r="AU32" s="176"/>
      <c r="AV32" s="222" t="n">
        <v>0</v>
      </c>
      <c r="AW32" s="221" t="n">
        <v>56</v>
      </c>
      <c r="AX32" s="215" t="n">
        <v>24</v>
      </c>
      <c r="AY32" s="299"/>
      <c r="AZ32" s="250" t="n">
        <f aca="false">SUM(N32,P32:U32)</f>
        <v>3.38</v>
      </c>
    </row>
    <row r="33" customFormat="false" ht="12.95" hidden="false" customHeight="true" outlineLevel="0" collapsed="false">
      <c r="A33" s="183" t="n">
        <f aca="false">A32+1</f>
        <v>19</v>
      </c>
      <c r="B33" s="106" t="n">
        <v>6870.39</v>
      </c>
      <c r="C33" s="310" t="n">
        <v>188849</v>
      </c>
      <c r="D33" s="215" t="n">
        <f aca="false">C33-C32</f>
        <v>-53</v>
      </c>
      <c r="E33" s="107" t="n">
        <f aca="false">C33-152000</f>
        <v>36849</v>
      </c>
      <c r="F33" s="246" t="n">
        <f aca="false">D33/$D$2</f>
        <v>-26.7204436601966</v>
      </c>
      <c r="G33" s="135" t="n">
        <v>74</v>
      </c>
      <c r="H33" s="337" t="n">
        <v>2.4</v>
      </c>
      <c r="I33" s="135" t="n">
        <f aca="false">G33+H33</f>
        <v>76.4</v>
      </c>
      <c r="J33" s="136" t="n">
        <f aca="false">IF(L33&gt;0,L33,0)</f>
        <v>26.5695563398034</v>
      </c>
      <c r="K33" s="135" t="n">
        <f aca="false">I33+J33</f>
        <v>102.969556339803</v>
      </c>
      <c r="L33" s="135" t="n">
        <f aca="false">F33-(I33-AK33)</f>
        <v>26.5695563398034</v>
      </c>
      <c r="M33" s="248" t="n">
        <v>4.39</v>
      </c>
      <c r="N33" s="135" t="n">
        <v>0</v>
      </c>
      <c r="O33" s="135" t="n">
        <v>0</v>
      </c>
      <c r="P33" s="158" t="n">
        <v>0</v>
      </c>
      <c r="Q33" s="338" t="n">
        <f aca="false">888800/325851/1.9835*1.02</f>
        <v>1.40266175202814</v>
      </c>
      <c r="R33" s="131" t="n">
        <f aca="false">((2)*1.04)-T33</f>
        <v>1.43311168</v>
      </c>
      <c r="S33" s="131" t="n">
        <v>0</v>
      </c>
      <c r="T33" s="131" t="n">
        <f aca="false">(0.5868*1.06)*1.04</f>
        <v>0.64688832</v>
      </c>
      <c r="U33" s="96" t="n">
        <f aca="false">M33-(Q33+R33+S33+T33)</f>
        <v>0.907338247971861</v>
      </c>
      <c r="V33" s="135" t="n">
        <v>90.5</v>
      </c>
      <c r="W33" s="135" t="n">
        <v>0</v>
      </c>
      <c r="X33" s="135" t="n">
        <f aca="false">M33-N33-O33-P33-Q33-R33-S33-T33-U33+V33+W33</f>
        <v>90.5</v>
      </c>
      <c r="Y33" s="135" t="n">
        <f aca="false">X33-AO33</f>
        <v>90.5</v>
      </c>
      <c r="Z33" s="135"/>
      <c r="AA33" s="135"/>
      <c r="AB33" s="107"/>
      <c r="AC33" s="136" t="n">
        <v>0</v>
      </c>
      <c r="AD33" s="107"/>
      <c r="AE33" s="135" t="n">
        <v>0</v>
      </c>
      <c r="AF33" s="248"/>
      <c r="AG33" s="249"/>
      <c r="AH33" s="135" t="n">
        <v>34.8</v>
      </c>
      <c r="AI33" s="107" t="n">
        <f aca="false">AI32-AH33</f>
        <v>453.399999999998</v>
      </c>
      <c r="AJ33" s="136"/>
      <c r="AK33" s="134" t="n">
        <f aca="false">N33+O33+P33+Q33+R33+S33+T33+U33+X33+AE33+AH33</f>
        <v>129.69</v>
      </c>
      <c r="AL33" s="135" t="n">
        <f aca="false">IF(L33&lt;0,L33*-1,0)</f>
        <v>0</v>
      </c>
      <c r="AM33" s="135" t="n">
        <f aca="false">AK33+AL33</f>
        <v>129.69</v>
      </c>
      <c r="AN33" s="220" t="n">
        <f aca="false">V33</f>
        <v>90.5</v>
      </c>
      <c r="AO33" s="136"/>
      <c r="AP33" s="135"/>
      <c r="AQ33" s="107"/>
      <c r="AR33" s="107"/>
      <c r="AS33" s="221"/>
      <c r="AU33" s="176"/>
      <c r="AV33" s="222" t="n">
        <v>0</v>
      </c>
      <c r="AW33" s="221" t="n">
        <v>55</v>
      </c>
      <c r="AX33" s="215" t="n">
        <v>29</v>
      </c>
      <c r="AY33" s="299"/>
      <c r="AZ33" s="250" t="n">
        <f aca="false">SUM(N33,P33:U33)</f>
        <v>4.39</v>
      </c>
    </row>
    <row r="34" customFormat="false" ht="12.95" hidden="false" customHeight="true" outlineLevel="0" collapsed="false">
      <c r="A34" s="183" t="n">
        <f aca="false">A33+1</f>
        <v>20</v>
      </c>
      <c r="B34" s="106" t="n">
        <v>6870.35</v>
      </c>
      <c r="C34" s="107" t="n">
        <v>188741</v>
      </c>
      <c r="D34" s="215" t="n">
        <f aca="false">C34-C33</f>
        <v>-108</v>
      </c>
      <c r="E34" s="107" t="n">
        <f aca="false">C34-152000</f>
        <v>36741</v>
      </c>
      <c r="F34" s="246" t="n">
        <f aca="false">D34/$D$2</f>
        <v>-54.4492059490799</v>
      </c>
      <c r="G34" s="135" t="n">
        <v>67</v>
      </c>
      <c r="H34" s="337" t="n">
        <v>2.1</v>
      </c>
      <c r="I34" s="135" t="n">
        <f aca="false">G34+H34</f>
        <v>69.1</v>
      </c>
      <c r="J34" s="136" t="n">
        <f aca="false">IF(L34&gt;0,L34,0)</f>
        <v>6.83079405092009</v>
      </c>
      <c r="K34" s="135" t="n">
        <f aca="false">I34+J34</f>
        <v>75.9307940509201</v>
      </c>
      <c r="L34" s="135" t="n">
        <f aca="false">F34-(I34-AK34)</f>
        <v>6.83079405092009</v>
      </c>
      <c r="M34" s="248" t="n">
        <v>5.98</v>
      </c>
      <c r="N34" s="135" t="n">
        <v>0</v>
      </c>
      <c r="O34" s="135" t="n">
        <v>0</v>
      </c>
      <c r="P34" s="158" t="n">
        <v>0</v>
      </c>
      <c r="Q34" s="338" t="n">
        <f aca="false">900400/325851/1.9835*1.02</f>
        <v>1.42096831854876</v>
      </c>
      <c r="R34" s="131" t="n">
        <f aca="false">((2)*1.04)-T34</f>
        <v>1.43311168</v>
      </c>
      <c r="S34" s="131" t="n">
        <v>0</v>
      </c>
      <c r="T34" s="131" t="n">
        <f aca="false">(0.5868*1.06)*1.04</f>
        <v>0.64688832</v>
      </c>
      <c r="U34" s="96" t="n">
        <f aca="false">M34-(Q34+R34+S34+T34)</f>
        <v>2.47903168145124</v>
      </c>
      <c r="V34" s="135" t="n">
        <v>89.6</v>
      </c>
      <c r="W34" s="135" t="n">
        <v>0</v>
      </c>
      <c r="X34" s="135" t="n">
        <f aca="false">M34-N34-O34-P34-Q34-R34-S34-T34-U34+V34+W34</f>
        <v>89.6</v>
      </c>
      <c r="Y34" s="135" t="n">
        <f aca="false">X34-AO34</f>
        <v>89.6</v>
      </c>
      <c r="Z34" s="135"/>
      <c r="AA34" s="135"/>
      <c r="AB34" s="107"/>
      <c r="AC34" s="136" t="n">
        <v>0</v>
      </c>
      <c r="AD34" s="107"/>
      <c r="AE34" s="135" t="n">
        <v>0</v>
      </c>
      <c r="AF34" s="248"/>
      <c r="AG34" s="249"/>
      <c r="AH34" s="135" t="n">
        <v>34.8</v>
      </c>
      <c r="AI34" s="107" t="n">
        <f aca="false">AI33-AH34</f>
        <v>418.599999999998</v>
      </c>
      <c r="AJ34" s="136"/>
      <c r="AK34" s="134" t="n">
        <f aca="false">N34+O34+P34+Q34+R34+S34+T34+U34+X34+AE34+AH34</f>
        <v>130.38</v>
      </c>
      <c r="AL34" s="135" t="n">
        <f aca="false">IF(L34&lt;0,L34*-1,0)</f>
        <v>0</v>
      </c>
      <c r="AM34" s="135" t="n">
        <f aca="false">AK34+AL34</f>
        <v>130.38</v>
      </c>
      <c r="AN34" s="220" t="n">
        <f aca="false">V34</f>
        <v>89.6</v>
      </c>
      <c r="AO34" s="136"/>
      <c r="AP34" s="135"/>
      <c r="AQ34" s="107"/>
      <c r="AR34" s="107"/>
      <c r="AS34" s="221"/>
      <c r="AU34" s="176"/>
      <c r="AV34" s="222" t="n">
        <v>0</v>
      </c>
      <c r="AW34" s="221" t="n">
        <v>56</v>
      </c>
      <c r="AX34" s="215" t="n">
        <v>26</v>
      </c>
      <c r="AY34" s="299"/>
      <c r="AZ34" s="250" t="n">
        <f aca="false">SUM(N34,P34:U34)</f>
        <v>5.98</v>
      </c>
    </row>
    <row r="35" customFormat="false" ht="12.95" hidden="false" customHeight="true" outlineLevel="0" collapsed="false">
      <c r="A35" s="183" t="n">
        <f aca="false">A34+1</f>
        <v>21</v>
      </c>
      <c r="B35" s="106" t="n">
        <v>6870.29</v>
      </c>
      <c r="C35" s="107" t="n">
        <v>188581</v>
      </c>
      <c r="D35" s="215" t="n">
        <f aca="false">C35-C34</f>
        <v>-160</v>
      </c>
      <c r="E35" s="107" t="n">
        <f aca="false">C35-152000</f>
        <v>36581</v>
      </c>
      <c r="F35" s="246" t="n">
        <f aca="false">D35/$D$2</f>
        <v>-80.6654902949332</v>
      </c>
      <c r="G35" s="339" t="n">
        <v>71</v>
      </c>
      <c r="H35" s="337" t="n">
        <v>2.3</v>
      </c>
      <c r="I35" s="135" t="n">
        <f aca="false">G35+H35</f>
        <v>73.3</v>
      </c>
      <c r="J35" s="136" t="n">
        <f aca="false">IF(L35&gt;0,L35,0)</f>
        <v>0</v>
      </c>
      <c r="K35" s="135" t="n">
        <f aca="false">I35+J35</f>
        <v>73.3</v>
      </c>
      <c r="L35" s="135" t="n">
        <f aca="false">F35-(I35-AK35)</f>
        <v>-57.4954902949332</v>
      </c>
      <c r="M35" s="248" t="n">
        <v>6.07</v>
      </c>
      <c r="N35" s="135" t="n">
        <v>0</v>
      </c>
      <c r="O35" s="135" t="n">
        <v>0</v>
      </c>
      <c r="P35" s="158" t="n">
        <v>0</v>
      </c>
      <c r="Q35" s="338" t="n">
        <f aca="false">861500/325851/1.9835*1.02</f>
        <v>1.35957819461323</v>
      </c>
      <c r="R35" s="131" t="n">
        <f aca="false">((2)*1.04)-T35</f>
        <v>1.43311168</v>
      </c>
      <c r="S35" s="131" t="n">
        <v>0</v>
      </c>
      <c r="T35" s="131" t="n">
        <f aca="false">(0.5868*1.06)*1.04</f>
        <v>0.64688832</v>
      </c>
      <c r="U35" s="96" t="n">
        <f aca="false">M35-(Q35+R35+S35+T35)</f>
        <v>2.63042180538677</v>
      </c>
      <c r="V35" s="135" t="n">
        <v>55.6</v>
      </c>
      <c r="W35" s="135" t="n">
        <v>0</v>
      </c>
      <c r="X35" s="135" t="n">
        <f aca="false">M35-N35-O35-P35-Q35-R35-S35-T35-U35+V35+W35</f>
        <v>55.6</v>
      </c>
      <c r="Y35" s="135" t="n">
        <f aca="false">X35-AO35</f>
        <v>55.6</v>
      </c>
      <c r="Z35" s="135"/>
      <c r="AA35" s="135"/>
      <c r="AB35" s="107"/>
      <c r="AC35" s="136" t="n">
        <v>0</v>
      </c>
      <c r="AD35" s="107"/>
      <c r="AE35" s="135" t="n">
        <v>0</v>
      </c>
      <c r="AF35" s="248"/>
      <c r="AG35" s="249"/>
      <c r="AH35" s="135" t="n">
        <v>34.8</v>
      </c>
      <c r="AI35" s="107" t="n">
        <f aca="false">AI34-AH35</f>
        <v>383.799999999998</v>
      </c>
      <c r="AJ35" s="136"/>
      <c r="AK35" s="134" t="n">
        <f aca="false">N35+O35+P35+Q35+R35+S35+T35+U35+X35+AE35+AH35</f>
        <v>96.47</v>
      </c>
      <c r="AL35" s="135" t="n">
        <f aca="false">IF(L35&lt;0,L35*-1,0)</f>
        <v>57.4954902949332</v>
      </c>
      <c r="AM35" s="135" t="n">
        <f aca="false">AK35+AL35</f>
        <v>153.965490294933</v>
      </c>
      <c r="AN35" s="220" t="n">
        <f aca="false">V35</f>
        <v>55.6</v>
      </c>
      <c r="AO35" s="136"/>
      <c r="AP35" s="135"/>
      <c r="AQ35" s="107"/>
      <c r="AR35" s="107"/>
      <c r="AS35" s="221"/>
      <c r="AU35" s="176"/>
      <c r="AV35" s="222" t="n">
        <v>0</v>
      </c>
      <c r="AW35" s="215" t="n">
        <v>58</v>
      </c>
      <c r="AX35" s="215" t="n">
        <v>31</v>
      </c>
      <c r="AY35" s="299"/>
      <c r="AZ35" s="250" t="n">
        <f aca="false">SUM(N35,P35:U35)</f>
        <v>6.07</v>
      </c>
    </row>
    <row r="36" customFormat="false" ht="12.95" hidden="false" customHeight="true" outlineLevel="0" collapsed="false">
      <c r="A36" s="183" t="n">
        <f aca="false">A35+1</f>
        <v>22</v>
      </c>
      <c r="B36" s="106" t="n">
        <v>6870.27</v>
      </c>
      <c r="C36" s="107" t="n">
        <v>188527</v>
      </c>
      <c r="D36" s="215" t="n">
        <f aca="false">C36-C35</f>
        <v>-54</v>
      </c>
      <c r="E36" s="107" t="n">
        <f aca="false">C36-152000</f>
        <v>36527</v>
      </c>
      <c r="F36" s="246" t="n">
        <f aca="false">D36/$D$2</f>
        <v>-27.22460297454</v>
      </c>
      <c r="G36" s="135" t="n">
        <v>68</v>
      </c>
      <c r="H36" s="337" t="n">
        <v>1.7</v>
      </c>
      <c r="I36" s="135" t="n">
        <f aca="false">G36+H36</f>
        <v>69.7</v>
      </c>
      <c r="J36" s="136" t="n">
        <f aca="false">IF(L36&gt;0,L36,0)</f>
        <v>0</v>
      </c>
      <c r="K36" s="135" t="n">
        <f aca="false">I36+J36</f>
        <v>69.7</v>
      </c>
      <c r="L36" s="135" t="n">
        <f aca="false">F36-(I36-AK36)</f>
        <v>-18.14460297454</v>
      </c>
      <c r="M36" s="248" t="n">
        <v>5.78</v>
      </c>
      <c r="N36" s="135" t="n">
        <v>0</v>
      </c>
      <c r="O36" s="135" t="n">
        <v>0</v>
      </c>
      <c r="P36" s="158" t="n">
        <v>0</v>
      </c>
      <c r="Q36" s="338" t="n">
        <f aca="false">932500/325851/1.9835*1.02</f>
        <v>1.47162700693771</v>
      </c>
      <c r="R36" s="131" t="n">
        <f aca="false">((2.1)*1.04)-T36</f>
        <v>1.69519584</v>
      </c>
      <c r="S36" s="131" t="n">
        <v>0</v>
      </c>
      <c r="T36" s="131" t="n">
        <f aca="false">(0.4434*1.06)*1.04</f>
        <v>0.48880416</v>
      </c>
      <c r="U36" s="96" t="n">
        <f aca="false">M36-(Q36+R36+S36+T36)</f>
        <v>2.12437299306229</v>
      </c>
      <c r="V36" s="135" t="n">
        <v>38.2</v>
      </c>
      <c r="W36" s="135" t="n">
        <v>0</v>
      </c>
      <c r="X36" s="135" t="n">
        <f aca="false">M36-N36-O36-P36-Q36-R36-S36-T36-U36+V36+W36</f>
        <v>38.2</v>
      </c>
      <c r="Y36" s="135" t="n">
        <f aca="false">X36-AO36</f>
        <v>38.2</v>
      </c>
      <c r="Z36" s="135"/>
      <c r="AA36" s="135"/>
      <c r="AB36" s="107"/>
      <c r="AC36" s="136" t="n">
        <v>0</v>
      </c>
      <c r="AD36" s="107"/>
      <c r="AE36" s="135" t="n">
        <v>0</v>
      </c>
      <c r="AF36" s="248"/>
      <c r="AG36" s="249"/>
      <c r="AH36" s="135" t="n">
        <v>34.8</v>
      </c>
      <c r="AI36" s="107" t="n">
        <f aca="false">AI35-AH36</f>
        <v>348.999999999998</v>
      </c>
      <c r="AJ36" s="136"/>
      <c r="AK36" s="134" t="n">
        <f aca="false">N36+O36+P36+Q36+R36+S36+T36+U36+X36+AE36+AH36</f>
        <v>78.78</v>
      </c>
      <c r="AL36" s="135" t="n">
        <f aca="false">IF(L36&lt;0,L36*-1,0)</f>
        <v>18.14460297454</v>
      </c>
      <c r="AM36" s="135" t="n">
        <f aca="false">AK36+AL36</f>
        <v>96.92460297454</v>
      </c>
      <c r="AN36" s="220" t="n">
        <f aca="false">V36</f>
        <v>38.2</v>
      </c>
      <c r="AO36" s="136"/>
      <c r="AP36" s="135"/>
      <c r="AQ36" s="107"/>
      <c r="AR36" s="107"/>
      <c r="AS36" s="221"/>
      <c r="AU36" s="176"/>
      <c r="AV36" s="222" t="n">
        <v>0</v>
      </c>
      <c r="AW36" s="215" t="n">
        <v>57</v>
      </c>
      <c r="AX36" s="215" t="n">
        <v>25</v>
      </c>
      <c r="AY36" s="299"/>
      <c r="AZ36" s="250" t="n">
        <f aca="false">SUM(N36,P36:U36)</f>
        <v>5.78</v>
      </c>
    </row>
    <row r="37" customFormat="false" ht="12.95" hidden="false" customHeight="true" outlineLevel="0" collapsed="false">
      <c r="A37" s="183" t="n">
        <f aca="false">A36+1</f>
        <v>23</v>
      </c>
      <c r="B37" s="106" t="n">
        <v>6870.25</v>
      </c>
      <c r="C37" s="107" t="n">
        <v>188473</v>
      </c>
      <c r="D37" s="215" t="n">
        <f aca="false">C37-C36</f>
        <v>-54</v>
      </c>
      <c r="E37" s="107" t="n">
        <f aca="false">C37-152000</f>
        <v>36473</v>
      </c>
      <c r="F37" s="246" t="n">
        <f aca="false">D37/$D$2</f>
        <v>-27.22460297454</v>
      </c>
      <c r="G37" s="135" t="n">
        <v>63</v>
      </c>
      <c r="H37" s="337" t="n">
        <v>1.1</v>
      </c>
      <c r="I37" s="135" t="n">
        <f aca="false">G37+H37</f>
        <v>64.1</v>
      </c>
      <c r="J37" s="136" t="n">
        <f aca="false">IF(L37&gt;0,L37,0)</f>
        <v>0</v>
      </c>
      <c r="K37" s="135" t="n">
        <f aca="false">I37+J37</f>
        <v>64.1</v>
      </c>
      <c r="L37" s="135" t="n">
        <f aca="false">F37-(I37-AK37)</f>
        <v>-12.9246029745399</v>
      </c>
      <c r="M37" s="248" t="n">
        <v>5.4</v>
      </c>
      <c r="N37" s="135" t="n">
        <v>0</v>
      </c>
      <c r="O37" s="135" t="n">
        <v>0</v>
      </c>
      <c r="P37" s="158" t="n">
        <v>0</v>
      </c>
      <c r="Q37" s="338" t="n">
        <f aca="false">896900/325851/1.9835*1.02</f>
        <v>1.41544478554685</v>
      </c>
      <c r="R37" s="131" t="n">
        <f aca="false">((2.1)*1.04)-T37</f>
        <v>1.69519584</v>
      </c>
      <c r="S37" s="131" t="n">
        <v>0</v>
      </c>
      <c r="T37" s="131" t="n">
        <f aca="false">(0.4434*1.06)*1.04</f>
        <v>0.48880416</v>
      </c>
      <c r="U37" s="96" t="n">
        <f aca="false">M37-(Q37+R37+S37+T37)</f>
        <v>1.80055521445315</v>
      </c>
      <c r="V37" s="135" t="n">
        <v>38.2</v>
      </c>
      <c r="W37" s="135" t="n">
        <v>0</v>
      </c>
      <c r="X37" s="135" t="n">
        <f aca="false">M37-N37-O37-P37-Q37-R37-S37-T37-U37+V37+W37</f>
        <v>38.2</v>
      </c>
      <c r="Y37" s="135" t="n">
        <f aca="false">X37-AO37</f>
        <v>38.2</v>
      </c>
      <c r="Z37" s="135"/>
      <c r="AA37" s="135"/>
      <c r="AB37" s="107"/>
      <c r="AC37" s="136" t="n">
        <v>0</v>
      </c>
      <c r="AD37" s="107"/>
      <c r="AE37" s="135" t="n">
        <v>0</v>
      </c>
      <c r="AF37" s="248"/>
      <c r="AG37" s="249"/>
      <c r="AH37" s="135" t="n">
        <v>34.8</v>
      </c>
      <c r="AI37" s="107" t="n">
        <f aca="false">AI36-AH37</f>
        <v>314.199999999998</v>
      </c>
      <c r="AJ37" s="136"/>
      <c r="AK37" s="134" t="n">
        <f aca="false">N37+O37+P37+Q37+R37+S37+T37+U37+X37+AE37+AH37</f>
        <v>78.4</v>
      </c>
      <c r="AL37" s="135" t="n">
        <f aca="false">IF(L37&lt;0,L37*-1,0)</f>
        <v>12.9246029745399</v>
      </c>
      <c r="AM37" s="135" t="n">
        <f aca="false">AK37+AL37</f>
        <v>91.3246029745399</v>
      </c>
      <c r="AN37" s="220" t="n">
        <f aca="false">V37</f>
        <v>38.2</v>
      </c>
      <c r="AO37" s="136"/>
      <c r="AP37" s="135"/>
      <c r="AQ37" s="107"/>
      <c r="AR37" s="107"/>
      <c r="AS37" s="221"/>
      <c r="AU37" s="176"/>
      <c r="AV37" s="222" t="n">
        <v>0</v>
      </c>
      <c r="AW37" s="215" t="n">
        <v>36</v>
      </c>
      <c r="AX37" s="221" t="n">
        <v>17</v>
      </c>
      <c r="AY37" s="299"/>
      <c r="AZ37" s="250" t="n">
        <f aca="false">SUM(N37,P37:U37)</f>
        <v>5.4</v>
      </c>
    </row>
    <row r="38" customFormat="false" ht="12.95" hidden="false" customHeight="true" outlineLevel="0" collapsed="false">
      <c r="A38" s="183" t="n">
        <f aca="false">A37+1</f>
        <v>24</v>
      </c>
      <c r="B38" s="106" t="n">
        <v>6870.23</v>
      </c>
      <c r="C38" s="107" t="n">
        <v>188420</v>
      </c>
      <c r="D38" s="215" t="n">
        <f aca="false">C38-C37</f>
        <v>-53</v>
      </c>
      <c r="E38" s="107" t="n">
        <f aca="false">C38-152000</f>
        <v>36420</v>
      </c>
      <c r="F38" s="246" t="n">
        <f aca="false">D38/$D$2</f>
        <v>-26.7204436601966</v>
      </c>
      <c r="G38" s="135" t="n">
        <v>46</v>
      </c>
      <c r="H38" s="297" t="n">
        <v>0.74</v>
      </c>
      <c r="I38" s="135" t="n">
        <f aca="false">G38+H38</f>
        <v>46.74</v>
      </c>
      <c r="J38" s="136" t="n">
        <f aca="false">IF(L38&gt;0,L38,0)</f>
        <v>5.57955633980337</v>
      </c>
      <c r="K38" s="135" t="n">
        <f aca="false">I38+J38</f>
        <v>52.3195563398034</v>
      </c>
      <c r="L38" s="135" t="n">
        <f aca="false">F38-(I38-AK38)</f>
        <v>5.57955633980337</v>
      </c>
      <c r="M38" s="248" t="n">
        <v>6.04</v>
      </c>
      <c r="N38" s="135" t="n">
        <v>0</v>
      </c>
      <c r="O38" s="135" t="n">
        <v>0</v>
      </c>
      <c r="P38" s="158" t="n">
        <v>0</v>
      </c>
      <c r="Q38" s="338" t="n">
        <f aca="false">1028300/325851/1.9835*1.02</f>
        <v>1.62281399596145</v>
      </c>
      <c r="R38" s="131" t="n">
        <f aca="false">((2.1)*1.04)-T38</f>
        <v>1.69519584</v>
      </c>
      <c r="S38" s="131" t="n">
        <v>0</v>
      </c>
      <c r="T38" s="131" t="n">
        <f aca="false">(0.4434*1.06)*1.04</f>
        <v>0.48880416</v>
      </c>
      <c r="U38" s="96" t="n">
        <f aca="false">M38-(Q38+R38+S38+T38)</f>
        <v>2.23318600403855</v>
      </c>
      <c r="V38" s="135" t="n">
        <v>38.2</v>
      </c>
      <c r="W38" s="135" t="n">
        <v>0</v>
      </c>
      <c r="X38" s="135" t="n">
        <f aca="false">M38-N38-O38-P38-Q38-R38-S38-T38-U38+V38+W38</f>
        <v>38.2</v>
      </c>
      <c r="Y38" s="135" t="n">
        <f aca="false">X38-AO38</f>
        <v>38.2</v>
      </c>
      <c r="Z38" s="135"/>
      <c r="AA38" s="135"/>
      <c r="AB38" s="107"/>
      <c r="AC38" s="136" t="n">
        <v>0</v>
      </c>
      <c r="AD38" s="107"/>
      <c r="AE38" s="135" t="n">
        <v>0</v>
      </c>
      <c r="AF38" s="248"/>
      <c r="AG38" s="249"/>
      <c r="AH38" s="135" t="n">
        <v>34.8</v>
      </c>
      <c r="AI38" s="107" t="n">
        <f aca="false">AI37-AH38</f>
        <v>279.399999999998</v>
      </c>
      <c r="AJ38" s="136"/>
      <c r="AK38" s="134" t="n">
        <f aca="false">N38+O38+P38+Q38+R38+S38+T38+U38+X38+AE38+AH38</f>
        <v>79.04</v>
      </c>
      <c r="AL38" s="135" t="n">
        <f aca="false">IF(L38&lt;0,L38*-1,0)</f>
        <v>0</v>
      </c>
      <c r="AM38" s="135" t="n">
        <f aca="false">AK38+AL38</f>
        <v>79.04</v>
      </c>
      <c r="AN38" s="220" t="n">
        <f aca="false">V38</f>
        <v>38.2</v>
      </c>
      <c r="AO38" s="136"/>
      <c r="AP38" s="135"/>
      <c r="AQ38" s="107"/>
      <c r="AR38" s="107"/>
      <c r="AS38" s="221"/>
      <c r="AU38" s="176"/>
      <c r="AV38" s="222" t="n">
        <v>0</v>
      </c>
      <c r="AW38" s="215" t="n">
        <v>43</v>
      </c>
      <c r="AX38" s="221" t="n">
        <v>12</v>
      </c>
      <c r="AY38" s="299"/>
      <c r="AZ38" s="250" t="n">
        <f aca="false">SUM(N38,P38:U38)</f>
        <v>6.04</v>
      </c>
    </row>
    <row r="39" customFormat="false" ht="12.95" hidden="false" customHeight="true" outlineLevel="0" collapsed="false">
      <c r="A39" s="183" t="n">
        <f aca="false">A38+1</f>
        <v>25</v>
      </c>
      <c r="B39" s="106" t="n">
        <v>6870.2</v>
      </c>
      <c r="C39" s="107" t="n">
        <v>188339</v>
      </c>
      <c r="D39" s="215" t="n">
        <f aca="false">C39-C38</f>
        <v>-81</v>
      </c>
      <c r="E39" s="107" t="n">
        <f aca="false">C39-152000</f>
        <v>36339</v>
      </c>
      <c r="F39" s="246" t="n">
        <f aca="false">D39/$D$2</f>
        <v>-40.8369044618099</v>
      </c>
      <c r="G39" s="135" t="n">
        <v>51</v>
      </c>
      <c r="H39" s="297" t="n">
        <v>0.7</v>
      </c>
      <c r="I39" s="135" t="n">
        <f aca="false">G39+H39</f>
        <v>51.7</v>
      </c>
      <c r="J39" s="136" t="n">
        <f aca="false">IF(L39&gt;0,L39,0)</f>
        <v>18.6630955381901</v>
      </c>
      <c r="K39" s="135" t="n">
        <f aca="false">I39+J39</f>
        <v>70.3630955381901</v>
      </c>
      <c r="L39" s="135" t="n">
        <f aca="false">F39-(I39-AK39)</f>
        <v>18.6630955381901</v>
      </c>
      <c r="M39" s="248" t="n">
        <v>38.2</v>
      </c>
      <c r="N39" s="135" t="n">
        <v>0</v>
      </c>
      <c r="O39" s="135" t="n">
        <v>0</v>
      </c>
      <c r="P39" s="158" t="n">
        <v>0</v>
      </c>
      <c r="Q39" s="338" t="n">
        <f aca="false">886300/325851/1.9835*1.02</f>
        <v>1.39871637131249</v>
      </c>
      <c r="R39" s="131" t="n">
        <f aca="false">((2.1)*1.04)-T39</f>
        <v>1.69519584</v>
      </c>
      <c r="S39" s="131" t="n">
        <v>0</v>
      </c>
      <c r="T39" s="131" t="n">
        <f aca="false">(0.4434*1.06)*1.04</f>
        <v>0.48880416</v>
      </c>
      <c r="U39" s="96" t="n">
        <f aca="false">M39-(Q39+R39+S39+T39)</f>
        <v>34.6172836286875</v>
      </c>
      <c r="V39" s="135" t="n">
        <v>38.2</v>
      </c>
      <c r="W39" s="135" t="n">
        <v>0</v>
      </c>
      <c r="X39" s="135" t="n">
        <f aca="false">M39-N39-O39-P39-Q39-R39-S39-T39-U39+V39+W39</f>
        <v>38.2</v>
      </c>
      <c r="Y39" s="135" t="n">
        <f aca="false">X39-AO39</f>
        <v>38.2</v>
      </c>
      <c r="Z39" s="135"/>
      <c r="AA39" s="135"/>
      <c r="AB39" s="107"/>
      <c r="AC39" s="136" t="n">
        <v>0</v>
      </c>
      <c r="AD39" s="107"/>
      <c r="AE39" s="135" t="n">
        <v>0</v>
      </c>
      <c r="AF39" s="248"/>
      <c r="AG39" s="249"/>
      <c r="AH39" s="135" t="n">
        <v>34.8</v>
      </c>
      <c r="AI39" s="107" t="n">
        <f aca="false">AI38-AH39</f>
        <v>244.599999999998</v>
      </c>
      <c r="AJ39" s="136"/>
      <c r="AK39" s="134" t="n">
        <f aca="false">N39+O39+P39+Q39+R39+S39+T39+U39+X39+AE39+AH39</f>
        <v>111.2</v>
      </c>
      <c r="AL39" s="135" t="n">
        <f aca="false">IF(L39&lt;0,L39*-1,0)</f>
        <v>0</v>
      </c>
      <c r="AM39" s="135" t="n">
        <f aca="false">AK39+AL39</f>
        <v>111.2</v>
      </c>
      <c r="AN39" s="220" t="n">
        <f aca="false">V39</f>
        <v>38.2</v>
      </c>
      <c r="AO39" s="136"/>
      <c r="AP39" s="135"/>
      <c r="AQ39" s="107"/>
      <c r="AR39" s="107"/>
      <c r="AS39" s="221"/>
      <c r="AU39" s="176"/>
      <c r="AV39" s="222" t="n">
        <v>0</v>
      </c>
      <c r="AW39" s="215" t="n">
        <v>49</v>
      </c>
      <c r="AX39" s="221" t="n">
        <v>14</v>
      </c>
      <c r="AY39" s="299"/>
      <c r="AZ39" s="250" t="n">
        <f aca="false">SUM(N39,P39:U39)</f>
        <v>38.2</v>
      </c>
    </row>
    <row r="40" customFormat="false" ht="12.95" hidden="false" customHeight="true" outlineLevel="0" collapsed="false">
      <c r="A40" s="183" t="n">
        <f aca="false">A39+1</f>
        <v>26</v>
      </c>
      <c r="B40" s="106" t="n">
        <v>6870.18</v>
      </c>
      <c r="C40" s="107" t="n">
        <v>188296</v>
      </c>
      <c r="D40" s="215" t="n">
        <f aca="false">C40-C39</f>
        <v>-43</v>
      </c>
      <c r="E40" s="107" t="n">
        <f aca="false">C40-152000</f>
        <v>36296</v>
      </c>
      <c r="F40" s="246" t="n">
        <f aca="false">D40/$D$2</f>
        <v>-21.6788505167633</v>
      </c>
      <c r="G40" s="135" t="n">
        <v>61</v>
      </c>
      <c r="H40" s="297" t="n">
        <v>0.74</v>
      </c>
      <c r="I40" s="135" t="n">
        <f aca="false">G40+H40</f>
        <v>61.74</v>
      </c>
      <c r="J40" s="136" t="n">
        <f aca="false">IF(L40&gt;0,L40,0)</f>
        <v>34.9811494832367</v>
      </c>
      <c r="K40" s="135" t="n">
        <f aca="false">I40+J40</f>
        <v>96.7211494832367</v>
      </c>
      <c r="L40" s="135" t="n">
        <f aca="false">F40-(I40-AK40)</f>
        <v>34.9811494832367</v>
      </c>
      <c r="M40" s="248" t="n">
        <v>43.1</v>
      </c>
      <c r="N40" s="135" t="n">
        <v>0</v>
      </c>
      <c r="O40" s="135" t="n">
        <f aca="false">(2.3*1.05)</f>
        <v>2.415</v>
      </c>
      <c r="P40" s="158" t="n">
        <v>0</v>
      </c>
      <c r="Q40" s="338" t="n">
        <f aca="false">954300/325851/1.9835*1.02</f>
        <v>1.50603072677819</v>
      </c>
      <c r="R40" s="131" t="n">
        <f aca="false">((2.2)*1.04)-T40</f>
        <v>1.79919584</v>
      </c>
      <c r="S40" s="131" t="n">
        <v>0</v>
      </c>
      <c r="T40" s="131" t="n">
        <f aca="false">(0.4434*1.06)*1.04</f>
        <v>0.48880416</v>
      </c>
      <c r="U40" s="96" t="n">
        <v>0</v>
      </c>
      <c r="V40" s="135" t="n">
        <v>38.7</v>
      </c>
      <c r="W40" s="135" t="n">
        <v>0</v>
      </c>
      <c r="X40" s="135" t="n">
        <f aca="false">M40-N40-O40-P40-Q40-R40-S40-T40-U40+V40+W40</f>
        <v>75.5909692732218</v>
      </c>
      <c r="Y40" s="135" t="n">
        <f aca="false">X40-AO40</f>
        <v>75.5909692732218</v>
      </c>
      <c r="Z40" s="135"/>
      <c r="AA40" s="135"/>
      <c r="AB40" s="107"/>
      <c r="AC40" s="136" t="n">
        <v>0</v>
      </c>
      <c r="AD40" s="107"/>
      <c r="AE40" s="135" t="n">
        <v>0</v>
      </c>
      <c r="AF40" s="248"/>
      <c r="AG40" s="249"/>
      <c r="AH40" s="135" t="n">
        <v>36.6</v>
      </c>
      <c r="AI40" s="107" t="n">
        <f aca="false">AI39-AH40</f>
        <v>207.999999999998</v>
      </c>
      <c r="AJ40" s="136"/>
      <c r="AK40" s="134" t="n">
        <f aca="false">N40+O40+P40+Q40+R40+S40+T40+U40+X40+AE40+AH40</f>
        <v>118.4</v>
      </c>
      <c r="AL40" s="135" t="n">
        <f aca="false">IF(L40&lt;0,L40*-1,0)</f>
        <v>0</v>
      </c>
      <c r="AM40" s="135" t="n">
        <f aca="false">AK40+AL40</f>
        <v>118.4</v>
      </c>
      <c r="AN40" s="220" t="n">
        <f aca="false">V40</f>
        <v>38.7</v>
      </c>
      <c r="AO40" s="136"/>
      <c r="AP40" s="135"/>
      <c r="AQ40" s="107"/>
      <c r="AR40" s="107"/>
      <c r="AS40" s="221"/>
      <c r="AU40" s="176"/>
      <c r="AV40" s="222" t="n">
        <v>0</v>
      </c>
      <c r="AW40" s="215" t="n">
        <v>59</v>
      </c>
      <c r="AX40" s="215" t="n">
        <v>27</v>
      </c>
      <c r="AY40" s="299"/>
      <c r="AZ40" s="250" t="n">
        <f aca="false">SUM(N40,P40:U40)</f>
        <v>3.79403072677819</v>
      </c>
    </row>
    <row r="41" customFormat="false" ht="12.95" hidden="false" customHeight="true" outlineLevel="0" collapsed="false">
      <c r="A41" s="183" t="n">
        <f aca="false">A40+1</f>
        <v>27</v>
      </c>
      <c r="B41" s="106" t="n">
        <v>6870.15</v>
      </c>
      <c r="C41" s="107" t="n">
        <v>188205</v>
      </c>
      <c r="D41" s="215" t="n">
        <f aca="false">C41-C40</f>
        <v>-91</v>
      </c>
      <c r="E41" s="107" t="n">
        <f aca="false">C41-152000</f>
        <v>36205</v>
      </c>
      <c r="F41" s="246" t="n">
        <f aca="false">D41/$D$2</f>
        <v>-45.8784976052433</v>
      </c>
      <c r="G41" s="135" t="n">
        <v>63</v>
      </c>
      <c r="H41" s="297" t="n">
        <v>0.74</v>
      </c>
      <c r="I41" s="135" t="n">
        <f aca="false">G41+H41</f>
        <v>63.74</v>
      </c>
      <c r="J41" s="136" t="n">
        <f aca="false">IF(L41&gt;0,L41,0)</f>
        <v>0</v>
      </c>
      <c r="K41" s="135" t="n">
        <f aca="false">I41+J41</f>
        <v>63.74</v>
      </c>
      <c r="L41" s="135" t="n">
        <f aca="false">F41-(I41-AK41)</f>
        <v>-17.5184976052433</v>
      </c>
      <c r="M41" s="248" t="n">
        <v>15.7</v>
      </c>
      <c r="N41" s="135" t="n">
        <v>0</v>
      </c>
      <c r="O41" s="135" t="n">
        <f aca="false">9.9*1.05</f>
        <v>10.395</v>
      </c>
      <c r="P41" s="158" t="n">
        <v>0</v>
      </c>
      <c r="Q41" s="338" t="n">
        <f aca="false">969300/325851/1.9835*1.02</f>
        <v>1.52970301107209</v>
      </c>
      <c r="R41" s="131" t="n">
        <f aca="false">((2.2)*1.04)-T41</f>
        <v>1.79919584</v>
      </c>
      <c r="S41" s="131" t="n">
        <v>0</v>
      </c>
      <c r="T41" s="131" t="n">
        <f aca="false">(0.4434*1.06)*1.04</f>
        <v>0.48880416</v>
      </c>
      <c r="U41" s="96" t="n">
        <v>0</v>
      </c>
      <c r="V41" s="135" t="n">
        <v>38.3</v>
      </c>
      <c r="W41" s="135" t="n">
        <v>0</v>
      </c>
      <c r="X41" s="135" t="n">
        <f aca="false">M41-N41-O41-P41-Q41-R41-S41-T41-U41+V41+W41</f>
        <v>39.7872969889279</v>
      </c>
      <c r="Y41" s="135" t="n">
        <f aca="false">X41-AO41</f>
        <v>39.7872969889279</v>
      </c>
      <c r="Z41" s="135"/>
      <c r="AA41" s="135"/>
      <c r="AB41" s="107"/>
      <c r="AC41" s="136" t="n">
        <v>0</v>
      </c>
      <c r="AD41" s="107"/>
      <c r="AE41" s="135" t="n">
        <v>0</v>
      </c>
      <c r="AF41" s="248"/>
      <c r="AG41" s="249"/>
      <c r="AH41" s="135" t="n">
        <v>38.1</v>
      </c>
      <c r="AI41" s="107" t="n">
        <f aca="false">AI40-AH41</f>
        <v>169.899999999998</v>
      </c>
      <c r="AJ41" s="136"/>
      <c r="AK41" s="134" t="n">
        <f aca="false">N41+O41+P41+Q41+R41+S41+T41+U41+X41+AE41+AH41</f>
        <v>92.1</v>
      </c>
      <c r="AL41" s="135" t="n">
        <f aca="false">IF(L41&lt;0,L41*-1,0)</f>
        <v>17.5184976052433</v>
      </c>
      <c r="AM41" s="135" t="n">
        <f aca="false">AK41+AL41</f>
        <v>109.618497605243</v>
      </c>
      <c r="AN41" s="220" t="n">
        <f aca="false">V41</f>
        <v>38.3</v>
      </c>
      <c r="AO41" s="136"/>
      <c r="AP41" s="135"/>
      <c r="AQ41" s="107"/>
      <c r="AR41" s="107"/>
      <c r="AS41" s="221"/>
      <c r="AU41" s="176"/>
      <c r="AV41" s="222" t="n">
        <v>0</v>
      </c>
      <c r="AW41" s="215" t="n">
        <v>64</v>
      </c>
      <c r="AX41" s="215" t="n">
        <v>31</v>
      </c>
      <c r="AY41" s="299"/>
      <c r="AZ41" s="250" t="n">
        <f aca="false">SUM(N41,P41:U41)</f>
        <v>3.81770301107209</v>
      </c>
    </row>
    <row r="42" customFormat="false" ht="12.95" hidden="false" customHeight="true" outlineLevel="0" collapsed="false">
      <c r="A42" s="183" t="n">
        <f aca="false">A41+1</f>
        <v>28</v>
      </c>
      <c r="B42" s="106" t="n">
        <v>6870.16</v>
      </c>
      <c r="C42" s="107" t="n">
        <v>188232</v>
      </c>
      <c r="D42" s="215" t="n">
        <f aca="false">C42-C41</f>
        <v>27</v>
      </c>
      <c r="E42" s="107" t="n">
        <f aca="false">C42-152000</f>
        <v>36232</v>
      </c>
      <c r="F42" s="246" t="n">
        <f aca="false">D42/$D$2</f>
        <v>13.61230148727</v>
      </c>
      <c r="G42" s="135" t="n">
        <v>64</v>
      </c>
      <c r="H42" s="297" t="n">
        <v>0.87</v>
      </c>
      <c r="I42" s="135" t="n">
        <f aca="false">G42+H42</f>
        <v>64.87</v>
      </c>
      <c r="J42" s="136" t="n">
        <f aca="false">IF(L42&gt;0,L42,0)</f>
        <v>41.04230148727</v>
      </c>
      <c r="K42" s="135" t="n">
        <f aca="false">I42+J42</f>
        <v>105.91230148727</v>
      </c>
      <c r="L42" s="135" t="n">
        <f aca="false">F42-(I42-AK42)</f>
        <v>41.04230148727</v>
      </c>
      <c r="M42" s="248" t="n">
        <v>16.7</v>
      </c>
      <c r="N42" s="135" t="n">
        <v>0</v>
      </c>
      <c r="O42" s="135" t="n">
        <f aca="false">15*1.05</f>
        <v>15.75</v>
      </c>
      <c r="P42" s="158" t="n">
        <v>0</v>
      </c>
      <c r="Q42" s="338" t="n">
        <f aca="false">956400/325851/1.9835*1.02</f>
        <v>1.50934484657933</v>
      </c>
      <c r="R42" s="131" t="n">
        <f aca="false">((2.2)*1.04)-T42</f>
        <v>1.79919584</v>
      </c>
      <c r="S42" s="131" t="n">
        <v>0</v>
      </c>
      <c r="T42" s="131" t="n">
        <f aca="false">(0.4434*1.06)*1.04</f>
        <v>0.48880416</v>
      </c>
      <c r="U42" s="96" t="n">
        <v>0</v>
      </c>
      <c r="V42" s="135" t="n">
        <v>37.5</v>
      </c>
      <c r="W42" s="135" t="n">
        <v>0</v>
      </c>
      <c r="X42" s="135" t="n">
        <f aca="false">M42-N42-O42-P42-Q42-R42-S42-T42-U42+V42+W42</f>
        <v>34.6526551534207</v>
      </c>
      <c r="Y42" s="135" t="n">
        <f aca="false">X42-AO42</f>
        <v>34.6526551534207</v>
      </c>
      <c r="Z42" s="135"/>
      <c r="AA42" s="135"/>
      <c r="AB42" s="107"/>
      <c r="AC42" s="136" t="n">
        <v>0</v>
      </c>
      <c r="AD42" s="107"/>
      <c r="AE42" s="135" t="n">
        <v>0</v>
      </c>
      <c r="AF42" s="248"/>
      <c r="AG42" s="249"/>
      <c r="AH42" s="135" t="n">
        <v>38.1</v>
      </c>
      <c r="AI42" s="107" t="n">
        <f aca="false">AI41-AH42</f>
        <v>131.799999999998</v>
      </c>
      <c r="AJ42" s="136"/>
      <c r="AK42" s="134" t="n">
        <f aca="false">N42+O42+P42+Q42+R42+S42+T42+U42+X42+AE42+AH42</f>
        <v>92.3</v>
      </c>
      <c r="AL42" s="135" t="n">
        <f aca="false">IF(L42&lt;0,L42*-1,0)</f>
        <v>0</v>
      </c>
      <c r="AM42" s="135" t="n">
        <f aca="false">AK42+AL42</f>
        <v>92.3</v>
      </c>
      <c r="AN42" s="220" t="n">
        <f aca="false">V42</f>
        <v>37.5</v>
      </c>
      <c r="AO42" s="136"/>
      <c r="AP42" s="135"/>
      <c r="AQ42" s="107"/>
      <c r="AR42" s="107"/>
      <c r="AS42" s="221"/>
      <c r="AU42" s="176"/>
      <c r="AV42" s="222" t="n">
        <v>0</v>
      </c>
      <c r="AW42" s="215" t="n">
        <v>67</v>
      </c>
      <c r="AX42" s="215" t="n">
        <v>32</v>
      </c>
      <c r="AY42" s="299"/>
      <c r="AZ42" s="250" t="n">
        <f aca="false">SUM(N42,P42:U42)</f>
        <v>3.79734484657933</v>
      </c>
    </row>
    <row r="43" customFormat="false" ht="12.95" hidden="false" customHeight="true" outlineLevel="0" collapsed="false">
      <c r="A43" s="183" t="n">
        <f aca="false">A42+1</f>
        <v>29</v>
      </c>
      <c r="B43" s="106" t="n">
        <v>6870.19</v>
      </c>
      <c r="C43" s="107" t="n">
        <v>188312</v>
      </c>
      <c r="D43" s="215" t="n">
        <f aca="false">C43-C42</f>
        <v>80</v>
      </c>
      <c r="E43" s="107" t="n">
        <f aca="false">C43-152000</f>
        <v>36312</v>
      </c>
      <c r="F43" s="246" t="n">
        <f aca="false">D43/$D$2</f>
        <v>40.3327451474666</v>
      </c>
      <c r="G43" s="135" t="n">
        <v>78</v>
      </c>
      <c r="H43" s="297" t="n">
        <v>0.97</v>
      </c>
      <c r="I43" s="135" t="n">
        <f aca="false">G43+H43</f>
        <v>78.97</v>
      </c>
      <c r="J43" s="136" t="n">
        <f aca="false">IF(L43&gt;0,L43,0)</f>
        <v>40.6527451474666</v>
      </c>
      <c r="K43" s="135" t="n">
        <f aca="false">I43+J43</f>
        <v>119.622745147467</v>
      </c>
      <c r="L43" s="135" t="n">
        <f aca="false">F43-(I43-AK43)</f>
        <v>40.6527451474666</v>
      </c>
      <c r="M43" s="248" t="n">
        <v>3.69</v>
      </c>
      <c r="N43" s="135" t="n">
        <v>0</v>
      </c>
      <c r="O43" s="135" t="n">
        <f aca="false">16*1.05</f>
        <v>16.8</v>
      </c>
      <c r="P43" s="158" t="n">
        <v>0</v>
      </c>
      <c r="Q43" s="338" t="n">
        <f aca="false">1094200/325851/1.9835*1.02</f>
        <v>1.726814231626</v>
      </c>
      <c r="R43" s="131" t="n">
        <f aca="false">((2.2)*1.04)-T43</f>
        <v>1.7819984</v>
      </c>
      <c r="S43" s="131" t="n">
        <v>0</v>
      </c>
      <c r="T43" s="131" t="n">
        <f aca="false">(0.459*1.06)*1.04</f>
        <v>0.5060016</v>
      </c>
      <c r="U43" s="96" t="n">
        <v>0</v>
      </c>
      <c r="V43" s="135" t="n">
        <v>37.5</v>
      </c>
      <c r="W43" s="135" t="n">
        <v>0</v>
      </c>
      <c r="X43" s="135" t="n">
        <f aca="false">M43-N43-O43-P43-Q43-R43-S43-T43-U43+V43+W43</f>
        <v>20.375185768374</v>
      </c>
      <c r="Y43" s="135" t="n">
        <f aca="false">X43-AO43</f>
        <v>20.375185768374</v>
      </c>
      <c r="Z43" s="135"/>
      <c r="AA43" s="135"/>
      <c r="AB43" s="107"/>
      <c r="AC43" s="136" t="n">
        <v>0</v>
      </c>
      <c r="AD43" s="107"/>
      <c r="AE43" s="135" t="n">
        <v>0</v>
      </c>
      <c r="AF43" s="248"/>
      <c r="AG43" s="249"/>
      <c r="AH43" s="135" t="n">
        <v>38.1</v>
      </c>
      <c r="AI43" s="107" t="n">
        <f aca="false">AI42-AH43</f>
        <v>93.6999999999978</v>
      </c>
      <c r="AJ43" s="136"/>
      <c r="AK43" s="134" t="n">
        <f aca="false">N43+O43+P43+Q43+R43+S43+T43+U43+X43+AE43+AH43</f>
        <v>79.29</v>
      </c>
      <c r="AL43" s="135" t="n">
        <f aca="false">IF(L43&lt;0,L43*-1,0)</f>
        <v>0</v>
      </c>
      <c r="AM43" s="135" t="n">
        <f aca="false">AK43+AL43</f>
        <v>79.29</v>
      </c>
      <c r="AN43" s="220" t="n">
        <f aca="false">V43</f>
        <v>37.5</v>
      </c>
      <c r="AO43" s="136"/>
      <c r="AP43" s="135"/>
      <c r="AQ43" s="107"/>
      <c r="AR43" s="107"/>
      <c r="AS43" s="221"/>
      <c r="AU43" s="176"/>
      <c r="AV43" s="222" t="n">
        <v>0</v>
      </c>
      <c r="AW43" s="221" t="n">
        <v>69</v>
      </c>
      <c r="AX43" s="215" t="n">
        <v>34</v>
      </c>
      <c r="AY43" s="299"/>
      <c r="AZ43" s="250" t="n">
        <f aca="false">SUM(N43,P43:U43)</f>
        <v>4.014814231626</v>
      </c>
    </row>
    <row r="44" customFormat="false" ht="12.95" hidden="false" customHeight="true" outlineLevel="0" collapsed="false">
      <c r="A44" s="183" t="n">
        <v>30</v>
      </c>
      <c r="B44" s="106" t="n">
        <v>6870.21</v>
      </c>
      <c r="C44" s="107" t="n">
        <v>188366</v>
      </c>
      <c r="D44" s="215" t="n">
        <f aca="false">C44-C43</f>
        <v>54</v>
      </c>
      <c r="E44" s="107" t="n">
        <f aca="false">C44-152000</f>
        <v>36366</v>
      </c>
      <c r="F44" s="246" t="n">
        <f aca="false">D44/$D$2</f>
        <v>27.22460297454</v>
      </c>
      <c r="G44" s="135" t="n">
        <v>86</v>
      </c>
      <c r="H44" s="297" t="n">
        <v>1</v>
      </c>
      <c r="I44" s="135" t="n">
        <f aca="false">G44+H44</f>
        <v>87</v>
      </c>
      <c r="J44" s="136" t="n">
        <f aca="false">IF(L44&gt;0,L44,0)</f>
        <v>19.83460297454</v>
      </c>
      <c r="K44" s="135" t="n">
        <f aca="false">I44+J44</f>
        <v>106.83460297454</v>
      </c>
      <c r="L44" s="135" t="n">
        <f aca="false">F44-(I44-AK44)</f>
        <v>19.83460297454</v>
      </c>
      <c r="M44" s="248" t="n">
        <v>4.01</v>
      </c>
      <c r="N44" s="135" t="n">
        <v>0</v>
      </c>
      <c r="O44" s="135" t="n">
        <f aca="false">0.04*1.05</f>
        <v>0.042</v>
      </c>
      <c r="P44" s="158" t="n">
        <v>0</v>
      </c>
      <c r="Q44" s="338" t="n">
        <f aca="false">1018700/325851/1.9835*1.02</f>
        <v>1.60766373401335</v>
      </c>
      <c r="R44" s="131" t="n">
        <f aca="false">((2.2)*1.04)-T44</f>
        <v>1.7819984</v>
      </c>
      <c r="S44" s="131" t="n">
        <v>0</v>
      </c>
      <c r="T44" s="131" t="n">
        <f aca="false">(0.459*1.06)*1.04</f>
        <v>0.5060016</v>
      </c>
      <c r="U44" s="96" t="n">
        <f aca="false">M44-(Q44+R44+S44+T44)</f>
        <v>0.11433626598665</v>
      </c>
      <c r="V44" s="135" t="n">
        <v>37.5</v>
      </c>
      <c r="W44" s="135" t="n">
        <v>0</v>
      </c>
      <c r="X44" s="135" t="n">
        <f aca="false">M44-N44-O44-P44-Q44-R44-S44-T44-U44+V44+W44</f>
        <v>37.458</v>
      </c>
      <c r="Y44" s="135" t="n">
        <f aca="false">X44-AO44</f>
        <v>37.458</v>
      </c>
      <c r="Z44" s="135"/>
      <c r="AA44" s="135"/>
      <c r="AB44" s="107"/>
      <c r="AC44" s="136" t="n">
        <v>0</v>
      </c>
      <c r="AD44" s="107"/>
      <c r="AE44" s="135" t="n">
        <v>0</v>
      </c>
      <c r="AF44" s="248"/>
      <c r="AG44" s="249"/>
      <c r="AH44" s="135" t="n">
        <v>38.1</v>
      </c>
      <c r="AI44" s="107" t="n">
        <f aca="false">AI43-AH44</f>
        <v>55.5999999999978</v>
      </c>
      <c r="AJ44" s="136"/>
      <c r="AK44" s="134" t="n">
        <f aca="false">N44+O44+P44+Q44+R44+S44+T44+U44+X44+AE44+AH44</f>
        <v>79.61</v>
      </c>
      <c r="AL44" s="135" t="n">
        <f aca="false">IF(L44&lt;0,L44*-1,0)</f>
        <v>0</v>
      </c>
      <c r="AM44" s="135" t="n">
        <f aca="false">AK44+AL44</f>
        <v>79.61</v>
      </c>
      <c r="AN44" s="220" t="n">
        <f aca="false">V44</f>
        <v>37.5</v>
      </c>
      <c r="AO44" s="136"/>
      <c r="AP44" s="135"/>
      <c r="AQ44" s="107"/>
      <c r="AR44" s="107"/>
      <c r="AS44" s="221"/>
      <c r="AU44" s="176"/>
      <c r="AV44" s="222" t="n">
        <v>0</v>
      </c>
      <c r="AW44" s="221" t="n">
        <v>67</v>
      </c>
      <c r="AX44" s="215" t="n">
        <v>33</v>
      </c>
      <c r="AY44" s="299"/>
      <c r="AZ44" s="250" t="n">
        <f aca="false">SUM(N44,P44:U44)</f>
        <v>4.01</v>
      </c>
    </row>
    <row r="45" customFormat="false" ht="12.95" hidden="false" customHeight="true" outlineLevel="0" collapsed="false">
      <c r="A45" s="183" t="n">
        <v>31</v>
      </c>
      <c r="B45" s="106" t="n">
        <v>6870.21</v>
      </c>
      <c r="C45" s="107" t="n">
        <v>188366</v>
      </c>
      <c r="D45" s="215" t="n">
        <f aca="false">C45-C44</f>
        <v>0</v>
      </c>
      <c r="E45" s="107" t="n">
        <f aca="false">C45-152000</f>
        <v>36366</v>
      </c>
      <c r="F45" s="246" t="n">
        <f aca="false">D45/$D$2</f>
        <v>0</v>
      </c>
      <c r="G45" s="135" t="n">
        <v>92</v>
      </c>
      <c r="H45" s="297" t="n">
        <v>0.96</v>
      </c>
      <c r="I45" s="135" t="n">
        <f aca="false">G45+H45</f>
        <v>92.96</v>
      </c>
      <c r="J45" s="136" t="n">
        <f aca="false">IF(L45&gt;0,L45,0)</f>
        <v>17.24</v>
      </c>
      <c r="K45" s="135" t="n">
        <f aca="false">I45+J45</f>
        <v>110.2</v>
      </c>
      <c r="L45" s="135" t="n">
        <f aca="false">F45-(I45-AK45)</f>
        <v>17.24</v>
      </c>
      <c r="M45" s="248" t="n">
        <v>34.6</v>
      </c>
      <c r="N45" s="135" t="n">
        <v>0</v>
      </c>
      <c r="O45" s="135" t="n">
        <v>0</v>
      </c>
      <c r="P45" s="158" t="n">
        <v>0</v>
      </c>
      <c r="Q45" s="338" t="n">
        <f aca="false">1228800/325851/1.9835*1.02</f>
        <v>1.93923352935663</v>
      </c>
      <c r="R45" s="131" t="n">
        <f aca="false">((2.2)*1.04)-T45</f>
        <v>1.7819984</v>
      </c>
      <c r="S45" s="131" t="n">
        <v>0</v>
      </c>
      <c r="T45" s="131" t="n">
        <f aca="false">(0.459*1.06)*1.04</f>
        <v>0.5060016</v>
      </c>
      <c r="U45" s="96" t="n">
        <f aca="false">M45-(Q45+R45+S45+T45)</f>
        <v>30.3727664706434</v>
      </c>
      <c r="V45" s="135" t="n">
        <v>37.5</v>
      </c>
      <c r="W45" s="135" t="n">
        <v>0</v>
      </c>
      <c r="X45" s="135" t="n">
        <f aca="false">M45-N45-O45-P45-Q45-R45-S45-T45-U45+V45+W45</f>
        <v>37.5</v>
      </c>
      <c r="Y45" s="135" t="n">
        <f aca="false">X45-AO45</f>
        <v>37.5</v>
      </c>
      <c r="Z45" s="135"/>
      <c r="AA45" s="135"/>
      <c r="AB45" s="107"/>
      <c r="AC45" s="136" t="n">
        <v>0</v>
      </c>
      <c r="AD45" s="107"/>
      <c r="AE45" s="135" t="n">
        <v>0</v>
      </c>
      <c r="AF45" s="248"/>
      <c r="AG45" s="249"/>
      <c r="AH45" s="135" t="n">
        <v>38.1</v>
      </c>
      <c r="AI45" s="107" t="n">
        <f aca="false">AI44-AH45</f>
        <v>17.4999999999978</v>
      </c>
      <c r="AJ45" s="136"/>
      <c r="AK45" s="134" t="n">
        <f aca="false">N45+O45+P45+Q45+R45+S45+T45+U45+X45+AE45+AH45</f>
        <v>110.2</v>
      </c>
      <c r="AL45" s="135" t="n">
        <f aca="false">IF(L45&lt;0,L45*-1,0)</f>
        <v>0</v>
      </c>
      <c r="AM45" s="246" t="n">
        <f aca="false">AK45+AL45</f>
        <v>110.2</v>
      </c>
      <c r="AN45" s="215" t="n">
        <f aca="false">V45</f>
        <v>37.5</v>
      </c>
      <c r="AO45" s="136"/>
      <c r="AP45" s="135"/>
      <c r="AQ45" s="135"/>
      <c r="AR45" s="135"/>
      <c r="AS45" s="221"/>
      <c r="AU45" s="176"/>
      <c r="AV45" s="222" t="n">
        <v>0</v>
      </c>
      <c r="AW45" s="221" t="n">
        <v>69</v>
      </c>
      <c r="AX45" s="215" t="n">
        <v>33</v>
      </c>
      <c r="AY45" s="299"/>
      <c r="AZ45" s="250" t="n">
        <f aca="false">SUM(N45,P45:U45)</f>
        <v>34.6</v>
      </c>
    </row>
    <row r="46" customFormat="false" ht="3" hidden="false" customHeight="true" outlineLevel="0" collapsed="false">
      <c r="A46" s="231"/>
      <c r="B46" s="252"/>
      <c r="C46" s="233"/>
      <c r="D46" s="234"/>
      <c r="E46" s="233"/>
      <c r="F46" s="235"/>
      <c r="G46" s="234"/>
      <c r="H46" s="263"/>
      <c r="I46" s="234"/>
      <c r="J46" s="234"/>
      <c r="K46" s="234"/>
      <c r="L46" s="234"/>
      <c r="M46" s="237"/>
      <c r="N46" s="234"/>
      <c r="O46" s="234"/>
      <c r="P46" s="238"/>
      <c r="Q46" s="234"/>
      <c r="R46" s="234"/>
      <c r="S46" s="234"/>
      <c r="T46" s="234"/>
      <c r="U46" s="335"/>
      <c r="V46" s="234"/>
      <c r="W46" s="234"/>
      <c r="X46" s="234"/>
      <c r="Y46" s="234"/>
      <c r="Z46" s="234"/>
      <c r="AA46" s="234"/>
      <c r="AB46" s="233"/>
      <c r="AC46" s="240"/>
      <c r="AD46" s="233"/>
      <c r="AE46" s="234"/>
      <c r="AF46" s="237"/>
      <c r="AG46" s="241"/>
      <c r="AH46" s="234"/>
      <c r="AI46" s="234"/>
      <c r="AJ46" s="240"/>
      <c r="AK46" s="234"/>
      <c r="AL46" s="234"/>
      <c r="AM46" s="235"/>
      <c r="AN46" s="243"/>
      <c r="AO46" s="240"/>
      <c r="AP46" s="243"/>
      <c r="AQ46" s="243"/>
      <c r="AR46" s="243"/>
      <c r="AS46" s="243"/>
      <c r="AT46" s="336"/>
      <c r="AU46" s="336"/>
      <c r="AV46" s="245"/>
      <c r="AW46" s="243"/>
      <c r="AX46" s="243"/>
      <c r="AY46" s="254"/>
      <c r="AZ46" s="255"/>
    </row>
    <row r="47" customFormat="false" ht="12.95" hidden="false" customHeight="true" outlineLevel="0" collapsed="false">
      <c r="A47" s="185" t="s">
        <v>101</v>
      </c>
      <c r="B47" s="213"/>
      <c r="C47" s="107"/>
      <c r="D47" s="107"/>
      <c r="E47" s="107"/>
      <c r="F47" s="214" t="n">
        <f aca="false">SUM(F15:F45)</f>
        <v>-418.956390219309</v>
      </c>
      <c r="G47" s="107" t="n">
        <f aca="false">SUM(G15:G45)</f>
        <v>1816</v>
      </c>
      <c r="H47" s="334" t="n">
        <f aca="false">SUM(H15:H45)</f>
        <v>39.84</v>
      </c>
      <c r="I47" s="107" t="n">
        <f aca="false">SUM(I15:I45)</f>
        <v>1855.84</v>
      </c>
      <c r="J47" s="107" t="n">
        <f aca="false">SUM(J15:J45)</f>
        <v>464.03459541215</v>
      </c>
      <c r="K47" s="107" t="n">
        <f aca="false">SUM(K15:K45)</f>
        <v>2319.87459541215</v>
      </c>
      <c r="L47" s="107" t="n">
        <f aca="false">SUM(L15:L45)</f>
        <v>337.013609780691</v>
      </c>
      <c r="M47" s="216" t="n">
        <f aca="false">SUM(M15:M45)</f>
        <v>253.71</v>
      </c>
      <c r="N47" s="107" t="n">
        <f aca="false">SUM(N15:N45)</f>
        <v>0</v>
      </c>
      <c r="O47" s="107" t="n">
        <f aca="false">SUM(O15:O45)</f>
        <v>45.402</v>
      </c>
      <c r="P47" s="158"/>
      <c r="Q47" s="107" t="n">
        <f aca="false">SUM(Q15:Q45)</f>
        <v>46.2359166067106</v>
      </c>
      <c r="R47" s="107" t="n">
        <f aca="false">SUM(R15:R45)</f>
        <v>52.57745168</v>
      </c>
      <c r="S47" s="107" t="n">
        <f aca="false">SUM(S15:S45)</f>
        <v>0</v>
      </c>
      <c r="T47" s="107" t="n">
        <f aca="false">SUM(T15:T45)</f>
        <v>17.83054832</v>
      </c>
      <c r="U47" s="318" t="n">
        <f aca="false">SUM(U15:U45)</f>
        <v>73.299976209345</v>
      </c>
      <c r="V47" s="107" t="n">
        <f aca="false">SUM(V15:V45)</f>
        <v>1250.4</v>
      </c>
      <c r="W47" s="107" t="n">
        <f aca="false">SUM(W15:W45)</f>
        <v>0</v>
      </c>
      <c r="X47" s="107" t="n">
        <f aca="false">SUM(X15:X45)</f>
        <v>1268.76410718394</v>
      </c>
      <c r="Y47" s="107" t="n">
        <f aca="false">SUM(Y15:Y45)</f>
        <v>1268.76410718394</v>
      </c>
      <c r="Z47" s="107"/>
      <c r="AA47" s="107"/>
      <c r="AB47" s="107"/>
      <c r="AC47" s="136" t="n">
        <f aca="false">SUM(AC15:AC45)</f>
        <v>0</v>
      </c>
      <c r="AD47" s="107"/>
      <c r="AE47" s="107"/>
      <c r="AF47" s="216"/>
      <c r="AG47" s="218"/>
      <c r="AH47" s="107" t="n">
        <f aca="false">SUM(AH15:AH45)</f>
        <v>1107.7</v>
      </c>
      <c r="AI47" s="107"/>
      <c r="AJ47" s="136" t="n">
        <f aca="false">SUM(AJ15:AJ45)</f>
        <v>0</v>
      </c>
      <c r="AK47" s="107" t="n">
        <f aca="false">SUM(AK15:AK45)</f>
        <v>2611.81</v>
      </c>
      <c r="AL47" s="107" t="n">
        <f aca="false">SUM(AL15:AL45)</f>
        <v>127.02098563146</v>
      </c>
      <c r="AM47" s="214" t="n">
        <f aca="false">SUM(AM15:AM45)</f>
        <v>2738.83098563146</v>
      </c>
      <c r="AN47" s="136" t="n">
        <f aca="false">SUM(AN15:AN45)</f>
        <v>1250.4</v>
      </c>
      <c r="AO47" s="136" t="n">
        <f aca="false">SUM(AO15:AO45)</f>
        <v>0</v>
      </c>
      <c r="AP47" s="135"/>
      <c r="AQ47" s="135"/>
      <c r="AR47" s="135"/>
      <c r="AS47" s="221"/>
      <c r="AT47" s="84" t="s">
        <v>114</v>
      </c>
      <c r="AU47" s="176"/>
      <c r="AV47" s="222" t="n">
        <f aca="false">SUM(AV15:AV45)</f>
        <v>0.42</v>
      </c>
      <c r="AW47" s="215" t="n">
        <f aca="false">AVERAGE(AW15:AW45)</f>
        <v>56.3548387096774</v>
      </c>
      <c r="AX47" s="215" t="n">
        <f aca="false">AVERAGE(AX15:AX45)</f>
        <v>25.8064516129032</v>
      </c>
      <c r="AY47" s="223" t="s">
        <v>119</v>
      </c>
      <c r="AZ47" s="340" t="n">
        <f aca="false">SUM(AZ15:AZ45)</f>
        <v>189.943892816056</v>
      </c>
    </row>
    <row r="48" customFormat="false" ht="12.95" hidden="false" customHeight="true" outlineLevel="0" collapsed="false">
      <c r="A48" s="185" t="s">
        <v>103</v>
      </c>
      <c r="B48" s="213"/>
      <c r="C48" s="107"/>
      <c r="D48" s="107" t="n">
        <f aca="false">SUM(D15:D45)</f>
        <v>-831</v>
      </c>
      <c r="E48" s="107"/>
      <c r="F48" s="214" t="n">
        <f aca="false">F47*$D$2</f>
        <v>-831</v>
      </c>
      <c r="G48" s="107" t="n">
        <f aca="false">G47*$D$2</f>
        <v>3602.036</v>
      </c>
      <c r="H48" s="334" t="n">
        <f aca="false">H47*$D$2</f>
        <v>79.02264</v>
      </c>
      <c r="I48" s="107" t="n">
        <f aca="false">I47*$D$2</f>
        <v>3681.05864</v>
      </c>
      <c r="J48" s="107" t="n">
        <f aca="false">J47*$D$2</f>
        <v>920.41262</v>
      </c>
      <c r="K48" s="107" t="n">
        <f aca="false">K47*$D$2</f>
        <v>4601.47126</v>
      </c>
      <c r="L48" s="107" t="n">
        <f aca="false">L47*$D$2</f>
        <v>668.466495</v>
      </c>
      <c r="M48" s="216" t="n">
        <f aca="false">M47*$D$2</f>
        <v>503.233785</v>
      </c>
      <c r="N48" s="107" t="n">
        <f aca="false">N47*$D$2</f>
        <v>0</v>
      </c>
      <c r="O48" s="107" t="n">
        <f aca="false">O47*$D$2</f>
        <v>90.054867</v>
      </c>
      <c r="P48" s="158"/>
      <c r="Q48" s="107" t="n">
        <f aca="false">Q47*$D$2</f>
        <v>91.7089405894105</v>
      </c>
      <c r="R48" s="107" t="n">
        <f aca="false">R47*$D$2</f>
        <v>104.28737540728</v>
      </c>
      <c r="S48" s="107" t="n">
        <f aca="false">S47*$D$2</f>
        <v>0</v>
      </c>
      <c r="T48" s="107" t="n">
        <f aca="false">T47*$D$2</f>
        <v>35.36689259272</v>
      </c>
      <c r="U48" s="318" t="n">
        <f aca="false">U47*$D$2</f>
        <v>145.390502811236</v>
      </c>
      <c r="V48" s="107" t="n">
        <f aca="false">V47*$D$2</f>
        <v>2480.1684</v>
      </c>
      <c r="W48" s="107" t="n">
        <f aca="false">W47*$D$2</f>
        <v>0</v>
      </c>
      <c r="X48" s="107" t="n">
        <f aca="false">X47*$D$2</f>
        <v>2516.59360659935</v>
      </c>
      <c r="Y48" s="107" t="n">
        <f aca="false">Y47*$D$2</f>
        <v>2516.59360659935</v>
      </c>
      <c r="Z48" s="107"/>
      <c r="AA48" s="107"/>
      <c r="AB48" s="107"/>
      <c r="AC48" s="136" t="n">
        <f aca="false">AC47*$D$2</f>
        <v>0</v>
      </c>
      <c r="AD48" s="107"/>
      <c r="AE48" s="107"/>
      <c r="AF48" s="216"/>
      <c r="AG48" s="218"/>
      <c r="AH48" s="107" t="n">
        <f aca="false">AH47*$D$2</f>
        <v>2197.12295</v>
      </c>
      <c r="AI48" s="107"/>
      <c r="AJ48" s="136" t="n">
        <f aca="false">AJ47*$D$2</f>
        <v>0</v>
      </c>
      <c r="AK48" s="107" t="n">
        <f aca="false">AK47*$D$2</f>
        <v>5180.525135</v>
      </c>
      <c r="AL48" s="107" t="n">
        <f aca="false">AL47*$D$2</f>
        <v>251.946125</v>
      </c>
      <c r="AM48" s="214" t="n">
        <f aca="false">AM47*$D$2</f>
        <v>5432.47126</v>
      </c>
      <c r="AN48" s="136" t="n">
        <f aca="false">AN47*$D$2</f>
        <v>2480.1684</v>
      </c>
      <c r="AO48" s="136" t="n">
        <f aca="false">AO47*$D$2</f>
        <v>0</v>
      </c>
      <c r="AP48" s="135"/>
      <c r="AQ48" s="135"/>
      <c r="AR48" s="135"/>
      <c r="AS48" s="221"/>
      <c r="AT48" s="84"/>
      <c r="AU48" s="176"/>
      <c r="AV48" s="222"/>
      <c r="AW48" s="215" t="n">
        <f aca="false">MAX(AW15:AW45)</f>
        <v>71</v>
      </c>
      <c r="AX48" s="215" t="n">
        <f aca="false">MAX(AX15:AX45)</f>
        <v>34</v>
      </c>
      <c r="AY48" s="223" t="s">
        <v>104</v>
      </c>
      <c r="AZ48" s="340" t="n">
        <f aca="false">AZ47*$D$2</f>
        <v>376.753711400646</v>
      </c>
    </row>
    <row r="49" customFormat="false" ht="3" hidden="false" customHeight="true" outlineLevel="0" collapsed="false">
      <c r="A49" s="231"/>
      <c r="B49" s="252"/>
      <c r="C49" s="233"/>
      <c r="D49" s="233"/>
      <c r="E49" s="233"/>
      <c r="F49" s="257"/>
      <c r="G49" s="233"/>
      <c r="H49" s="341"/>
      <c r="I49" s="233"/>
      <c r="J49" s="233"/>
      <c r="K49" s="233"/>
      <c r="L49" s="233"/>
      <c r="M49" s="258"/>
      <c r="N49" s="233"/>
      <c r="O49" s="233"/>
      <c r="P49" s="238"/>
      <c r="Q49" s="233"/>
      <c r="R49" s="233"/>
      <c r="S49" s="233"/>
      <c r="T49" s="233"/>
      <c r="U49" s="342"/>
      <c r="V49" s="233"/>
      <c r="W49" s="233"/>
      <c r="X49" s="233"/>
      <c r="Y49" s="233"/>
      <c r="Z49" s="233"/>
      <c r="AA49" s="233"/>
      <c r="AB49" s="233"/>
      <c r="AC49" s="240"/>
      <c r="AD49" s="233"/>
      <c r="AE49" s="233"/>
      <c r="AF49" s="258"/>
      <c r="AG49" s="259"/>
      <c r="AH49" s="233"/>
      <c r="AI49" s="234"/>
      <c r="AJ49" s="240"/>
      <c r="AK49" s="233"/>
      <c r="AL49" s="233"/>
      <c r="AM49" s="257"/>
      <c r="AN49" s="240"/>
      <c r="AO49" s="240"/>
      <c r="AP49" s="233"/>
      <c r="AQ49" s="233"/>
      <c r="AR49" s="233"/>
      <c r="AS49" s="233"/>
      <c r="AT49" s="343"/>
      <c r="AU49" s="336"/>
      <c r="AV49" s="261"/>
      <c r="AW49" s="233"/>
      <c r="AX49" s="233"/>
      <c r="AY49" s="254"/>
      <c r="AZ49" s="319"/>
    </row>
    <row r="50" customFormat="false" ht="12.95" hidden="false" customHeight="true" outlineLevel="0" collapsed="false">
      <c r="A50" s="185" t="s">
        <v>105</v>
      </c>
      <c r="B50" s="213"/>
      <c r="C50" s="107"/>
      <c r="D50" s="107"/>
      <c r="E50" s="107"/>
      <c r="F50" s="214"/>
      <c r="G50" s="107"/>
      <c r="H50" s="334"/>
      <c r="I50" s="107"/>
      <c r="J50" s="107"/>
      <c r="K50" s="107"/>
      <c r="L50" s="107"/>
      <c r="M50" s="216"/>
      <c r="N50" s="107"/>
      <c r="O50" s="107" t="n">
        <f aca="false">O47</f>
        <v>45.402</v>
      </c>
      <c r="P50" s="158"/>
      <c r="Q50" s="107"/>
      <c r="R50" s="107"/>
      <c r="S50" s="107"/>
      <c r="T50" s="107"/>
      <c r="U50" s="344"/>
      <c r="V50" s="107"/>
      <c r="W50" s="107"/>
      <c r="X50" s="107"/>
      <c r="Y50" s="107"/>
      <c r="Z50" s="107"/>
      <c r="AA50" s="107"/>
      <c r="AB50" s="107"/>
      <c r="AC50" s="136"/>
      <c r="AD50" s="107"/>
      <c r="AE50" s="107"/>
      <c r="AF50" s="216"/>
      <c r="AG50" s="218"/>
      <c r="AH50" s="107"/>
      <c r="AI50" s="107"/>
      <c r="AJ50" s="136"/>
      <c r="AK50" s="107"/>
      <c r="AL50" s="107"/>
      <c r="AM50" s="214"/>
      <c r="AN50" s="136"/>
      <c r="AO50" s="136"/>
      <c r="AP50" s="135"/>
      <c r="AQ50" s="135"/>
      <c r="AR50" s="135"/>
      <c r="AS50" s="221"/>
      <c r="AT50" s="84"/>
      <c r="AU50" s="176"/>
      <c r="AV50" s="222"/>
      <c r="AW50" s="215" t="n">
        <f aca="false">MIN(AW15:AW45)</f>
        <v>36</v>
      </c>
      <c r="AX50" s="215" t="n">
        <f aca="false">MIN(AX15:AX45)</f>
        <v>12</v>
      </c>
      <c r="AY50" s="223" t="s">
        <v>106</v>
      </c>
      <c r="AZ50" s="340"/>
    </row>
    <row r="51" customFormat="false" ht="12.95" hidden="false" customHeight="true" outlineLevel="0" collapsed="false">
      <c r="A51" s="185" t="s">
        <v>107</v>
      </c>
      <c r="B51" s="213"/>
      <c r="C51" s="107"/>
      <c r="D51" s="107"/>
      <c r="E51" s="107"/>
      <c r="F51" s="214"/>
      <c r="G51" s="107"/>
      <c r="H51" s="334"/>
      <c r="I51" s="107"/>
      <c r="J51" s="107"/>
      <c r="K51" s="107"/>
      <c r="L51" s="107"/>
      <c r="M51" s="216"/>
      <c r="N51" s="107"/>
      <c r="O51" s="107" t="n">
        <f aca="false">O50*D2</f>
        <v>90.054867</v>
      </c>
      <c r="P51" s="158"/>
      <c r="Q51" s="107"/>
      <c r="R51" s="107"/>
      <c r="S51" s="107"/>
      <c r="T51" s="107"/>
      <c r="U51" s="344"/>
      <c r="V51" s="107"/>
      <c r="W51" s="107"/>
      <c r="X51" s="107"/>
      <c r="Y51" s="107"/>
      <c r="Z51" s="107"/>
      <c r="AA51" s="107"/>
      <c r="AB51" s="107"/>
      <c r="AC51" s="136"/>
      <c r="AD51" s="107"/>
      <c r="AE51" s="107"/>
      <c r="AF51" s="216"/>
      <c r="AG51" s="218"/>
      <c r="AH51" s="107"/>
      <c r="AI51" s="107"/>
      <c r="AJ51" s="136"/>
      <c r="AK51" s="107"/>
      <c r="AL51" s="107"/>
      <c r="AM51" s="214"/>
      <c r="AN51" s="136"/>
      <c r="AO51" s="136"/>
      <c r="AP51" s="135"/>
      <c r="AQ51" s="135"/>
      <c r="AR51" s="135"/>
      <c r="AS51" s="221"/>
      <c r="AT51" s="84"/>
      <c r="AU51" s="176"/>
      <c r="AV51" s="222"/>
      <c r="AW51" s="215"/>
      <c r="AX51" s="215"/>
      <c r="AY51" s="299"/>
      <c r="AZ51" s="340"/>
    </row>
    <row r="52" customFormat="false" ht="3" hidden="false" customHeight="true" outlineLevel="0" collapsed="false">
      <c r="A52" s="231"/>
      <c r="B52" s="252"/>
      <c r="C52" s="233"/>
      <c r="D52" s="233"/>
      <c r="E52" s="233"/>
      <c r="F52" s="257"/>
      <c r="G52" s="233"/>
      <c r="H52" s="341"/>
      <c r="I52" s="233"/>
      <c r="J52" s="233"/>
      <c r="K52" s="233"/>
      <c r="L52" s="233"/>
      <c r="M52" s="258"/>
      <c r="N52" s="233"/>
      <c r="O52" s="233"/>
      <c r="P52" s="238"/>
      <c r="Q52" s="233"/>
      <c r="R52" s="233"/>
      <c r="S52" s="233"/>
      <c r="T52" s="233"/>
      <c r="U52" s="342"/>
      <c r="V52" s="233"/>
      <c r="W52" s="233"/>
      <c r="X52" s="233"/>
      <c r="Y52" s="233"/>
      <c r="Z52" s="233"/>
      <c r="AA52" s="233"/>
      <c r="AB52" s="233"/>
      <c r="AC52" s="240"/>
      <c r="AD52" s="233"/>
      <c r="AE52" s="233"/>
      <c r="AF52" s="258"/>
      <c r="AG52" s="259"/>
      <c r="AH52" s="233"/>
      <c r="AI52" s="233"/>
      <c r="AJ52" s="240"/>
      <c r="AK52" s="233"/>
      <c r="AL52" s="233"/>
      <c r="AM52" s="257"/>
      <c r="AN52" s="240"/>
      <c r="AO52" s="240"/>
      <c r="AP52" s="263"/>
      <c r="AQ52" s="263"/>
      <c r="AR52" s="263"/>
      <c r="AS52" s="263"/>
      <c r="AT52" s="343"/>
      <c r="AU52" s="336"/>
      <c r="AV52" s="245"/>
      <c r="AW52" s="263"/>
      <c r="AX52" s="263"/>
      <c r="AY52" s="254"/>
      <c r="AZ52" s="319"/>
    </row>
    <row r="53" customFormat="false" ht="12.95" hidden="false" customHeight="true" outlineLevel="0" collapsed="false">
      <c r="A53" s="185" t="s">
        <v>108</v>
      </c>
      <c r="B53" s="213"/>
      <c r="C53" s="107"/>
      <c r="D53" s="107"/>
      <c r="E53" s="107"/>
      <c r="F53" s="214" t="n">
        <f aca="false">F13+F47</f>
        <v>-3422.73758507688</v>
      </c>
      <c r="G53" s="107" t="n">
        <f aca="false">G13+G47</f>
        <v>5153</v>
      </c>
      <c r="H53" s="334" t="n">
        <f aca="false">H13+H47</f>
        <v>54.49</v>
      </c>
      <c r="I53" s="107" t="n">
        <f aca="false">I13+I47</f>
        <v>5206.87</v>
      </c>
      <c r="J53" s="107" t="n">
        <f aca="false">J13+J47</f>
        <v>1725.03721704059</v>
      </c>
      <c r="K53" s="107" t="n">
        <f aca="false">K13+K47</f>
        <v>6931.90721704059</v>
      </c>
      <c r="L53" s="107" t="n">
        <f aca="false">L13+L47</f>
        <v>952.357914923116</v>
      </c>
      <c r="M53" s="216" t="n">
        <f aca="false">M13+M47</f>
        <v>901.91</v>
      </c>
      <c r="N53" s="107" t="n">
        <f aca="false">N13+N47</f>
        <v>0</v>
      </c>
      <c r="O53" s="107" t="n">
        <f aca="false">O13+O47</f>
        <v>45.402</v>
      </c>
      <c r="P53" s="158"/>
      <c r="Q53" s="107" t="n">
        <f aca="false">Q13+Q47</f>
        <v>229.514391007081</v>
      </c>
      <c r="R53" s="107" t="n">
        <f aca="false">R13+R47</f>
        <v>260.34693568</v>
      </c>
      <c r="S53" s="107" t="n">
        <f aca="false">S13+S47</f>
        <v>0</v>
      </c>
      <c r="T53" s="107" t="n">
        <f aca="false">T13+T47</f>
        <v>90.75706432</v>
      </c>
      <c r="U53" s="318" t="n">
        <f aca="false">U13+U47</f>
        <v>77.8630613803556</v>
      </c>
      <c r="V53" s="107" t="n">
        <f aca="false">V13+V47</f>
        <v>4357.22</v>
      </c>
      <c r="W53" s="107" t="n">
        <f aca="false">W13+W47</f>
        <v>84.4</v>
      </c>
      <c r="X53" s="107" t="n">
        <f aca="false">X13+X47</f>
        <v>4639.64654761256</v>
      </c>
      <c r="Y53" s="107" t="n">
        <f aca="false">Y13+Y47</f>
        <v>4315.68410718394</v>
      </c>
      <c r="Z53" s="107"/>
      <c r="AA53" s="107"/>
      <c r="AB53" s="107"/>
      <c r="AC53" s="136" t="n">
        <f aca="false">AC13+AC47</f>
        <v>27.7</v>
      </c>
      <c r="AD53" s="107"/>
      <c r="AE53" s="107"/>
      <c r="AF53" s="216"/>
      <c r="AG53" s="218"/>
      <c r="AH53" s="107" t="n">
        <f aca="false">AH13+AH47</f>
        <v>4229.5</v>
      </c>
      <c r="AI53" s="107" t="n">
        <f aca="false">AI45</f>
        <v>17.4999999999978</v>
      </c>
      <c r="AJ53" s="136" t="n">
        <f aca="false">AJ13+AJ47</f>
        <v>0</v>
      </c>
      <c r="AK53" s="107" t="n">
        <f aca="false">AK13+AK47</f>
        <v>9581.9655</v>
      </c>
      <c r="AL53" s="107" t="n">
        <f aca="false">AL13+AL47</f>
        <v>772.679302117469</v>
      </c>
      <c r="AM53" s="214" t="n">
        <f aca="false">AM13+AM47</f>
        <v>10354.6448021175</v>
      </c>
      <c r="AN53" s="136" t="n">
        <f aca="false">AN13+AN47</f>
        <v>4297.32</v>
      </c>
      <c r="AO53" s="136" t="n">
        <f aca="false">AO13+AO47</f>
        <v>323.962440428619</v>
      </c>
      <c r="AP53" s="135"/>
      <c r="AQ53" s="135"/>
      <c r="AR53" s="135"/>
      <c r="AS53" s="221"/>
      <c r="AT53" s="84"/>
      <c r="AU53" s="176"/>
      <c r="AV53" s="222" t="n">
        <f aca="false">AV13+AV47</f>
        <v>4.713</v>
      </c>
      <c r="AW53" s="215"/>
      <c r="AX53" s="215"/>
      <c r="AY53" s="299"/>
      <c r="AZ53" s="340" t="n">
        <f aca="false">AZ13+AZ47</f>
        <v>658.481452387437</v>
      </c>
    </row>
    <row r="54" customFormat="false" ht="12.95" hidden="false" customHeight="true" outlineLevel="0" collapsed="false">
      <c r="A54" s="185" t="s">
        <v>109</v>
      </c>
      <c r="B54" s="213"/>
      <c r="C54" s="107"/>
      <c r="D54" s="107" t="n">
        <f aca="false">D13+D48</f>
        <v>-6789</v>
      </c>
      <c r="E54" s="107" t="n">
        <f aca="false">E45</f>
        <v>36366</v>
      </c>
      <c r="F54" s="214" t="n">
        <f aca="false">F53*$D$2</f>
        <v>-6789</v>
      </c>
      <c r="G54" s="107" t="n">
        <f aca="false">G53*$D$2</f>
        <v>10220.9755</v>
      </c>
      <c r="H54" s="334" t="n">
        <f aca="false">H53*$D$2</f>
        <v>108.080915</v>
      </c>
      <c r="I54" s="107" t="n">
        <f aca="false">I53*$D$2</f>
        <v>10327.826645</v>
      </c>
      <c r="J54" s="107" t="n">
        <f aca="false">J53*$D$2</f>
        <v>3421.61132</v>
      </c>
      <c r="K54" s="107" t="n">
        <f aca="false">K53*$D$2</f>
        <v>13749.437965</v>
      </c>
      <c r="L54" s="107" t="n">
        <f aca="false">L53*$D$2</f>
        <v>1889.00192425</v>
      </c>
      <c r="M54" s="216" t="n">
        <f aca="false">M53*$D$2</f>
        <v>1788.938485</v>
      </c>
      <c r="N54" s="107" t="n">
        <f aca="false">N53*$D$2</f>
        <v>0</v>
      </c>
      <c r="O54" s="107" t="n">
        <f aca="false">O53*$D$2</f>
        <v>90.054867</v>
      </c>
      <c r="P54" s="158"/>
      <c r="Q54" s="107" t="n">
        <f aca="false">Q53*$D$2</f>
        <v>455.241794562546</v>
      </c>
      <c r="R54" s="107" t="n">
        <f aca="false">R53*$D$2</f>
        <v>516.39814692128</v>
      </c>
      <c r="S54" s="107" t="n">
        <f aca="false">S53*$D$2</f>
        <v>0</v>
      </c>
      <c r="T54" s="107" t="n">
        <f aca="false">T53*$D$2</f>
        <v>180.01663707872</v>
      </c>
      <c r="U54" s="318" t="n">
        <f aca="false">U53*$D$2</f>
        <v>154.441382247935</v>
      </c>
      <c r="V54" s="107" t="n">
        <f aca="false">V53*$D$2</f>
        <v>8642.54587</v>
      </c>
      <c r="W54" s="107" t="n">
        <f aca="false">W53*$D$2</f>
        <v>167.4074</v>
      </c>
      <c r="X54" s="107" t="n">
        <f aca="false">X53*$D$2</f>
        <v>9202.73892718952</v>
      </c>
      <c r="Y54" s="107" t="n">
        <f aca="false">Y53*$D$2</f>
        <v>8560.15942659935</v>
      </c>
      <c r="Z54" s="107"/>
      <c r="AA54" s="107"/>
      <c r="AB54" s="107"/>
      <c r="AC54" s="136" t="n">
        <f aca="false">AC53*$D$2</f>
        <v>54.94295</v>
      </c>
      <c r="AD54" s="107"/>
      <c r="AE54" s="107"/>
      <c r="AF54" s="266"/>
      <c r="AG54" s="267"/>
      <c r="AH54" s="107" t="n">
        <f aca="false">AH53*$D$2</f>
        <v>8389.21325</v>
      </c>
      <c r="AI54" s="107" t="n">
        <f aca="false">AI53*$D$2</f>
        <v>34.7112499999957</v>
      </c>
      <c r="AJ54" s="136" t="n">
        <f aca="false">AJ53*$D$2</f>
        <v>0</v>
      </c>
      <c r="AK54" s="107" t="n">
        <f aca="false">AK53*$D$2</f>
        <v>19005.82856925</v>
      </c>
      <c r="AL54" s="107" t="n">
        <f aca="false">AL53*$D$2</f>
        <v>1532.60939575</v>
      </c>
      <c r="AM54" s="268" t="n">
        <f aca="false">AM53*$D$2</f>
        <v>20538.437965</v>
      </c>
      <c r="AN54" s="215" t="n">
        <f aca="false">AN53*$D$2</f>
        <v>8523.73422</v>
      </c>
      <c r="AO54" s="136" t="n">
        <f aca="false">AO53*$D$2</f>
        <v>642.579500590166</v>
      </c>
      <c r="AP54" s="135"/>
      <c r="AQ54" s="135"/>
      <c r="AR54" s="135"/>
      <c r="AS54" s="221"/>
      <c r="AT54" s="84"/>
      <c r="AU54" s="176"/>
      <c r="AV54" s="222"/>
      <c r="AW54" s="215"/>
      <c r="AX54" s="215"/>
      <c r="AY54" s="299"/>
      <c r="AZ54" s="340" t="n">
        <f aca="false">AZ53*$D$2</f>
        <v>1306.09796081048</v>
      </c>
    </row>
    <row r="55" customFormat="false" ht="3" hidden="false" customHeight="true" outlineLevel="0" collapsed="false">
      <c r="A55" s="231"/>
      <c r="B55" s="252"/>
      <c r="C55" s="233"/>
      <c r="D55" s="234"/>
      <c r="E55" s="233"/>
      <c r="F55" s="235"/>
      <c r="G55" s="234"/>
      <c r="H55" s="263"/>
      <c r="I55" s="234"/>
      <c r="J55" s="234"/>
      <c r="K55" s="234"/>
      <c r="L55" s="234"/>
      <c r="M55" s="237"/>
      <c r="N55" s="234"/>
      <c r="O55" s="234"/>
      <c r="P55" s="238"/>
      <c r="Q55" s="234"/>
      <c r="R55" s="234"/>
      <c r="S55" s="234"/>
      <c r="T55" s="234"/>
      <c r="U55" s="335"/>
      <c r="V55" s="234"/>
      <c r="W55" s="234"/>
      <c r="X55" s="234"/>
      <c r="Y55" s="234"/>
      <c r="Z55" s="234"/>
      <c r="AA55" s="234"/>
      <c r="AB55" s="233"/>
      <c r="AC55" s="240"/>
      <c r="AD55" s="233"/>
      <c r="AE55" s="234"/>
      <c r="AF55" s="237"/>
      <c r="AG55" s="241"/>
      <c r="AH55" s="234"/>
      <c r="AI55" s="233"/>
      <c r="AJ55" s="240"/>
      <c r="AK55" s="234"/>
      <c r="AL55" s="234"/>
      <c r="AM55" s="234"/>
      <c r="AN55" s="242"/>
      <c r="AO55" s="240"/>
      <c r="AP55" s="234"/>
      <c r="AQ55" s="234"/>
      <c r="AR55" s="234"/>
      <c r="AS55" s="234"/>
      <c r="AT55" s="345"/>
      <c r="AU55" s="336"/>
      <c r="AV55" s="252"/>
      <c r="AW55" s="234"/>
      <c r="AX55" s="234"/>
      <c r="AY55" s="254"/>
      <c r="AZ55" s="255"/>
    </row>
    <row r="56" customFormat="false" ht="11.1" hidden="false" customHeight="true" outlineLevel="0" collapsed="false">
      <c r="A56" s="185"/>
      <c r="B56" s="271"/>
      <c r="D56" s="185"/>
      <c r="F56" s="185"/>
      <c r="G56" s="185"/>
      <c r="I56" s="185"/>
      <c r="J56" s="185"/>
      <c r="K56" s="185"/>
      <c r="L56" s="185"/>
      <c r="M56" s="185"/>
      <c r="N56" s="185"/>
      <c r="O56" s="185"/>
      <c r="Q56" s="185"/>
      <c r="R56" s="185"/>
      <c r="S56" s="185"/>
      <c r="T56" s="185"/>
      <c r="V56" s="185"/>
      <c r="W56" s="185"/>
      <c r="X56" s="185"/>
      <c r="Y56" s="185"/>
      <c r="Z56" s="185"/>
      <c r="AA56" s="185"/>
      <c r="AB56" s="177"/>
      <c r="AD56" s="177"/>
      <c r="AE56" s="185"/>
      <c r="AF56" s="185"/>
      <c r="AG56" s="185"/>
      <c r="AH56" s="185"/>
      <c r="AI56" s="177"/>
      <c r="AK56" s="185"/>
      <c r="AL56" s="185"/>
      <c r="AM56" s="185"/>
      <c r="AN56" s="183"/>
      <c r="AO56" s="194"/>
      <c r="AP56" s="188"/>
      <c r="AQ56" s="188"/>
      <c r="AR56" s="188"/>
      <c r="AX56" s="182"/>
    </row>
    <row r="57" customFormat="false" ht="11.1" hidden="false" customHeight="true" outlineLevel="0" collapsed="false">
      <c r="A57" s="185"/>
      <c r="B57" s="272"/>
      <c r="F57" s="185"/>
      <c r="G57" s="185"/>
      <c r="I57" s="186"/>
      <c r="J57" s="185"/>
      <c r="K57" s="174"/>
      <c r="L57" s="185"/>
      <c r="M57" s="185"/>
      <c r="N57" s="185"/>
      <c r="O57" s="185"/>
      <c r="Q57" s="185"/>
      <c r="R57" s="185"/>
      <c r="S57" s="185"/>
      <c r="T57" s="185"/>
      <c r="V57" s="185"/>
      <c r="W57" s="185"/>
      <c r="X57" s="185"/>
      <c r="Y57" s="185"/>
      <c r="Z57" s="185"/>
      <c r="AA57" s="185"/>
      <c r="AB57" s="177"/>
      <c r="AD57" s="177"/>
      <c r="AE57" s="185"/>
      <c r="AF57" s="185"/>
      <c r="AG57" s="185"/>
      <c r="AH57" s="185"/>
      <c r="AI57" s="177"/>
      <c r="AK57" s="185"/>
      <c r="AL57" s="185"/>
      <c r="AM57" s="185"/>
      <c r="AN57" s="183"/>
      <c r="AO57" s="194"/>
      <c r="AP57" s="188"/>
      <c r="AQ57" s="188"/>
      <c r="AR57" s="188"/>
      <c r="AX57" s="182"/>
    </row>
    <row r="58" customFormat="false" ht="11.1" hidden="false" customHeight="true" outlineLevel="0" collapsed="false">
      <c r="D58" s="177"/>
      <c r="S58" s="179"/>
      <c r="T58" s="179"/>
      <c r="X58" s="176"/>
      <c r="Y58" s="176"/>
      <c r="Z58" s="176"/>
      <c r="AA58" s="176"/>
      <c r="AB58" s="177"/>
      <c r="AD58" s="177"/>
      <c r="AH58" s="176"/>
      <c r="AI58" s="177"/>
      <c r="AM58" s="176"/>
      <c r="AN58" s="183"/>
      <c r="AO58" s="194"/>
      <c r="AP58" s="180"/>
      <c r="AQ58" s="180"/>
      <c r="AR58" s="180"/>
      <c r="AX58" s="182"/>
    </row>
    <row r="59" customFormat="false" ht="11.1" hidden="false" customHeight="true" outlineLevel="0" collapsed="false">
      <c r="B59" s="8"/>
      <c r="D59" s="177"/>
      <c r="AN59" s="288"/>
      <c r="AO59" s="327"/>
      <c r="AP59" s="180"/>
    </row>
    <row r="60" customFormat="false" ht="11.1" hidden="false" customHeight="true" outlineLevel="0" collapsed="false">
      <c r="G60" s="273"/>
      <c r="AN60" s="288"/>
      <c r="AO60" s="327"/>
      <c r="AP60" s="180"/>
    </row>
  </sheetData>
  <mergeCells count="2">
    <mergeCell ref="K2:T2"/>
    <mergeCell ref="M5:U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5" activeCellId="0" sqref="A15"/>
    </sheetView>
  </sheetViews>
  <sheetFormatPr defaultColWidth="9.2890625" defaultRowHeight="11.1" zeroHeight="false" outlineLevelRow="0" outlineLevelCol="0"/>
  <cols>
    <col collapsed="false" customWidth="true" hidden="false" outlineLevel="0" max="1" min="1" style="1" width="4.66"/>
    <col collapsed="false" customWidth="true" hidden="false" outlineLevel="0" max="2" min="2" style="1" width="6.99"/>
    <col collapsed="false" customWidth="true" hidden="false" outlineLevel="0" max="3" min="3" style="2" width="6.32"/>
    <col collapsed="false" customWidth="true" hidden="false" outlineLevel="0" max="4" min="4" style="1" width="6.32"/>
    <col collapsed="false" customWidth="true" hidden="false" outlineLevel="0" max="5" min="5" style="2" width="6.99"/>
    <col collapsed="false" customWidth="true" hidden="false" outlineLevel="0" max="6" min="6" style="1" width="7.32"/>
    <col collapsed="false" customWidth="true" hidden="false" outlineLevel="0" max="7" min="7" style="1" width="6.82"/>
    <col collapsed="false" customWidth="true" hidden="false" outlineLevel="0" max="8" min="8" style="4" width="5.66"/>
    <col collapsed="false" customWidth="true" hidden="false" outlineLevel="0" max="11" min="9" style="1" width="6.32"/>
    <col collapsed="false" customWidth="true" hidden="false" outlineLevel="0" max="12" min="12" style="1" width="6.82"/>
    <col collapsed="false" customWidth="true" hidden="false" outlineLevel="0" max="13" min="13" style="4" width="5.49"/>
    <col collapsed="false" customWidth="true" hidden="false" outlineLevel="0" max="14" min="14" style="4" width="4.49"/>
    <col collapsed="false" customWidth="true" hidden="false" outlineLevel="0" max="15" min="15" style="4" width="5.49"/>
    <col collapsed="false" customWidth="true" hidden="false" outlineLevel="0" max="16" min="16" style="5" width="4.82"/>
    <col collapsed="false" customWidth="true" hidden="false" outlineLevel="0" max="18" min="17" style="4" width="4.32"/>
    <col collapsed="false" customWidth="true" hidden="false" outlineLevel="0" max="20" min="19" style="1" width="4.32"/>
    <col collapsed="false" customWidth="true" hidden="false" outlineLevel="0" max="21" min="21" style="5" width="5.16"/>
    <col collapsed="false" customWidth="true" hidden="false" outlineLevel="0" max="23" min="22" style="1" width="5.49"/>
    <col collapsed="false" customWidth="true" hidden="false" outlineLevel="0" max="25" min="24" style="2" width="6.32"/>
    <col collapsed="false" customWidth="true" hidden="false" outlineLevel="0" max="26" min="26" style="1" width="5.49"/>
    <col collapsed="false" customWidth="true" hidden="false" outlineLevel="0" max="27" min="27" style="2" width="6.32"/>
    <col collapsed="false" customWidth="true" hidden="false" outlineLevel="0" max="28" min="28" style="176" width="5.49"/>
    <col collapsed="false" customWidth="true" hidden="false" outlineLevel="0" max="29" min="29" style="1" width="5.82"/>
    <col collapsed="false" customWidth="true" hidden="false" outlineLevel="0" max="33" min="30" style="1" width="5.49"/>
    <col collapsed="false" customWidth="true" hidden="false" outlineLevel="0" max="34" min="34" style="2" width="6.32"/>
    <col collapsed="false" customWidth="true" hidden="false" outlineLevel="0" max="35" min="35" style="1" width="5.49"/>
    <col collapsed="false" customWidth="true" hidden="false" outlineLevel="0" max="36" min="36" style="346" width="6.32"/>
    <col collapsed="false" customWidth="true" hidden="false" outlineLevel="0" max="37" min="37" style="1" width="6.32"/>
    <col collapsed="false" customWidth="true" hidden="false" outlineLevel="0" max="38" min="38" style="1" width="6.82"/>
    <col collapsed="false" customWidth="true" hidden="false" outlineLevel="0" max="39" min="39" style="5" width="6.82"/>
    <col collapsed="false" customWidth="true" hidden="false" outlineLevel="0" max="40" min="40" style="1" width="6.32"/>
    <col collapsed="false" customWidth="true" hidden="false" outlineLevel="0" max="41" min="41" style="1" width="5.49"/>
    <col collapsed="false" customWidth="true" hidden="false" outlineLevel="0" max="42" min="42" style="1" width="6.32"/>
    <col collapsed="false" customWidth="true" hidden="false" outlineLevel="0" max="43" min="43" style="193" width="6.32"/>
    <col collapsed="false" customWidth="true" hidden="false" outlineLevel="0" max="44" min="44" style="194" width="5.49"/>
    <col collapsed="false" customWidth="true" hidden="false" outlineLevel="0" max="45" min="45" style="6" width="5.32"/>
    <col collapsed="false" customWidth="true" hidden="false" outlineLevel="0" max="46" min="46" style="1" width="6.32"/>
    <col collapsed="false" customWidth="true" hidden="false" outlineLevel="0" max="47" min="47" style="4" width="5.82"/>
    <col collapsed="false" customWidth="true" hidden="false" outlineLevel="0" max="48" min="48" style="3" width="5.32"/>
    <col collapsed="false" customWidth="true" hidden="false" outlineLevel="0" max="49" min="49" style="9" width="3.82"/>
    <col collapsed="false" customWidth="true" hidden="false" outlineLevel="0" max="50" min="50" style="10" width="3.82"/>
    <col collapsed="false" customWidth="true" hidden="false" outlineLevel="0" max="51" min="51" style="0" width="3.82"/>
    <col collapsed="false" customWidth="true" hidden="false" outlineLevel="0" max="52" min="52" style="184" width="5.49"/>
  </cols>
  <sheetData>
    <row r="1" customFormat="false" ht="14.1" hidden="false" customHeight="true" outlineLevel="0" collapsed="false">
      <c r="A1" s="11" t="s">
        <v>114</v>
      </c>
      <c r="B1" s="11"/>
      <c r="D1" s="11"/>
      <c r="F1" s="11"/>
      <c r="G1" s="11"/>
      <c r="I1" s="11"/>
      <c r="J1" s="11"/>
      <c r="K1" s="347" t="s">
        <v>0</v>
      </c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11"/>
      <c r="Z1" s="11"/>
      <c r="AB1" s="185"/>
      <c r="AC1" s="11"/>
      <c r="AD1" s="11"/>
      <c r="AE1" s="11"/>
      <c r="AF1" s="11"/>
      <c r="AG1" s="11"/>
      <c r="AI1" s="11"/>
      <c r="AK1" s="11"/>
      <c r="AL1" s="11"/>
      <c r="AN1" s="14"/>
      <c r="AO1" s="14"/>
      <c r="AP1" s="14"/>
    </row>
    <row r="2" customFormat="false" ht="14.1" hidden="false" customHeight="true" outlineLevel="0" collapsed="false">
      <c r="A2" s="14" t="s">
        <v>1</v>
      </c>
      <c r="B2" s="11"/>
      <c r="D2" s="15" t="n">
        <v>1.9835</v>
      </c>
      <c r="F2" s="11"/>
      <c r="G2" s="11"/>
      <c r="I2" s="11"/>
      <c r="J2" s="11"/>
      <c r="K2" s="348" t="s">
        <v>122</v>
      </c>
      <c r="L2" s="348"/>
      <c r="M2" s="349"/>
      <c r="N2" s="349"/>
      <c r="O2" s="172"/>
      <c r="P2" s="6"/>
      <c r="Q2" s="172"/>
      <c r="R2" s="172"/>
      <c r="S2" s="349"/>
      <c r="T2" s="349"/>
      <c r="U2" s="6"/>
      <c r="V2" s="349"/>
      <c r="W2" s="349"/>
      <c r="X2" s="350"/>
      <c r="Y2" s="350"/>
      <c r="Z2" s="349"/>
      <c r="AA2" s="350"/>
      <c r="AB2" s="192"/>
      <c r="AC2" s="349"/>
      <c r="AD2" s="349"/>
      <c r="AE2" s="349"/>
      <c r="AF2" s="349"/>
      <c r="AG2" s="349"/>
      <c r="AH2" s="350"/>
      <c r="AI2" s="11"/>
      <c r="AK2" s="11"/>
      <c r="AL2" s="11"/>
      <c r="AN2" s="14"/>
      <c r="AO2" s="14"/>
      <c r="AP2" s="14"/>
    </row>
    <row r="3" customFormat="false" ht="14.1" hidden="false" customHeight="true" outlineLevel="0" collapsed="false">
      <c r="A3" s="16"/>
      <c r="B3" s="16"/>
      <c r="C3" s="17"/>
      <c r="D3" s="18"/>
      <c r="E3" s="17"/>
      <c r="F3" s="16"/>
      <c r="G3" s="16"/>
      <c r="H3" s="22"/>
      <c r="I3" s="16"/>
      <c r="J3" s="16"/>
      <c r="K3" s="16"/>
      <c r="L3" s="16"/>
      <c r="M3" s="16"/>
      <c r="N3" s="16"/>
      <c r="O3" s="22"/>
      <c r="P3" s="20"/>
      <c r="Q3" s="22"/>
      <c r="R3" s="22"/>
      <c r="S3" s="16"/>
      <c r="T3" s="16"/>
      <c r="U3" s="20"/>
      <c r="V3" s="16"/>
      <c r="W3" s="16"/>
      <c r="X3" s="17"/>
      <c r="Y3" s="17"/>
      <c r="Z3" s="16"/>
      <c r="AA3" s="90"/>
      <c r="AB3" s="185"/>
      <c r="AC3" s="16"/>
      <c r="AD3" s="16"/>
      <c r="AE3" s="16"/>
      <c r="AF3" s="16"/>
      <c r="AG3" s="16"/>
      <c r="AH3" s="17"/>
      <c r="AI3" s="16"/>
      <c r="AJ3" s="351"/>
      <c r="AK3" s="16"/>
      <c r="AL3" s="16"/>
      <c r="AM3" s="20"/>
      <c r="AN3" s="352"/>
      <c r="AO3" s="352"/>
      <c r="AP3" s="352"/>
      <c r="AQ3" s="328"/>
      <c r="AR3" s="353"/>
      <c r="AV3" s="27"/>
      <c r="AW3" s="28"/>
      <c r="AX3" s="29"/>
    </row>
    <row r="4" s="176" customFormat="true" ht="14.1" hidden="false" customHeight="true" outlineLevel="0" collapsed="false">
      <c r="A4" s="31"/>
      <c r="B4" s="32"/>
      <c r="C4" s="33"/>
      <c r="D4" s="34" t="s">
        <v>3</v>
      </c>
      <c r="E4" s="33"/>
      <c r="F4" s="31"/>
      <c r="G4" s="35"/>
      <c r="H4" s="35"/>
      <c r="I4" s="36" t="s">
        <v>123</v>
      </c>
      <c r="J4" s="35"/>
      <c r="K4" s="35"/>
      <c r="L4" s="37"/>
      <c r="M4" s="35"/>
      <c r="N4" s="35"/>
      <c r="O4" s="35"/>
      <c r="P4" s="38"/>
      <c r="Q4" s="35"/>
      <c r="R4" s="35"/>
      <c r="S4" s="35"/>
      <c r="T4" s="35"/>
      <c r="U4" s="38"/>
      <c r="V4" s="35"/>
      <c r="W4" s="35"/>
      <c r="X4" s="39" t="s">
        <v>5</v>
      </c>
      <c r="Y4" s="39"/>
      <c r="Z4" s="40"/>
      <c r="AA4" s="39"/>
      <c r="AB4" s="40"/>
      <c r="AC4" s="40"/>
      <c r="AD4" s="41"/>
      <c r="AE4" s="35"/>
      <c r="AF4" s="35"/>
      <c r="AG4" s="35"/>
      <c r="AH4" s="33"/>
      <c r="AI4" s="35"/>
      <c r="AJ4" s="354"/>
      <c r="AK4" s="35"/>
      <c r="AL4" s="35"/>
      <c r="AM4" s="38"/>
      <c r="AN4" s="43"/>
      <c r="AO4" s="44"/>
      <c r="AP4" s="45" t="s">
        <v>6</v>
      </c>
      <c r="AQ4" s="46"/>
      <c r="AR4" s="46"/>
      <c r="AS4" s="48"/>
      <c r="AT4" s="49"/>
      <c r="AU4" s="49"/>
      <c r="AV4" s="51"/>
      <c r="AW4" s="52" t="s">
        <v>7</v>
      </c>
      <c r="AX4" s="53"/>
      <c r="AY4" s="293"/>
      <c r="AZ4" s="330"/>
    </row>
    <row r="5" s="184" customFormat="true" ht="12.95" hidden="false" customHeight="true" outlineLevel="0" collapsed="false">
      <c r="A5" s="55" t="s">
        <v>8</v>
      </c>
      <c r="B5" s="56" t="s">
        <v>9</v>
      </c>
      <c r="C5" s="57" t="s">
        <v>9</v>
      </c>
      <c r="D5" s="58" t="s">
        <v>10</v>
      </c>
      <c r="E5" s="57" t="s">
        <v>11</v>
      </c>
      <c r="F5" s="59" t="s">
        <v>12</v>
      </c>
      <c r="G5" s="55" t="s">
        <v>13</v>
      </c>
      <c r="H5" s="55" t="s">
        <v>14</v>
      </c>
      <c r="I5" s="55" t="s">
        <v>15</v>
      </c>
      <c r="J5" s="55" t="s">
        <v>16</v>
      </c>
      <c r="K5" s="55" t="s">
        <v>17</v>
      </c>
      <c r="L5" s="77" t="s">
        <v>16</v>
      </c>
      <c r="M5" s="209" t="s">
        <v>18</v>
      </c>
      <c r="N5" s="209"/>
      <c r="O5" s="209"/>
      <c r="P5" s="209"/>
      <c r="Q5" s="209"/>
      <c r="R5" s="209"/>
      <c r="S5" s="209"/>
      <c r="T5" s="209"/>
      <c r="U5" s="209"/>
      <c r="V5" s="55" t="s">
        <v>19</v>
      </c>
      <c r="W5" s="5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61" t="s">
        <v>22</v>
      </c>
      <c r="AD5" s="62" t="s">
        <v>21</v>
      </c>
      <c r="AE5" s="55" t="s">
        <v>23</v>
      </c>
      <c r="AF5" s="60" t="s">
        <v>124</v>
      </c>
      <c r="AG5" s="60"/>
      <c r="AH5" s="55" t="s">
        <v>25</v>
      </c>
      <c r="AI5" s="65" t="s">
        <v>26</v>
      </c>
      <c r="AJ5" s="62" t="s">
        <v>27</v>
      </c>
      <c r="AK5" s="55" t="s">
        <v>15</v>
      </c>
      <c r="AL5" s="55" t="s">
        <v>16</v>
      </c>
      <c r="AM5" s="58" t="s">
        <v>17</v>
      </c>
      <c r="AN5" s="66" t="s">
        <v>28</v>
      </c>
      <c r="AO5" s="62" t="s">
        <v>21</v>
      </c>
      <c r="AP5" s="61" t="s">
        <v>29</v>
      </c>
      <c r="AQ5" s="67" t="s">
        <v>29</v>
      </c>
      <c r="AR5" s="62" t="s">
        <v>30</v>
      </c>
      <c r="AS5" s="68" t="s">
        <v>31</v>
      </c>
      <c r="AT5" s="68" t="s">
        <v>32</v>
      </c>
      <c r="AU5" s="210" t="s">
        <v>33</v>
      </c>
      <c r="AV5" s="70" t="s">
        <v>34</v>
      </c>
      <c r="AW5" s="71" t="s">
        <v>35</v>
      </c>
      <c r="AX5" s="71" t="s">
        <v>36</v>
      </c>
      <c r="AY5" s="294"/>
      <c r="AZ5" s="295" t="s">
        <v>17</v>
      </c>
    </row>
    <row r="6" s="184" customFormat="true" ht="12.95" hidden="false" customHeight="true" outlineLevel="0" collapsed="false">
      <c r="A6" s="73" t="s">
        <v>125</v>
      </c>
      <c r="B6" s="56" t="s">
        <v>38</v>
      </c>
      <c r="C6" s="57"/>
      <c r="D6" s="58" t="s">
        <v>39</v>
      </c>
      <c r="E6" s="57" t="s">
        <v>40</v>
      </c>
      <c r="F6" s="59" t="s">
        <v>41</v>
      </c>
      <c r="G6" s="55" t="s">
        <v>42</v>
      </c>
      <c r="H6" s="55" t="s">
        <v>43</v>
      </c>
      <c r="I6" s="55" t="s">
        <v>44</v>
      </c>
      <c r="J6" s="55" t="s">
        <v>44</v>
      </c>
      <c r="K6" s="55" t="s">
        <v>44</v>
      </c>
      <c r="L6" s="55" t="s">
        <v>45</v>
      </c>
      <c r="M6" s="74" t="s">
        <v>46</v>
      </c>
      <c r="N6" s="58" t="s">
        <v>47</v>
      </c>
      <c r="O6" s="58" t="s">
        <v>48</v>
      </c>
      <c r="P6" s="75" t="s">
        <v>49</v>
      </c>
      <c r="Q6" s="58" t="s">
        <v>50</v>
      </c>
      <c r="R6" s="58" t="s">
        <v>51</v>
      </c>
      <c r="S6" s="58"/>
      <c r="T6" s="58" t="s">
        <v>48</v>
      </c>
      <c r="U6" s="76" t="s">
        <v>52</v>
      </c>
      <c r="V6" s="55" t="s">
        <v>53</v>
      </c>
      <c r="W6" s="5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61" t="s">
        <v>57</v>
      </c>
      <c r="AD6" s="62" t="s">
        <v>58</v>
      </c>
      <c r="AE6" s="55" t="s">
        <v>59</v>
      </c>
      <c r="AF6" s="74" t="s">
        <v>60</v>
      </c>
      <c r="AG6" s="77" t="s">
        <v>61</v>
      </c>
      <c r="AH6" s="55" t="s">
        <v>62</v>
      </c>
      <c r="AI6" s="65" t="s">
        <v>63</v>
      </c>
      <c r="AJ6" s="62"/>
      <c r="AK6" s="55" t="s">
        <v>64</v>
      </c>
      <c r="AL6" s="55" t="s">
        <v>64</v>
      </c>
      <c r="AM6" s="58" t="s">
        <v>64</v>
      </c>
      <c r="AN6" s="66" t="s">
        <v>65</v>
      </c>
      <c r="AO6" s="62" t="s">
        <v>66</v>
      </c>
      <c r="AP6" s="61" t="s">
        <v>67</v>
      </c>
      <c r="AQ6" s="67" t="s">
        <v>67</v>
      </c>
      <c r="AR6" s="62" t="s">
        <v>68</v>
      </c>
      <c r="AS6" s="68" t="s">
        <v>69</v>
      </c>
      <c r="AT6" s="68" t="s">
        <v>70</v>
      </c>
      <c r="AU6" s="210" t="s">
        <v>71</v>
      </c>
      <c r="AV6" s="78"/>
      <c r="AW6" s="71" t="s">
        <v>72</v>
      </c>
      <c r="AX6" s="71" t="s">
        <v>72</v>
      </c>
      <c r="AY6" s="294"/>
      <c r="AZ6" s="295" t="s">
        <v>73</v>
      </c>
    </row>
    <row r="7" s="184" customFormat="true" ht="12.95" hidden="false" customHeight="true" outlineLevel="0" collapsed="false">
      <c r="A7" s="55"/>
      <c r="B7" s="56"/>
      <c r="C7" s="57"/>
      <c r="D7" s="58"/>
      <c r="E7" s="57"/>
      <c r="F7" s="59"/>
      <c r="G7" s="55"/>
      <c r="H7" s="55"/>
      <c r="I7" s="55"/>
      <c r="J7" s="55"/>
      <c r="K7" s="55"/>
      <c r="L7" s="77"/>
      <c r="M7" s="58"/>
      <c r="N7" s="58" t="s">
        <v>74</v>
      </c>
      <c r="O7" s="58" t="s">
        <v>75</v>
      </c>
      <c r="P7" s="75"/>
      <c r="Q7" s="58" t="s">
        <v>76</v>
      </c>
      <c r="R7" s="58" t="s">
        <v>76</v>
      </c>
      <c r="S7" s="58" t="s">
        <v>61</v>
      </c>
      <c r="T7" s="58" t="s">
        <v>61</v>
      </c>
      <c r="U7" s="76" t="s">
        <v>77</v>
      </c>
      <c r="V7" s="55"/>
      <c r="W7" s="5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61"/>
      <c r="AD7" s="62"/>
      <c r="AE7" s="77"/>
      <c r="AF7" s="79" t="n">
        <v>1.7</v>
      </c>
      <c r="AG7" s="79" t="n">
        <v>1.3</v>
      </c>
      <c r="AH7" s="74"/>
      <c r="AI7" s="80" t="n">
        <v>12682.1753872626</v>
      </c>
      <c r="AJ7" s="62"/>
      <c r="AK7" s="55"/>
      <c r="AL7" s="55"/>
      <c r="AM7" s="58"/>
      <c r="AN7" s="66"/>
      <c r="AO7" s="62"/>
      <c r="AP7" s="61" t="s">
        <v>83</v>
      </c>
      <c r="AQ7" s="67" t="s">
        <v>84</v>
      </c>
      <c r="AR7" s="62" t="s">
        <v>85</v>
      </c>
      <c r="AS7" s="68" t="s">
        <v>86</v>
      </c>
      <c r="AT7" s="68" t="s">
        <v>87</v>
      </c>
      <c r="AU7" s="210" t="s">
        <v>88</v>
      </c>
      <c r="AV7" s="78"/>
      <c r="AW7" s="71"/>
      <c r="AX7" s="71"/>
      <c r="AY7" s="294"/>
      <c r="AZ7" s="295" t="s">
        <v>89</v>
      </c>
    </row>
    <row r="8" s="184" customFormat="true" ht="12.95" hidden="false" customHeight="true" outlineLevel="0" collapsed="false">
      <c r="A8" s="55"/>
      <c r="B8" s="56"/>
      <c r="C8" s="57"/>
      <c r="D8" s="58"/>
      <c r="E8" s="57"/>
      <c r="F8" s="59"/>
      <c r="G8" s="55"/>
      <c r="H8" s="55"/>
      <c r="I8" s="55"/>
      <c r="J8" s="55"/>
      <c r="K8" s="55"/>
      <c r="L8" s="77"/>
      <c r="M8" s="58"/>
      <c r="N8" s="58"/>
      <c r="O8" s="58"/>
      <c r="P8" s="75"/>
      <c r="Q8" s="58" t="s">
        <v>61</v>
      </c>
      <c r="R8" s="58" t="s">
        <v>61</v>
      </c>
      <c r="S8" s="58"/>
      <c r="T8" s="58"/>
      <c r="U8" s="76"/>
      <c r="V8" s="55"/>
      <c r="W8" s="5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61"/>
      <c r="AD8" s="62"/>
      <c r="AE8" s="77"/>
      <c r="AF8" s="79"/>
      <c r="AG8" s="79"/>
      <c r="AH8" s="74"/>
      <c r="AI8" s="80" t="n">
        <v>8217</v>
      </c>
      <c r="AJ8" s="62" t="n">
        <v>41456</v>
      </c>
      <c r="AK8" s="55"/>
      <c r="AL8" s="55"/>
      <c r="AM8" s="58"/>
      <c r="AN8" s="66"/>
      <c r="AO8" s="62"/>
      <c r="AP8" s="61"/>
      <c r="AQ8" s="67"/>
      <c r="AR8" s="62"/>
      <c r="AS8" s="68"/>
      <c r="AT8" s="68"/>
      <c r="AU8" s="210"/>
      <c r="AV8" s="78"/>
      <c r="AW8" s="71"/>
      <c r="AX8" s="71"/>
      <c r="AY8" s="294"/>
      <c r="AZ8" s="295"/>
    </row>
    <row r="9" s="184" customFormat="true" ht="12.95" hidden="false" customHeight="true" outlineLevel="0" collapsed="false">
      <c r="A9" s="55"/>
      <c r="B9" s="56"/>
      <c r="C9" s="57"/>
      <c r="D9" s="58"/>
      <c r="E9" s="57"/>
      <c r="F9" s="59"/>
      <c r="G9" s="55"/>
      <c r="H9" s="55"/>
      <c r="I9" s="55"/>
      <c r="J9" s="55"/>
      <c r="K9" s="55"/>
      <c r="L9" s="77"/>
      <c r="M9" s="58"/>
      <c r="N9" s="58"/>
      <c r="O9" s="58"/>
      <c r="P9" s="75"/>
      <c r="Q9" s="58"/>
      <c r="R9" s="81" t="n">
        <v>4.2</v>
      </c>
      <c r="S9" s="58"/>
      <c r="T9" s="58"/>
      <c r="U9" s="76"/>
      <c r="V9" s="55"/>
      <c r="W9" s="55"/>
      <c r="X9" s="65"/>
      <c r="Y9" s="57" t="s">
        <v>90</v>
      </c>
      <c r="Z9" s="61"/>
      <c r="AA9" s="57" t="s">
        <v>90</v>
      </c>
      <c r="AB9" s="61" t="s">
        <v>93</v>
      </c>
      <c r="AC9" s="61"/>
      <c r="AD9" s="62"/>
      <c r="AE9" s="77"/>
      <c r="AF9" s="79"/>
      <c r="AG9" s="79"/>
      <c r="AH9" s="74"/>
      <c r="AI9" s="80" t="n">
        <v>8730</v>
      </c>
      <c r="AJ9" s="62" t="n">
        <v>41487</v>
      </c>
      <c r="AK9" s="55"/>
      <c r="AL9" s="55"/>
      <c r="AM9" s="58"/>
      <c r="AN9" s="66"/>
      <c r="AO9" s="62"/>
      <c r="AP9" s="61"/>
      <c r="AQ9" s="67"/>
      <c r="AR9" s="62"/>
      <c r="AS9" s="68"/>
      <c r="AT9" s="68"/>
      <c r="AU9" s="210"/>
      <c r="AV9" s="78"/>
      <c r="AW9" s="71"/>
      <c r="AX9" s="71"/>
      <c r="AY9" s="294"/>
      <c r="AZ9" s="295"/>
    </row>
    <row r="10" s="184" customFormat="true" ht="12.95" hidden="false" customHeight="true" outlineLevel="0" collapsed="false">
      <c r="A10" s="55"/>
      <c r="B10" s="56"/>
      <c r="C10" s="57" t="s">
        <v>94</v>
      </c>
      <c r="D10" s="58"/>
      <c r="E10" s="57" t="s">
        <v>95</v>
      </c>
      <c r="F10" s="59"/>
      <c r="G10" s="58" t="s">
        <v>41</v>
      </c>
      <c r="H10" s="58" t="s">
        <v>41</v>
      </c>
      <c r="I10" s="58" t="s">
        <v>41</v>
      </c>
      <c r="J10" s="58" t="s">
        <v>41</v>
      </c>
      <c r="K10" s="58" t="s">
        <v>41</v>
      </c>
      <c r="L10" s="77" t="s">
        <v>41</v>
      </c>
      <c r="M10" s="58" t="s">
        <v>41</v>
      </c>
      <c r="N10" s="58" t="s">
        <v>41</v>
      </c>
      <c r="O10" s="58" t="s">
        <v>41</v>
      </c>
      <c r="P10" s="5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77" t="s">
        <v>41</v>
      </c>
      <c r="V10" s="58" t="s">
        <v>41</v>
      </c>
      <c r="W10" s="58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58" t="s">
        <v>41</v>
      </c>
      <c r="AD10" s="58" t="s">
        <v>41</v>
      </c>
      <c r="AE10" s="77" t="s">
        <v>41</v>
      </c>
      <c r="AF10" s="58" t="s">
        <v>41</v>
      </c>
      <c r="AG10" s="58" t="s">
        <v>41</v>
      </c>
      <c r="AH10" s="74" t="s">
        <v>41</v>
      </c>
      <c r="AI10" s="58" t="s">
        <v>41</v>
      </c>
      <c r="AJ10" s="296" t="s">
        <v>41</v>
      </c>
      <c r="AK10" s="58" t="s">
        <v>41</v>
      </c>
      <c r="AL10" s="58" t="s">
        <v>41</v>
      </c>
      <c r="AM10" s="58" t="s">
        <v>41</v>
      </c>
      <c r="AN10" s="66" t="s">
        <v>41</v>
      </c>
      <c r="AO10" s="62" t="s">
        <v>41</v>
      </c>
      <c r="AP10" s="62" t="s">
        <v>41</v>
      </c>
      <c r="AQ10" s="67" t="s">
        <v>96</v>
      </c>
      <c r="AR10" s="62" t="s">
        <v>41</v>
      </c>
      <c r="AS10" s="62" t="s">
        <v>41</v>
      </c>
      <c r="AT10" s="62" t="s">
        <v>41</v>
      </c>
      <c r="AU10" s="62" t="s">
        <v>41</v>
      </c>
      <c r="AV10" s="78"/>
      <c r="AW10" s="71"/>
      <c r="AX10" s="71"/>
      <c r="AY10" s="294"/>
      <c r="AZ10" s="295" t="s">
        <v>97</v>
      </c>
    </row>
    <row r="11" s="184" customFormat="true" ht="12.95" hidden="false" customHeight="true" outlineLevel="0" collapsed="false">
      <c r="A11" s="55"/>
      <c r="B11" s="56"/>
      <c r="C11" s="57"/>
      <c r="D11" s="58"/>
      <c r="E11" s="57"/>
      <c r="F11" s="59"/>
      <c r="G11" s="55"/>
      <c r="H11" s="55"/>
      <c r="I11" s="55"/>
      <c r="J11" s="55"/>
      <c r="K11" s="55"/>
      <c r="L11" s="77"/>
      <c r="M11" s="58"/>
      <c r="N11" s="46" t="n">
        <v>1.03</v>
      </c>
      <c r="O11" s="46" t="n">
        <v>1.05</v>
      </c>
      <c r="P11" s="46" t="n">
        <v>1.02</v>
      </c>
      <c r="Q11" s="82" t="n">
        <v>1.02</v>
      </c>
      <c r="R11" s="83" t="n">
        <v>1.04</v>
      </c>
      <c r="S11" s="58"/>
      <c r="T11" s="82" t="n">
        <v>1.04</v>
      </c>
      <c r="U11" s="76"/>
      <c r="V11" s="55"/>
      <c r="W11" s="5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61"/>
      <c r="AD11" s="61"/>
      <c r="AE11" s="85"/>
      <c r="AF11" s="79"/>
      <c r="AG11" s="79"/>
      <c r="AH11" s="74"/>
      <c r="AI11" s="80"/>
      <c r="AJ11" s="355"/>
      <c r="AK11" s="55"/>
      <c r="AL11" s="55"/>
      <c r="AM11" s="58"/>
      <c r="AN11" s="66"/>
      <c r="AO11" s="62"/>
      <c r="AP11" s="61"/>
      <c r="AQ11" s="67"/>
      <c r="AR11" s="67"/>
      <c r="AS11" s="87"/>
      <c r="AT11" s="87"/>
      <c r="AU11" s="87"/>
      <c r="AV11" s="78"/>
      <c r="AW11" s="71"/>
      <c r="AX11" s="71"/>
      <c r="AY11" s="294"/>
      <c r="AZ11" s="295" t="s">
        <v>41</v>
      </c>
    </row>
    <row r="12" customFormat="false" ht="12.95" hidden="false" customHeight="true" outlineLevel="0" collapsed="false">
      <c r="A12" s="14" t="s">
        <v>99</v>
      </c>
      <c r="B12" s="356"/>
      <c r="C12" s="94"/>
      <c r="D12" s="94"/>
      <c r="E12" s="94"/>
      <c r="F12" s="145"/>
      <c r="G12" s="80"/>
      <c r="H12" s="134"/>
      <c r="I12" s="80"/>
      <c r="J12" s="80"/>
      <c r="K12" s="80"/>
      <c r="L12" s="80"/>
      <c r="M12" s="98"/>
      <c r="N12" s="94"/>
      <c r="O12" s="94" t="n">
        <f aca="false">MAR!O50</f>
        <v>45.402</v>
      </c>
      <c r="P12" s="83"/>
      <c r="Q12" s="94"/>
      <c r="R12" s="94"/>
      <c r="S12" s="94"/>
      <c r="T12" s="94"/>
      <c r="U12" s="357"/>
      <c r="V12" s="80"/>
      <c r="W12" s="80"/>
      <c r="X12" s="80"/>
      <c r="Y12" s="80"/>
      <c r="Z12" s="146"/>
      <c r="AA12" s="80"/>
      <c r="AB12" s="146"/>
      <c r="AC12" s="146"/>
      <c r="AD12" s="97"/>
      <c r="AE12" s="99"/>
      <c r="AF12" s="94"/>
      <c r="AG12" s="94"/>
      <c r="AH12" s="98"/>
      <c r="AI12" s="80"/>
      <c r="AJ12" s="355"/>
      <c r="AK12" s="80"/>
      <c r="AL12" s="80"/>
      <c r="AM12" s="94"/>
      <c r="AN12" s="358"/>
      <c r="AO12" s="97"/>
      <c r="AP12" s="146"/>
      <c r="AQ12" s="147"/>
      <c r="AR12" s="147"/>
      <c r="AS12" s="101"/>
      <c r="AT12" s="87"/>
      <c r="AU12" s="87"/>
      <c r="AV12" s="102"/>
      <c r="AW12" s="103"/>
      <c r="AX12" s="103"/>
      <c r="AY12" s="294"/>
      <c r="AZ12" s="333"/>
    </row>
    <row r="13" s="108" customFormat="true" ht="12.95" hidden="false" customHeight="true" outlineLevel="0" collapsed="false">
      <c r="A13" s="105" t="s">
        <v>100</v>
      </c>
      <c r="B13" s="359" t="n">
        <f aca="false">MAR!B45</f>
        <v>6870.21</v>
      </c>
      <c r="C13" s="94" t="n">
        <f aca="false">MAR!C45</f>
        <v>188366</v>
      </c>
      <c r="D13" s="94" t="n">
        <f aca="false">MAR!D54</f>
        <v>-6789</v>
      </c>
      <c r="E13" s="94" t="n">
        <f aca="false">MAR!E54</f>
        <v>36366</v>
      </c>
      <c r="F13" s="145" t="n">
        <f aca="false">MAR!F53</f>
        <v>-3422.73758507688</v>
      </c>
      <c r="G13" s="80" t="n">
        <f aca="false">MAR!G53</f>
        <v>5153</v>
      </c>
      <c r="H13" s="80" t="n">
        <f aca="false">MAR!H53</f>
        <v>54.49</v>
      </c>
      <c r="I13" s="80" t="n">
        <f aca="false">MAR!I53</f>
        <v>5206.87</v>
      </c>
      <c r="J13" s="80" t="n">
        <f aca="false">MAR!J53</f>
        <v>1725.03721704059</v>
      </c>
      <c r="K13" s="80" t="n">
        <f aca="false">MAR!K53</f>
        <v>6931.90721704059</v>
      </c>
      <c r="L13" s="80" t="n">
        <f aca="false">MAR!L53</f>
        <v>952.357914923116</v>
      </c>
      <c r="M13" s="98" t="n">
        <f aca="false">MAR!M53</f>
        <v>901.91</v>
      </c>
      <c r="N13" s="94" t="n">
        <f aca="false">MAR!N53</f>
        <v>0</v>
      </c>
      <c r="O13" s="94" t="n">
        <f aca="false">MAR!O53</f>
        <v>45.402</v>
      </c>
      <c r="P13" s="83"/>
      <c r="Q13" s="94" t="n">
        <f aca="false">MAR!Q53</f>
        <v>229.514391007081</v>
      </c>
      <c r="R13" s="94" t="n">
        <f aca="false">MAR!R53</f>
        <v>260.34693568</v>
      </c>
      <c r="S13" s="94" t="n">
        <f aca="false">MAR!S53</f>
        <v>0</v>
      </c>
      <c r="T13" s="94" t="n">
        <f aca="false">MAR!T53</f>
        <v>90.75706432</v>
      </c>
      <c r="U13" s="360" t="n">
        <f aca="false">MAR!U53</f>
        <v>77.8630613803556</v>
      </c>
      <c r="V13" s="80" t="n">
        <f aca="false">MAR!V53</f>
        <v>4357.22</v>
      </c>
      <c r="W13" s="80" t="n">
        <f aca="false">MAR!W53</f>
        <v>84.4</v>
      </c>
      <c r="X13" s="80" t="n">
        <f aca="false">MAR!X53</f>
        <v>4639.64654761256</v>
      </c>
      <c r="Y13" s="80" t="n">
        <f aca="false">MAR!Y53</f>
        <v>4315.68410718394</v>
      </c>
      <c r="Z13" s="146" t="n">
        <v>0</v>
      </c>
      <c r="AA13" s="80"/>
      <c r="AB13" s="146" t="n">
        <v>0</v>
      </c>
      <c r="AC13" s="80" t="n">
        <f aca="false">MAR!AC53-190.7</f>
        <v>-163</v>
      </c>
      <c r="AD13" s="97"/>
      <c r="AE13" s="361" t="n">
        <f aca="false">MAR!AE53</f>
        <v>0</v>
      </c>
      <c r="AF13" s="80" t="n">
        <f aca="false">MAR!AF53</f>
        <v>0</v>
      </c>
      <c r="AG13" s="80" t="n">
        <f aca="false">MAR!AG53</f>
        <v>0</v>
      </c>
      <c r="AH13" s="362" t="n">
        <f aca="false">MAR!AH53</f>
        <v>4229.5</v>
      </c>
      <c r="AI13" s="80" t="n">
        <f aca="false">AI7/D2</f>
        <v>6393.8368476242</v>
      </c>
      <c r="AJ13" s="97" t="n">
        <f aca="false">MAR!AJ53</f>
        <v>0</v>
      </c>
      <c r="AK13" s="80" t="n">
        <f aca="false">MAR!AK53</f>
        <v>9581.9655</v>
      </c>
      <c r="AL13" s="80" t="n">
        <f aca="false">MAR!AL53</f>
        <v>772.679302117469</v>
      </c>
      <c r="AM13" s="94" t="n">
        <f aca="false">MAR!AM53</f>
        <v>10354.6448021175</v>
      </c>
      <c r="AN13" s="358" t="n">
        <f aca="false">MAR!AN53</f>
        <v>4297.32</v>
      </c>
      <c r="AO13" s="97" t="n">
        <f aca="false">MAR!AO53</f>
        <v>323.962440428619</v>
      </c>
      <c r="AP13" s="146"/>
      <c r="AQ13" s="147"/>
      <c r="AR13" s="147"/>
      <c r="AS13" s="80"/>
      <c r="AT13" s="2"/>
      <c r="AU13" s="2"/>
      <c r="AV13" s="102" t="n">
        <f aca="false">MAR!AV53</f>
        <v>4.713</v>
      </c>
      <c r="AW13" s="103"/>
      <c r="AX13" s="103"/>
      <c r="AY13" s="363"/>
      <c r="AZ13" s="229" t="n">
        <f aca="false">MAR!AZ53</f>
        <v>658.481452387437</v>
      </c>
    </row>
    <row r="14" customFormat="false" ht="3" hidden="false" customHeight="true" outlineLevel="0" collapsed="false">
      <c r="A14" s="109"/>
      <c r="B14" s="364"/>
      <c r="C14" s="119"/>
      <c r="D14" s="116"/>
      <c r="E14" s="119"/>
      <c r="F14" s="143"/>
      <c r="G14" s="116"/>
      <c r="H14" s="116"/>
      <c r="I14" s="116"/>
      <c r="J14" s="116"/>
      <c r="K14" s="116"/>
      <c r="L14" s="116"/>
      <c r="M14" s="120"/>
      <c r="N14" s="116"/>
      <c r="O14" s="116"/>
      <c r="P14" s="365"/>
      <c r="Q14" s="116"/>
      <c r="R14" s="116"/>
      <c r="S14" s="116"/>
      <c r="T14" s="116"/>
      <c r="U14" s="366"/>
      <c r="V14" s="116"/>
      <c r="W14" s="116"/>
      <c r="X14" s="116"/>
      <c r="Y14" s="116"/>
      <c r="Z14" s="123"/>
      <c r="AA14" s="116"/>
      <c r="AB14" s="123"/>
      <c r="AC14" s="123"/>
      <c r="AD14" s="118"/>
      <c r="AE14" s="116"/>
      <c r="AF14" s="120"/>
      <c r="AG14" s="121"/>
      <c r="AH14" s="116"/>
      <c r="AI14" s="119"/>
      <c r="AJ14" s="118"/>
      <c r="AK14" s="116"/>
      <c r="AL14" s="116"/>
      <c r="AM14" s="116"/>
      <c r="AN14" s="157"/>
      <c r="AO14" s="118"/>
      <c r="AP14" s="123"/>
      <c r="AQ14" s="365"/>
      <c r="AR14" s="365"/>
      <c r="AS14" s="365"/>
      <c r="AT14" s="365"/>
      <c r="AU14" s="365"/>
      <c r="AV14" s="125"/>
      <c r="AW14" s="123"/>
      <c r="AX14" s="123"/>
      <c r="AY14" s="156"/>
      <c r="AZ14" s="254"/>
    </row>
    <row r="15" customFormat="false" ht="12.95" hidden="false" customHeight="true" outlineLevel="0" collapsed="false">
      <c r="A15" s="10" t="n">
        <v>1</v>
      </c>
      <c r="B15" s="367" t="n">
        <v>6870.26</v>
      </c>
      <c r="C15" s="94" t="n">
        <v>188500</v>
      </c>
      <c r="D15" s="103" t="n">
        <f aca="false">C15-C13</f>
        <v>134</v>
      </c>
      <c r="E15" s="94" t="n">
        <f aca="false">C15-152000</f>
        <v>36500</v>
      </c>
      <c r="F15" s="141" t="n">
        <f aca="false">D15/$D$2</f>
        <v>67.5573481220066</v>
      </c>
      <c r="G15" s="134" t="n">
        <v>107</v>
      </c>
      <c r="H15" s="134" t="n">
        <v>0.85</v>
      </c>
      <c r="I15" s="134" t="n">
        <f aca="false">G15+H15</f>
        <v>107.85</v>
      </c>
      <c r="J15" s="368" t="n">
        <f aca="false">IF(L15&gt;0,L15,0)</f>
        <v>75.2073481220066</v>
      </c>
      <c r="K15" s="134" t="n">
        <f aca="false">I15+J15</f>
        <v>183.057348122007</v>
      </c>
      <c r="L15" s="134" t="n">
        <f aca="false">F15-(I15-AK15)</f>
        <v>75.2073481220066</v>
      </c>
      <c r="M15" s="137" t="n">
        <v>48</v>
      </c>
      <c r="N15" s="158" t="n">
        <v>0</v>
      </c>
      <c r="O15" s="369" t="n">
        <f aca="false">12.8*1.05</f>
        <v>13.44</v>
      </c>
      <c r="P15" s="83" t="n">
        <v>0</v>
      </c>
      <c r="Q15" s="338" t="n">
        <f aca="false">969000/325851/1.9835*1.02</f>
        <v>1.52922956538621</v>
      </c>
      <c r="R15" s="131" t="n">
        <f aca="false">(2.2*1.04)-T15</f>
        <v>1.79401456</v>
      </c>
      <c r="S15" s="131" t="n">
        <v>0</v>
      </c>
      <c r="T15" s="131" t="n">
        <f aca="false">(0.4481*1.06)*1.04</f>
        <v>0.49398544</v>
      </c>
      <c r="U15" s="357" t="n">
        <v>0</v>
      </c>
      <c r="V15" s="134" t="n">
        <v>37.5</v>
      </c>
      <c r="W15" s="134" t="n">
        <v>0</v>
      </c>
      <c r="X15" s="135" t="n">
        <f aca="false">M15-N15-O15-P15-Q15-R15-S15-T15-U15+V15+W15-AT15+AR15</f>
        <v>68.2427704346138</v>
      </c>
      <c r="Y15" s="135" t="n">
        <f aca="false">X15-AO15</f>
        <v>68.2427704346138</v>
      </c>
      <c r="Z15" s="107" t="n">
        <f aca="false">Z13</f>
        <v>0</v>
      </c>
      <c r="AA15" s="135"/>
      <c r="AB15" s="107" t="n">
        <f aca="false">IF(I15&lt;800,((I15-AN15-AP15)-(Q15+R15+AF15))*1.9835+AB13,((795-AN15-AP15)*1.9835+AB13))</f>
        <v>60.9782851570565</v>
      </c>
      <c r="AC15" s="146" t="n">
        <f aca="false">AC13+AP15-(AQ14/1.9835)</f>
        <v>-128.41601456</v>
      </c>
      <c r="AD15" s="97"/>
      <c r="AE15" s="134" t="n">
        <v>0</v>
      </c>
      <c r="AF15" s="137" t="n">
        <v>1.7</v>
      </c>
      <c r="AG15" s="138" t="n">
        <v>1.3</v>
      </c>
      <c r="AH15" s="134" t="n">
        <v>30</v>
      </c>
      <c r="AI15" s="80" t="n">
        <f aca="false">AI13-AH15</f>
        <v>6363.8368476242</v>
      </c>
      <c r="AJ15" s="370"/>
      <c r="AK15" s="134" t="n">
        <f aca="false">N15+O15+P15+Q15+R15+S15+T15+U15+X15+AE15+AH15</f>
        <v>115.5</v>
      </c>
      <c r="AL15" s="134" t="n">
        <f aca="false">IF(L15&lt;0,L15*-1,0)</f>
        <v>0</v>
      </c>
      <c r="AM15" s="369" t="n">
        <f aca="false">AK15+AL15</f>
        <v>115.5</v>
      </c>
      <c r="AN15" s="213" t="n">
        <f aca="false">V15</f>
        <v>37.5</v>
      </c>
      <c r="AO15" s="97"/>
      <c r="AP15" s="146" t="n">
        <f aca="false">I15-Q15-R15-X15-AF15</f>
        <v>34.58398544</v>
      </c>
      <c r="AQ15" s="147" t="n">
        <f aca="false">34.18*(Z15*1.9835+AC15*1.9835)/E15</f>
        <v>-0.23852317741343</v>
      </c>
      <c r="AR15" s="147"/>
      <c r="AS15" s="101"/>
      <c r="AT15" s="11" t="n">
        <v>0</v>
      </c>
      <c r="AU15" s="1"/>
      <c r="AV15" s="102" t="n">
        <v>0</v>
      </c>
      <c r="AW15" s="103" t="n">
        <v>68</v>
      </c>
      <c r="AX15" s="103" t="n">
        <v>35</v>
      </c>
      <c r="AY15" s="294"/>
      <c r="AZ15" s="250" t="n">
        <f aca="false">SUM(N15,P15:U15)</f>
        <v>3.81722956538621</v>
      </c>
    </row>
    <row r="16" customFormat="false" ht="12.95" hidden="false" customHeight="true" outlineLevel="0" collapsed="false">
      <c r="A16" s="10" t="n">
        <f aca="false">A15+1</f>
        <v>2</v>
      </c>
      <c r="B16" s="359" t="n">
        <v>6870.29</v>
      </c>
      <c r="C16" s="94" t="n">
        <v>188581</v>
      </c>
      <c r="D16" s="103" t="n">
        <f aca="false">C16-C15</f>
        <v>81</v>
      </c>
      <c r="E16" s="94" t="n">
        <f aca="false">C16-152000</f>
        <v>36581</v>
      </c>
      <c r="F16" s="141" t="n">
        <f aca="false">D16/$D$2</f>
        <v>40.8369044618099</v>
      </c>
      <c r="G16" s="134" t="n">
        <v>115</v>
      </c>
      <c r="H16" s="134" t="n">
        <v>0.77</v>
      </c>
      <c r="I16" s="134" t="n">
        <f aca="false">G16+H16</f>
        <v>115.77</v>
      </c>
      <c r="J16" s="368" t="n">
        <f aca="false">IF(L16&gt;0,L16,0)</f>
        <v>39.6669044618099</v>
      </c>
      <c r="K16" s="134" t="n">
        <f aca="false">I16+J16</f>
        <v>155.43690446181</v>
      </c>
      <c r="L16" s="134" t="n">
        <f aca="false">F16-(I16-AK16)</f>
        <v>39.6669044618099</v>
      </c>
      <c r="M16" s="137" t="n">
        <v>47</v>
      </c>
      <c r="N16" s="158" t="n">
        <v>0</v>
      </c>
      <c r="O16" s="369" t="n">
        <f aca="false">14.6*1.05</f>
        <v>15.33</v>
      </c>
      <c r="P16" s="83" t="n">
        <v>0</v>
      </c>
      <c r="Q16" s="338" t="n">
        <f aca="false">949700/325851/1.9835*1.02</f>
        <v>1.49877122626139</v>
      </c>
      <c r="R16" s="131" t="n">
        <f aca="false">(2.2*1.04)-T16</f>
        <v>1.79401456</v>
      </c>
      <c r="S16" s="131" t="n">
        <v>0</v>
      </c>
      <c r="T16" s="131" t="n">
        <f aca="false">(0.4481*1.06)*1.04</f>
        <v>0.49398544</v>
      </c>
      <c r="U16" s="357" t="n">
        <v>0</v>
      </c>
      <c r="V16" s="134" t="n">
        <v>37.5</v>
      </c>
      <c r="W16" s="134" t="n">
        <v>0</v>
      </c>
      <c r="X16" s="135" t="n">
        <f aca="false">M16-N16-O16-P16-Q16-R16-S16-T16-U16+V16+W16-AT16</f>
        <v>65.3832287737386</v>
      </c>
      <c r="Y16" s="135" t="n">
        <f aca="false">X16-AO16</f>
        <v>65.3832287737386</v>
      </c>
      <c r="Z16" s="107" t="n">
        <f aca="false">Z15</f>
        <v>0</v>
      </c>
      <c r="AA16" s="135"/>
      <c r="AB16" s="107" t="n">
        <f aca="false">IF(I16&lt;800,((I16-AN16-AP16)-(Q16+R16+AF16))*1.9835+AB15,((795-AN16-AP16)*1.9835+AB15))</f>
        <v>116.284669429767</v>
      </c>
      <c r="AC16" s="146" t="n">
        <f aca="false">AC15+AP16-(AQ15/1.9835)</f>
        <v>-82.9017754384202</v>
      </c>
      <c r="AD16" s="97"/>
      <c r="AE16" s="134" t="n">
        <v>0</v>
      </c>
      <c r="AF16" s="137" t="n">
        <v>1.7</v>
      </c>
      <c r="AG16" s="138" t="n">
        <v>1.3</v>
      </c>
      <c r="AH16" s="134" t="n">
        <v>30.1</v>
      </c>
      <c r="AI16" s="80" t="n">
        <f aca="false">AI15-AH16</f>
        <v>6333.7368476242</v>
      </c>
      <c r="AJ16" s="97"/>
      <c r="AK16" s="134" t="n">
        <f aca="false">N16+O16+P16+Q16+R16+S16+T16+U16+X16+AE16+AH16</f>
        <v>114.6</v>
      </c>
      <c r="AL16" s="134" t="n">
        <f aca="false">IF(L16&lt;0,L16*-1,0)</f>
        <v>0</v>
      </c>
      <c r="AM16" s="369" t="n">
        <f aca="false">AK16+AL16</f>
        <v>114.6</v>
      </c>
      <c r="AN16" s="213" t="n">
        <f aca="false">V16</f>
        <v>37.5</v>
      </c>
      <c r="AO16" s="97"/>
      <c r="AP16" s="146" t="n">
        <f aca="false">I16-Q16-R16-X16-AF16</f>
        <v>45.39398544</v>
      </c>
      <c r="AQ16" s="147" t="n">
        <f aca="false">32.466*(Z16*1.9835+AC16*1.9835)/E16</f>
        <v>-0.145938288007017</v>
      </c>
      <c r="AR16" s="147"/>
      <c r="AS16" s="101"/>
      <c r="AT16" s="11" t="n">
        <v>0</v>
      </c>
      <c r="AU16" s="1"/>
      <c r="AV16" s="102" t="n">
        <v>0</v>
      </c>
      <c r="AW16" s="103" t="n">
        <v>58</v>
      </c>
      <c r="AX16" s="103" t="n">
        <v>27</v>
      </c>
      <c r="AY16" s="294"/>
      <c r="AZ16" s="250" t="n">
        <f aca="false">SUM(N16,P16:U16)</f>
        <v>3.78677122626139</v>
      </c>
    </row>
    <row r="17" customFormat="false" ht="12.95" hidden="false" customHeight="true" outlineLevel="0" collapsed="false">
      <c r="A17" s="10" t="n">
        <f aca="false">A16+1</f>
        <v>3</v>
      </c>
      <c r="B17" s="359" t="n">
        <v>6870.3</v>
      </c>
      <c r="C17" s="94" t="n">
        <v>188607</v>
      </c>
      <c r="D17" s="103" t="n">
        <f aca="false">C17-C16</f>
        <v>26</v>
      </c>
      <c r="E17" s="94" t="n">
        <f aca="false">C17-152000</f>
        <v>36607</v>
      </c>
      <c r="F17" s="141" t="n">
        <f aca="false">D17/$D$2</f>
        <v>13.1081421729266</v>
      </c>
      <c r="G17" s="134" t="n">
        <v>106</v>
      </c>
      <c r="H17" s="134" t="n">
        <v>0.63</v>
      </c>
      <c r="I17" s="134" t="n">
        <f aca="false">G17+H17</f>
        <v>106.63</v>
      </c>
      <c r="J17" s="368" t="n">
        <f aca="false">IF(L17&gt;0,L17,0)</f>
        <v>5.97814217292665</v>
      </c>
      <c r="K17" s="134" t="n">
        <f aca="false">I17+J17</f>
        <v>112.608142172927</v>
      </c>
      <c r="L17" s="134" t="n">
        <f aca="false">F17-(I17-AK17)</f>
        <v>5.97814217292665</v>
      </c>
      <c r="M17" s="137" t="n">
        <v>31.9</v>
      </c>
      <c r="N17" s="158" t="n">
        <v>0</v>
      </c>
      <c r="O17" s="369" t="n">
        <f aca="false">21.7*1.05</f>
        <v>22.785</v>
      </c>
      <c r="P17" s="83" t="n">
        <v>0</v>
      </c>
      <c r="Q17" s="338" t="n">
        <f aca="false">941000/325851/1.9835*1.02</f>
        <v>1.48504130137093</v>
      </c>
      <c r="R17" s="131" t="n">
        <f aca="false">(2.2*1.04)-T17</f>
        <v>1.79401456</v>
      </c>
      <c r="S17" s="131" t="n">
        <v>0</v>
      </c>
      <c r="T17" s="131" t="n">
        <f aca="false">(0.4481*1.06)*1.04</f>
        <v>0.49398544</v>
      </c>
      <c r="U17" s="357" t="n">
        <v>0</v>
      </c>
      <c r="V17" s="134" t="n">
        <v>37.5</v>
      </c>
      <c r="W17" s="134" t="n">
        <v>0</v>
      </c>
      <c r="X17" s="135" t="n">
        <f aca="false">M17-N17-O17-P17-Q17-R17-S17-T17-U17+V17+W17-AT17</f>
        <v>42.8419586986291</v>
      </c>
      <c r="Y17" s="135" t="n">
        <f aca="false">X17-AO17</f>
        <v>42.8419586986291</v>
      </c>
      <c r="Z17" s="107" t="n">
        <f aca="false">Z16</f>
        <v>0</v>
      </c>
      <c r="AA17" s="135"/>
      <c r="AB17" s="107" t="n">
        <f aca="false">IF(I17&lt;800,((I17-AN17-AP17)-(Q17+R17+AF17))*1.9835+AB16,((795-AN17-AP17)*1.9835+AB16))</f>
        <v>126.880444508498</v>
      </c>
      <c r="AC17" s="146" t="n">
        <f aca="false">AC16+AP17-(AQ16/1.9835)</f>
        <v>-24.0192138512022</v>
      </c>
      <c r="AD17" s="97"/>
      <c r="AE17" s="134" t="n">
        <v>0</v>
      </c>
      <c r="AF17" s="137" t="n">
        <v>1.7</v>
      </c>
      <c r="AG17" s="138" t="n">
        <v>1.3</v>
      </c>
      <c r="AH17" s="134" t="n">
        <v>30.1</v>
      </c>
      <c r="AI17" s="80" t="n">
        <f aca="false">AI16-AH17</f>
        <v>6303.6368476242</v>
      </c>
      <c r="AJ17" s="97"/>
      <c r="AK17" s="134" t="n">
        <f aca="false">N17+O17+P17+Q17+R17+S17+T17+U17+X17+AE17+AH17</f>
        <v>99.5</v>
      </c>
      <c r="AL17" s="134" t="n">
        <f aca="false">IF(L17&lt;0,L17*-1,0)</f>
        <v>0</v>
      </c>
      <c r="AM17" s="369" t="n">
        <f aca="false">AK17+AL17</f>
        <v>99.5</v>
      </c>
      <c r="AN17" s="213" t="n">
        <f aca="false">V17</f>
        <v>37.5</v>
      </c>
      <c r="AO17" s="97"/>
      <c r="AP17" s="146" t="n">
        <f aca="false">I17-Q17-R17-X17-AF17</f>
        <v>58.80898544</v>
      </c>
      <c r="AQ17" s="147" t="n">
        <f aca="false">35.263*(Z17*1.9835+AC17*1.9835)/E17</f>
        <v>-0.0458929644246267</v>
      </c>
      <c r="AR17" s="147"/>
      <c r="AS17" s="101"/>
      <c r="AT17" s="11" t="n">
        <v>0</v>
      </c>
      <c r="AU17" s="1"/>
      <c r="AV17" s="102" t="n">
        <v>0</v>
      </c>
      <c r="AW17" s="103" t="n">
        <v>63</v>
      </c>
      <c r="AX17" s="103" t="n">
        <v>29</v>
      </c>
      <c r="AY17" s="294"/>
      <c r="AZ17" s="250" t="n">
        <f aca="false">SUM(N17,P17:U17)</f>
        <v>3.77304130137093</v>
      </c>
    </row>
    <row r="18" customFormat="false" ht="12.95" hidden="false" customHeight="true" outlineLevel="0" collapsed="false">
      <c r="A18" s="10" t="n">
        <f aca="false">A17+1</f>
        <v>4</v>
      </c>
      <c r="B18" s="106" t="n">
        <v>6870.32</v>
      </c>
      <c r="C18" s="107" t="n">
        <v>188661</v>
      </c>
      <c r="D18" s="103" t="n">
        <f aca="false">C18-C17</f>
        <v>54</v>
      </c>
      <c r="E18" s="94" t="n">
        <f aca="false">C18-152000</f>
        <v>36661</v>
      </c>
      <c r="F18" s="141" t="n">
        <f aca="false">D18/$D$2</f>
        <v>27.22460297454</v>
      </c>
      <c r="G18" s="134" t="n">
        <v>109</v>
      </c>
      <c r="H18" s="134" t="n">
        <v>0.53</v>
      </c>
      <c r="I18" s="134" t="n">
        <f aca="false">G18+H18</f>
        <v>109.53</v>
      </c>
      <c r="J18" s="368" t="n">
        <f aca="false">IF(L18&gt;0,L18,0)</f>
        <v>17.49460297454</v>
      </c>
      <c r="K18" s="134" t="n">
        <f aca="false">I18+J18</f>
        <v>127.02460297454</v>
      </c>
      <c r="L18" s="134" t="n">
        <f aca="false">F18-(I18-AK18)</f>
        <v>17.49460297454</v>
      </c>
      <c r="M18" s="137" t="n">
        <v>32.2</v>
      </c>
      <c r="N18" s="158" t="n">
        <v>0</v>
      </c>
      <c r="O18" s="369" t="n">
        <f aca="false">27.9*1.05</f>
        <v>29.295</v>
      </c>
      <c r="P18" s="83" t="n">
        <v>0</v>
      </c>
      <c r="Q18" s="338" t="n">
        <f aca="false">994200/325851/1.9835*1.02</f>
        <v>1.56899900299997</v>
      </c>
      <c r="R18" s="131" t="n">
        <f aca="false">(2.2*1.04)-T18</f>
        <v>1.79401456</v>
      </c>
      <c r="S18" s="131" t="n">
        <v>0</v>
      </c>
      <c r="T18" s="131" t="n">
        <f aca="false">(0.4481*1.06)*1.04</f>
        <v>0.49398544</v>
      </c>
      <c r="U18" s="357" t="n">
        <v>0</v>
      </c>
      <c r="V18" s="134" t="n">
        <v>37.5</v>
      </c>
      <c r="W18" s="134" t="n">
        <v>0</v>
      </c>
      <c r="X18" s="135" t="n">
        <f aca="false">M18-N18-O18-P18-Q18-R18-S18-T18-U18+V18+W18-AT18</f>
        <v>36.548000997</v>
      </c>
      <c r="Y18" s="135" t="n">
        <f aca="false">X18-AO18</f>
        <v>36.548000997</v>
      </c>
      <c r="Z18" s="107" t="n">
        <f aca="false">Z17</f>
        <v>0</v>
      </c>
      <c r="AA18" s="135"/>
      <c r="AB18" s="107" t="n">
        <f aca="false">IF(I18&lt;800,((I18-AN18-AP18)-(Q18+R18+AF18))*1.9835+AB17,((795-AN18-AP18)*1.9835+AB17))</f>
        <v>124.992154486047</v>
      </c>
      <c r="AC18" s="146" t="n">
        <f aca="false">AC17+AP18-(AQ17/1.9835)</f>
        <v>43.9229089542753</v>
      </c>
      <c r="AD18" s="97"/>
      <c r="AE18" s="134" t="n">
        <v>0</v>
      </c>
      <c r="AF18" s="137" t="n">
        <v>1.7</v>
      </c>
      <c r="AG18" s="138" t="n">
        <v>1.3</v>
      </c>
      <c r="AH18" s="134" t="n">
        <v>30.1</v>
      </c>
      <c r="AI18" s="80" t="n">
        <f aca="false">AI17-AH18</f>
        <v>6273.5368476242</v>
      </c>
      <c r="AJ18" s="97"/>
      <c r="AK18" s="134" t="n">
        <f aca="false">N18+O18+P18+Q18+R18+S18+T18+U18+X18+AE18+AH18</f>
        <v>99.8</v>
      </c>
      <c r="AL18" s="134" t="n">
        <f aca="false">IF(L18&lt;0,L18*-1,0)</f>
        <v>0</v>
      </c>
      <c r="AM18" s="369" t="n">
        <f aca="false">AK18+AL18</f>
        <v>99.8</v>
      </c>
      <c r="AN18" s="213" t="n">
        <f aca="false">V18</f>
        <v>37.5</v>
      </c>
      <c r="AO18" s="97"/>
      <c r="AP18" s="146" t="n">
        <f aca="false">I18-Q18-R18-X18-AF18</f>
        <v>67.91898544</v>
      </c>
      <c r="AQ18" s="147" t="n">
        <f aca="false">26.408*(Z18*1.9835+AC18*1.9835)/E18</f>
        <v>0.0627558916113729</v>
      </c>
      <c r="AR18" s="147"/>
      <c r="AS18" s="101"/>
      <c r="AT18" s="11" t="n">
        <v>0</v>
      </c>
      <c r="AU18" s="1"/>
      <c r="AV18" s="102" t="n">
        <v>0</v>
      </c>
      <c r="AW18" s="103" t="n">
        <v>67</v>
      </c>
      <c r="AX18" s="103" t="n">
        <v>32</v>
      </c>
      <c r="AY18" s="294"/>
      <c r="AZ18" s="250" t="n">
        <f aca="false">SUM(N18,P18:U18)</f>
        <v>3.85699900299997</v>
      </c>
    </row>
    <row r="19" customFormat="false" ht="12.95" hidden="false" customHeight="true" outlineLevel="0" collapsed="false">
      <c r="A19" s="10" t="n">
        <f aca="false">A18+1</f>
        <v>5</v>
      </c>
      <c r="B19" s="106" t="n">
        <v>6870.32</v>
      </c>
      <c r="C19" s="107" t="n">
        <v>188661</v>
      </c>
      <c r="D19" s="103" t="n">
        <f aca="false">C19-C18</f>
        <v>0</v>
      </c>
      <c r="E19" s="94" t="n">
        <f aca="false">C19-152000</f>
        <v>36661</v>
      </c>
      <c r="F19" s="141" t="n">
        <f aca="false">D19/$D$2</f>
        <v>0</v>
      </c>
      <c r="G19" s="134" t="n">
        <v>127</v>
      </c>
      <c r="H19" s="134" t="n">
        <v>0.52</v>
      </c>
      <c r="I19" s="134" t="n">
        <f aca="false">G19+H19</f>
        <v>127.52</v>
      </c>
      <c r="J19" s="368" t="n">
        <f aca="false">IF(L19&gt;0,L19,0)</f>
        <v>0</v>
      </c>
      <c r="K19" s="134" t="n">
        <f aca="false">I19+J19</f>
        <v>127.52</v>
      </c>
      <c r="L19" s="134" t="n">
        <f aca="false">F19-(I19-AK19)</f>
        <v>-11.72</v>
      </c>
      <c r="M19" s="137" t="n">
        <v>48.2</v>
      </c>
      <c r="N19" s="158" t="n">
        <v>0</v>
      </c>
      <c r="O19" s="369" t="n">
        <f aca="false">37.2*1.05</f>
        <v>39.06</v>
      </c>
      <c r="P19" s="83" t="n">
        <v>0</v>
      </c>
      <c r="Q19" s="338" t="n">
        <f aca="false">1017800/325851/1.9835*1.02</f>
        <v>1.60624339695572</v>
      </c>
      <c r="R19" s="131" t="n">
        <f aca="false">(2.2*1.04)-T19</f>
        <v>1.77350992</v>
      </c>
      <c r="S19" s="131" t="n">
        <v>0</v>
      </c>
      <c r="T19" s="131" t="n">
        <f aca="false">(0.4667*1.06)*1.04</f>
        <v>0.51449008</v>
      </c>
      <c r="U19" s="357" t="n">
        <v>0</v>
      </c>
      <c r="V19" s="134" t="n">
        <v>37.5</v>
      </c>
      <c r="W19" s="134" t="n">
        <v>0</v>
      </c>
      <c r="X19" s="135" t="n">
        <f aca="false">M19-N19-O19-P19-Q19-R19-S19-T19-U19+V19+W19-AT19</f>
        <v>42.7457566030443</v>
      </c>
      <c r="Y19" s="135" t="n">
        <f aca="false">X19-AO19</f>
        <v>42.7457566030443</v>
      </c>
      <c r="Z19" s="107" t="n">
        <f aca="false">Z18</f>
        <v>0</v>
      </c>
      <c r="AA19" s="135"/>
      <c r="AB19" s="107" t="n">
        <f aca="false">IF(I19&lt;800,((I19-AN19-AP19)-(Q19+R19+AF19))*1.9835+AB18,((795-AN19-AP19)*1.9835+AB18))</f>
        <v>135.397112708186</v>
      </c>
      <c r="AC19" s="146" t="n">
        <f aca="false">AC18+AP19-(AQ18/1.9835)</f>
        <v>123.58576006699</v>
      </c>
      <c r="AD19" s="97"/>
      <c r="AE19" s="134" t="n">
        <v>0</v>
      </c>
      <c r="AF19" s="137" t="n">
        <v>1.7</v>
      </c>
      <c r="AG19" s="138" t="n">
        <v>1.3</v>
      </c>
      <c r="AH19" s="134" t="n">
        <v>30.1</v>
      </c>
      <c r="AI19" s="80" t="n">
        <f aca="false">AI18-AH19</f>
        <v>6243.43684762419</v>
      </c>
      <c r="AJ19" s="97"/>
      <c r="AK19" s="134" t="n">
        <f aca="false">N19+O19+P19+Q19+R19+S19+T19+U19+X19+AE19+AH19</f>
        <v>115.8</v>
      </c>
      <c r="AL19" s="134" t="n">
        <f aca="false">IF(L19&lt;0,L19*-1,0)</f>
        <v>11.72</v>
      </c>
      <c r="AM19" s="369" t="n">
        <f aca="false">AK19+AL19</f>
        <v>127.52</v>
      </c>
      <c r="AN19" s="213" t="n">
        <f aca="false">V19</f>
        <v>37.5</v>
      </c>
      <c r="AO19" s="97"/>
      <c r="AP19" s="146" t="n">
        <f aca="false">I19-Q19-R19-X19-AF19</f>
        <v>79.69449008</v>
      </c>
      <c r="AQ19" s="147" t="n">
        <f aca="false">41.166*(Z19*1.9835+AC19*1.9835)/E19</f>
        <v>0.275254862926631</v>
      </c>
      <c r="AR19" s="147"/>
      <c r="AS19" s="101"/>
      <c r="AT19" s="11" t="n">
        <v>0</v>
      </c>
      <c r="AU19" s="1"/>
      <c r="AV19" s="102" t="n">
        <v>0</v>
      </c>
      <c r="AW19" s="103" t="n">
        <v>68</v>
      </c>
      <c r="AX19" s="103" t="n">
        <v>41</v>
      </c>
      <c r="AY19" s="294"/>
      <c r="AZ19" s="250" t="n">
        <f aca="false">SUM(N19,P19:U19)</f>
        <v>3.89424339695572</v>
      </c>
    </row>
    <row r="20" customFormat="false" ht="12.95" hidden="false" customHeight="true" outlineLevel="0" collapsed="false">
      <c r="A20" s="10" t="n">
        <f aca="false">A19+1</f>
        <v>6</v>
      </c>
      <c r="B20" s="106" t="n">
        <v>6870.34</v>
      </c>
      <c r="C20" s="107" t="n">
        <v>188715</v>
      </c>
      <c r="D20" s="103" t="n">
        <f aca="false">C20-C19</f>
        <v>54</v>
      </c>
      <c r="E20" s="94" t="n">
        <f aca="false">C20-152000</f>
        <v>36715</v>
      </c>
      <c r="F20" s="141" t="n">
        <f aca="false">D20/$D$2</f>
        <v>27.22460297454</v>
      </c>
      <c r="G20" s="134" t="n">
        <v>132</v>
      </c>
      <c r="H20" s="134" t="n">
        <v>0.52</v>
      </c>
      <c r="I20" s="134" t="n">
        <f aca="false">G20+H20</f>
        <v>132.52</v>
      </c>
      <c r="J20" s="368" t="n">
        <f aca="false">IF(L20&gt;0,L20,0)</f>
        <v>18.10460297454</v>
      </c>
      <c r="K20" s="134" t="n">
        <f aca="false">I20+J20</f>
        <v>150.62460297454</v>
      </c>
      <c r="L20" s="134" t="n">
        <f aca="false">F20-(I20-AK20)</f>
        <v>18.10460297454</v>
      </c>
      <c r="M20" s="137" t="n">
        <v>55.8</v>
      </c>
      <c r="N20" s="158" t="n">
        <v>0</v>
      </c>
      <c r="O20" s="369" t="n">
        <f aca="false">45.5*1.05</f>
        <v>47.775</v>
      </c>
      <c r="P20" s="83" t="n">
        <v>0</v>
      </c>
      <c r="Q20" s="338" t="n">
        <f aca="false">1152900/325851/1.9835*1.02</f>
        <v>1.81945177082948</v>
      </c>
      <c r="R20" s="131" t="n">
        <f aca="false">(2.3*1.04)-T20</f>
        <v>1.87750992</v>
      </c>
      <c r="S20" s="131" t="n">
        <v>0</v>
      </c>
      <c r="T20" s="131" t="n">
        <f aca="false">(0.4667*1.06)*1.04</f>
        <v>0.51449008</v>
      </c>
      <c r="U20" s="357" t="n">
        <v>0</v>
      </c>
      <c r="V20" s="134" t="n">
        <v>37.5</v>
      </c>
      <c r="W20" s="134" t="n">
        <v>0</v>
      </c>
      <c r="X20" s="135" t="n">
        <f aca="false">M20-N20-O20-P20-Q20-R20-S20-T20-U20+V20+W20-AT20</f>
        <v>41.3135482291705</v>
      </c>
      <c r="Y20" s="135" t="n">
        <f aca="false">X20-AO20</f>
        <v>41.3135482291705</v>
      </c>
      <c r="Z20" s="107" t="n">
        <f aca="false">Z19</f>
        <v>0</v>
      </c>
      <c r="AA20" s="135"/>
      <c r="AB20" s="107" t="n">
        <f aca="false">IF(I20&lt;800,((I20-AN20-AP20)-(Q20+R20+AF20))*1.9835+AB19,((795-AN20-AP20)*1.9835+AB19))</f>
        <v>142.961285620745</v>
      </c>
      <c r="AC20" s="146" t="n">
        <f aca="false">AC19+AP20-(AQ19/1.9835)</f>
        <v>209.256477844027</v>
      </c>
      <c r="AD20" s="97"/>
      <c r="AE20" s="134" t="n">
        <v>0</v>
      </c>
      <c r="AF20" s="137" t="n">
        <v>1.7</v>
      </c>
      <c r="AG20" s="138" t="n">
        <v>1.3</v>
      </c>
      <c r="AH20" s="134" t="n">
        <v>30.1</v>
      </c>
      <c r="AI20" s="80" t="n">
        <f aca="false">AI19-AH20</f>
        <v>6213.33684762419</v>
      </c>
      <c r="AJ20" s="97"/>
      <c r="AK20" s="134" t="n">
        <f aca="false">N20+O20+P20+Q20+R20+S20+T20+U20+X20+AE20+AH20</f>
        <v>123.4</v>
      </c>
      <c r="AL20" s="134" t="n">
        <f aca="false">IF(L20&lt;0,L20*-1,0)</f>
        <v>0</v>
      </c>
      <c r="AM20" s="369" t="n">
        <f aca="false">AK20+AL20</f>
        <v>123.4</v>
      </c>
      <c r="AN20" s="213" t="n">
        <f aca="false">V20</f>
        <v>37.5</v>
      </c>
      <c r="AO20" s="97"/>
      <c r="AP20" s="146" t="n">
        <f aca="false">I20-Q20-R20-X20-AF20</f>
        <v>85.80949008</v>
      </c>
      <c r="AQ20" s="147" t="n">
        <f aca="false">30.292*(Z20*1.9835+AC20*1.9835)/E20</f>
        <v>0.34244870759797</v>
      </c>
      <c r="AR20" s="147"/>
      <c r="AS20" s="101"/>
      <c r="AT20" s="11" t="n">
        <v>0</v>
      </c>
      <c r="AU20" s="1"/>
      <c r="AV20" s="102" t="n">
        <v>0</v>
      </c>
      <c r="AW20" s="103" t="n">
        <v>68</v>
      </c>
      <c r="AX20" s="103" t="n">
        <v>34</v>
      </c>
      <c r="AY20" s="294"/>
      <c r="AZ20" s="250" t="n">
        <f aca="false">SUM(N20,P20:U20)</f>
        <v>4.21145177082948</v>
      </c>
    </row>
    <row r="21" customFormat="false" ht="12.95" hidden="false" customHeight="true" outlineLevel="0" collapsed="false">
      <c r="A21" s="10" t="n">
        <f aca="false">A20+1</f>
        <v>7</v>
      </c>
      <c r="B21" s="106" t="n">
        <v>6870.38</v>
      </c>
      <c r="C21" s="107" t="n">
        <v>188822</v>
      </c>
      <c r="D21" s="103" t="n">
        <f aca="false">C21-C20</f>
        <v>107</v>
      </c>
      <c r="E21" s="94" t="n">
        <f aca="false">C21-152000</f>
        <v>36822</v>
      </c>
      <c r="F21" s="141" t="n">
        <f aca="false">D21/$D$2</f>
        <v>53.9450466347366</v>
      </c>
      <c r="G21" s="134" t="n">
        <v>138</v>
      </c>
      <c r="H21" s="134" t="n">
        <v>0.63</v>
      </c>
      <c r="I21" s="134" t="n">
        <f aca="false">G21+H21</f>
        <v>138.63</v>
      </c>
      <c r="J21" s="368" t="n">
        <f aca="false">IF(L21&gt;0,L21,0)</f>
        <v>19.5150466347366</v>
      </c>
      <c r="K21" s="134" t="n">
        <f aca="false">I21+J21</f>
        <v>158.145046634737</v>
      </c>
      <c r="L21" s="134" t="n">
        <f aca="false">F21-(I21-AK21)</f>
        <v>19.5150466347366</v>
      </c>
      <c r="M21" s="137" t="n">
        <v>36.6</v>
      </c>
      <c r="N21" s="158" t="n">
        <v>0</v>
      </c>
      <c r="O21" s="369" t="n">
        <f aca="false">34.6791666666667*1.05</f>
        <v>36.413125</v>
      </c>
      <c r="P21" s="83" t="n">
        <v>0</v>
      </c>
      <c r="Q21" s="338" t="n">
        <f aca="false">1260700/325851/1.9835*1.02</f>
        <v>1.98957658728834</v>
      </c>
      <c r="R21" s="131" t="n">
        <f aca="false">(2.3*1.04)-T21</f>
        <v>1.87750992</v>
      </c>
      <c r="S21" s="131" t="n">
        <v>0</v>
      </c>
      <c r="T21" s="131" t="n">
        <f aca="false">(0.4667*1.06)*1.04</f>
        <v>0.51449008</v>
      </c>
      <c r="U21" s="357" t="n">
        <v>0</v>
      </c>
      <c r="V21" s="134" t="n">
        <v>37.5</v>
      </c>
      <c r="W21" s="134" t="n">
        <v>0</v>
      </c>
      <c r="X21" s="135" t="n">
        <f aca="false">M21-N21-O21-P21-Q21-R21-S21-T21-U21+V21+W21-AT21</f>
        <v>33.3052984127116</v>
      </c>
      <c r="Y21" s="135" t="n">
        <f aca="false">X21-AO21</f>
        <v>33.3052984127116</v>
      </c>
      <c r="Z21" s="107" t="n">
        <f aca="false">Z20</f>
        <v>0</v>
      </c>
      <c r="AA21" s="135"/>
      <c r="AB21" s="107" t="n">
        <f aca="false">IF(I21&lt;800,((I21-AN21-AP21)-(Q21+R21+AF21))*1.9835+AB20,((795-AN21-AP21)*1.9835+AB20))</f>
        <v>134.641095022359</v>
      </c>
      <c r="AC21" s="146" t="n">
        <f aca="false">AC20+AP21-(AQ20/1.9835)</f>
        <v>308.841444218406</v>
      </c>
      <c r="AD21" s="97"/>
      <c r="AE21" s="134" t="n">
        <v>0</v>
      </c>
      <c r="AF21" s="137" t="n">
        <v>1.7</v>
      </c>
      <c r="AG21" s="138" t="n">
        <v>1.3</v>
      </c>
      <c r="AH21" s="134" t="n">
        <v>30.1</v>
      </c>
      <c r="AI21" s="80" t="n">
        <f aca="false">AI20-AH21</f>
        <v>6183.23684762419</v>
      </c>
      <c r="AJ21" s="97"/>
      <c r="AK21" s="134" t="n">
        <f aca="false">N21+O21+P21+Q21+R21+S21+T21+U21+X21+AE21+AH21</f>
        <v>104.2</v>
      </c>
      <c r="AL21" s="134" t="n">
        <f aca="false">IF(L21&lt;0,L21*-1,0)</f>
        <v>0</v>
      </c>
      <c r="AM21" s="369" t="n">
        <f aca="false">AK21+AL21</f>
        <v>104.2</v>
      </c>
      <c r="AN21" s="213" t="n">
        <f aca="false">V21</f>
        <v>37.5</v>
      </c>
      <c r="AO21" s="97"/>
      <c r="AP21" s="146" t="n">
        <f aca="false">I21-Q21-R21-X21-AF21</f>
        <v>99.75761508</v>
      </c>
      <c r="AQ21" s="147" t="n">
        <f aca="false">27.495*(Z21*1.9835+AC21*1.9835)/E21</f>
        <v>0.457418925959351</v>
      </c>
      <c r="AR21" s="147"/>
      <c r="AS21" s="101"/>
      <c r="AT21" s="11" t="n">
        <v>0</v>
      </c>
      <c r="AU21" s="1"/>
      <c r="AV21" s="102" t="n">
        <v>0</v>
      </c>
      <c r="AW21" s="103" t="n">
        <v>66</v>
      </c>
      <c r="AX21" s="103" t="n">
        <v>34</v>
      </c>
      <c r="AY21" s="294"/>
      <c r="AZ21" s="250" t="n">
        <f aca="false">SUM(N21,P21:U21)</f>
        <v>4.38157658728834</v>
      </c>
    </row>
    <row r="22" customFormat="false" ht="12.95" hidden="false" customHeight="true" outlineLevel="0" collapsed="false">
      <c r="A22" s="10" t="n">
        <f aca="false">A21+1</f>
        <v>8</v>
      </c>
      <c r="B22" s="106" t="n">
        <v>6870.4</v>
      </c>
      <c r="C22" s="107" t="n">
        <v>188875</v>
      </c>
      <c r="D22" s="103" t="n">
        <f aca="false">C22-C21</f>
        <v>53</v>
      </c>
      <c r="E22" s="94" t="n">
        <f aca="false">C22-152000</f>
        <v>36875</v>
      </c>
      <c r="F22" s="141" t="n">
        <f aca="false">D22/$D$2</f>
        <v>26.7204436601966</v>
      </c>
      <c r="G22" s="134" t="n">
        <v>145</v>
      </c>
      <c r="H22" s="134" t="n">
        <v>0.98</v>
      </c>
      <c r="I22" s="134" t="n">
        <f aca="false">G22+H22</f>
        <v>145.98</v>
      </c>
      <c r="J22" s="368" t="n">
        <f aca="false">IF(L22&gt;0,L22,0)</f>
        <v>0</v>
      </c>
      <c r="K22" s="134" t="n">
        <f aca="false">I22+J22</f>
        <v>145.98</v>
      </c>
      <c r="L22" s="134" t="n">
        <f aca="false">F22-(I22-AK22)</f>
        <v>-11.6595563398034</v>
      </c>
      <c r="M22" s="137" t="n">
        <v>40</v>
      </c>
      <c r="N22" s="158" t="n">
        <v>0</v>
      </c>
      <c r="O22" s="369" t="n">
        <f aca="false">32.4770833333333*1.05</f>
        <v>34.1009375</v>
      </c>
      <c r="P22" s="83" t="n">
        <v>0</v>
      </c>
      <c r="Q22" s="338" t="n">
        <f aca="false">949800/325851/1.9835*1.02</f>
        <v>1.49892904149002</v>
      </c>
      <c r="R22" s="131" t="n">
        <f aca="false">(2.3*1.04)-T22</f>
        <v>1.87750992</v>
      </c>
      <c r="S22" s="131" t="n">
        <v>0</v>
      </c>
      <c r="T22" s="131" t="n">
        <f aca="false">(0.4667*1.06)*1.04</f>
        <v>0.51449008</v>
      </c>
      <c r="U22" s="357" t="n">
        <v>0</v>
      </c>
      <c r="V22" s="134" t="n">
        <v>37.5</v>
      </c>
      <c r="W22" s="134" t="n">
        <v>0</v>
      </c>
      <c r="X22" s="135" t="n">
        <f aca="false">M22-N22-O22-P22-Q22-R22-S22-T22-U22+V22+W22-AT22</f>
        <v>39.50813345851</v>
      </c>
      <c r="Y22" s="135" t="n">
        <f aca="false">X22-AO22</f>
        <v>39.50813345851</v>
      </c>
      <c r="Z22" s="107" t="n">
        <f aca="false">Z21</f>
        <v>0</v>
      </c>
      <c r="AA22" s="135"/>
      <c r="AB22" s="107" t="n">
        <f aca="false">IF(I22&lt;800,((I22-AN22-AP22)-(Q22+R22+AF22))*1.9835+AB21,((795-AN22-AP22)*1.9835+AB21))</f>
        <v>138.624227737313</v>
      </c>
      <c r="AC22" s="146" t="n">
        <f aca="false">AC21+AP22-(AQ21/1.9835)</f>
        <v>410.006259786327</v>
      </c>
      <c r="AD22" s="97"/>
      <c r="AE22" s="134" t="n">
        <v>0</v>
      </c>
      <c r="AF22" s="137" t="n">
        <v>1.7</v>
      </c>
      <c r="AG22" s="138" t="n">
        <v>1.3</v>
      </c>
      <c r="AH22" s="134" t="n">
        <v>30.1</v>
      </c>
      <c r="AI22" s="80" t="n">
        <f aca="false">AI21-AH22</f>
        <v>6153.13684762419</v>
      </c>
      <c r="AJ22" s="97"/>
      <c r="AK22" s="134" t="n">
        <f aca="false">N22+O22+P22+Q22+R22+S22+T22+U22+X22+AE22+AH22</f>
        <v>107.6</v>
      </c>
      <c r="AL22" s="134" t="n">
        <f aca="false">IF(L22&lt;0,L22*-1,0)</f>
        <v>11.6595563398034</v>
      </c>
      <c r="AM22" s="369" t="n">
        <f aca="false">AK22+AL22</f>
        <v>119.259556339803</v>
      </c>
      <c r="AN22" s="213" t="n">
        <f aca="false">V22</f>
        <v>37.5</v>
      </c>
      <c r="AO22" s="97"/>
      <c r="AP22" s="146" t="n">
        <f aca="false">I22-Q22-R22-X22-AF22</f>
        <v>101.39542758</v>
      </c>
      <c r="AQ22" s="147" t="n">
        <f aca="false">11.029*(Z22*1.9835+AC22*1.9835)/E22</f>
        <v>0.24323541028394</v>
      </c>
      <c r="AR22" s="147"/>
      <c r="AS22" s="101"/>
      <c r="AT22" s="11" t="n">
        <v>0</v>
      </c>
      <c r="AU22" s="1"/>
      <c r="AV22" s="102" t="n">
        <v>0</v>
      </c>
      <c r="AW22" s="103" t="n">
        <v>65</v>
      </c>
      <c r="AX22" s="103" t="n">
        <v>31</v>
      </c>
      <c r="AY22" s="294"/>
      <c r="AZ22" s="250" t="n">
        <f aca="false">SUM(N22,P22:U22)</f>
        <v>3.89092904149002</v>
      </c>
    </row>
    <row r="23" customFormat="false" ht="12.95" hidden="false" customHeight="true" outlineLevel="0" collapsed="false">
      <c r="A23" s="10" t="n">
        <f aca="false">A22+1</f>
        <v>9</v>
      </c>
      <c r="B23" s="359" t="n">
        <v>6870.48</v>
      </c>
      <c r="C23" s="94" t="n">
        <v>189090</v>
      </c>
      <c r="D23" s="103" t="n">
        <f aca="false">C23-C22</f>
        <v>215</v>
      </c>
      <c r="E23" s="94" t="n">
        <f aca="false">C23-152000</f>
        <v>37090</v>
      </c>
      <c r="F23" s="141" t="n">
        <f aca="false">D23/$D$2</f>
        <v>108.394252583816</v>
      </c>
      <c r="G23" s="134" t="n">
        <v>142</v>
      </c>
      <c r="H23" s="134" t="n">
        <v>1.4</v>
      </c>
      <c r="I23" s="134" t="n">
        <f aca="false">G23+H23</f>
        <v>143.4</v>
      </c>
      <c r="J23" s="368" t="n">
        <f aca="false">IF(L23&gt;0,L23,0)</f>
        <v>75.7942525838165</v>
      </c>
      <c r="K23" s="134" t="n">
        <f aca="false">I23+J23</f>
        <v>219.194252583816</v>
      </c>
      <c r="L23" s="134" t="n">
        <f aca="false">F23-(I23-AK23)</f>
        <v>75.7942525838165</v>
      </c>
      <c r="M23" s="137" t="n">
        <v>43.2</v>
      </c>
      <c r="N23" s="158" t="n">
        <v>0</v>
      </c>
      <c r="O23" s="369" t="n">
        <f aca="false">34.0052083333334*1.05</f>
        <v>35.7054687500001</v>
      </c>
      <c r="P23" s="83" t="n">
        <v>0</v>
      </c>
      <c r="Q23" s="338" t="n">
        <f aca="false">856800/325851/1.9835*1.02</f>
        <v>1.35216087886781</v>
      </c>
      <c r="R23" s="131" t="n">
        <f aca="false">(2.4*1.04)-T23</f>
        <v>1.98150992</v>
      </c>
      <c r="S23" s="131" t="n">
        <v>0</v>
      </c>
      <c r="T23" s="131" t="n">
        <f aca="false">(0.4667*1.06)*1.04</f>
        <v>0.51449008</v>
      </c>
      <c r="U23" s="357" t="n">
        <v>0</v>
      </c>
      <c r="V23" s="134" t="n">
        <v>37.5</v>
      </c>
      <c r="W23" s="134" t="n">
        <v>0</v>
      </c>
      <c r="X23" s="135" t="n">
        <f aca="false">M23-N23-O23-P23-Q23-R23-S23-T23-U23+V23+W23-AT23</f>
        <v>41.1463703711321</v>
      </c>
      <c r="Y23" s="135" t="n">
        <f aca="false">X23-AO23</f>
        <v>41.1463703711321</v>
      </c>
      <c r="Z23" s="107" t="n">
        <f aca="false">Z22</f>
        <v>0</v>
      </c>
      <c r="AA23" s="135"/>
      <c r="AB23" s="107" t="n">
        <f aca="false">IF(I23&lt;800,((I23-AN23-AP23)-(Q23+R23+AF23))*1.9835+AB22,((795-AN23-AP23)*1.9835+AB22))</f>
        <v>145.856803368454</v>
      </c>
      <c r="AC23" s="146" t="n">
        <f aca="false">AC22+AP23-(AQ22/1.9835)</f>
        <v>507.103589218654</v>
      </c>
      <c r="AD23" s="97"/>
      <c r="AE23" s="134" t="n">
        <v>0</v>
      </c>
      <c r="AF23" s="137" t="n">
        <v>1.7</v>
      </c>
      <c r="AG23" s="138" t="n">
        <v>1.3</v>
      </c>
      <c r="AH23" s="134" t="n">
        <v>30.1</v>
      </c>
      <c r="AI23" s="80" t="n">
        <f aca="false">AI22-AH23</f>
        <v>6123.03684762419</v>
      </c>
      <c r="AJ23" s="97"/>
      <c r="AK23" s="134" t="n">
        <f aca="false">N23+O23+P23+Q23+R23+S23+T23+U23+X23+AE23+AH23</f>
        <v>110.8</v>
      </c>
      <c r="AL23" s="134" t="n">
        <f aca="false">IF(L23&lt;0,L23*-1,0)</f>
        <v>0</v>
      </c>
      <c r="AM23" s="369" t="n">
        <f aca="false">AK23+AL23</f>
        <v>110.8</v>
      </c>
      <c r="AN23" s="213" t="n">
        <f aca="false">V23</f>
        <v>37.5</v>
      </c>
      <c r="AO23" s="97"/>
      <c r="AP23" s="146" t="n">
        <f aca="false">I23-Q23-R23-X23-AF23</f>
        <v>97.2199588300001</v>
      </c>
      <c r="AQ23" s="147" t="n">
        <f aca="false">34.18*(Z23*1.9835+AC23*1.9835)/E23</f>
        <v>0.926923972708966</v>
      </c>
      <c r="AR23" s="147"/>
      <c r="AS23" s="101"/>
      <c r="AT23" s="11" t="n">
        <v>0</v>
      </c>
      <c r="AU23" s="1"/>
      <c r="AV23" s="102" t="n">
        <v>0</v>
      </c>
      <c r="AW23" s="140" t="n">
        <v>43</v>
      </c>
      <c r="AX23" s="103" t="n">
        <v>24</v>
      </c>
      <c r="AY23" s="294"/>
      <c r="AZ23" s="250" t="n">
        <f aca="false">SUM(N23,P23:U23)</f>
        <v>3.84816087886781</v>
      </c>
    </row>
    <row r="24" customFormat="false" ht="12.95" hidden="false" customHeight="true" outlineLevel="0" collapsed="false">
      <c r="A24" s="10" t="n">
        <f aca="false">A23+1</f>
        <v>10</v>
      </c>
      <c r="B24" s="359" t="n">
        <v>6870.47</v>
      </c>
      <c r="C24" s="94" t="n">
        <v>189063</v>
      </c>
      <c r="D24" s="103" t="n">
        <f aca="false">C24-C23</f>
        <v>-27</v>
      </c>
      <c r="E24" s="94" t="n">
        <f aca="false">C24-152000</f>
        <v>37063</v>
      </c>
      <c r="F24" s="141" t="n">
        <f aca="false">D24/$D$2</f>
        <v>-13.61230148727</v>
      </c>
      <c r="G24" s="134" t="n">
        <v>111</v>
      </c>
      <c r="H24" s="134" t="n">
        <v>1.3</v>
      </c>
      <c r="I24" s="134" t="n">
        <f aca="false">G24+H24</f>
        <v>112.3</v>
      </c>
      <c r="J24" s="368" t="n">
        <f aca="false">IF(L24&gt;0,L24,0)</f>
        <v>0</v>
      </c>
      <c r="K24" s="134" t="n">
        <f aca="false">I24+J24</f>
        <v>112.3</v>
      </c>
      <c r="L24" s="134" t="n">
        <f aca="false">F24-(I24-AK24)</f>
        <v>-16.51230148727</v>
      </c>
      <c r="M24" s="137" t="n">
        <v>41.8</v>
      </c>
      <c r="N24" s="158" t="n">
        <v>0</v>
      </c>
      <c r="O24" s="369" t="n">
        <f aca="false">31.6710416666666*1.05</f>
        <v>33.2545937499999</v>
      </c>
      <c r="P24" s="83" t="n">
        <v>0</v>
      </c>
      <c r="Q24" s="338" t="n">
        <f aca="false">823800/325851/1.9835*1.02</f>
        <v>1.30008185342122</v>
      </c>
      <c r="R24" s="131" t="n">
        <f aca="false">(2.4*1.04)-T24</f>
        <v>1.98150992</v>
      </c>
      <c r="S24" s="131" t="n">
        <v>0</v>
      </c>
      <c r="T24" s="131" t="n">
        <f aca="false">(0.4667*1.06)*1.04</f>
        <v>0.51449008</v>
      </c>
      <c r="U24" s="357" t="n">
        <v>0</v>
      </c>
      <c r="V24" s="134" t="n">
        <v>37.5</v>
      </c>
      <c r="W24" s="134" t="n">
        <v>0</v>
      </c>
      <c r="X24" s="135" t="n">
        <f aca="false">M24-N24-O24-P24-Q24-R24-S24-T24-U24+V24+W24-AT24</f>
        <v>42.2493243965788</v>
      </c>
      <c r="Y24" s="135" t="n">
        <f aca="false">X24-AO24</f>
        <v>42.2493243965788</v>
      </c>
      <c r="Z24" s="107" t="n">
        <f aca="false">Z23</f>
        <v>0</v>
      </c>
      <c r="AA24" s="135"/>
      <c r="AB24" s="107" t="n">
        <f aca="false">IF(I24&lt;800,((I24-AN24-AP24)-(Q24+R24+AF24))*1.9835+AB23,((795-AN24-AP24)*1.9835+AB23))</f>
        <v>155.277088309068</v>
      </c>
      <c r="AC24" s="146" t="n">
        <f aca="false">AC23+AP24-(AQ23/1.9835)</f>
        <v>571.705355694125</v>
      </c>
      <c r="AD24" s="97"/>
      <c r="AE24" s="134" t="n">
        <v>0</v>
      </c>
      <c r="AF24" s="137" t="n">
        <v>1.7</v>
      </c>
      <c r="AG24" s="138" t="n">
        <v>1.3</v>
      </c>
      <c r="AH24" s="134" t="n">
        <v>30.1</v>
      </c>
      <c r="AI24" s="80" t="n">
        <f aca="false">AI23-AH24</f>
        <v>6092.93684762419</v>
      </c>
      <c r="AJ24" s="97"/>
      <c r="AK24" s="134" t="n">
        <f aca="false">N24+O24+P24+Q24+R24+S24+T24+U24+X24+AE24+AH24</f>
        <v>109.4</v>
      </c>
      <c r="AL24" s="134" t="n">
        <f aca="false">IF(L24&lt;0,L24*-1,0)</f>
        <v>16.51230148727</v>
      </c>
      <c r="AM24" s="369" t="n">
        <f aca="false">AK24+AL24</f>
        <v>125.91230148727</v>
      </c>
      <c r="AN24" s="213" t="n">
        <f aca="false">V24</f>
        <v>37.5</v>
      </c>
      <c r="AO24" s="97"/>
      <c r="AP24" s="146" t="n">
        <f aca="false">I24-Q24-R24-X24-AF24</f>
        <v>65.0690838299999</v>
      </c>
      <c r="AQ24" s="147" t="n">
        <f aca="false">17.709*(Z24*1.9835+AC24*1.9835)/E24</f>
        <v>0.541823620338309</v>
      </c>
      <c r="AR24" s="147"/>
      <c r="AS24" s="101"/>
      <c r="AT24" s="11" t="n">
        <v>0</v>
      </c>
      <c r="AU24" s="1"/>
      <c r="AV24" s="102" t="n">
        <v>0</v>
      </c>
      <c r="AW24" s="103" t="n">
        <v>45</v>
      </c>
      <c r="AX24" s="103" t="n">
        <v>20</v>
      </c>
      <c r="AY24" s="294"/>
      <c r="AZ24" s="250" t="n">
        <f aca="false">SUM(N24,P24:U24)</f>
        <v>3.79608185342122</v>
      </c>
    </row>
    <row r="25" customFormat="false" ht="12.95" hidden="false" customHeight="true" outlineLevel="0" collapsed="false">
      <c r="A25" s="10" t="n">
        <f aca="false">A24+1</f>
        <v>11</v>
      </c>
      <c r="B25" s="359" t="n">
        <v>6870.48</v>
      </c>
      <c r="C25" s="94" t="n">
        <v>189090</v>
      </c>
      <c r="D25" s="103" t="n">
        <f aca="false">C25-C24</f>
        <v>27</v>
      </c>
      <c r="E25" s="94" t="n">
        <f aca="false">C25-152000</f>
        <v>37090</v>
      </c>
      <c r="F25" s="141" t="n">
        <f aca="false">D25/$D$2</f>
        <v>13.61230148727</v>
      </c>
      <c r="G25" s="134" t="n">
        <v>103</v>
      </c>
      <c r="H25" s="134" t="n">
        <v>1.1</v>
      </c>
      <c r="I25" s="134" t="n">
        <f aca="false">G25+H25</f>
        <v>104.1</v>
      </c>
      <c r="J25" s="368" t="n">
        <f aca="false">IF(L25&gt;0,L25,0)</f>
        <v>22.51230148727</v>
      </c>
      <c r="K25" s="134" t="n">
        <f aca="false">I25+J25</f>
        <v>126.61230148727</v>
      </c>
      <c r="L25" s="134" t="n">
        <f aca="false">F25-(I25-AK25)</f>
        <v>22.51230148727</v>
      </c>
      <c r="M25" s="137" t="n">
        <v>45.4</v>
      </c>
      <c r="N25" s="158" t="n">
        <v>0</v>
      </c>
      <c r="O25" s="369" t="n">
        <f aca="false">27.253125*1.05</f>
        <v>28.61578125</v>
      </c>
      <c r="P25" s="83" t="n">
        <v>0</v>
      </c>
      <c r="Q25" s="338" t="n">
        <f aca="false">933100/325851/1.9835*1.02</f>
        <v>1.47257389830947</v>
      </c>
      <c r="R25" s="131" t="n">
        <f aca="false">(2.4*1.04)-T25</f>
        <v>1.98150992</v>
      </c>
      <c r="S25" s="131" t="n">
        <v>0</v>
      </c>
      <c r="T25" s="131" t="n">
        <f aca="false">(0.4667*1.06)*1.04</f>
        <v>0.51449008</v>
      </c>
      <c r="U25" s="357" t="n">
        <v>0</v>
      </c>
      <c r="V25" s="134" t="n">
        <v>37.5</v>
      </c>
      <c r="W25" s="134" t="n">
        <v>0</v>
      </c>
      <c r="X25" s="135" t="n">
        <f aca="false">M25-N25-O25-P25-Q25-R25-S25-T25-U25+V25+W25-AT25</f>
        <v>50.3156448516905</v>
      </c>
      <c r="Y25" s="135" t="n">
        <f aca="false">X25-AO25</f>
        <v>50.3156448516905</v>
      </c>
      <c r="Z25" s="107" t="n">
        <f aca="false">Z24</f>
        <v>0</v>
      </c>
      <c r="AA25" s="135"/>
      <c r="AB25" s="107" t="n">
        <f aca="false">IF(I25&lt;800,((I25-AN25-AP25)-(Q25+R25+AF25))*1.9835+AB24,((795-AN25-AP25)*1.9835+AB24))</f>
        <v>180.696919872396</v>
      </c>
      <c r="AC25" s="146" t="n">
        <f aca="false">AC24+AP25-(AQ24/1.9835)</f>
        <v>620.0624615992</v>
      </c>
      <c r="AD25" s="97"/>
      <c r="AE25" s="134" t="n">
        <v>0</v>
      </c>
      <c r="AF25" s="137" t="n">
        <v>1.7</v>
      </c>
      <c r="AG25" s="138" t="n">
        <v>1.3</v>
      </c>
      <c r="AH25" s="134" t="n">
        <v>30.1</v>
      </c>
      <c r="AI25" s="80" t="n">
        <f aca="false">AI24-AH25</f>
        <v>6062.83684762419</v>
      </c>
      <c r="AJ25" s="97"/>
      <c r="AK25" s="134" t="n">
        <f aca="false">N25+O25+P25+Q25+R25+S25+T25+U25+X25+AE25+AH25</f>
        <v>113</v>
      </c>
      <c r="AL25" s="134" t="n">
        <f aca="false">IF(L25&lt;0,L25*-1,0)</f>
        <v>0</v>
      </c>
      <c r="AM25" s="369" t="n">
        <f aca="false">AK25+AL25</f>
        <v>113</v>
      </c>
      <c r="AN25" s="213" t="n">
        <f aca="false">V25</f>
        <v>37.5</v>
      </c>
      <c r="AO25" s="97"/>
      <c r="AP25" s="146" t="n">
        <f aca="false">I25-Q25-R25-X25-AF25</f>
        <v>48.63027133</v>
      </c>
      <c r="AQ25" s="147" t="n">
        <f aca="false">8.233*(Z25*1.9835+AC25*1.9835)/E25</f>
        <v>0.273003947630836</v>
      </c>
      <c r="AR25" s="147"/>
      <c r="AS25" s="101"/>
      <c r="AT25" s="11" t="n">
        <v>0</v>
      </c>
      <c r="AU25" s="1"/>
      <c r="AV25" s="102" t="n">
        <v>0</v>
      </c>
      <c r="AW25" s="103" t="n">
        <v>56</v>
      </c>
      <c r="AX25" s="103" t="n">
        <v>24</v>
      </c>
      <c r="AY25" s="294"/>
      <c r="AZ25" s="250" t="n">
        <f aca="false">SUM(N25,P25:U25)</f>
        <v>3.96857389830947</v>
      </c>
    </row>
    <row r="26" customFormat="false" ht="12.95" hidden="false" customHeight="true" outlineLevel="0" collapsed="false">
      <c r="A26" s="10" t="n">
        <f aca="false">A25+1</f>
        <v>12</v>
      </c>
      <c r="B26" s="359" t="n">
        <v>6870.45</v>
      </c>
      <c r="C26" s="94" t="n">
        <v>189010</v>
      </c>
      <c r="D26" s="103" t="n">
        <f aca="false">C26-C25</f>
        <v>-80</v>
      </c>
      <c r="E26" s="94" t="n">
        <f aca="false">C26-152000</f>
        <v>37010</v>
      </c>
      <c r="F26" s="141" t="n">
        <f aca="false">D26/$D$2</f>
        <v>-40.3327451474666</v>
      </c>
      <c r="G26" s="134" t="n">
        <v>94</v>
      </c>
      <c r="H26" s="134" t="n">
        <v>1.1</v>
      </c>
      <c r="I26" s="134" t="n">
        <f aca="false">G26+H26</f>
        <v>95.1</v>
      </c>
      <c r="J26" s="368" t="n">
        <f aca="false">IF(L26&gt;0,L26,0)</f>
        <v>0</v>
      </c>
      <c r="K26" s="134" t="n">
        <f aca="false">I26+J26</f>
        <v>95.1</v>
      </c>
      <c r="L26" s="134" t="n">
        <f aca="false">F26-(I26-AK26)</f>
        <v>-1.53274514746659</v>
      </c>
      <c r="M26" s="137" t="n">
        <v>66.3</v>
      </c>
      <c r="N26" s="158" t="n">
        <v>0</v>
      </c>
      <c r="O26" s="369" t="n">
        <f aca="false">44.3416666666667*1.05</f>
        <v>46.55875</v>
      </c>
      <c r="P26" s="83" t="n">
        <v>0</v>
      </c>
      <c r="Q26" s="338" t="n">
        <f aca="false">1032000/325851/1.9835*1.02</f>
        <v>1.62865315942061</v>
      </c>
      <c r="R26" s="131" t="n">
        <f aca="false">(2.6*1.04)-T26</f>
        <v>2.10363296</v>
      </c>
      <c r="S26" s="131" t="n">
        <v>0</v>
      </c>
      <c r="T26" s="131" t="n">
        <f aca="false">(0.5446*1.06)*1.04</f>
        <v>0.60036704</v>
      </c>
      <c r="U26" s="357" t="n">
        <v>0</v>
      </c>
      <c r="V26" s="134" t="n">
        <v>37.5</v>
      </c>
      <c r="W26" s="134" t="n">
        <v>0</v>
      </c>
      <c r="X26" s="135" t="n">
        <f aca="false">M26-N26-O26-P26-Q26-R26-S26-T26-U26+V26+W26-AT26</f>
        <v>52.9085968405794</v>
      </c>
      <c r="Y26" s="135" t="n">
        <f aca="false">X26-AO26</f>
        <v>52.9085968405794</v>
      </c>
      <c r="Z26" s="107" t="n">
        <f aca="false">Z25</f>
        <v>0</v>
      </c>
      <c r="AA26" s="135"/>
      <c r="AB26" s="107" t="n">
        <f aca="false">IF(I26&lt;800,((I26-AN26-AP26)-(Q26+R26+AF26))*1.9835+AB25,((795-AN26-AP26)*1.9835+AB25))</f>
        <v>211.259871705685</v>
      </c>
      <c r="AC26" s="146" t="n">
        <f aca="false">AC25+AP26-(AQ25/1.9835)</f>
        <v>656.68394115615</v>
      </c>
      <c r="AD26" s="97"/>
      <c r="AE26" s="134" t="n">
        <v>0</v>
      </c>
      <c r="AF26" s="137" t="n">
        <v>1.7</v>
      </c>
      <c r="AG26" s="138" t="n">
        <v>1.3</v>
      </c>
      <c r="AH26" s="134" t="n">
        <v>30.1</v>
      </c>
      <c r="AI26" s="80" t="n">
        <f aca="false">AI25-AH26</f>
        <v>6032.73684762419</v>
      </c>
      <c r="AJ26" s="97"/>
      <c r="AK26" s="134" t="n">
        <f aca="false">N26+O26+P26+Q26+R26+S26+T26+U26+X26+AE26+AH26</f>
        <v>133.9</v>
      </c>
      <c r="AL26" s="134" t="n">
        <f aca="false">IF(L26&lt;0,L26*-1,0)</f>
        <v>1.53274514746659</v>
      </c>
      <c r="AM26" s="369" t="n">
        <f aca="false">AK26+AL26</f>
        <v>135.432745147467</v>
      </c>
      <c r="AN26" s="213" t="n">
        <f aca="false">V26</f>
        <v>37.5</v>
      </c>
      <c r="AO26" s="97"/>
      <c r="AP26" s="146" t="n">
        <f aca="false">I26-Q26-R26-X26-AF26</f>
        <v>36.75911704</v>
      </c>
      <c r="AQ26" s="147" t="n">
        <f aca="false">23.146*(Z26*1.9835+AC26*1.9835)/E26</f>
        <v>0.81460198586105</v>
      </c>
      <c r="AR26" s="147"/>
      <c r="AS26" s="101"/>
      <c r="AT26" s="11" t="n">
        <v>0</v>
      </c>
      <c r="AU26" s="1"/>
      <c r="AV26" s="102" t="n">
        <v>0</v>
      </c>
      <c r="AW26" s="103" t="n">
        <v>64</v>
      </c>
      <c r="AX26" s="103" t="n">
        <v>28</v>
      </c>
      <c r="AY26" s="294"/>
      <c r="AZ26" s="250" t="n">
        <f aca="false">SUM(N26,P26:U26)</f>
        <v>4.33265315942061</v>
      </c>
    </row>
    <row r="27" customFormat="false" ht="12.95" hidden="false" customHeight="true" outlineLevel="0" collapsed="false">
      <c r="A27" s="10" t="n">
        <f aca="false">A26+1</f>
        <v>13</v>
      </c>
      <c r="B27" s="359" t="n">
        <v>6870.47</v>
      </c>
      <c r="C27" s="94" t="n">
        <v>189063</v>
      </c>
      <c r="D27" s="103" t="n">
        <f aca="false">C27-C26</f>
        <v>53</v>
      </c>
      <c r="E27" s="94" t="n">
        <f aca="false">C27-152000</f>
        <v>37063</v>
      </c>
      <c r="F27" s="141" t="n">
        <f aca="false">D27/$D$2</f>
        <v>26.7204436601966</v>
      </c>
      <c r="G27" s="134" t="n">
        <v>103</v>
      </c>
      <c r="H27" s="134" t="n">
        <v>1.1</v>
      </c>
      <c r="I27" s="134" t="n">
        <f aca="false">G27+H27</f>
        <v>104.1</v>
      </c>
      <c r="J27" s="368" t="n">
        <f aca="false">IF(L27&gt;0,L27,0)</f>
        <v>48.7204436601966</v>
      </c>
      <c r="K27" s="134" t="n">
        <f aca="false">I27+J27</f>
        <v>152.820443660197</v>
      </c>
      <c r="L27" s="134" t="n">
        <f aca="false">F27-(I27-AK27)</f>
        <v>48.7204436601966</v>
      </c>
      <c r="M27" s="137" t="n">
        <v>58.5</v>
      </c>
      <c r="N27" s="158" t="n">
        <v>0</v>
      </c>
      <c r="O27" s="369" t="n">
        <f aca="false">43.375*1.05</f>
        <v>45.54375</v>
      </c>
      <c r="P27" s="83" t="n">
        <v>0</v>
      </c>
      <c r="Q27" s="338" t="n">
        <f aca="false">1095000/325851/1.9835*1.02</f>
        <v>1.72807675345501</v>
      </c>
      <c r="R27" s="131" t="n">
        <f aca="false">(2.6*1.04)-T27</f>
        <v>2.10363296</v>
      </c>
      <c r="S27" s="131" t="n">
        <v>0</v>
      </c>
      <c r="T27" s="131" t="n">
        <f aca="false">(0.5446*1.06)*1.04</f>
        <v>0.60036704</v>
      </c>
      <c r="U27" s="357" t="n">
        <v>0</v>
      </c>
      <c r="V27" s="134" t="n">
        <v>37.5</v>
      </c>
      <c r="W27" s="134" t="n">
        <v>0</v>
      </c>
      <c r="X27" s="135" t="n">
        <f aca="false">M27-N27-O27-P27-Q27-R27-S27-T27-U27+V27+W27-AT27</f>
        <v>46.024173246545</v>
      </c>
      <c r="Y27" s="135" t="n">
        <f aca="false">X27-AO27</f>
        <v>46.024173246545</v>
      </c>
      <c r="Z27" s="107" t="n">
        <f aca="false">Z26</f>
        <v>0</v>
      </c>
      <c r="AA27" s="135"/>
      <c r="AB27" s="107" t="n">
        <f aca="false">IF(I27&lt;800,((I27-AN27-AP27)-(Q27+R27+AF27))*1.9835+AB26,((795-AN27-AP27)*1.9835+AB26))</f>
        <v>228.167569340207</v>
      </c>
      <c r="AC27" s="146" t="n">
        <f aca="false">AC26+AP27-(AQ26/1.9835)</f>
        <v>708.817369017495</v>
      </c>
      <c r="AD27" s="97"/>
      <c r="AE27" s="134" t="n">
        <v>0</v>
      </c>
      <c r="AF27" s="137" t="n">
        <v>1.7</v>
      </c>
      <c r="AG27" s="138" t="n">
        <v>1.3</v>
      </c>
      <c r="AH27" s="134" t="n">
        <v>30.1</v>
      </c>
      <c r="AI27" s="80" t="n">
        <f aca="false">AI26-AH27</f>
        <v>6002.63684762419</v>
      </c>
      <c r="AJ27" s="97"/>
      <c r="AK27" s="134" t="n">
        <f aca="false">N27+O27+P27+Q27+R27+S27+T27+U27+X27+AE27+AH27</f>
        <v>126.1</v>
      </c>
      <c r="AL27" s="134" t="n">
        <f aca="false">IF(L27&lt;0,L27*-1,0)</f>
        <v>0</v>
      </c>
      <c r="AM27" s="369" t="n">
        <f aca="false">AK27+AL27</f>
        <v>126.1</v>
      </c>
      <c r="AN27" s="213" t="n">
        <f aca="false">V27</f>
        <v>37.5</v>
      </c>
      <c r="AO27" s="97"/>
      <c r="AP27" s="146" t="n">
        <f aca="false">I27-Q27-R27-X27-AF27</f>
        <v>52.54411704</v>
      </c>
      <c r="AQ27" s="147" t="n">
        <f aca="false">29.36*(Z27*1.9835+AC27*1.9835)/E27</f>
        <v>1.11373543486659</v>
      </c>
      <c r="AR27" s="147"/>
      <c r="AS27" s="101"/>
      <c r="AT27" s="11" t="n">
        <v>0</v>
      </c>
      <c r="AU27" s="1"/>
      <c r="AV27" s="102" t="n">
        <v>0</v>
      </c>
      <c r="AW27" s="103" t="n">
        <v>66</v>
      </c>
      <c r="AX27" s="103" t="n">
        <v>30</v>
      </c>
      <c r="AY27" s="294"/>
      <c r="AZ27" s="250" t="n">
        <f aca="false">SUM(N27,P27:U27)</f>
        <v>4.43207675345501</v>
      </c>
    </row>
    <row r="28" customFormat="false" ht="12.95" hidden="false" customHeight="true" outlineLevel="0" collapsed="false">
      <c r="A28" s="10" t="n">
        <f aca="false">A27+1</f>
        <v>14</v>
      </c>
      <c r="B28" s="359" t="n">
        <v>6870.51</v>
      </c>
      <c r="C28" s="94" t="n">
        <v>189170</v>
      </c>
      <c r="D28" s="103" t="n">
        <f aca="false">C28-C27</f>
        <v>107</v>
      </c>
      <c r="E28" s="94" t="n">
        <f aca="false">C28-152000</f>
        <v>37170</v>
      </c>
      <c r="F28" s="141" t="n">
        <f aca="false">D28/$D$2</f>
        <v>53.9450466347366</v>
      </c>
      <c r="G28" s="134" t="n">
        <v>139</v>
      </c>
      <c r="H28" s="134" t="n">
        <v>1.1</v>
      </c>
      <c r="I28" s="134" t="n">
        <f aca="false">G28+H28</f>
        <v>140.1</v>
      </c>
      <c r="J28" s="368" t="n">
        <f aca="false">IF(L28&gt;0,L28,0)</f>
        <v>32.2450466347366</v>
      </c>
      <c r="K28" s="134" t="n">
        <f aca="false">I28+J28</f>
        <v>172.345046634737</v>
      </c>
      <c r="L28" s="134" t="n">
        <f aca="false">F28-(I28-AK28)</f>
        <v>32.2450466347366</v>
      </c>
      <c r="M28" s="137" t="n">
        <v>50.8</v>
      </c>
      <c r="N28" s="158" t="n">
        <v>0</v>
      </c>
      <c r="O28" s="369" t="n">
        <f aca="false">40.8333333333333*1.05</f>
        <v>42.875</v>
      </c>
      <c r="P28" s="83" t="n">
        <v>0</v>
      </c>
      <c r="Q28" s="338" t="n">
        <f aca="false">1047900/325851/1.9835*1.02</f>
        <v>1.65374578077215</v>
      </c>
      <c r="R28" s="131" t="n">
        <f aca="false">(2.6*1.04)-T28</f>
        <v>2.10363296</v>
      </c>
      <c r="S28" s="131" t="n">
        <v>0</v>
      </c>
      <c r="T28" s="131" t="n">
        <f aca="false">(0.5446*1.06)*1.04</f>
        <v>0.60036704</v>
      </c>
      <c r="U28" s="357" t="n">
        <v>0</v>
      </c>
      <c r="V28" s="134" t="n">
        <v>37.5</v>
      </c>
      <c r="W28" s="134" t="n">
        <v>0</v>
      </c>
      <c r="X28" s="135" t="n">
        <f aca="false">M28-N28-O28-P28-Q28-R28-S28-T28-U28+V28+W28-AT28</f>
        <v>41.0672542192279</v>
      </c>
      <c r="Y28" s="135" t="n">
        <f aca="false">X28-AO28</f>
        <v>41.0672542192279</v>
      </c>
      <c r="Z28" s="107" t="n">
        <f aca="false">Z27</f>
        <v>0</v>
      </c>
      <c r="AA28" s="135"/>
      <c r="AB28" s="107" t="n">
        <f aca="false">IF(I28&lt;800,((I28-AN28-AP28)-(Q28+R28+AF28))*1.9835+AB27,((795-AN28-AP28)*1.9835+AB27))</f>
        <v>235.243218084046</v>
      </c>
      <c r="AC28" s="146" t="n">
        <f aca="false">AC27+AP28-(AQ27/1.9835)</f>
        <v>801.831235964293</v>
      </c>
      <c r="AD28" s="97"/>
      <c r="AE28" s="134" t="n">
        <v>0</v>
      </c>
      <c r="AF28" s="137" t="n">
        <v>1.7</v>
      </c>
      <c r="AG28" s="138" t="n">
        <v>1.3</v>
      </c>
      <c r="AH28" s="134" t="n">
        <v>30.1</v>
      </c>
      <c r="AI28" s="80" t="n">
        <f aca="false">AI27-AH28</f>
        <v>5972.53684762419</v>
      </c>
      <c r="AJ28" s="97"/>
      <c r="AK28" s="134" t="n">
        <f aca="false">N28+O28+P28+Q28+R28+S28+T28+U28+X28+AE28+AH28</f>
        <v>118.4</v>
      </c>
      <c r="AL28" s="134" t="n">
        <f aca="false">IF(L28&lt;0,L28*-1,0)</f>
        <v>0</v>
      </c>
      <c r="AM28" s="369" t="n">
        <f aca="false">AK28+AL28</f>
        <v>118.4</v>
      </c>
      <c r="AN28" s="213" t="n">
        <f aca="false">V28</f>
        <v>37.5</v>
      </c>
      <c r="AO28" s="97"/>
      <c r="AP28" s="146" t="n">
        <f aca="false">I28-Q28-R28-X28-AF28</f>
        <v>93.57536704</v>
      </c>
      <c r="AQ28" s="147" t="n">
        <f aca="false">30.229*(Z28*1.9835+AC28*1.9835)/E28</f>
        <v>1.29344031968797</v>
      </c>
      <c r="AR28" s="147"/>
      <c r="AS28" s="101"/>
      <c r="AT28" s="11" t="n">
        <v>0</v>
      </c>
      <c r="AU28" s="1"/>
      <c r="AV28" s="102" t="n">
        <v>0</v>
      </c>
      <c r="AW28" s="140" t="n">
        <v>62</v>
      </c>
      <c r="AX28" s="103" t="n">
        <v>39</v>
      </c>
      <c r="AY28" s="294"/>
      <c r="AZ28" s="250" t="n">
        <f aca="false">SUM(N28,P28:U28)</f>
        <v>4.35774578077215</v>
      </c>
    </row>
    <row r="29" customFormat="false" ht="12.95" hidden="false" customHeight="true" outlineLevel="0" collapsed="false">
      <c r="A29" s="10" t="n">
        <f aca="false">A28+1</f>
        <v>15</v>
      </c>
      <c r="B29" s="359" t="n">
        <v>6870.57</v>
      </c>
      <c r="C29" s="94" t="n">
        <v>189331</v>
      </c>
      <c r="D29" s="103" t="n">
        <f aca="false">C29-C28</f>
        <v>161</v>
      </c>
      <c r="E29" s="94" t="n">
        <f aca="false">C29-152000</f>
        <v>37331</v>
      </c>
      <c r="F29" s="141" t="n">
        <f aca="false">D29/$D$2</f>
        <v>81.1696496092765</v>
      </c>
      <c r="G29" s="134" t="n">
        <v>163</v>
      </c>
      <c r="H29" s="134" t="n">
        <v>1.1</v>
      </c>
      <c r="I29" s="134" t="n">
        <f aca="false">G29+H29</f>
        <v>164.1</v>
      </c>
      <c r="J29" s="368" t="n">
        <f aca="false">IF(L29&gt;0,L29,0)</f>
        <v>30.4696496092765</v>
      </c>
      <c r="K29" s="134" t="n">
        <f aca="false">I29+J29</f>
        <v>194.569649609277</v>
      </c>
      <c r="L29" s="134" t="n">
        <f aca="false">F29-(I29-AK29)</f>
        <v>30.4696496092765</v>
      </c>
      <c r="M29" s="137" t="n">
        <v>50.8</v>
      </c>
      <c r="N29" s="158" t="n">
        <v>0</v>
      </c>
      <c r="O29" s="369" t="n">
        <f aca="false">38.8729166666666*1.05</f>
        <v>40.8165624999999</v>
      </c>
      <c r="P29" s="83" t="n">
        <v>0</v>
      </c>
      <c r="Q29" s="338" t="n">
        <f aca="false">1005600/325851/1.9835*1.02</f>
        <v>1.58698993906334</v>
      </c>
      <c r="R29" s="131" t="n">
        <f aca="false">(2.6*1.04)-T29</f>
        <v>2.10363296</v>
      </c>
      <c r="S29" s="131" t="n">
        <v>0</v>
      </c>
      <c r="T29" s="131" t="n">
        <f aca="false">(0.5446*1.06)*1.04</f>
        <v>0.60036704</v>
      </c>
      <c r="U29" s="357" t="n">
        <v>0</v>
      </c>
      <c r="V29" s="134" t="n">
        <v>37.6</v>
      </c>
      <c r="W29" s="134" t="n">
        <v>0</v>
      </c>
      <c r="X29" s="135" t="n">
        <f aca="false">M29-N29-O29-P29-Q29-R29-S29-T29-U29+V29+W29-AT29</f>
        <v>43.2924475609367</v>
      </c>
      <c r="Y29" s="135" t="n">
        <f aca="false">X29-AO29</f>
        <v>43.2924475609367</v>
      </c>
      <c r="Z29" s="107" t="n">
        <f aca="false">Z28</f>
        <v>0</v>
      </c>
      <c r="AA29" s="135"/>
      <c r="AB29" s="107" t="n">
        <f aca="false">IF(I29&lt;800,((I29-AN29-AP29)-(Q29+R29+AF29))*1.9835+AB28,((795-AN29-AP29)*1.9835+AB28))</f>
        <v>246.534187821164</v>
      </c>
      <c r="AC29" s="146" t="n">
        <f aca="false">AC28+AP29-(AQ28/1.9835)</f>
        <v>916.596065519575</v>
      </c>
      <c r="AD29" s="97"/>
      <c r="AE29" s="134" t="n">
        <v>0</v>
      </c>
      <c r="AF29" s="137" t="n">
        <v>1.7</v>
      </c>
      <c r="AG29" s="138" t="n">
        <v>1.3</v>
      </c>
      <c r="AH29" s="134" t="n">
        <v>25</v>
      </c>
      <c r="AI29" s="80" t="n">
        <f aca="false">AI28-AH29</f>
        <v>5947.53684762419</v>
      </c>
      <c r="AJ29" s="97"/>
      <c r="AK29" s="134" t="n">
        <f aca="false">N29+O29+P29+Q29+R29+S29+T29+U29+X29+AE29+AH29</f>
        <v>113.4</v>
      </c>
      <c r="AL29" s="134" t="n">
        <f aca="false">IF(L29&lt;0,L29*-1,0)</f>
        <v>0</v>
      </c>
      <c r="AM29" s="369" t="n">
        <f aca="false">AK29+AL29</f>
        <v>113.4</v>
      </c>
      <c r="AN29" s="213" t="n">
        <f aca="false">V29</f>
        <v>37.6</v>
      </c>
      <c r="AO29" s="97"/>
      <c r="AP29" s="146" t="n">
        <f aca="false">I29-Q29-R29-X29-AF29</f>
        <v>115.41692954</v>
      </c>
      <c r="AQ29" s="147" t="n">
        <f aca="false">40.62*(Z29*1.9835+AC29*1.9835)/E29</f>
        <v>1.9782468774428</v>
      </c>
      <c r="AR29" s="147"/>
      <c r="AS29" s="101"/>
      <c r="AT29" s="11" t="n">
        <v>0</v>
      </c>
      <c r="AU29" s="1"/>
      <c r="AV29" s="102" t="n">
        <v>0</v>
      </c>
      <c r="AW29" s="140" t="n">
        <v>68</v>
      </c>
      <c r="AX29" s="103" t="n">
        <v>45</v>
      </c>
      <c r="AY29" s="294"/>
      <c r="AZ29" s="250" t="n">
        <f aca="false">SUM(N29,P29:U29)</f>
        <v>4.29098993906334</v>
      </c>
    </row>
    <row r="30" customFormat="false" ht="12.95" hidden="false" customHeight="true" outlineLevel="0" collapsed="false">
      <c r="A30" s="10" t="n">
        <f aca="false">A29+1</f>
        <v>16</v>
      </c>
      <c r="B30" s="359" t="n">
        <v>6870.63</v>
      </c>
      <c r="C30" s="94" t="n">
        <v>189492</v>
      </c>
      <c r="D30" s="103" t="n">
        <f aca="false">C30-C29</f>
        <v>161</v>
      </c>
      <c r="E30" s="94" t="n">
        <f aca="false">C30-152000</f>
        <v>37492</v>
      </c>
      <c r="F30" s="141" t="n">
        <f aca="false">D30/$D$2</f>
        <v>81.1696496092765</v>
      </c>
      <c r="G30" s="134" t="n">
        <v>176</v>
      </c>
      <c r="H30" s="134" t="n">
        <v>1.1</v>
      </c>
      <c r="I30" s="134" t="n">
        <f aca="false">G30+H30</f>
        <v>177.1</v>
      </c>
      <c r="J30" s="368" t="n">
        <f aca="false">IF(L30&gt;0,L30,0)</f>
        <v>1.26964960927654</v>
      </c>
      <c r="K30" s="134" t="n">
        <f aca="false">I30+J30</f>
        <v>178.369649609277</v>
      </c>
      <c r="L30" s="134" t="n">
        <f aca="false">F30-(I30-AK30)</f>
        <v>1.26964960927654</v>
      </c>
      <c r="M30" s="137" t="n">
        <v>42.6</v>
      </c>
      <c r="N30" s="158" t="n">
        <v>0</v>
      </c>
      <c r="O30" s="369" t="n">
        <f aca="false">20.4*1.05</f>
        <v>21.42</v>
      </c>
      <c r="P30" s="83" t="n">
        <v>0</v>
      </c>
      <c r="Q30" s="338" t="n">
        <f aca="false">819700/325851/1.9835*1.02</f>
        <v>1.29361142904755</v>
      </c>
      <c r="R30" s="131" t="n">
        <f aca="false">(2.6*1.04)-T30</f>
        <v>2.10363296</v>
      </c>
      <c r="S30" s="131" t="n">
        <v>0</v>
      </c>
      <c r="T30" s="131" t="n">
        <f aca="false">(0.5446*1.06)*1.04</f>
        <v>0.60036704</v>
      </c>
      <c r="U30" s="357" t="n">
        <v>0</v>
      </c>
      <c r="V30" s="134" t="n">
        <v>37.9</v>
      </c>
      <c r="W30" s="134" t="n">
        <v>0</v>
      </c>
      <c r="X30" s="135" t="n">
        <f aca="false">M30-N30-O30-P30-Q30-R30-S30-T30-U30+V30+W30-AT30</f>
        <v>55.0823885709525</v>
      </c>
      <c r="Y30" s="135" t="n">
        <f aca="false">X30-AO30</f>
        <v>55.0823885709525</v>
      </c>
      <c r="Z30" s="107" t="n">
        <f aca="false">Z29</f>
        <v>0</v>
      </c>
      <c r="AA30" s="135"/>
      <c r="AB30" s="107" t="n">
        <f aca="false">IF(I30&lt;800,((I30-AN30-AP30)-(Q30+R30+AF30))*1.9835+AB29,((795-AN30-AP30)*1.9835+AB29))</f>
        <v>280.615455551648</v>
      </c>
      <c r="AC30" s="146" t="n">
        <f aca="false">AC29+AP30-(AQ29/1.9835)</f>
        <v>1032.51908097024</v>
      </c>
      <c r="AD30" s="97"/>
      <c r="AE30" s="134" t="n">
        <v>0</v>
      </c>
      <c r="AF30" s="137" t="n">
        <v>1.7</v>
      </c>
      <c r="AG30" s="138" t="n">
        <v>1.3</v>
      </c>
      <c r="AH30" s="134" t="n">
        <v>16.7</v>
      </c>
      <c r="AI30" s="80" t="n">
        <f aca="false">AI29-AH30</f>
        <v>5930.83684762419</v>
      </c>
      <c r="AJ30" s="97"/>
      <c r="AK30" s="134" t="n">
        <f aca="false">N30+O30+P30+Q30+R30+S30+T30+U30+X30+AE30+AH30</f>
        <v>97.2</v>
      </c>
      <c r="AL30" s="134" t="n">
        <f aca="false">IF(L30&lt;0,L30*-1,0)</f>
        <v>0</v>
      </c>
      <c r="AM30" s="369" t="n">
        <f aca="false">AK30+AL30</f>
        <v>97.2</v>
      </c>
      <c r="AN30" s="213" t="n">
        <f aca="false">V30</f>
        <v>37.9</v>
      </c>
      <c r="AO30" s="97"/>
      <c r="AP30" s="146" t="n">
        <f aca="false">I30-Q30-R30-X30-AF30</f>
        <v>116.92036704</v>
      </c>
      <c r="AQ30" s="147" t="n">
        <f aca="false">38.258*(Z30*1.9835+AC30*1.9835)/E30</f>
        <v>2.08984436951944</v>
      </c>
      <c r="AR30" s="147"/>
      <c r="AS30" s="101"/>
      <c r="AT30" s="11" t="n">
        <v>0</v>
      </c>
      <c r="AU30" s="1"/>
      <c r="AV30" s="102" t="n">
        <v>0</v>
      </c>
      <c r="AW30" s="140" t="n">
        <v>66</v>
      </c>
      <c r="AX30" s="103" t="n">
        <v>32</v>
      </c>
      <c r="AY30" s="294"/>
      <c r="AZ30" s="250" t="n">
        <f aca="false">SUM(N30,P30:U30)</f>
        <v>3.99761142904755</v>
      </c>
    </row>
    <row r="31" customFormat="false" ht="12.95" hidden="false" customHeight="true" outlineLevel="0" collapsed="false">
      <c r="A31" s="10" t="n">
        <f aca="false">A30+1</f>
        <v>17</v>
      </c>
      <c r="B31" s="359" t="n">
        <v>6870.78</v>
      </c>
      <c r="C31" s="94" t="n">
        <v>189894</v>
      </c>
      <c r="D31" s="103" t="n">
        <f aca="false">C31-C30</f>
        <v>402</v>
      </c>
      <c r="E31" s="94" t="n">
        <f aca="false">C31-152000</f>
        <v>37894</v>
      </c>
      <c r="F31" s="141" t="n">
        <f aca="false">D31/$D$2</f>
        <v>202.67204436602</v>
      </c>
      <c r="G31" s="134" t="n">
        <v>241</v>
      </c>
      <c r="H31" s="134" t="n">
        <v>1</v>
      </c>
      <c r="I31" s="134" t="n">
        <f aca="false">G31+H31</f>
        <v>242</v>
      </c>
      <c r="J31" s="368" t="n">
        <f aca="false">IF(L31&gt;0,L31,0)</f>
        <v>62.7720443660197</v>
      </c>
      <c r="K31" s="134" t="n">
        <f aca="false">I31+J31</f>
        <v>304.77204436602</v>
      </c>
      <c r="L31" s="134" t="n">
        <f aca="false">F31-(I31-AK31)</f>
        <v>62.7720443660197</v>
      </c>
      <c r="M31" s="137" t="n">
        <v>47.5</v>
      </c>
      <c r="N31" s="158" t="n">
        <v>0</v>
      </c>
      <c r="O31" s="369" t="n">
        <f aca="false">28.3*1.05</f>
        <v>29.715</v>
      </c>
      <c r="P31" s="83" t="n">
        <v>0</v>
      </c>
      <c r="Q31" s="338" t="n">
        <f aca="false">908900/325851/1.9835*1.02</f>
        <v>1.43438261298197</v>
      </c>
      <c r="R31" s="131" t="n">
        <f aca="false">(2.6*1.04)-T31</f>
        <v>2.10363296</v>
      </c>
      <c r="S31" s="131" t="n">
        <v>0</v>
      </c>
      <c r="T31" s="131" t="n">
        <f aca="false">(0.5446*1.06)*1.04</f>
        <v>0.60036704</v>
      </c>
      <c r="U31" s="357" t="n">
        <v>0</v>
      </c>
      <c r="V31" s="134" t="n">
        <v>38.1</v>
      </c>
      <c r="W31" s="134" t="n">
        <v>0</v>
      </c>
      <c r="X31" s="135" t="n">
        <f aca="false">M31-N31-O31-P31-Q31-R31-S31-T31-U31+V31+W31-AT31</f>
        <v>51.746617387018</v>
      </c>
      <c r="Y31" s="135" t="n">
        <f aca="false">X31-AO31</f>
        <v>51.746617387018</v>
      </c>
      <c r="Z31" s="107" t="n">
        <f aca="false">Z30</f>
        <v>0</v>
      </c>
      <c r="AA31" s="135"/>
      <c r="AB31" s="107" t="n">
        <f aca="false">IF(I31&lt;800,((I31-AN31-AP31)-(Q31+R31+AF31))*1.9835+AB30,((795-AN31-AP31)*1.9835+AB30))</f>
        <v>307.683521138798</v>
      </c>
      <c r="AC31" s="146" t="n">
        <f aca="false">AC30+AP31-(AQ30/1.9835)</f>
        <v>1216.48083350582</v>
      </c>
      <c r="AD31" s="97"/>
      <c r="AE31" s="134" t="n">
        <v>0</v>
      </c>
      <c r="AF31" s="137" t="n">
        <v>1.7</v>
      </c>
      <c r="AG31" s="138" t="n">
        <v>1.3</v>
      </c>
      <c r="AH31" s="134" t="n">
        <v>16.5</v>
      </c>
      <c r="AI31" s="80" t="n">
        <f aca="false">AI30-AH31</f>
        <v>5914.33684762419</v>
      </c>
      <c r="AJ31" s="97"/>
      <c r="AK31" s="134" t="n">
        <f aca="false">N31+O31+P31+Q31+R31+S31+T31+U31+X31+AE31+AH31</f>
        <v>102.1</v>
      </c>
      <c r="AL31" s="134" t="n">
        <f aca="false">IF(L31&lt;0,L31*-1,0)</f>
        <v>0</v>
      </c>
      <c r="AM31" s="369" t="n">
        <f aca="false">AK31+AL31</f>
        <v>102.1</v>
      </c>
      <c r="AN31" s="213" t="n">
        <f aca="false">V31</f>
        <v>38.1</v>
      </c>
      <c r="AO31" s="97"/>
      <c r="AP31" s="146" t="n">
        <f aca="false">I31-Q31-R31-X31-AF31</f>
        <v>185.01536704</v>
      </c>
      <c r="AQ31" s="147" t="n">
        <f aca="false">9.289*(Z31*1.9835+AC31*1.9835)/E31</f>
        <v>0.591474447992847</v>
      </c>
      <c r="AR31" s="147"/>
      <c r="AS31" s="101"/>
      <c r="AT31" s="11" t="n">
        <v>0</v>
      </c>
      <c r="AU31" s="1"/>
      <c r="AV31" s="102" t="n">
        <v>0.06</v>
      </c>
      <c r="AW31" s="140" t="n">
        <v>41</v>
      </c>
      <c r="AX31" s="103" t="n">
        <v>22</v>
      </c>
      <c r="AY31" s="294"/>
      <c r="AZ31" s="250" t="n">
        <f aca="false">SUM(N31,P31:U31)</f>
        <v>4.13838261298197</v>
      </c>
    </row>
    <row r="32" customFormat="false" ht="12.95" hidden="false" customHeight="true" outlineLevel="0" collapsed="false">
      <c r="A32" s="10" t="n">
        <f aca="false">A31+1</f>
        <v>18</v>
      </c>
      <c r="B32" s="359" t="n">
        <v>6870.82</v>
      </c>
      <c r="C32" s="94" t="n">
        <v>190001</v>
      </c>
      <c r="D32" s="103" t="n">
        <f aca="false">C32-C31</f>
        <v>107</v>
      </c>
      <c r="E32" s="94" t="n">
        <f aca="false">C32-152000</f>
        <v>38001</v>
      </c>
      <c r="F32" s="141" t="n">
        <f aca="false">D32/$D$2</f>
        <v>53.9450466347366</v>
      </c>
      <c r="G32" s="134" t="n">
        <v>176</v>
      </c>
      <c r="H32" s="134" t="n">
        <v>1.1</v>
      </c>
      <c r="I32" s="134" t="n">
        <f aca="false">G32+H32</f>
        <v>177.1</v>
      </c>
      <c r="J32" s="368" t="n">
        <f aca="false">IF(L32&gt;0,L32,0)</f>
        <v>0</v>
      </c>
      <c r="K32" s="134" t="n">
        <f aca="false">I32+J32</f>
        <v>177.1</v>
      </c>
      <c r="L32" s="134" t="n">
        <f aca="false">F32-(I32-AK32)</f>
        <v>-29.6549533652634</v>
      </c>
      <c r="M32" s="137" t="n">
        <v>39.1</v>
      </c>
      <c r="N32" s="158" t="n">
        <v>0</v>
      </c>
      <c r="O32" s="369" t="n">
        <f aca="false">27.6*1.05</f>
        <v>28.98</v>
      </c>
      <c r="P32" s="83" t="n">
        <v>0</v>
      </c>
      <c r="Q32" s="338" t="n">
        <f aca="false">949900/325851/1.9835*1.02</f>
        <v>1.49908685671864</v>
      </c>
      <c r="R32" s="131" t="n">
        <f aca="false">(2.8*1.04)-T32</f>
        <v>2.31163296</v>
      </c>
      <c r="S32" s="131" t="n">
        <v>0</v>
      </c>
      <c r="T32" s="131" t="n">
        <f aca="false">(0.5446*1.06)*1.04</f>
        <v>0.60036704</v>
      </c>
      <c r="U32" s="357" t="n">
        <v>0</v>
      </c>
      <c r="V32" s="134" t="n">
        <v>38.2</v>
      </c>
      <c r="W32" s="134" t="n">
        <v>0</v>
      </c>
      <c r="X32" s="135" t="n">
        <f aca="false">M32-N32-O32-P32-Q32-R32-S32-T32-U32+V32+W32-AT32</f>
        <v>43.9089131432814</v>
      </c>
      <c r="Y32" s="135" t="n">
        <f aca="false">X32-AO32</f>
        <v>43.9089131432814</v>
      </c>
      <c r="Z32" s="107" t="n">
        <f aca="false">Z31</f>
        <v>0</v>
      </c>
      <c r="AA32" s="135"/>
      <c r="AB32" s="107" t="n">
        <f aca="false">IF(I32&lt;800,((I32-AN32-AP32)-(Q32+R32+AF32))*1.9835+AB31,((795-AN32-AP32)*1.9835+AB31))</f>
        <v>319.007150358497</v>
      </c>
      <c r="AC32" s="146" t="n">
        <f aca="false">AC31+AP32-(AQ31/1.9835)</f>
        <v>1343.86300319367</v>
      </c>
      <c r="AD32" s="97"/>
      <c r="AE32" s="134" t="n">
        <v>0</v>
      </c>
      <c r="AF32" s="137" t="n">
        <v>1.7</v>
      </c>
      <c r="AG32" s="138" t="n">
        <v>1.3</v>
      </c>
      <c r="AH32" s="134" t="n">
        <v>16.2</v>
      </c>
      <c r="AI32" s="80" t="n">
        <f aca="false">AI31-AH32</f>
        <v>5898.13684762419</v>
      </c>
      <c r="AJ32" s="97"/>
      <c r="AK32" s="134" t="n">
        <f aca="false">N32+O32+P32+Q32+R32+S32+T32+U32+X32+AE32+AH32</f>
        <v>93.5</v>
      </c>
      <c r="AL32" s="134" t="n">
        <f aca="false">IF(L32&lt;0,L32*-1,0)</f>
        <v>29.6549533652634</v>
      </c>
      <c r="AM32" s="369" t="n">
        <f aca="false">AK32+AL32</f>
        <v>123.154953365263</v>
      </c>
      <c r="AN32" s="213" t="n">
        <f aca="false">V32</f>
        <v>38.2</v>
      </c>
      <c r="AO32" s="97"/>
      <c r="AP32" s="146" t="n">
        <f aca="false">I32-Q32-R32-X32-AF32</f>
        <v>127.68036704</v>
      </c>
      <c r="AQ32" s="147" t="n">
        <f aca="false">36.526*(Z32*1.9835+AC32*1.9835)/E32</f>
        <v>2.56208947391916</v>
      </c>
      <c r="AR32" s="147"/>
      <c r="AS32" s="101"/>
      <c r="AT32" s="11" t="n">
        <v>0</v>
      </c>
      <c r="AU32" s="1"/>
      <c r="AV32" s="102" t="n">
        <v>0</v>
      </c>
      <c r="AW32" s="140" t="n">
        <v>48</v>
      </c>
      <c r="AX32" s="103" t="n">
        <v>27</v>
      </c>
      <c r="AY32" s="294"/>
      <c r="AZ32" s="250" t="n">
        <f aca="false">SUM(N32,P32:U32)</f>
        <v>4.41108685671864</v>
      </c>
    </row>
    <row r="33" customFormat="false" ht="12.95" hidden="false" customHeight="true" outlineLevel="0" collapsed="false">
      <c r="A33" s="10" t="n">
        <f aca="false">A32+1</f>
        <v>19</v>
      </c>
      <c r="B33" s="359" t="n">
        <v>6870.85</v>
      </c>
      <c r="C33" s="94" t="n">
        <v>190082</v>
      </c>
      <c r="D33" s="103" t="n">
        <f aca="false">C33-C32</f>
        <v>81</v>
      </c>
      <c r="E33" s="94" t="n">
        <f aca="false">C33-152000</f>
        <v>38082</v>
      </c>
      <c r="F33" s="141" t="n">
        <f aca="false">D33/$D$2</f>
        <v>40.8369044618099</v>
      </c>
      <c r="G33" s="134" t="n">
        <v>144</v>
      </c>
      <c r="H33" s="134" t="n">
        <v>0.88</v>
      </c>
      <c r="I33" s="134" t="n">
        <f aca="false">G33+H33</f>
        <v>144.88</v>
      </c>
      <c r="J33" s="368" t="n">
        <f aca="false">IF(L33&gt;0,L33,0)</f>
        <v>0</v>
      </c>
      <c r="K33" s="134" t="n">
        <f aca="false">I33+J33</f>
        <v>144.88</v>
      </c>
      <c r="L33" s="134" t="n">
        <f aca="false">F33-(I33-AK33)</f>
        <v>-44.7830955381901</v>
      </c>
      <c r="M33" s="137" t="n">
        <v>4.96</v>
      </c>
      <c r="N33" s="158" t="n">
        <v>0</v>
      </c>
      <c r="O33" s="369" t="n">
        <f aca="false">0*1.05</f>
        <v>0</v>
      </c>
      <c r="P33" s="83" t="n">
        <v>0</v>
      </c>
      <c r="Q33" s="338" t="n">
        <f aca="false">993600/325851/1.9835*1.02</f>
        <v>1.56805211162822</v>
      </c>
      <c r="R33" s="131" t="n">
        <f aca="false">(2.8*1.04)-T33</f>
        <v>2.25728464</v>
      </c>
      <c r="S33" s="131" t="n">
        <v>0</v>
      </c>
      <c r="T33" s="131" t="n">
        <f aca="false">(0.5939*1.06)*1.04</f>
        <v>0.65471536</v>
      </c>
      <c r="U33" s="357" t="n">
        <v>0</v>
      </c>
      <c r="V33" s="134" t="n">
        <v>38.2</v>
      </c>
      <c r="W33" s="134" t="n">
        <v>0</v>
      </c>
      <c r="X33" s="135" t="n">
        <f aca="false">M33-N33-O33-P33-Q33-R33-S33-T33-U33+V33+W33-AT33</f>
        <v>38.6799478883718</v>
      </c>
      <c r="Y33" s="135" t="n">
        <f aca="false">X33-AO33</f>
        <v>38.6799478883718</v>
      </c>
      <c r="Z33" s="107" t="n">
        <f aca="false">Z32</f>
        <v>0</v>
      </c>
      <c r="AA33" s="135"/>
      <c r="AB33" s="107" t="n">
        <f aca="false">IF(I33&lt;800,((I33-AN33-AP33)-(Q33+R33+AF33))*1.9835+AB32,((795-AN33-AP33)*1.9835+AB32))</f>
        <v>319.959126995082</v>
      </c>
      <c r="AC33" s="146" t="n">
        <f aca="false">AC32+AP33-(AQ32/1.9835)</f>
        <v>1443.24601728121</v>
      </c>
      <c r="AD33" s="97"/>
      <c r="AE33" s="134" t="n">
        <v>0</v>
      </c>
      <c r="AF33" s="137" t="n">
        <v>1.7</v>
      </c>
      <c r="AG33" s="138" t="n">
        <v>1.3</v>
      </c>
      <c r="AH33" s="134" t="n">
        <v>16.1</v>
      </c>
      <c r="AI33" s="80" t="n">
        <f aca="false">AI32-AH33</f>
        <v>5882.03684762419</v>
      </c>
      <c r="AJ33" s="97"/>
      <c r="AK33" s="134" t="n">
        <f aca="false">N33+O33+P33+Q33+R33+S33+T33+U33+X33+AE33+AH33</f>
        <v>59.26</v>
      </c>
      <c r="AL33" s="134" t="n">
        <f aca="false">IF(L33&lt;0,L33*-1,0)</f>
        <v>44.7830955381901</v>
      </c>
      <c r="AM33" s="369" t="n">
        <f aca="false">AK33+AL33</f>
        <v>104.04309553819</v>
      </c>
      <c r="AN33" s="213" t="n">
        <f aca="false">V33</f>
        <v>38.2</v>
      </c>
      <c r="AO33" s="97"/>
      <c r="AP33" s="146" t="n">
        <f aca="false">I33-Q33-R33-X33-AF33</f>
        <v>100.67471536</v>
      </c>
      <c r="AQ33" s="147" t="n">
        <f aca="false">31.331*(Z33*1.9835+AC33*1.9835)/E33</f>
        <v>2.35519613751674</v>
      </c>
      <c r="AR33" s="147"/>
      <c r="AS33" s="101"/>
      <c r="AT33" s="11" t="n">
        <v>0</v>
      </c>
      <c r="AU33" s="1"/>
      <c r="AV33" s="102" t="n">
        <v>0</v>
      </c>
      <c r="AW33" s="140" t="n">
        <v>43</v>
      </c>
      <c r="AX33" s="103" t="n">
        <v>24</v>
      </c>
      <c r="AY33" s="294"/>
      <c r="AZ33" s="250" t="n">
        <f aca="false">SUM(N33,P33:U33)</f>
        <v>4.48005211162822</v>
      </c>
    </row>
    <row r="34" customFormat="false" ht="12.95" hidden="false" customHeight="true" outlineLevel="0" collapsed="false">
      <c r="A34" s="10" t="n">
        <f aca="false">A33+1</f>
        <v>20</v>
      </c>
      <c r="B34" s="359" t="n">
        <v>6870.89</v>
      </c>
      <c r="C34" s="94" t="n">
        <v>190189</v>
      </c>
      <c r="D34" s="103" t="n">
        <f aca="false">C34-C33</f>
        <v>107</v>
      </c>
      <c r="E34" s="94" t="n">
        <f aca="false">C34-152000</f>
        <v>38189</v>
      </c>
      <c r="F34" s="141" t="n">
        <f aca="false">D34/$D$2</f>
        <v>53.9450466347366</v>
      </c>
      <c r="G34" s="134" t="n">
        <v>157</v>
      </c>
      <c r="H34" s="134" t="n">
        <v>0.84</v>
      </c>
      <c r="I34" s="134" t="n">
        <f aca="false">G34+H34</f>
        <v>157.84</v>
      </c>
      <c r="J34" s="368" t="n">
        <f aca="false">IF(L34&gt;0,L34,0)</f>
        <v>0</v>
      </c>
      <c r="K34" s="134" t="n">
        <f aca="false">I34+J34</f>
        <v>157.84</v>
      </c>
      <c r="L34" s="134" t="n">
        <f aca="false">F34-(I34-AK34)</f>
        <v>-43.1349533652634</v>
      </c>
      <c r="M34" s="137" t="n">
        <v>6.46</v>
      </c>
      <c r="N34" s="158" t="n">
        <v>0</v>
      </c>
      <c r="O34" s="369" t="n">
        <f aca="false">0.027*1.05</f>
        <v>0.02835</v>
      </c>
      <c r="P34" s="83" t="n">
        <v>0</v>
      </c>
      <c r="Q34" s="338" t="n">
        <f aca="false">1001100/325851/1.9835*1.02</f>
        <v>1.57988825377517</v>
      </c>
      <c r="R34" s="131" t="n">
        <f aca="false">(2.8*1.04)-T34</f>
        <v>2.25728464</v>
      </c>
      <c r="S34" s="131" t="n">
        <v>0</v>
      </c>
      <c r="T34" s="131" t="n">
        <f aca="false">(0.5939*1.06)*1.04</f>
        <v>0.65471536</v>
      </c>
      <c r="U34" s="357" t="n">
        <v>0</v>
      </c>
      <c r="V34" s="134" t="n">
        <v>38.2</v>
      </c>
      <c r="W34" s="134" t="n">
        <v>0</v>
      </c>
      <c r="X34" s="135" t="n">
        <f aca="false">M34-N34-O34-P34-Q34-R34-S34-T34-U34+V34+W34-AT34</f>
        <v>40.1397617462248</v>
      </c>
      <c r="Y34" s="135" t="n">
        <f aca="false">X34-AO34</f>
        <v>40.1397617462248</v>
      </c>
      <c r="Z34" s="107" t="n">
        <f aca="false">Z33</f>
        <v>0</v>
      </c>
      <c r="AA34" s="135"/>
      <c r="AB34" s="107" t="n">
        <f aca="false">IF(I34&lt;800,((I34-AN34-AP34)-(Q34+R34+AF34))*1.9835+AB33,((795-AN34-AP34)*1.9835+AB33))</f>
        <v>323.806644418719</v>
      </c>
      <c r="AC34" s="146" t="n">
        <f aca="false">AC33+AP34-(AQ33/1.9835)</f>
        <v>1554.22168857138</v>
      </c>
      <c r="AD34" s="97"/>
      <c r="AE34" s="134" t="n">
        <v>0</v>
      </c>
      <c r="AF34" s="137" t="n">
        <v>1.7</v>
      </c>
      <c r="AG34" s="138" t="n">
        <v>1.3</v>
      </c>
      <c r="AH34" s="134" t="n">
        <v>16.1</v>
      </c>
      <c r="AI34" s="80" t="n">
        <f aca="false">AI33-AH34</f>
        <v>5865.93684762419</v>
      </c>
      <c r="AJ34" s="97"/>
      <c r="AK34" s="134" t="n">
        <f aca="false">N34+O34+P34+Q34+R34+S34+T34+U34+X34+AE34+AH34</f>
        <v>60.76</v>
      </c>
      <c r="AL34" s="134" t="n">
        <f aca="false">IF(L34&lt;0,L34*-1,0)</f>
        <v>43.1349533652634</v>
      </c>
      <c r="AM34" s="369" t="n">
        <f aca="false">AK34+AL34</f>
        <v>103.894953365263</v>
      </c>
      <c r="AN34" s="213" t="n">
        <f aca="false">V34</f>
        <v>38.2</v>
      </c>
      <c r="AO34" s="97"/>
      <c r="AP34" s="146" t="n">
        <f aca="false">I34-Q34-R34-X34-AF34</f>
        <v>112.16306536</v>
      </c>
      <c r="AQ34" s="147" t="n">
        <f aca="false">28.025*(Z34*1.9835+AC34*1.9835)/E34</f>
        <v>2.26231202984784</v>
      </c>
      <c r="AR34" s="147"/>
      <c r="AS34" s="101"/>
      <c r="AT34" s="11" t="n">
        <v>0</v>
      </c>
      <c r="AU34" s="1"/>
      <c r="AV34" s="102" t="n">
        <v>0</v>
      </c>
      <c r="AW34" s="140" t="n">
        <v>56</v>
      </c>
      <c r="AX34" s="103" t="n">
        <v>12</v>
      </c>
      <c r="AY34" s="294"/>
      <c r="AZ34" s="250" t="n">
        <f aca="false">SUM(N34,P34:U34)</f>
        <v>4.49188825377517</v>
      </c>
    </row>
    <row r="35" customFormat="false" ht="12.95" hidden="false" customHeight="true" outlineLevel="0" collapsed="false">
      <c r="A35" s="10" t="n">
        <f aca="false">A34+1</f>
        <v>21</v>
      </c>
      <c r="B35" s="359" t="n">
        <v>6871.07</v>
      </c>
      <c r="C35" s="94" t="n">
        <v>190674</v>
      </c>
      <c r="D35" s="103" t="n">
        <f aca="false">C35-C34</f>
        <v>485</v>
      </c>
      <c r="E35" s="94" t="n">
        <f aca="false">C35-152000</f>
        <v>38674</v>
      </c>
      <c r="F35" s="141" t="n">
        <f aca="false">D35/$D$2</f>
        <v>244.517267456516</v>
      </c>
      <c r="G35" s="134" t="n">
        <v>129</v>
      </c>
      <c r="H35" s="134" t="n">
        <v>0.7</v>
      </c>
      <c r="I35" s="134" t="n">
        <f aca="false">G35+H35</f>
        <v>129.7</v>
      </c>
      <c r="J35" s="368" t="n">
        <f aca="false">IF(L35&gt;0,L35,0)</f>
        <v>186.317267456516</v>
      </c>
      <c r="K35" s="134" t="n">
        <f aca="false">I35+J35</f>
        <v>316.017267456516</v>
      </c>
      <c r="L35" s="134" t="n">
        <f aca="false">F35-(I35-AK35)</f>
        <v>186.317267456516</v>
      </c>
      <c r="M35" s="137" t="n">
        <v>17.2</v>
      </c>
      <c r="N35" s="158" t="n">
        <v>0</v>
      </c>
      <c r="O35" s="369" t="n">
        <f aca="false">0.012*1.05</f>
        <v>0.0126</v>
      </c>
      <c r="P35" s="83" t="n">
        <v>0</v>
      </c>
      <c r="Q35" s="338" t="n">
        <f aca="false">1353300/325851/1.9835*1.02</f>
        <v>2.13571348899604</v>
      </c>
      <c r="R35" s="131" t="n">
        <f aca="false">(2.8*1.04)-T35</f>
        <v>2.25728464</v>
      </c>
      <c r="S35" s="131" t="n">
        <v>0</v>
      </c>
      <c r="T35" s="131" t="n">
        <f aca="false">(0.5939*1.06)*1.04</f>
        <v>0.65471536</v>
      </c>
      <c r="U35" s="357" t="n">
        <v>0</v>
      </c>
      <c r="V35" s="134" t="n">
        <v>38.2</v>
      </c>
      <c r="W35" s="134" t="n">
        <v>0</v>
      </c>
      <c r="X35" s="135" t="n">
        <f aca="false">M35-N35-O35-P35-Q35-R35-S35-T35-U35+V35+W35-AT35</f>
        <v>50.339686511004</v>
      </c>
      <c r="Y35" s="135" t="n">
        <f aca="false">X35-AO35</f>
        <v>50.339686511004</v>
      </c>
      <c r="Z35" s="107" t="n">
        <f aca="false">Z34</f>
        <v>0</v>
      </c>
      <c r="AA35" s="135"/>
      <c r="AB35" s="107" t="n">
        <f aca="false">IF(I35&lt;800,((I35-AN35-AP35)-(Q35+R35+AF35))*1.9835+AB34,((795-AN35-AP35)*1.9835+AB34))</f>
        <v>347.885712613296</v>
      </c>
      <c r="AC35" s="146" t="n">
        <f aca="false">AC34+AP35-(AQ34/1.9835)</f>
        <v>1626.34843824958</v>
      </c>
      <c r="AD35" s="97"/>
      <c r="AE35" s="134" t="n">
        <v>0</v>
      </c>
      <c r="AF35" s="137" t="n">
        <v>1.7</v>
      </c>
      <c r="AG35" s="138" t="n">
        <v>1.3</v>
      </c>
      <c r="AH35" s="134" t="n">
        <v>16.1</v>
      </c>
      <c r="AI35" s="80" t="n">
        <f aca="false">AI34-AH35</f>
        <v>5849.83684762419</v>
      </c>
      <c r="AJ35" s="97"/>
      <c r="AK35" s="134" t="n">
        <f aca="false">N35+O35+P35+Q35+R35+S35+T35+U35+X35+AE35+AH35</f>
        <v>71.5</v>
      </c>
      <c r="AL35" s="134" t="n">
        <f aca="false">IF(L35&lt;0,L35*-1,0)</f>
        <v>0</v>
      </c>
      <c r="AM35" s="369" t="n">
        <f aca="false">AK35+AL35</f>
        <v>71.5</v>
      </c>
      <c r="AN35" s="213" t="n">
        <f aca="false">V35</f>
        <v>38.2</v>
      </c>
      <c r="AO35" s="97"/>
      <c r="AP35" s="146" t="n">
        <f aca="false">I35-Q35-R35-X35-AF35</f>
        <v>73.26731536</v>
      </c>
      <c r="AQ35" s="147" t="n">
        <f aca="false">33.063*(Z35*1.9835+AC35*1.9835)/E35</f>
        <v>2.75783936272077</v>
      </c>
      <c r="AR35" s="147"/>
      <c r="AS35" s="101"/>
      <c r="AT35" s="11" t="n">
        <v>0</v>
      </c>
      <c r="AU35" s="1"/>
      <c r="AV35" s="102" t="n">
        <v>0</v>
      </c>
      <c r="AW35" s="103" t="n">
        <v>64</v>
      </c>
      <c r="AX35" s="103" t="n">
        <v>23</v>
      </c>
      <c r="AY35" s="294"/>
      <c r="AZ35" s="250" t="n">
        <f aca="false">SUM(N35,P35:U35)</f>
        <v>5.04771348899604</v>
      </c>
    </row>
    <row r="36" customFormat="false" ht="12.95" hidden="false" customHeight="true" outlineLevel="0" collapsed="false">
      <c r="A36" s="10" t="n">
        <f aca="false">A35+1</f>
        <v>22</v>
      </c>
      <c r="B36" s="359" t="n">
        <v>6871.12</v>
      </c>
      <c r="C36" s="94" t="n">
        <v>190810</v>
      </c>
      <c r="D36" s="103" t="n">
        <f aca="false">C36-C35</f>
        <v>136</v>
      </c>
      <c r="E36" s="94" t="n">
        <f aca="false">C36-152000</f>
        <v>38810</v>
      </c>
      <c r="F36" s="141" t="n">
        <f aca="false">D36/$D$2</f>
        <v>68.5656667506932</v>
      </c>
      <c r="G36" s="134" t="n">
        <v>168</v>
      </c>
      <c r="H36" s="134" t="n">
        <v>0.59</v>
      </c>
      <c r="I36" s="134" t="n">
        <f aca="false">G36+H36</f>
        <v>168.59</v>
      </c>
      <c r="J36" s="368" t="n">
        <f aca="false">IF(L36&gt;0,L36,0)</f>
        <v>1.47566675069321</v>
      </c>
      <c r="K36" s="134" t="n">
        <f aca="false">I36+J36</f>
        <v>170.065666750693</v>
      </c>
      <c r="L36" s="134" t="n">
        <f aca="false">F36-(I36-AK36)</f>
        <v>1.47566675069321</v>
      </c>
      <c r="M36" s="137" t="n">
        <v>46.1</v>
      </c>
      <c r="N36" s="158" t="n">
        <v>0</v>
      </c>
      <c r="O36" s="369" t="n">
        <f aca="false">26.7*1.05</f>
        <v>28.035</v>
      </c>
      <c r="P36" s="83" t="n">
        <v>0</v>
      </c>
      <c r="Q36" s="338" t="n">
        <f aca="false">1170200/325851/1.9835*1.02</f>
        <v>1.84675380538178</v>
      </c>
      <c r="R36" s="131" t="n">
        <f aca="false">(2.8*1.04)-T36</f>
        <v>2.25728464</v>
      </c>
      <c r="S36" s="131" t="n">
        <v>0</v>
      </c>
      <c r="T36" s="131" t="n">
        <f aca="false">(0.5939*1.06)*1.04</f>
        <v>0.65471536</v>
      </c>
      <c r="U36" s="357" t="n">
        <v>0</v>
      </c>
      <c r="V36" s="134" t="n">
        <v>38.2</v>
      </c>
      <c r="W36" s="134" t="n">
        <v>0</v>
      </c>
      <c r="X36" s="135" t="n">
        <f aca="false">M36-N36-O36-P36-Q36-R36-S36-T36-U36+V36+W36-AT36</f>
        <v>51.5062461946182</v>
      </c>
      <c r="Y36" s="135" t="n">
        <f aca="false">X36-AO36</f>
        <v>51.5062461946182</v>
      </c>
      <c r="Z36" s="107" t="n">
        <f aca="false">Z35</f>
        <v>0</v>
      </c>
      <c r="AA36" s="135"/>
      <c r="AB36" s="107" t="n">
        <f aca="false">AB35+(Y36-V36)*1.9835</f>
        <v>374.278651940321</v>
      </c>
      <c r="AC36" s="146" t="n">
        <f aca="false">AC35+AP36-(AQ35/1.9835)</f>
        <v>1736.2377632074</v>
      </c>
      <c r="AD36" s="97"/>
      <c r="AE36" s="134" t="n">
        <v>0</v>
      </c>
      <c r="AF36" s="137" t="n">
        <v>1.7</v>
      </c>
      <c r="AG36" s="138" t="n">
        <v>1.3</v>
      </c>
      <c r="AH36" s="134" t="n">
        <v>17.2</v>
      </c>
      <c r="AI36" s="80" t="n">
        <f aca="false">AI35-AH36</f>
        <v>5832.63684762419</v>
      </c>
      <c r="AJ36" s="97"/>
      <c r="AK36" s="134" t="n">
        <f aca="false">N36+O36+P36+Q36+R36+S36+T36+U36+X36+AE36+AH36</f>
        <v>101.5</v>
      </c>
      <c r="AL36" s="134" t="n">
        <f aca="false">IF(L36&lt;0,L36*-1,0)</f>
        <v>0</v>
      </c>
      <c r="AM36" s="369" t="n">
        <f aca="false">AK36+AL36</f>
        <v>101.5</v>
      </c>
      <c r="AN36" s="213" t="n">
        <f aca="false">V36+25</f>
        <v>63.2</v>
      </c>
      <c r="AO36" s="97"/>
      <c r="AP36" s="146" t="n">
        <f aca="false">I36-Q36-R36-X36-AF36</f>
        <v>111.27971536</v>
      </c>
      <c r="AQ36" s="147" t="n">
        <f aca="false">6.298*(Z36*1.9835+AC36*1.9835)/E36</f>
        <v>0.558856641219304</v>
      </c>
      <c r="AR36" s="147"/>
      <c r="AS36" s="101"/>
      <c r="AT36" s="11" t="n">
        <v>0</v>
      </c>
      <c r="AU36" s="1"/>
      <c r="AV36" s="102" t="n">
        <v>0</v>
      </c>
      <c r="AW36" s="103" t="n">
        <v>72</v>
      </c>
      <c r="AX36" s="103" t="n">
        <v>36</v>
      </c>
      <c r="AY36" s="294"/>
      <c r="AZ36" s="250" t="n">
        <f aca="false">SUM(N36,P36:U36)</f>
        <v>4.75875380538178</v>
      </c>
    </row>
    <row r="37" customFormat="false" ht="12.95" hidden="false" customHeight="true" outlineLevel="0" collapsed="false">
      <c r="A37" s="10" t="n">
        <f aca="false">A36+1</f>
        <v>23</v>
      </c>
      <c r="B37" s="359" t="n">
        <v>6871.26</v>
      </c>
      <c r="C37" s="94" t="n">
        <v>191190</v>
      </c>
      <c r="D37" s="103" t="n">
        <f aca="false">C37-C36</f>
        <v>380</v>
      </c>
      <c r="E37" s="94" t="n">
        <f aca="false">C37-152000</f>
        <v>39190</v>
      </c>
      <c r="F37" s="141" t="n">
        <f aca="false">D37/$D$2</f>
        <v>191.580539450466</v>
      </c>
      <c r="G37" s="134" t="n">
        <v>308</v>
      </c>
      <c r="H37" s="134" t="n">
        <v>0.82</v>
      </c>
      <c r="I37" s="134" t="n">
        <f aca="false">G37+H37</f>
        <v>308.82</v>
      </c>
      <c r="J37" s="368" t="n">
        <f aca="false">IF(L37&gt;0,L37,0)</f>
        <v>10.3605394504664</v>
      </c>
      <c r="K37" s="134" t="n">
        <f aca="false">I37+J37</f>
        <v>319.180539450466</v>
      </c>
      <c r="L37" s="134" t="n">
        <f aca="false">F37-(I37-AK37)</f>
        <v>10.3605394504664</v>
      </c>
      <c r="M37" s="137" t="n">
        <v>72</v>
      </c>
      <c r="N37" s="158" t="n">
        <v>0</v>
      </c>
      <c r="O37" s="369" t="n">
        <f aca="false">49.2*1.05</f>
        <v>51.66</v>
      </c>
      <c r="P37" s="83" t="n">
        <v>0</v>
      </c>
      <c r="Q37" s="338" t="n">
        <f aca="false">993500/325851/1.9835*1.02</f>
        <v>1.56789429639959</v>
      </c>
      <c r="R37" s="131" t="n">
        <f aca="false">(2.8*1.04)-T37</f>
        <v>2.25728464</v>
      </c>
      <c r="S37" s="131" t="n">
        <v>0</v>
      </c>
      <c r="T37" s="131" t="n">
        <f aca="false">(0.5939*1.06)*1.04</f>
        <v>0.65471536</v>
      </c>
      <c r="U37" s="357" t="n">
        <v>0</v>
      </c>
      <c r="V37" s="134" t="n">
        <v>38.2</v>
      </c>
      <c r="W37" s="134" t="n">
        <v>0</v>
      </c>
      <c r="X37" s="135" t="n">
        <f aca="false">M37-N37-O37-P37-Q37-R37-S37-T37-U37+V37+W37-AT37</f>
        <v>54.0601057036004</v>
      </c>
      <c r="Y37" s="135" t="n">
        <f aca="false">X37-AO37</f>
        <v>54.0601057036004</v>
      </c>
      <c r="Z37" s="107" t="n">
        <f aca="false">Z36</f>
        <v>0</v>
      </c>
      <c r="AA37" s="135"/>
      <c r="AB37" s="107" t="n">
        <f aca="false">AB36+(Y37-V37)*1.9835</f>
        <v>405.737171603412</v>
      </c>
      <c r="AC37" s="146" t="n">
        <f aca="false">AC36+AP37-(AQ36/1.9835)</f>
        <v>1985.19072578635</v>
      </c>
      <c r="AD37" s="97"/>
      <c r="AE37" s="134" t="n">
        <v>0</v>
      </c>
      <c r="AF37" s="137" t="n">
        <v>1.7</v>
      </c>
      <c r="AG37" s="138" t="n">
        <v>1.3</v>
      </c>
      <c r="AH37" s="134" t="n">
        <v>17.4</v>
      </c>
      <c r="AI37" s="80" t="n">
        <f aca="false">AI36-AH37</f>
        <v>5815.23684762419</v>
      </c>
      <c r="AJ37" s="97"/>
      <c r="AK37" s="134" t="n">
        <f aca="false">N37+O37+P37+Q37+R37+S37+T37+U37+X37+AE37+AH37</f>
        <v>127.6</v>
      </c>
      <c r="AL37" s="134" t="n">
        <f aca="false">IF(L37&lt;0,L37*-1,0)</f>
        <v>0</v>
      </c>
      <c r="AM37" s="369" t="n">
        <f aca="false">AK37+AL37</f>
        <v>127.6</v>
      </c>
      <c r="AN37" s="213" t="n">
        <f aca="false">V37+AP37</f>
        <v>287.43471536</v>
      </c>
      <c r="AO37" s="97"/>
      <c r="AP37" s="146" t="n">
        <f aca="false">I37-Q37-R37-X37-AF37</f>
        <v>249.23471536</v>
      </c>
      <c r="AQ37" s="147" t="n">
        <f aca="false">20.782*(Z37*1.9835+AC37*1.9835)/E37</f>
        <v>2.08807704697983</v>
      </c>
      <c r="AR37" s="147"/>
      <c r="AS37" s="101"/>
      <c r="AT37" s="11" t="n">
        <v>0</v>
      </c>
      <c r="AU37" s="1"/>
      <c r="AV37" s="102" t="n">
        <v>0</v>
      </c>
      <c r="AW37" s="103" t="n">
        <v>54</v>
      </c>
      <c r="AX37" s="140" t="n">
        <v>27</v>
      </c>
      <c r="AY37" s="294"/>
      <c r="AZ37" s="250" t="n">
        <f aca="false">SUM(N37,P37:U37)</f>
        <v>4.47989429639959</v>
      </c>
    </row>
    <row r="38" customFormat="false" ht="12.95" hidden="false" customHeight="true" outlineLevel="0" collapsed="false">
      <c r="A38" s="10" t="n">
        <f aca="false">A37+1</f>
        <v>24</v>
      </c>
      <c r="B38" s="359" t="n">
        <v>6871.4</v>
      </c>
      <c r="C38" s="94" t="n">
        <v>191571</v>
      </c>
      <c r="D38" s="103" t="n">
        <f aca="false">C38-C37</f>
        <v>381</v>
      </c>
      <c r="E38" s="94" t="n">
        <f aca="false">C38-152000</f>
        <v>39571</v>
      </c>
      <c r="F38" s="141" t="n">
        <f aca="false">D38/$D$2</f>
        <v>192.08469876481</v>
      </c>
      <c r="G38" s="134" t="n">
        <v>365</v>
      </c>
      <c r="H38" s="134" t="n">
        <v>2.4</v>
      </c>
      <c r="I38" s="134" t="n">
        <f aca="false">G38+H38</f>
        <v>367.4</v>
      </c>
      <c r="J38" s="368" t="n">
        <f aca="false">IF(L38&gt;0,L38,0)</f>
        <v>0</v>
      </c>
      <c r="K38" s="134" t="n">
        <f aca="false">I38+J38</f>
        <v>367.4</v>
      </c>
      <c r="L38" s="134" t="n">
        <f aca="false">F38-(I38-AK38)</f>
        <v>-12.8153012351903</v>
      </c>
      <c r="M38" s="137" t="n">
        <v>81.4</v>
      </c>
      <c r="N38" s="158" t="n">
        <v>0</v>
      </c>
      <c r="O38" s="369" t="n">
        <f aca="false">44.3*1.05</f>
        <v>46.515</v>
      </c>
      <c r="P38" s="83" t="n">
        <v>0</v>
      </c>
      <c r="Q38" s="338" t="n">
        <f aca="false">1119400/325851/1.9835*1.02</f>
        <v>1.76658366923976</v>
      </c>
      <c r="R38" s="131" t="n">
        <f aca="false">(3*1.04)-T38</f>
        <v>2.46528464</v>
      </c>
      <c r="S38" s="131" t="n">
        <v>0</v>
      </c>
      <c r="T38" s="131" t="n">
        <f aca="false">(0.5939*1.06)*1.04</f>
        <v>0.65471536</v>
      </c>
      <c r="U38" s="357" t="n">
        <v>0</v>
      </c>
      <c r="V38" s="134" t="n">
        <v>38.2</v>
      </c>
      <c r="W38" s="134" t="n">
        <v>0</v>
      </c>
      <c r="X38" s="135" t="n">
        <f aca="false">M38-N38-O38-P38-Q38-R38-S38-T38-U38+V38+W38-AT38</f>
        <v>68.1984163307603</v>
      </c>
      <c r="Y38" s="135" t="n">
        <f aca="false">X38-AO38</f>
        <v>68.1984163307603</v>
      </c>
      <c r="Z38" s="107" t="n">
        <f aca="false">Z37</f>
        <v>0</v>
      </c>
      <c r="AA38" s="135"/>
      <c r="AB38" s="107" t="n">
        <f aca="false">AB37+(Y38-V38)*1.9835</f>
        <v>465.239030395475</v>
      </c>
      <c r="AC38" s="146" t="n">
        <f aca="false">AC37+AP38-(AQ37/1.9835)</f>
        <v>2277.40771765404</v>
      </c>
      <c r="AD38" s="97"/>
      <c r="AE38" s="134" t="n">
        <v>25.6</v>
      </c>
      <c r="AF38" s="137" t="n">
        <v>1.7</v>
      </c>
      <c r="AG38" s="138" t="n">
        <v>1.3</v>
      </c>
      <c r="AH38" s="134" t="n">
        <v>17.3</v>
      </c>
      <c r="AI38" s="80" t="n">
        <f aca="false">AI37-AH38</f>
        <v>5797.93684762419</v>
      </c>
      <c r="AJ38" s="97"/>
      <c r="AK38" s="134" t="n">
        <f aca="false">N38+O38+P38+Q38+R38+S38+T38+U38+X38+AE38+AH38</f>
        <v>162.5</v>
      </c>
      <c r="AL38" s="134" t="n">
        <f aca="false">IF(L38&lt;0,L38*-1,0)</f>
        <v>12.8153012351903</v>
      </c>
      <c r="AM38" s="369" t="n">
        <f aca="false">AK38+AL38</f>
        <v>175.31530123519</v>
      </c>
      <c r="AN38" s="213" t="n">
        <f aca="false">V38+AP38</f>
        <v>331.46971536</v>
      </c>
      <c r="AO38" s="97"/>
      <c r="AP38" s="146" t="n">
        <f aca="false">I38-Q38-R38-X38-AF38</f>
        <v>293.26971536</v>
      </c>
      <c r="AQ38" s="147" t="n">
        <f aca="false">28.812*(Z38*1.9835+AC38*1.9835)/E38</f>
        <v>3.28904165292612</v>
      </c>
      <c r="AR38" s="147"/>
      <c r="AS38" s="101"/>
      <c r="AT38" s="11" t="n">
        <v>0</v>
      </c>
      <c r="AU38" s="1"/>
      <c r="AV38" s="102" t="n">
        <v>0</v>
      </c>
      <c r="AW38" s="103" t="n">
        <v>64</v>
      </c>
      <c r="AX38" s="140" t="n">
        <v>25</v>
      </c>
      <c r="AY38" s="294"/>
      <c r="AZ38" s="250" t="n">
        <f aca="false">SUM(N38,P38:U38)</f>
        <v>4.88658366923976</v>
      </c>
    </row>
    <row r="39" customFormat="false" ht="12.95" hidden="false" customHeight="true" outlineLevel="0" collapsed="false">
      <c r="A39" s="10" t="n">
        <f aca="false">A38+1</f>
        <v>25</v>
      </c>
      <c r="B39" s="359" t="n">
        <v>6871.58</v>
      </c>
      <c r="C39" s="94" t="n">
        <v>192060</v>
      </c>
      <c r="D39" s="103" t="n">
        <f aca="false">C39-C38</f>
        <v>489</v>
      </c>
      <c r="E39" s="94" t="n">
        <f aca="false">C39-152000</f>
        <v>40060</v>
      </c>
      <c r="F39" s="141" t="n">
        <f aca="false">D39/$D$2</f>
        <v>246.53390471389</v>
      </c>
      <c r="G39" s="134" t="n">
        <v>460</v>
      </c>
      <c r="H39" s="134" t="n">
        <v>2.4</v>
      </c>
      <c r="I39" s="134" t="n">
        <f aca="false">G39+H39</f>
        <v>462.4</v>
      </c>
      <c r="J39" s="368" t="n">
        <f aca="false">IF(L39&gt;0,L39,0)</f>
        <v>0</v>
      </c>
      <c r="K39" s="134" t="n">
        <f aca="false">I39+J39</f>
        <v>462.4</v>
      </c>
      <c r="L39" s="134" t="n">
        <f aca="false">F39-(I39-AK39)</f>
        <v>-65.8660952861104</v>
      </c>
      <c r="M39" s="137" t="n">
        <v>77.2</v>
      </c>
      <c r="N39" s="158" t="n">
        <v>0</v>
      </c>
      <c r="O39" s="369" t="n">
        <f aca="false">50.5*1.05</f>
        <v>53.025</v>
      </c>
      <c r="P39" s="83" t="n">
        <v>0</v>
      </c>
      <c r="Q39" s="338" t="n">
        <f aca="false">1164200/325851/1.9835*1.02</f>
        <v>1.83728489166422</v>
      </c>
      <c r="R39" s="131" t="n">
        <f aca="false">(3*1.04)-T39</f>
        <v>2.46528464</v>
      </c>
      <c r="S39" s="131" t="n">
        <v>0</v>
      </c>
      <c r="T39" s="131" t="n">
        <f aca="false">(0.5939*1.06)*1.04</f>
        <v>0.65471536</v>
      </c>
      <c r="U39" s="357" t="n">
        <v>0</v>
      </c>
      <c r="V39" s="134" t="n">
        <v>18.7</v>
      </c>
      <c r="W39" s="134" t="n">
        <v>0</v>
      </c>
      <c r="X39" s="135" t="n">
        <f aca="false">M39-N39-O39-P39-Q39-R39-S39-T39-U39+V39+W39-AT39</f>
        <v>37.9177151083358</v>
      </c>
      <c r="Y39" s="135" t="n">
        <f aca="false">X39-AO39</f>
        <v>37.9177151083358</v>
      </c>
      <c r="Z39" s="107" t="n">
        <f aca="false">Z38</f>
        <v>0</v>
      </c>
      <c r="AA39" s="135"/>
      <c r="AB39" s="107" t="n">
        <f aca="false">AB38+(Y39-V39)*1.9835</f>
        <v>503.357368312859</v>
      </c>
      <c r="AC39" s="146" t="n">
        <f aca="false">AC38+AP39-(AQ38/1.9835)</f>
        <v>2694.22923202946</v>
      </c>
      <c r="AD39" s="97"/>
      <c r="AE39" s="134" t="n">
        <v>36.9</v>
      </c>
      <c r="AF39" s="137" t="n">
        <v>1.7</v>
      </c>
      <c r="AG39" s="138" t="n">
        <v>1.3</v>
      </c>
      <c r="AH39" s="134" t="n">
        <v>17.2</v>
      </c>
      <c r="AI39" s="80" t="n">
        <f aca="false">AI38-AH39</f>
        <v>5780.73684762419</v>
      </c>
      <c r="AJ39" s="97"/>
      <c r="AK39" s="134" t="n">
        <f aca="false">N39+O39+P39+Q39+R39+S39+T39+U39+X39+AE39+AH39</f>
        <v>150</v>
      </c>
      <c r="AL39" s="134" t="n">
        <f aca="false">IF(L39&lt;0,L39*-1,0)</f>
        <v>65.8660952861104</v>
      </c>
      <c r="AM39" s="369" t="n">
        <f aca="false">AK39+AL39</f>
        <v>215.86609528611</v>
      </c>
      <c r="AN39" s="213" t="n">
        <f aca="false">V39+AP39</f>
        <v>437.17971536</v>
      </c>
      <c r="AO39" s="97"/>
      <c r="AP39" s="146" t="n">
        <f aca="false">I39-Q39-R39-X39-AF39</f>
        <v>418.47971536</v>
      </c>
      <c r="AQ39" s="147" t="n">
        <f aca="false">32.216*(Z39*1.9835+AC39*1.9835)/E39</f>
        <v>4.29761414404962</v>
      </c>
      <c r="AR39" s="147"/>
      <c r="AS39" s="101"/>
      <c r="AT39" s="11" t="n">
        <v>0</v>
      </c>
      <c r="AU39" s="1"/>
      <c r="AV39" s="102" t="n">
        <v>0</v>
      </c>
      <c r="AW39" s="103" t="n">
        <v>69</v>
      </c>
      <c r="AX39" s="140" t="n">
        <v>34</v>
      </c>
      <c r="AY39" s="294"/>
      <c r="AZ39" s="250" t="n">
        <f aca="false">SUM(N39,P39:U39)</f>
        <v>4.95728489166422</v>
      </c>
    </row>
    <row r="40" customFormat="false" ht="12.95" hidden="false" customHeight="true" outlineLevel="0" collapsed="false">
      <c r="A40" s="10" t="n">
        <f aca="false">A39+1</f>
        <v>26</v>
      </c>
      <c r="B40" s="359" t="n">
        <v>6871.83</v>
      </c>
      <c r="C40" s="94" t="n">
        <v>192739</v>
      </c>
      <c r="D40" s="103" t="n">
        <f aca="false">C40-C39</f>
        <v>679</v>
      </c>
      <c r="E40" s="94" t="n">
        <f aca="false">C40-152000</f>
        <v>40739</v>
      </c>
      <c r="F40" s="141" t="n">
        <f aca="false">D40/$D$2</f>
        <v>342.324174439123</v>
      </c>
      <c r="G40" s="134" t="n">
        <v>507</v>
      </c>
      <c r="H40" s="134" t="n">
        <v>2</v>
      </c>
      <c r="I40" s="134" t="n">
        <f aca="false">G40+H40</f>
        <v>509</v>
      </c>
      <c r="J40" s="368" t="n">
        <f aca="false">IF(L40&gt;0,L40,0)</f>
        <v>0</v>
      </c>
      <c r="K40" s="134" t="n">
        <f aca="false">I40+J40</f>
        <v>509</v>
      </c>
      <c r="L40" s="134" t="n">
        <f aca="false">F40-(I40-AK40)</f>
        <v>-22.6758255608772</v>
      </c>
      <c r="M40" s="137" t="n">
        <v>90.6</v>
      </c>
      <c r="N40" s="158" t="n">
        <v>0</v>
      </c>
      <c r="O40" s="4" t="n">
        <f aca="false">53.8*1.05</f>
        <v>56.49</v>
      </c>
      <c r="P40" s="83" t="n">
        <v>0</v>
      </c>
      <c r="Q40" s="338" t="n">
        <f aca="false">1182000/325851/1.9835*1.02</f>
        <v>1.86537600235965</v>
      </c>
      <c r="R40" s="131" t="n">
        <f aca="false">(3*1.04)-T40</f>
        <v>2.246348</v>
      </c>
      <c r="S40" s="131" t="n">
        <v>0</v>
      </c>
      <c r="T40" s="131" t="n">
        <f aca="false">(0.7925*1.06)*1.04</f>
        <v>0.873652</v>
      </c>
      <c r="U40" s="357" t="n">
        <v>0</v>
      </c>
      <c r="V40" s="134" t="n">
        <v>0</v>
      </c>
      <c r="W40" s="134" t="n">
        <v>0</v>
      </c>
      <c r="X40" s="135" t="n">
        <f aca="false">M40-N40-O40-P40-Q40-R40-S40-T40-U40+V40+W40-AT40</f>
        <v>29.1246239976403</v>
      </c>
      <c r="Y40" s="135" t="n">
        <f aca="false">X40-AO40</f>
        <v>29.1246239976403</v>
      </c>
      <c r="Z40" s="107" t="n">
        <f aca="false">Z39</f>
        <v>0</v>
      </c>
      <c r="AA40" s="135"/>
      <c r="AB40" s="107" t="n">
        <f aca="false">AB39+(Y40+Z40)*1.9835</f>
        <v>561.126060012179</v>
      </c>
      <c r="AC40" s="146" t="n">
        <f aca="false">AC39+AP40-(AQ39/1.9835)</f>
        <v>3166.12620182928</v>
      </c>
      <c r="AD40" s="97"/>
      <c r="AE40" s="134" t="n">
        <v>36.7</v>
      </c>
      <c r="AF40" s="137" t="n">
        <v>1.7</v>
      </c>
      <c r="AG40" s="138" t="n">
        <v>1.3</v>
      </c>
      <c r="AH40" s="134" t="n">
        <v>16.7</v>
      </c>
      <c r="AI40" s="80" t="n">
        <f aca="false">AI39-AH40</f>
        <v>5764.03684762419</v>
      </c>
      <c r="AJ40" s="97"/>
      <c r="AK40" s="134" t="n">
        <f aca="false">N40+O40+P40+Q40+R40+S40+T40+U40+X40+AE40+AH40</f>
        <v>144</v>
      </c>
      <c r="AL40" s="134" t="n">
        <f aca="false">IF(L40&lt;0,L40*-1,0)</f>
        <v>22.6758255608772</v>
      </c>
      <c r="AM40" s="369" t="n">
        <f aca="false">AK40+AL40</f>
        <v>166.675825560877</v>
      </c>
      <c r="AN40" s="213" t="n">
        <f aca="false">V40+AP40</f>
        <v>474.063652</v>
      </c>
      <c r="AO40" s="97"/>
      <c r="AP40" s="146" t="n">
        <f aca="false">I40-Q40-R40-X40-AF40</f>
        <v>474.063652</v>
      </c>
      <c r="AQ40" s="147" t="n">
        <f aca="false">39.233*(Z40*1.9835+AC40*1.9835)/E40</f>
        <v>6.04785792900357</v>
      </c>
      <c r="AR40" s="147"/>
      <c r="AS40" s="101"/>
      <c r="AT40" s="4" t="n">
        <v>0</v>
      </c>
      <c r="AU40" s="1"/>
      <c r="AV40" s="102" t="n">
        <v>0</v>
      </c>
      <c r="AW40" s="103" t="n">
        <v>69</v>
      </c>
      <c r="AX40" s="103" t="n">
        <v>33</v>
      </c>
      <c r="AY40" s="294"/>
      <c r="AZ40" s="250" t="n">
        <f aca="false">SUM(N40,P40:U40)</f>
        <v>4.98537600235965</v>
      </c>
    </row>
    <row r="41" customFormat="false" ht="12.95" hidden="false" customHeight="true" outlineLevel="0" collapsed="false">
      <c r="A41" s="10" t="n">
        <f aca="false">A40+1</f>
        <v>27</v>
      </c>
      <c r="B41" s="359" t="n">
        <v>6872.14</v>
      </c>
      <c r="C41" s="94" t="n">
        <v>193586</v>
      </c>
      <c r="D41" s="103" t="n">
        <f aca="false">C41-C40</f>
        <v>847</v>
      </c>
      <c r="E41" s="94" t="n">
        <f aca="false">C41-152000</f>
        <v>41586</v>
      </c>
      <c r="F41" s="141" t="n">
        <f aca="false">D41/$D$2</f>
        <v>427.022939248803</v>
      </c>
      <c r="G41" s="134" t="n">
        <v>580</v>
      </c>
      <c r="H41" s="134" t="n">
        <v>1.7</v>
      </c>
      <c r="I41" s="134" t="n">
        <f aca="false">G41+H41</f>
        <v>581.7</v>
      </c>
      <c r="J41" s="368" t="n">
        <f aca="false">IF(L41&gt;0,L41,0)</f>
        <v>2.72293924880256</v>
      </c>
      <c r="K41" s="134" t="n">
        <f aca="false">I41+J41</f>
        <v>584.422939248803</v>
      </c>
      <c r="L41" s="134" t="n">
        <f aca="false">F41-(I41-AK41)</f>
        <v>2.72293924880256</v>
      </c>
      <c r="M41" s="137" t="n">
        <v>104</v>
      </c>
      <c r="N41" s="158" t="n">
        <v>0</v>
      </c>
      <c r="O41" s="369" t="n">
        <f aca="false">48.4*1.05</f>
        <v>50.82</v>
      </c>
      <c r="P41" s="83" t="n">
        <v>0</v>
      </c>
      <c r="Q41" s="338" t="n">
        <f aca="false">1484100/325851/1.9835*1.02</f>
        <v>2.34213580803888</v>
      </c>
      <c r="R41" s="131" t="n">
        <f aca="false">(3*1.04)-T41</f>
        <v>2.246348</v>
      </c>
      <c r="S41" s="131" t="n">
        <v>0</v>
      </c>
      <c r="T41" s="131" t="n">
        <f aca="false">(0.7925*1.06)*1.04</f>
        <v>0.873652</v>
      </c>
      <c r="U41" s="357" t="n">
        <v>0</v>
      </c>
      <c r="V41" s="134" t="n">
        <v>0</v>
      </c>
      <c r="W41" s="134" t="n">
        <v>0</v>
      </c>
      <c r="X41" s="135" t="n">
        <f aca="false">M41-N41-O41-P41-Q41-R41-S41-T41-U41+V41+W41-AT41</f>
        <v>47.7178641919611</v>
      </c>
      <c r="Y41" s="135" t="n">
        <f aca="false">X41-AO41</f>
        <v>47.7178641919611</v>
      </c>
      <c r="Z41" s="107" t="n">
        <f aca="false">Z40</f>
        <v>0</v>
      </c>
      <c r="AA41" s="135"/>
      <c r="AB41" s="107" t="n">
        <f aca="false">AB40+(Y41+Z41)*1.9835</f>
        <v>655.774443636934</v>
      </c>
      <c r="AC41" s="146" t="n">
        <f aca="false">AC40+AP41-(AQ40/1.9835)</f>
        <v>3690.77076992255</v>
      </c>
      <c r="AD41" s="97"/>
      <c r="AE41" s="134" t="n">
        <v>36.6</v>
      </c>
      <c r="AF41" s="137" t="n">
        <v>1.7</v>
      </c>
      <c r="AG41" s="138" t="n">
        <v>1.3</v>
      </c>
      <c r="AH41" s="134" t="n">
        <v>16.8</v>
      </c>
      <c r="AI41" s="80" t="n">
        <f aca="false">AI40-AH41</f>
        <v>5747.23684762419</v>
      </c>
      <c r="AJ41" s="97"/>
      <c r="AK41" s="134" t="n">
        <f aca="false">N41+O41+P41+Q41+R41+S41+T41+U41+X41+AE41+AH41</f>
        <v>157.4</v>
      </c>
      <c r="AL41" s="134" t="n">
        <f aca="false">IF(L41&lt;0,L41*-1,0)</f>
        <v>0</v>
      </c>
      <c r="AM41" s="369" t="n">
        <f aca="false">AK41+AL41</f>
        <v>157.4</v>
      </c>
      <c r="AN41" s="213" t="n">
        <f aca="false">V41+AP41</f>
        <v>527.693652</v>
      </c>
      <c r="AO41" s="97"/>
      <c r="AP41" s="146" t="n">
        <f aca="false">I41-Q41-R41-X41-AF41</f>
        <v>527.693652</v>
      </c>
      <c r="AQ41" s="147" t="n">
        <f aca="false">45.134*(Z41*1.9835+AC41*1.9835)/E41</f>
        <v>7.94522046526545</v>
      </c>
      <c r="AR41" s="147"/>
      <c r="AS41" s="101"/>
      <c r="AT41" s="11" t="n">
        <v>0</v>
      </c>
      <c r="AU41" s="1"/>
      <c r="AV41" s="102" t="n">
        <v>0</v>
      </c>
      <c r="AW41" s="103" t="n">
        <v>72</v>
      </c>
      <c r="AX41" s="103" t="n">
        <v>37</v>
      </c>
      <c r="AY41" s="294"/>
      <c r="AZ41" s="250" t="n">
        <f aca="false">SUM(N41,P41:U41)</f>
        <v>5.46213580803889</v>
      </c>
    </row>
    <row r="42" customFormat="false" ht="12.95" hidden="false" customHeight="true" outlineLevel="0" collapsed="false">
      <c r="A42" s="10" t="n">
        <f aca="false">A41+1</f>
        <v>28</v>
      </c>
      <c r="B42" s="359" t="n">
        <v>6872.65</v>
      </c>
      <c r="C42" s="94" t="n">
        <v>194990</v>
      </c>
      <c r="D42" s="103" t="n">
        <f aca="false">C42-C41</f>
        <v>1404</v>
      </c>
      <c r="E42" s="94" t="n">
        <f aca="false">C42-152000</f>
        <v>42990</v>
      </c>
      <c r="F42" s="141" t="n">
        <f aca="false">D42/$D$2</f>
        <v>707.839677338039</v>
      </c>
      <c r="G42" s="134" t="n">
        <v>825</v>
      </c>
      <c r="H42" s="134" t="n">
        <v>5</v>
      </c>
      <c r="I42" s="134" t="n">
        <f aca="false">G42+H42</f>
        <v>830</v>
      </c>
      <c r="J42" s="368" t="n">
        <f aca="false">IF(L42&gt;0,L42,0)</f>
        <v>32.2396773380387</v>
      </c>
      <c r="K42" s="134" t="n">
        <f aca="false">I42+J42</f>
        <v>862.239677338039</v>
      </c>
      <c r="L42" s="134" t="n">
        <f aca="false">F42-(I42-AK42)</f>
        <v>32.2396773380387</v>
      </c>
      <c r="M42" s="137" t="n">
        <v>101</v>
      </c>
      <c r="N42" s="158" t="n">
        <v>0</v>
      </c>
      <c r="O42" s="369" t="n">
        <f aca="false">50.2*1.05</f>
        <v>52.71</v>
      </c>
      <c r="P42" s="83" t="n">
        <v>0</v>
      </c>
      <c r="Q42" s="338" t="n">
        <f aca="false">1755800/325851/1.9835*1.02</f>
        <v>2.7709197842158</v>
      </c>
      <c r="R42" s="131" t="n">
        <f aca="false">(3*1.04)-T42</f>
        <v>2.246348</v>
      </c>
      <c r="S42" s="131" t="n">
        <v>0</v>
      </c>
      <c r="T42" s="131" t="n">
        <f aca="false">(0.7925*1.06)*1.04</f>
        <v>0.873652</v>
      </c>
      <c r="U42" s="357" t="n">
        <v>0</v>
      </c>
      <c r="V42" s="134" t="n">
        <v>0</v>
      </c>
      <c r="W42" s="134" t="n">
        <v>0</v>
      </c>
      <c r="X42" s="135" t="n">
        <f aca="false">M42-N42-O42-P42-Q42-R42-S42-T42-U42+V42+W42-AT42</f>
        <v>42.3990802157842</v>
      </c>
      <c r="Y42" s="135" t="n">
        <f aca="false">X42-AO42</f>
        <v>42.3990802157842</v>
      </c>
      <c r="Z42" s="107" t="n">
        <f aca="false">Z41</f>
        <v>0</v>
      </c>
      <c r="AA42" s="135"/>
      <c r="AB42" s="107" t="n">
        <f aca="false">AB41+(Y42+Z42)*1.9835</f>
        <v>739.873019244942</v>
      </c>
      <c r="AC42" s="146" t="n">
        <f aca="false">AC41+AP42-(AQ41/1.9835)</f>
        <v>4439.36603280469</v>
      </c>
      <c r="AD42" s="97"/>
      <c r="AE42" s="134" t="n">
        <v>36.5</v>
      </c>
      <c r="AF42" s="137" t="n">
        <v>1.7</v>
      </c>
      <c r="AG42" s="138" t="n">
        <v>1.3</v>
      </c>
      <c r="AH42" s="134" t="n">
        <v>16.9</v>
      </c>
      <c r="AI42" s="80" t="n">
        <f aca="false">AI41-AH42</f>
        <v>5730.33684762419</v>
      </c>
      <c r="AJ42" s="97"/>
      <c r="AK42" s="134" t="n">
        <f aca="false">N42+O42+P42+Q42+R42+S42+T42+U42+X42+AE42+AH42</f>
        <v>154.4</v>
      </c>
      <c r="AL42" s="134" t="n">
        <f aca="false">IF(L42&lt;0,L42*-1,0)</f>
        <v>0</v>
      </c>
      <c r="AM42" s="369" t="n">
        <f aca="false">AK42+AL42</f>
        <v>154.4</v>
      </c>
      <c r="AN42" s="213" t="n">
        <f aca="false">V42+AP42</f>
        <v>752.600919784216</v>
      </c>
      <c r="AO42" s="97"/>
      <c r="AP42" s="146" t="n">
        <f aca="false">795-X42</f>
        <v>752.600919784216</v>
      </c>
      <c r="AQ42" s="147" t="n">
        <f aca="false">48.296*(Z42*1.9835+AC42*1.9835)/E42</f>
        <v>9.89229086017644</v>
      </c>
      <c r="AR42" s="147"/>
      <c r="AS42" s="101"/>
      <c r="AT42" s="11" t="n">
        <v>0</v>
      </c>
      <c r="AU42" s="1"/>
      <c r="AV42" s="102" t="n">
        <v>0</v>
      </c>
      <c r="AW42" s="103" t="n">
        <v>76</v>
      </c>
      <c r="AX42" s="103" t="n">
        <v>36</v>
      </c>
      <c r="AY42" s="294"/>
      <c r="AZ42" s="250" t="n">
        <f aca="false">SUM(N42,P42:U42)</f>
        <v>5.8909197842158</v>
      </c>
    </row>
    <row r="43" customFormat="false" ht="12.95" hidden="false" customHeight="true" outlineLevel="0" collapsed="false">
      <c r="A43" s="10" t="n">
        <f aca="false">A42+1</f>
        <v>29</v>
      </c>
      <c r="B43" s="359" t="n">
        <v>6873.33</v>
      </c>
      <c r="C43" s="94" t="n">
        <v>196872</v>
      </c>
      <c r="D43" s="103" t="n">
        <f aca="false">C43-C42</f>
        <v>1882</v>
      </c>
      <c r="E43" s="94" t="n">
        <f aca="false">C43-152000</f>
        <v>44872</v>
      </c>
      <c r="F43" s="141" t="n">
        <f aca="false">D43/$D$2</f>
        <v>948.827829594152</v>
      </c>
      <c r="G43" s="134" t="n">
        <v>1040</v>
      </c>
      <c r="H43" s="134" t="n">
        <v>19</v>
      </c>
      <c r="I43" s="134" t="n">
        <f aca="false">G43+H43</f>
        <v>1059</v>
      </c>
      <c r="J43" s="368" t="n">
        <f aca="false">IF(L43&gt;0,L43,0)</f>
        <v>74.5278295941517</v>
      </c>
      <c r="K43" s="134" t="n">
        <f aca="false">I43+J43</f>
        <v>1133.52782959415</v>
      </c>
      <c r="L43" s="134" t="n">
        <f aca="false">F43-(I43-AK43)</f>
        <v>74.5278295941517</v>
      </c>
      <c r="M43" s="137" t="n">
        <v>136</v>
      </c>
      <c r="N43" s="158" t="n">
        <v>0</v>
      </c>
      <c r="O43" s="369" t="n">
        <f aca="false">47.9*1.05</f>
        <v>50.295</v>
      </c>
      <c r="P43" s="83" t="n">
        <v>0</v>
      </c>
      <c r="Q43" s="338" t="n">
        <f aca="false">1643900/325851/1.9835*1.02</f>
        <v>2.59432454338328</v>
      </c>
      <c r="R43" s="131" t="n">
        <f aca="false">(4*1.04)-T43</f>
        <v>3.286348</v>
      </c>
      <c r="S43" s="131" t="n">
        <v>0</v>
      </c>
      <c r="T43" s="131" t="n">
        <f aca="false">(0.7925*1.06)*1.04</f>
        <v>0.873652</v>
      </c>
      <c r="U43" s="357" t="n">
        <v>0</v>
      </c>
      <c r="V43" s="134" t="n">
        <v>0</v>
      </c>
      <c r="W43" s="134" t="n">
        <v>0</v>
      </c>
      <c r="X43" s="135" t="n">
        <f aca="false">M43-N43-O43-P43-Q43-R43-S43-T43-U43+V43+W43-AT43</f>
        <v>78.9506754566167</v>
      </c>
      <c r="Y43" s="135" t="n">
        <f aca="false">X43-AO43</f>
        <v>78.9506754566167</v>
      </c>
      <c r="Z43" s="107" t="n">
        <f aca="false">Z42</f>
        <v>0</v>
      </c>
      <c r="AA43" s="135"/>
      <c r="AB43" s="107" t="n">
        <f aca="false">AB42+(Y43+Z43)*1.9835</f>
        <v>896.471684013141</v>
      </c>
      <c r="AC43" s="146" t="n">
        <f aca="false">AC42+AP43-(AQ42/1.9835)</f>
        <v>5150.42806677072</v>
      </c>
      <c r="AD43" s="97"/>
      <c r="AE43" s="134" t="n">
        <v>31.7</v>
      </c>
      <c r="AF43" s="137" t="n">
        <v>1.7</v>
      </c>
      <c r="AG43" s="138" t="n">
        <v>1.3</v>
      </c>
      <c r="AH43" s="134" t="n">
        <v>17</v>
      </c>
      <c r="AI43" s="80" t="n">
        <f aca="false">AI42-AH43</f>
        <v>5713.33684762419</v>
      </c>
      <c r="AJ43" s="97"/>
      <c r="AK43" s="134" t="n">
        <f aca="false">N43+O43+P43+Q43+R43+S43+T43+U43+X43+AE43+AH43</f>
        <v>184.7</v>
      </c>
      <c r="AL43" s="134" t="n">
        <f aca="false">IF(L43&lt;0,L43*-1,0)</f>
        <v>0</v>
      </c>
      <c r="AM43" s="369" t="n">
        <f aca="false">AK43+AL43</f>
        <v>184.7</v>
      </c>
      <c r="AN43" s="213" t="n">
        <f aca="false">V43+AP43</f>
        <v>716.049324543383</v>
      </c>
      <c r="AO43" s="97"/>
      <c r="AP43" s="146" t="n">
        <f aca="false">795-X43</f>
        <v>716.049324543383</v>
      </c>
      <c r="AQ43" s="147" t="n">
        <f aca="false">19.06*(Z43*1.9835+AC43*1.9835)/E43</f>
        <v>4.33933320963142</v>
      </c>
      <c r="AR43" s="147"/>
      <c r="AS43" s="101"/>
      <c r="AT43" s="11" t="n">
        <v>0</v>
      </c>
      <c r="AU43" s="1"/>
      <c r="AV43" s="102" t="n">
        <v>0</v>
      </c>
      <c r="AW43" s="140" t="n">
        <v>79</v>
      </c>
      <c r="AX43" s="103" t="n">
        <v>41</v>
      </c>
      <c r="AY43" s="294"/>
      <c r="AZ43" s="250" t="n">
        <f aca="false">SUM(N43,P43:U43)</f>
        <v>6.75432454338328</v>
      </c>
    </row>
    <row r="44" customFormat="false" ht="12.95" hidden="false" customHeight="true" outlineLevel="0" collapsed="false">
      <c r="A44" s="10" t="n">
        <v>30</v>
      </c>
      <c r="B44" s="359" t="n">
        <v>6874.1</v>
      </c>
      <c r="C44" s="94" t="n">
        <v>199021</v>
      </c>
      <c r="D44" s="103" t="n">
        <f aca="false">C44-C43</f>
        <v>2149</v>
      </c>
      <c r="E44" s="94" t="n">
        <f aca="false">C44-152000</f>
        <v>47021</v>
      </c>
      <c r="F44" s="141" t="n">
        <f aca="false">D44/$D$2</f>
        <v>1083.43836652382</v>
      </c>
      <c r="G44" s="134" t="n">
        <v>1170</v>
      </c>
      <c r="H44" s="134" t="n">
        <v>9.2</v>
      </c>
      <c r="I44" s="134" t="n">
        <f aca="false">G44+H44</f>
        <v>1179.2</v>
      </c>
      <c r="J44" s="368" t="n">
        <f aca="false">IF(L44&gt;0,L44,0)</f>
        <v>87.2483665238215</v>
      </c>
      <c r="K44" s="134" t="n">
        <f aca="false">I44+J44</f>
        <v>1266.44836652382</v>
      </c>
      <c r="L44" s="134" t="n">
        <f aca="false">F44-(I44-AK44)</f>
        <v>87.2483665238215</v>
      </c>
      <c r="M44" s="137" t="n">
        <v>157</v>
      </c>
      <c r="N44" s="158" t="n">
        <v>0</v>
      </c>
      <c r="O44" s="369" t="n">
        <f aca="false">55.9*1.05</f>
        <v>58.695</v>
      </c>
      <c r="P44" s="83" t="n">
        <v>0</v>
      </c>
      <c r="Q44" s="338" t="n">
        <f aca="false">1152100/325851/1.9835*1.02</f>
        <v>1.81818924900047</v>
      </c>
      <c r="R44" s="131" t="n">
        <v>4.2</v>
      </c>
      <c r="S44" s="131" t="n">
        <f aca="false">((5*1.04)-T44)-4.2</f>
        <v>0.126348</v>
      </c>
      <c r="T44" s="131" t="n">
        <f aca="false">(0.7925*1.06)*1.04</f>
        <v>0.873652</v>
      </c>
      <c r="U44" s="357" t="n">
        <v>0</v>
      </c>
      <c r="V44" s="134" t="n">
        <v>0</v>
      </c>
      <c r="W44" s="134" t="n">
        <v>0</v>
      </c>
      <c r="X44" s="135" t="n">
        <f aca="false">M44-N44-O44-P44-Q44-R44-S44-T44-U44+V44+W44-AT44</f>
        <v>91.2868107509995</v>
      </c>
      <c r="Y44" s="135" t="n">
        <f aca="false">X44-AO44</f>
        <v>91.2868107509995</v>
      </c>
      <c r="Z44" s="107" t="n">
        <f aca="false">Z43+AP44-AN44</f>
        <v>478.713189249001</v>
      </c>
      <c r="AA44" s="135"/>
      <c r="AB44" s="107" t="n">
        <f aca="false">AB43+(Y44+Z44)*1.9835</f>
        <v>2027.06668401314</v>
      </c>
      <c r="AC44" s="146" t="n">
        <f aca="false">AC43+AN44-(AQ43/1.9835)</f>
        <v>5373.24035151505</v>
      </c>
      <c r="AD44" s="97"/>
      <c r="AE44" s="134" t="n">
        <v>9.01</v>
      </c>
      <c r="AF44" s="137" t="n">
        <v>1.7</v>
      </c>
      <c r="AG44" s="138" t="n">
        <v>1.3</v>
      </c>
      <c r="AH44" s="134" t="n">
        <v>17</v>
      </c>
      <c r="AI44" s="80" t="n">
        <f aca="false">AI43-AH44</f>
        <v>5696.33684762419</v>
      </c>
      <c r="AJ44" s="97"/>
      <c r="AK44" s="134" t="n">
        <f aca="false">N44+O44+P44+Q44+R44+S44+T44+U44+X44+AE44+AH44</f>
        <v>183.01</v>
      </c>
      <c r="AL44" s="134" t="n">
        <f aca="false">IF(L44&lt;0,L44*-1,0)</f>
        <v>0</v>
      </c>
      <c r="AM44" s="141" t="n">
        <f aca="false">AK44+AL44</f>
        <v>183.01</v>
      </c>
      <c r="AN44" s="213" t="n">
        <v>225</v>
      </c>
      <c r="AO44" s="97"/>
      <c r="AP44" s="146" t="n">
        <f aca="false">795-X44</f>
        <v>703.713189249001</v>
      </c>
      <c r="AQ44" s="147" t="n">
        <f aca="false">71.315*(Z44*1.9835+AC44*1.9835)/E44</f>
        <v>17.6044353462845</v>
      </c>
      <c r="AR44" s="147"/>
      <c r="AS44" s="101"/>
      <c r="AT44" s="11" t="n">
        <v>0</v>
      </c>
      <c r="AU44" s="1"/>
      <c r="AV44" s="102" t="n">
        <v>0</v>
      </c>
      <c r="AW44" s="140" t="n">
        <v>79</v>
      </c>
      <c r="AX44" s="103" t="n">
        <v>41</v>
      </c>
      <c r="AY44" s="294"/>
      <c r="AZ44" s="250" t="n">
        <f aca="false">SUM(N44,P44:U44)</f>
        <v>7.01818924900047</v>
      </c>
    </row>
    <row r="45" customFormat="false" ht="3" hidden="false" customHeight="true" outlineLevel="0" collapsed="false">
      <c r="A45" s="109"/>
      <c r="B45" s="371"/>
      <c r="C45" s="119"/>
      <c r="D45" s="116"/>
      <c r="E45" s="119"/>
      <c r="F45" s="143"/>
      <c r="G45" s="116"/>
      <c r="H45" s="116"/>
      <c r="I45" s="116"/>
      <c r="J45" s="116"/>
      <c r="K45" s="116"/>
      <c r="L45" s="116"/>
      <c r="M45" s="120"/>
      <c r="N45" s="116"/>
      <c r="O45" s="116"/>
      <c r="P45" s="365"/>
      <c r="Q45" s="365"/>
      <c r="R45" s="365"/>
      <c r="S45" s="365"/>
      <c r="T45" s="365"/>
      <c r="U45" s="366"/>
      <c r="V45" s="116"/>
      <c r="W45" s="116"/>
      <c r="X45" s="116"/>
      <c r="Y45" s="116"/>
      <c r="Z45" s="123"/>
      <c r="AA45" s="116"/>
      <c r="AB45" s="123"/>
      <c r="AC45" s="123"/>
      <c r="AD45" s="118"/>
      <c r="AE45" s="116"/>
      <c r="AF45" s="120"/>
      <c r="AG45" s="121"/>
      <c r="AH45" s="116"/>
      <c r="AI45" s="116"/>
      <c r="AJ45" s="118"/>
      <c r="AK45" s="116"/>
      <c r="AL45" s="116"/>
      <c r="AM45" s="143"/>
      <c r="AN45" s="119"/>
      <c r="AO45" s="118"/>
      <c r="AP45" s="123"/>
      <c r="AQ45" s="365"/>
      <c r="AR45" s="365"/>
      <c r="AS45" s="365"/>
      <c r="AT45" s="365"/>
      <c r="AU45" s="365"/>
      <c r="AV45" s="125"/>
      <c r="AW45" s="123"/>
      <c r="AX45" s="123"/>
      <c r="AY45" s="156"/>
      <c r="AZ45" s="143"/>
    </row>
    <row r="46" customFormat="false" ht="12.95" hidden="false" customHeight="true" outlineLevel="0" collapsed="false">
      <c r="A46" s="11" t="s">
        <v>101</v>
      </c>
      <c r="B46" s="356"/>
      <c r="C46" s="94"/>
      <c r="D46" s="94"/>
      <c r="E46" s="94"/>
      <c r="F46" s="145" t="n">
        <f aca="false">SUM(F15:F44)</f>
        <v>5371.81749432821</v>
      </c>
      <c r="G46" s="80" t="n">
        <f aca="false">SUM(G15:G44)</f>
        <v>8280</v>
      </c>
      <c r="H46" s="80" t="n">
        <f aca="false">SUM(H15:H44)</f>
        <v>62.36</v>
      </c>
      <c r="I46" s="80" t="n">
        <f aca="false">SUM(I15:I44)</f>
        <v>8342.36</v>
      </c>
      <c r="J46" s="80" t="n">
        <f aca="false">SUM(J15:J44)</f>
        <v>844.642321653642</v>
      </c>
      <c r="K46" s="80" t="n">
        <f aca="false">SUM(K15:K44)</f>
        <v>9187.00232165364</v>
      </c>
      <c r="L46" s="80" t="n">
        <f aca="false">SUM(L15:L44)</f>
        <v>584.287494328208</v>
      </c>
      <c r="M46" s="98" t="n">
        <f aca="false">SUM(M15:M44)</f>
        <v>1719.62</v>
      </c>
      <c r="N46" s="94" t="n">
        <f aca="false">SUM(N15:N44)</f>
        <v>0</v>
      </c>
      <c r="O46" s="94" t="n">
        <f aca="false">SUM(O15:O44)</f>
        <v>1039.96991875</v>
      </c>
      <c r="P46" s="83" t="n">
        <f aca="false">SUM(P15:P44)</f>
        <v>0</v>
      </c>
      <c r="Q46" s="94" t="n">
        <f aca="false">SUM(Q15:Q44)</f>
        <v>51.6387209587227</v>
      </c>
      <c r="R46" s="94" t="n">
        <f aca="false">SUM(R15:R44)</f>
        <v>65.90244288</v>
      </c>
      <c r="S46" s="94" t="n">
        <f aca="false">SUM(S15:S44)</f>
        <v>0.126348</v>
      </c>
      <c r="T46" s="94" t="n">
        <f aca="false">SUM(T15:T44)</f>
        <v>18.73120912</v>
      </c>
      <c r="U46" s="357" t="n">
        <f aca="false">SUM(U15:U44)</f>
        <v>0</v>
      </c>
      <c r="V46" s="80" t="n">
        <f aca="false">SUM(V15:V44)</f>
        <v>924.7</v>
      </c>
      <c r="W46" s="80" t="n">
        <f aca="false">SUM(W15:W44)</f>
        <v>0</v>
      </c>
      <c r="X46" s="80" t="n">
        <f aca="false">SUM(X15:X44)</f>
        <v>1467.95136029128</v>
      </c>
      <c r="Y46" s="80" t="n">
        <f aca="false">SUM(Y15:Y44)</f>
        <v>1467.95136029128</v>
      </c>
      <c r="Z46" s="372"/>
      <c r="AA46" s="80"/>
      <c r="AB46" s="103"/>
      <c r="AC46" s="146"/>
      <c r="AD46" s="97"/>
      <c r="AE46" s="80" t="n">
        <f aca="false">SUM(AE15:AE44)</f>
        <v>213.01</v>
      </c>
      <c r="AF46" s="98" t="n">
        <f aca="false">SUM(AF15:AF44)</f>
        <v>51</v>
      </c>
      <c r="AG46" s="99" t="n">
        <f aca="false">SUM(AG15:AG44)</f>
        <v>39</v>
      </c>
      <c r="AH46" s="80" t="n">
        <f aca="false">SUM(AH15:AH44)</f>
        <v>697.5</v>
      </c>
      <c r="AI46" s="80"/>
      <c r="AJ46" s="97" t="n">
        <f aca="false">SUM(AJ15:AJ44)</f>
        <v>0</v>
      </c>
      <c r="AK46" s="80" t="n">
        <f aca="false">SUM(AK15:AK44)</f>
        <v>3554.83</v>
      </c>
      <c r="AL46" s="80" t="n">
        <f aca="false">SUM(AL15:AL44)</f>
        <v>260.354827325435</v>
      </c>
      <c r="AM46" s="145" t="n">
        <f aca="false">SUM(AM15:AM44)</f>
        <v>3815.18482732544</v>
      </c>
      <c r="AN46" s="94" t="n">
        <f aca="false">SUM(AN15:AN44)</f>
        <v>4606.0916944076</v>
      </c>
      <c r="AO46" s="150" t="n">
        <f aca="false">SUM(AO15:AO44)</f>
        <v>0</v>
      </c>
      <c r="AP46" s="146"/>
      <c r="AR46" s="147"/>
      <c r="AS46" s="101"/>
      <c r="AT46" s="80" t="n">
        <f aca="false">SUM(AT15:AT44)</f>
        <v>0</v>
      </c>
      <c r="AU46" s="1"/>
      <c r="AV46" s="102" t="n">
        <f aca="false">SUM(AV15:AV44)</f>
        <v>0.06</v>
      </c>
      <c r="AW46" s="103" t="n">
        <f aca="false">AVERAGE(AW15:AW44)</f>
        <v>62.6333333333333</v>
      </c>
      <c r="AX46" s="103" t="n">
        <f aca="false">AVERAGE(AX15:AX44)</f>
        <v>30.7666666666667</v>
      </c>
      <c r="AY46" s="145" t="s">
        <v>126</v>
      </c>
      <c r="AZ46" s="145" t="n">
        <f aca="false">SUM(AZ15:AZ44)</f>
        <v>136.398720958723</v>
      </c>
    </row>
    <row r="47" customFormat="false" ht="12.95" hidden="false" customHeight="true" outlineLevel="0" collapsed="false">
      <c r="A47" s="11" t="s">
        <v>103</v>
      </c>
      <c r="B47" s="356"/>
      <c r="C47" s="94"/>
      <c r="D47" s="94" t="n">
        <f aca="false">SUM(D15:D44)</f>
        <v>10655</v>
      </c>
      <c r="E47" s="94"/>
      <c r="F47" s="145" t="n">
        <f aca="false">F46*$D$2</f>
        <v>10655</v>
      </c>
      <c r="G47" s="80" t="n">
        <f aca="false">G46*$D$2</f>
        <v>16423.38</v>
      </c>
      <c r="H47" s="80" t="n">
        <f aca="false">H46*$D$2</f>
        <v>123.69106</v>
      </c>
      <c r="I47" s="80" t="n">
        <f aca="false">I46*$D$2</f>
        <v>16547.07106</v>
      </c>
      <c r="J47" s="80" t="n">
        <f aca="false">J46*$D$2</f>
        <v>1675.348045</v>
      </c>
      <c r="K47" s="80" t="n">
        <f aca="false">K46*$D$2</f>
        <v>18222.419105</v>
      </c>
      <c r="L47" s="80" t="n">
        <f aca="false">L46*$D$2</f>
        <v>1158.934245</v>
      </c>
      <c r="M47" s="98" t="n">
        <f aca="false">M46*$D$2</f>
        <v>3410.86627</v>
      </c>
      <c r="N47" s="94" t="n">
        <f aca="false">N46*$D$2</f>
        <v>0</v>
      </c>
      <c r="O47" s="94" t="n">
        <f aca="false">O46*$D$2</f>
        <v>2062.78033384062</v>
      </c>
      <c r="P47" s="83" t="n">
        <f aca="false">P46*$D$2</f>
        <v>0</v>
      </c>
      <c r="Q47" s="94" t="n">
        <f aca="false">Q46*$D$2</f>
        <v>102.425403021626</v>
      </c>
      <c r="R47" s="94" t="n">
        <f aca="false">R46*$D$2</f>
        <v>130.71749545248</v>
      </c>
      <c r="S47" s="94" t="n">
        <f aca="false">S46*$D$2</f>
        <v>0.250611258</v>
      </c>
      <c r="T47" s="94" t="n">
        <f aca="false">T46*$D$2</f>
        <v>37.15335328952</v>
      </c>
      <c r="U47" s="357" t="n">
        <f aca="false">U46*$D$2</f>
        <v>0</v>
      </c>
      <c r="V47" s="80" t="n">
        <f aca="false">V46*$D$2</f>
        <v>1834.14245</v>
      </c>
      <c r="W47" s="80" t="n">
        <f aca="false">W46*$D$2</f>
        <v>0</v>
      </c>
      <c r="X47" s="80" t="n">
        <f aca="false">X46*$D$2</f>
        <v>2911.68152313775</v>
      </c>
      <c r="Y47" s="80" t="n">
        <f aca="false">Y46*$D$2</f>
        <v>2911.68152313775</v>
      </c>
      <c r="Z47" s="146"/>
      <c r="AA47" s="80"/>
      <c r="AB47" s="146"/>
      <c r="AC47" s="146"/>
      <c r="AD47" s="97"/>
      <c r="AE47" s="80" t="n">
        <f aca="false">AE46*$D$2</f>
        <v>422.505335</v>
      </c>
      <c r="AF47" s="98" t="n">
        <f aca="false">AF46*$D$2</f>
        <v>101.1585</v>
      </c>
      <c r="AG47" s="99" t="n">
        <f aca="false">AG46*$D$2</f>
        <v>77.3565</v>
      </c>
      <c r="AH47" s="80" t="n">
        <f aca="false">AH46*$D$2</f>
        <v>1383.49125</v>
      </c>
      <c r="AI47" s="80"/>
      <c r="AJ47" s="97" t="n">
        <f aca="false">AJ46*$D$2</f>
        <v>0</v>
      </c>
      <c r="AK47" s="80" t="n">
        <f aca="false">AK46*$D$2</f>
        <v>7051.005305</v>
      </c>
      <c r="AL47" s="80" t="n">
        <f aca="false">AL46*$D$2</f>
        <v>516.4138</v>
      </c>
      <c r="AM47" s="145" t="n">
        <f aca="false">AM46*$D$2</f>
        <v>7567.419105</v>
      </c>
      <c r="AN47" s="94" t="n">
        <f aca="false">AN46*D2</f>
        <v>9136.18287585747</v>
      </c>
      <c r="AO47" s="150" t="n">
        <f aca="false">AO46*$D$2</f>
        <v>0</v>
      </c>
      <c r="AP47" s="146"/>
      <c r="AQ47" s="147" t="n">
        <f aca="false">SUM(AQ15:AQ44)</f>
        <v>76.5740186441237</v>
      </c>
      <c r="AR47" s="147"/>
      <c r="AS47" s="101"/>
      <c r="AT47" s="80" t="n">
        <f aca="false">AT46*$D$2</f>
        <v>0</v>
      </c>
      <c r="AU47" s="1"/>
      <c r="AV47" s="102"/>
      <c r="AW47" s="103" t="n">
        <f aca="false">MAX(AW15:AW44)</f>
        <v>79</v>
      </c>
      <c r="AX47" s="103" t="n">
        <f aca="false">MAX(AX15:AX44)</f>
        <v>45</v>
      </c>
      <c r="AY47" s="145" t="s">
        <v>104</v>
      </c>
      <c r="AZ47" s="145" t="n">
        <f aca="false">AZ46*$D$2</f>
        <v>270.546863021626</v>
      </c>
    </row>
    <row r="48" customFormat="false" ht="3" hidden="false" customHeight="true" outlineLevel="0" collapsed="false">
      <c r="A48" s="109"/>
      <c r="B48" s="371"/>
      <c r="C48" s="119"/>
      <c r="D48" s="119"/>
      <c r="E48" s="119"/>
      <c r="F48" s="156"/>
      <c r="G48" s="119"/>
      <c r="H48" s="116"/>
      <c r="I48" s="119"/>
      <c r="J48" s="119"/>
      <c r="K48" s="119"/>
      <c r="L48" s="119"/>
      <c r="M48" s="154"/>
      <c r="N48" s="119"/>
      <c r="O48" s="119"/>
      <c r="P48" s="365"/>
      <c r="Q48" s="119"/>
      <c r="R48" s="119"/>
      <c r="S48" s="119"/>
      <c r="T48" s="119"/>
      <c r="U48" s="366"/>
      <c r="V48" s="119"/>
      <c r="W48" s="119"/>
      <c r="X48" s="119"/>
      <c r="Y48" s="119"/>
      <c r="Z48" s="123"/>
      <c r="AA48" s="119"/>
      <c r="AB48" s="123"/>
      <c r="AC48" s="123"/>
      <c r="AD48" s="118"/>
      <c r="AE48" s="119"/>
      <c r="AF48" s="154"/>
      <c r="AG48" s="155"/>
      <c r="AH48" s="119"/>
      <c r="AI48" s="116"/>
      <c r="AJ48" s="118"/>
      <c r="AK48" s="119"/>
      <c r="AL48" s="119"/>
      <c r="AM48" s="156"/>
      <c r="AN48" s="119"/>
      <c r="AO48" s="118"/>
      <c r="AP48" s="123"/>
      <c r="AQ48" s="365"/>
      <c r="AR48" s="365"/>
      <c r="AS48" s="365"/>
      <c r="AT48" s="119"/>
      <c r="AU48" s="365"/>
      <c r="AV48" s="157"/>
      <c r="AW48" s="119"/>
      <c r="AX48" s="119"/>
      <c r="AY48" s="156"/>
      <c r="AZ48" s="156"/>
    </row>
    <row r="49" customFormat="false" ht="12.95" hidden="false" customHeight="true" outlineLevel="0" collapsed="false">
      <c r="A49" s="11" t="s">
        <v>105</v>
      </c>
      <c r="B49" s="356"/>
      <c r="C49" s="94"/>
      <c r="D49" s="94"/>
      <c r="E49" s="94"/>
      <c r="F49" s="145" t="n">
        <f aca="false">F46</f>
        <v>5371.81749432821</v>
      </c>
      <c r="G49" s="80" t="n">
        <f aca="false">G46</f>
        <v>8280</v>
      </c>
      <c r="H49" s="80" t="n">
        <f aca="false">H46</f>
        <v>62.36</v>
      </c>
      <c r="I49" s="80" t="n">
        <f aca="false">I46</f>
        <v>8342.36</v>
      </c>
      <c r="J49" s="80" t="n">
        <f aca="false">J46</f>
        <v>844.642321653642</v>
      </c>
      <c r="K49" s="80" t="n">
        <f aca="false">K46</f>
        <v>9187.00232165364</v>
      </c>
      <c r="L49" s="80" t="n">
        <f aca="false">L46</f>
        <v>584.287494328208</v>
      </c>
      <c r="M49" s="98" t="n">
        <f aca="false">M46</f>
        <v>1719.62</v>
      </c>
      <c r="N49" s="94" t="n">
        <f aca="false">N46</f>
        <v>0</v>
      </c>
      <c r="O49" s="94" t="n">
        <f aca="false">O12+O46</f>
        <v>1085.37191875</v>
      </c>
      <c r="P49" s="83" t="n">
        <f aca="false">P12+P46</f>
        <v>0</v>
      </c>
      <c r="Q49" s="94"/>
      <c r="R49" s="94"/>
      <c r="S49" s="94"/>
      <c r="T49" s="94"/>
      <c r="U49" s="357"/>
      <c r="V49" s="80" t="n">
        <f aca="false">V46</f>
        <v>924.7</v>
      </c>
      <c r="W49" s="80" t="n">
        <f aca="false">W46</f>
        <v>0</v>
      </c>
      <c r="X49" s="80" t="n">
        <f aca="false">X12+X46</f>
        <v>1467.95136029128</v>
      </c>
      <c r="Y49" s="80" t="n">
        <f aca="false">Y12+Y46</f>
        <v>1467.95136029128</v>
      </c>
      <c r="Z49" s="80" t="n">
        <f aca="false">Z12+Z44</f>
        <v>478.713189249001</v>
      </c>
      <c r="AA49" s="80"/>
      <c r="AB49" s="146"/>
      <c r="AC49" s="146"/>
      <c r="AD49" s="97"/>
      <c r="AE49" s="80" t="n">
        <f aca="false">AE46</f>
        <v>213.01</v>
      </c>
      <c r="AF49" s="98" t="n">
        <f aca="false">AF46</f>
        <v>51</v>
      </c>
      <c r="AG49" s="99" t="n">
        <f aca="false">AG46</f>
        <v>39</v>
      </c>
      <c r="AH49" s="80"/>
      <c r="AI49" s="80"/>
      <c r="AJ49" s="97" t="n">
        <f aca="false">AJ46</f>
        <v>0</v>
      </c>
      <c r="AK49" s="80" t="n">
        <f aca="false">AK46</f>
        <v>3554.83</v>
      </c>
      <c r="AL49" s="80" t="n">
        <f aca="false">AL46</f>
        <v>260.354827325435</v>
      </c>
      <c r="AM49" s="145" t="n">
        <f aca="false">AM46</f>
        <v>3815.18482732544</v>
      </c>
      <c r="AN49" s="94"/>
      <c r="AO49" s="97"/>
      <c r="AP49" s="146"/>
      <c r="AQ49" s="147"/>
      <c r="AR49" s="147"/>
      <c r="AS49" s="101"/>
      <c r="AT49" s="80" t="n">
        <f aca="false">AT46</f>
        <v>0</v>
      </c>
      <c r="AU49" s="1"/>
      <c r="AV49" s="102"/>
      <c r="AW49" s="103" t="n">
        <f aca="false">MIN(AW15:AW44)</f>
        <v>41</v>
      </c>
      <c r="AX49" s="103" t="n">
        <f aca="false">MIN(AX15:AX44)</f>
        <v>12</v>
      </c>
      <c r="AY49" s="145" t="s">
        <v>106</v>
      </c>
      <c r="AZ49" s="145" t="n">
        <f aca="false">AZ46</f>
        <v>136.398720958723</v>
      </c>
    </row>
    <row r="50" customFormat="false" ht="12.95" hidden="false" customHeight="true" outlineLevel="0" collapsed="false">
      <c r="A50" s="11" t="s">
        <v>107</v>
      </c>
      <c r="B50" s="356"/>
      <c r="C50" s="94"/>
      <c r="D50" s="94"/>
      <c r="E50" s="94"/>
      <c r="F50" s="145" t="n">
        <f aca="false">F49*$D$2</f>
        <v>10655</v>
      </c>
      <c r="G50" s="80" t="n">
        <f aca="false">G49*$D$2</f>
        <v>16423.38</v>
      </c>
      <c r="H50" s="80" t="n">
        <f aca="false">H49*$D$2</f>
        <v>123.69106</v>
      </c>
      <c r="I50" s="80" t="n">
        <f aca="false">I49*$D$2</f>
        <v>16547.07106</v>
      </c>
      <c r="J50" s="80" t="n">
        <f aca="false">J49*$D$2</f>
        <v>1675.348045</v>
      </c>
      <c r="K50" s="80" t="n">
        <f aca="false">K49*$D$2</f>
        <v>18222.419105</v>
      </c>
      <c r="L50" s="80" t="n">
        <f aca="false">L49*$D$2</f>
        <v>1158.934245</v>
      </c>
      <c r="M50" s="98" t="n">
        <f aca="false">M49*$D$2</f>
        <v>3410.86627</v>
      </c>
      <c r="N50" s="94" t="n">
        <f aca="false">N49*$D$2</f>
        <v>0</v>
      </c>
      <c r="O50" s="94" t="n">
        <f aca="false">O49*$D$2</f>
        <v>2152.83520084062</v>
      </c>
      <c r="P50" s="83" t="n">
        <f aca="false">P49*$D$2</f>
        <v>0</v>
      </c>
      <c r="Q50" s="94"/>
      <c r="R50" s="94"/>
      <c r="S50" s="94"/>
      <c r="T50" s="94"/>
      <c r="U50" s="357"/>
      <c r="V50" s="80" t="n">
        <f aca="false">V49*$D$2</f>
        <v>1834.14245</v>
      </c>
      <c r="W50" s="80" t="n">
        <f aca="false">W49*$D$2</f>
        <v>0</v>
      </c>
      <c r="X50" s="80" t="n">
        <f aca="false">X49*$D$2</f>
        <v>2911.68152313775</v>
      </c>
      <c r="Y50" s="80" t="n">
        <f aca="false">Y49*$D$2</f>
        <v>2911.68152313775</v>
      </c>
      <c r="Z50" s="80" t="n">
        <f aca="false">Z49*$D$2</f>
        <v>949.527610875393</v>
      </c>
      <c r="AA50" s="80"/>
      <c r="AB50" s="146"/>
      <c r="AC50" s="146"/>
      <c r="AD50" s="97"/>
      <c r="AE50" s="80" t="n">
        <f aca="false">AE49*$D$2</f>
        <v>422.505335</v>
      </c>
      <c r="AF50" s="98" t="n">
        <f aca="false">AF49*$D$2</f>
        <v>101.1585</v>
      </c>
      <c r="AG50" s="99" t="n">
        <f aca="false">AG49*$D$2</f>
        <v>77.3565</v>
      </c>
      <c r="AH50" s="80"/>
      <c r="AI50" s="80"/>
      <c r="AJ50" s="97" t="n">
        <f aca="false">AJ49*$D$2</f>
        <v>0</v>
      </c>
      <c r="AK50" s="80" t="n">
        <f aca="false">AK49*$D$2</f>
        <v>7051.005305</v>
      </c>
      <c r="AL50" s="80" t="n">
        <f aca="false">AL49*$D$2</f>
        <v>516.4138</v>
      </c>
      <c r="AM50" s="145" t="n">
        <f aca="false">AM49*$D$2</f>
        <v>7567.419105</v>
      </c>
      <c r="AN50" s="94"/>
      <c r="AO50" s="97"/>
      <c r="AP50" s="146"/>
      <c r="AQ50" s="147" t="n">
        <f aca="false">AQ47</f>
        <v>76.5740186441237</v>
      </c>
      <c r="AR50" s="147"/>
      <c r="AS50" s="101"/>
      <c r="AT50" s="80" t="n">
        <f aca="false">AT49*$D$2</f>
        <v>0</v>
      </c>
      <c r="AU50" s="1"/>
      <c r="AV50" s="102"/>
      <c r="AW50" s="103"/>
      <c r="AX50" s="103"/>
      <c r="AY50" s="294"/>
      <c r="AZ50" s="145" t="n">
        <f aca="false">AZ49*$D$2</f>
        <v>270.546863021626</v>
      </c>
    </row>
    <row r="51" customFormat="false" ht="3" hidden="false" customHeight="true" outlineLevel="0" collapsed="false">
      <c r="A51" s="109"/>
      <c r="B51" s="371"/>
      <c r="C51" s="119"/>
      <c r="D51" s="119"/>
      <c r="E51" s="119"/>
      <c r="F51" s="156"/>
      <c r="G51" s="119"/>
      <c r="H51" s="116"/>
      <c r="I51" s="119"/>
      <c r="J51" s="119"/>
      <c r="K51" s="119"/>
      <c r="L51" s="119"/>
      <c r="M51" s="154"/>
      <c r="N51" s="119"/>
      <c r="O51" s="119"/>
      <c r="P51" s="365"/>
      <c r="Q51" s="119"/>
      <c r="R51" s="119"/>
      <c r="S51" s="119"/>
      <c r="T51" s="119"/>
      <c r="U51" s="366"/>
      <c r="V51" s="119"/>
      <c r="W51" s="119"/>
      <c r="X51" s="119"/>
      <c r="Y51" s="119"/>
      <c r="Z51" s="123"/>
      <c r="AA51" s="119"/>
      <c r="AB51" s="123"/>
      <c r="AC51" s="123"/>
      <c r="AD51" s="118"/>
      <c r="AE51" s="119"/>
      <c r="AF51" s="154"/>
      <c r="AG51" s="155"/>
      <c r="AH51" s="119"/>
      <c r="AI51" s="119"/>
      <c r="AJ51" s="118"/>
      <c r="AK51" s="119"/>
      <c r="AL51" s="119"/>
      <c r="AM51" s="156"/>
      <c r="AN51" s="119"/>
      <c r="AO51" s="118"/>
      <c r="AP51" s="123"/>
      <c r="AQ51" s="365"/>
      <c r="AR51" s="365"/>
      <c r="AS51" s="365"/>
      <c r="AT51" s="365"/>
      <c r="AU51" s="365"/>
      <c r="AV51" s="125"/>
      <c r="AW51" s="373"/>
      <c r="AX51" s="373"/>
      <c r="AY51" s="156"/>
      <c r="AZ51" s="156"/>
    </row>
    <row r="52" customFormat="false" ht="12.95" hidden="false" customHeight="true" outlineLevel="0" collapsed="false">
      <c r="A52" s="11" t="s">
        <v>108</v>
      </c>
      <c r="B52" s="356"/>
      <c r="C52" s="94"/>
      <c r="D52" s="94"/>
      <c r="E52" s="94"/>
      <c r="F52" s="145" t="n">
        <f aca="false">F13+F46</f>
        <v>1949.07990925132</v>
      </c>
      <c r="G52" s="80" t="n">
        <f aca="false">G13+G46</f>
        <v>13433</v>
      </c>
      <c r="H52" s="80" t="n">
        <f aca="false">H13+H46</f>
        <v>116.85</v>
      </c>
      <c r="I52" s="80" t="n">
        <f aca="false">I13+I46</f>
        <v>13549.23</v>
      </c>
      <c r="J52" s="80" t="n">
        <f aca="false">J13+J46</f>
        <v>2569.67953869423</v>
      </c>
      <c r="K52" s="80" t="n">
        <f aca="false">K13+K46</f>
        <v>16118.9095386942</v>
      </c>
      <c r="L52" s="80" t="n">
        <f aca="false">L13+L46</f>
        <v>1536.64540925132</v>
      </c>
      <c r="M52" s="98" t="n">
        <f aca="false">M13+M46</f>
        <v>2621.53</v>
      </c>
      <c r="N52" s="94" t="n">
        <f aca="false">N13+N46</f>
        <v>0</v>
      </c>
      <c r="O52" s="94" t="n">
        <f aca="false">O13+O46</f>
        <v>1085.37191875</v>
      </c>
      <c r="P52" s="83"/>
      <c r="Q52" s="94" t="n">
        <f aca="false">Q13+Q46</f>
        <v>281.153111965804</v>
      </c>
      <c r="R52" s="94" t="n">
        <f aca="false">R13+R46</f>
        <v>326.24937856</v>
      </c>
      <c r="S52" s="94" t="n">
        <f aca="false">S13+S46</f>
        <v>0.126348</v>
      </c>
      <c r="T52" s="94" t="n">
        <f aca="false">T13+T46</f>
        <v>109.48827344</v>
      </c>
      <c r="U52" s="360" t="n">
        <f aca="false">U13+U46</f>
        <v>77.8630613803556</v>
      </c>
      <c r="V52" s="80" t="n">
        <f aca="false">V13+V46</f>
        <v>5281.92</v>
      </c>
      <c r="W52" s="80" t="n">
        <f aca="false">W13+W46</f>
        <v>84.4</v>
      </c>
      <c r="X52" s="80" t="n">
        <f aca="false">X13+X46</f>
        <v>6107.59790790384</v>
      </c>
      <c r="Y52" s="80" t="n">
        <f aca="false">Y13+Y46</f>
        <v>5783.63546747522</v>
      </c>
      <c r="Z52" s="146"/>
      <c r="AA52" s="80"/>
      <c r="AB52" s="146"/>
      <c r="AC52" s="146"/>
      <c r="AD52" s="97"/>
      <c r="AE52" s="80"/>
      <c r="AF52" s="98" t="n">
        <f aca="false">AF13+AF46</f>
        <v>51</v>
      </c>
      <c r="AG52" s="99" t="n">
        <f aca="false">AG13+AG46</f>
        <v>39</v>
      </c>
      <c r="AH52" s="80" t="n">
        <f aca="false">AH13+AH46</f>
        <v>4927</v>
      </c>
      <c r="AI52" s="80" t="n">
        <f aca="false">AI44</f>
        <v>5696.33684762419</v>
      </c>
      <c r="AJ52" s="97" t="n">
        <f aca="false">AJ13+AJ46</f>
        <v>0</v>
      </c>
      <c r="AK52" s="80" t="n">
        <f aca="false">AK13+AK46</f>
        <v>13136.7955</v>
      </c>
      <c r="AL52" s="80" t="n">
        <f aca="false">AL13+AL46</f>
        <v>1033.0341294429</v>
      </c>
      <c r="AM52" s="145" t="n">
        <f aca="false">AM13+AM46</f>
        <v>14169.8296294429</v>
      </c>
      <c r="AN52" s="94" t="n">
        <f aca="false">AN13+AN46</f>
        <v>8903.4116944076</v>
      </c>
      <c r="AO52" s="150" t="n">
        <f aca="false">AO13+AO46</f>
        <v>323.962440428619</v>
      </c>
      <c r="AP52" s="146"/>
      <c r="AQ52" s="147"/>
      <c r="AR52" s="147"/>
      <c r="AS52" s="101"/>
      <c r="AU52" s="1"/>
      <c r="AV52" s="102" t="n">
        <f aca="false">AV13+AV46</f>
        <v>4.773</v>
      </c>
      <c r="AW52" s="103"/>
      <c r="AX52" s="103"/>
      <c r="AY52" s="294"/>
      <c r="AZ52" s="145" t="n">
        <f aca="false">AZ13+AZ46</f>
        <v>794.88017334616</v>
      </c>
    </row>
    <row r="53" customFormat="false" ht="12.95" hidden="false" customHeight="true" outlineLevel="0" collapsed="false">
      <c r="A53" s="11" t="s">
        <v>109</v>
      </c>
      <c r="B53" s="374"/>
      <c r="C53" s="375"/>
      <c r="D53" s="375" t="n">
        <f aca="false">D13+D47</f>
        <v>3866</v>
      </c>
      <c r="E53" s="375" t="n">
        <f aca="false">E44</f>
        <v>47021</v>
      </c>
      <c r="F53" s="161" t="n">
        <f aca="false">F52*$D$2</f>
        <v>3866</v>
      </c>
      <c r="G53" s="80" t="n">
        <f aca="false">G52*$D$2</f>
        <v>26644.3555</v>
      </c>
      <c r="H53" s="80" t="n">
        <f aca="false">H52*$D$2</f>
        <v>231.771975</v>
      </c>
      <c r="I53" s="80" t="n">
        <f aca="false">I52*$D$2</f>
        <v>26874.897705</v>
      </c>
      <c r="J53" s="80" t="n">
        <f aca="false">J52*$D$2</f>
        <v>5096.959365</v>
      </c>
      <c r="K53" s="80" t="n">
        <f aca="false">K52*$D$2</f>
        <v>31971.85707</v>
      </c>
      <c r="L53" s="80" t="n">
        <f aca="false">L52*$D$2</f>
        <v>3047.93616925</v>
      </c>
      <c r="M53" s="98" t="n">
        <f aca="false">M52*$D$2</f>
        <v>5199.804755</v>
      </c>
      <c r="N53" s="94" t="n">
        <f aca="false">N52*$D$2</f>
        <v>0</v>
      </c>
      <c r="O53" s="94" t="n">
        <f aca="false">O52*$D$2</f>
        <v>2152.83520084062</v>
      </c>
      <c r="P53" s="83"/>
      <c r="Q53" s="94" t="n">
        <f aca="false">Q52*$D$2</f>
        <v>557.667197584172</v>
      </c>
      <c r="R53" s="94" t="n">
        <f aca="false">R52*$D$2</f>
        <v>647.11564237376</v>
      </c>
      <c r="S53" s="94" t="n">
        <f aca="false">S52*$D$2</f>
        <v>0.250611258</v>
      </c>
      <c r="T53" s="94" t="n">
        <f aca="false">T52*$D$2</f>
        <v>217.16999036824</v>
      </c>
      <c r="U53" s="360" t="n">
        <f aca="false">U52*$D$2</f>
        <v>154.441382247935</v>
      </c>
      <c r="V53" s="80" t="n">
        <f aca="false">V52*$D$2</f>
        <v>10476.68832</v>
      </c>
      <c r="W53" s="80" t="n">
        <f aca="false">W52*$D$2</f>
        <v>167.4074</v>
      </c>
      <c r="X53" s="80" t="n">
        <f aca="false">X52*$D$2</f>
        <v>12114.4204503273</v>
      </c>
      <c r="Y53" s="80" t="n">
        <f aca="false">Y52*$D$2</f>
        <v>11471.8409497371</v>
      </c>
      <c r="Z53" s="146"/>
      <c r="AA53" s="80"/>
      <c r="AB53" s="146"/>
      <c r="AC53" s="146"/>
      <c r="AD53" s="97"/>
      <c r="AE53" s="80"/>
      <c r="AF53" s="362" t="n">
        <f aca="false">AF52*$D$2</f>
        <v>101.1585</v>
      </c>
      <c r="AG53" s="361" t="n">
        <f aca="false">AG52*$D$2</f>
        <v>77.3565</v>
      </c>
      <c r="AH53" s="80" t="n">
        <f aca="false">AH52*$D$2</f>
        <v>9772.7045</v>
      </c>
      <c r="AI53" s="80" t="n">
        <f aca="false">AI52*$D$2</f>
        <v>11298.6841372626</v>
      </c>
      <c r="AJ53" s="97" t="n">
        <f aca="false">AJ52*$D$2</f>
        <v>0</v>
      </c>
      <c r="AK53" s="80" t="n">
        <f aca="false">AK52*$D$2</f>
        <v>26056.83387425</v>
      </c>
      <c r="AL53" s="80" t="n">
        <f aca="false">AL52*$D$2</f>
        <v>2049.02319575</v>
      </c>
      <c r="AM53" s="161" t="n">
        <f aca="false">AM52*$D$2</f>
        <v>28105.85707</v>
      </c>
      <c r="AN53" s="94" t="n">
        <f aca="false">AN52*D2</f>
        <v>17659.9170958575</v>
      </c>
      <c r="AO53" s="150" t="n">
        <f aca="false">AO52*$D$2</f>
        <v>642.579500590166</v>
      </c>
      <c r="AP53" s="146"/>
      <c r="AQ53" s="147" t="n">
        <f aca="false">AQ47</f>
        <v>76.5740186441237</v>
      </c>
      <c r="AR53" s="147"/>
      <c r="AS53" s="101"/>
      <c r="AU53" s="1"/>
      <c r="AV53" s="102"/>
      <c r="AW53" s="103"/>
      <c r="AX53" s="103"/>
      <c r="AY53" s="294"/>
      <c r="AZ53" s="161" t="n">
        <f aca="false">AZ52*$D$2</f>
        <v>1576.64482383211</v>
      </c>
    </row>
    <row r="54" customFormat="false" ht="3" hidden="false" customHeight="true" outlineLevel="0" collapsed="false">
      <c r="A54" s="109"/>
      <c r="B54" s="142"/>
      <c r="C54" s="111"/>
      <c r="D54" s="109"/>
      <c r="E54" s="111"/>
      <c r="F54" s="112"/>
      <c r="G54" s="109"/>
      <c r="H54" s="109"/>
      <c r="I54" s="109"/>
      <c r="J54" s="109"/>
      <c r="K54" s="109"/>
      <c r="L54" s="109"/>
      <c r="M54" s="114"/>
      <c r="N54" s="109"/>
      <c r="O54" s="109"/>
      <c r="P54" s="115"/>
      <c r="Q54" s="109"/>
      <c r="R54" s="109"/>
      <c r="S54" s="109"/>
      <c r="T54" s="109"/>
      <c r="U54" s="376"/>
      <c r="V54" s="109"/>
      <c r="W54" s="109"/>
      <c r="X54" s="109"/>
      <c r="Y54" s="109"/>
      <c r="Z54" s="160"/>
      <c r="AA54" s="109"/>
      <c r="AB54" s="160"/>
      <c r="AC54" s="160"/>
      <c r="AD54" s="164"/>
      <c r="AE54" s="109"/>
      <c r="AF54" s="114"/>
      <c r="AG54" s="165"/>
      <c r="AH54" s="109"/>
      <c r="AI54" s="111"/>
      <c r="AJ54" s="377"/>
      <c r="AK54" s="109"/>
      <c r="AL54" s="109"/>
      <c r="AM54" s="109"/>
      <c r="AN54" s="378"/>
      <c r="AO54" s="164"/>
      <c r="AP54" s="160"/>
      <c r="AQ54" s="115"/>
      <c r="AR54" s="115"/>
      <c r="AS54" s="115"/>
      <c r="AT54" s="379"/>
      <c r="AU54" s="380"/>
      <c r="AV54" s="142"/>
      <c r="AW54" s="109"/>
      <c r="AX54" s="109"/>
      <c r="AY54" s="156"/>
      <c r="AZ54" s="109"/>
    </row>
    <row r="55" customFormat="false" ht="14.1" hidden="false" customHeight="true" outlineLevel="0" collapsed="false">
      <c r="A55" s="170"/>
      <c r="B55" s="17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Q55" s="11"/>
      <c r="R55" s="11"/>
      <c r="S55" s="11"/>
      <c r="T55" s="11"/>
      <c r="V55" s="11"/>
      <c r="W55" s="11"/>
      <c r="X55" s="11"/>
      <c r="Y55" s="11"/>
      <c r="Z55" s="9"/>
      <c r="AA55" s="11"/>
      <c r="AB55" s="9"/>
      <c r="AC55" s="9"/>
      <c r="AD55" s="4"/>
      <c r="AE55" s="11"/>
      <c r="AF55" s="11"/>
      <c r="AG55" s="11"/>
      <c r="AH55" s="11"/>
      <c r="AI55" s="2"/>
      <c r="AK55" s="11"/>
      <c r="AL55" s="11"/>
      <c r="AM55" s="26"/>
      <c r="AN55" s="2"/>
      <c r="AO55" s="4"/>
      <c r="AP55" s="381"/>
      <c r="AQ55" s="67"/>
      <c r="AR55" s="67"/>
      <c r="AS55" s="1"/>
      <c r="AT55" s="87"/>
      <c r="AU55" s="87"/>
      <c r="AV55" s="382"/>
      <c r="AW55" s="127"/>
      <c r="AX55" s="127"/>
      <c r="AZ55" s="0"/>
    </row>
    <row r="56" customFormat="false" ht="11.1" hidden="false" customHeight="true" outlineLevel="0" collapsed="false">
      <c r="A56" s="11"/>
      <c r="B56" s="173"/>
      <c r="F56" s="11"/>
      <c r="G56" s="11"/>
      <c r="H56" s="11"/>
      <c r="I56" s="12"/>
      <c r="J56" s="11"/>
      <c r="K56" s="174"/>
      <c r="L56" s="11"/>
      <c r="M56" s="11"/>
      <c r="N56" s="11"/>
      <c r="O56" s="11"/>
      <c r="Q56" s="11"/>
      <c r="R56" s="11"/>
      <c r="S56" s="11"/>
      <c r="T56" s="11"/>
      <c r="V56" s="11"/>
      <c r="W56" s="11"/>
      <c r="X56" s="11"/>
      <c r="Y56" s="11"/>
      <c r="Z56" s="9"/>
      <c r="AA56" s="11"/>
      <c r="AB56" s="9"/>
      <c r="AC56" s="9"/>
      <c r="AD56" s="4"/>
      <c r="AE56" s="11"/>
      <c r="AF56" s="11"/>
      <c r="AG56" s="11"/>
      <c r="AH56" s="11"/>
      <c r="AI56" s="2"/>
      <c r="AK56" s="11"/>
      <c r="AL56" s="11"/>
      <c r="AM56" s="130"/>
      <c r="AN56" s="2"/>
      <c r="AO56" s="4"/>
      <c r="AP56" s="381"/>
      <c r="AQ56" s="67"/>
      <c r="AR56" s="67"/>
      <c r="AS56" s="1"/>
      <c r="AT56" s="87"/>
      <c r="AU56" s="87"/>
      <c r="AV56" s="382"/>
      <c r="AW56" s="127"/>
      <c r="AX56" s="127"/>
    </row>
    <row r="57" customFormat="false" ht="11.1" hidden="false" customHeight="true" outlineLevel="0" collapsed="false">
      <c r="D57" s="2"/>
      <c r="H57" s="11"/>
      <c r="S57" s="4"/>
      <c r="T57" s="4"/>
      <c r="X57" s="1"/>
      <c r="Y57" s="1"/>
      <c r="Z57" s="9"/>
      <c r="AA57" s="1"/>
      <c r="AB57" s="9"/>
      <c r="AC57" s="9"/>
      <c r="AD57" s="4"/>
      <c r="AH57" s="1"/>
      <c r="AI57" s="2"/>
      <c r="AM57" s="26"/>
      <c r="AN57" s="2"/>
      <c r="AO57" s="4"/>
      <c r="AP57" s="381"/>
      <c r="AQ57" s="67"/>
      <c r="AR57" s="67"/>
      <c r="AS57" s="1"/>
      <c r="AT57" s="87"/>
      <c r="AU57" s="87"/>
      <c r="AV57" s="382"/>
      <c r="AW57" s="127"/>
      <c r="AX57" s="127"/>
    </row>
    <row r="58" customFormat="false" ht="11.1" hidden="false" customHeight="true" outlineLevel="0" collapsed="false">
      <c r="B58" s="176"/>
      <c r="C58" s="177"/>
      <c r="D58" s="177"/>
      <c r="E58" s="383"/>
      <c r="H58" s="179"/>
      <c r="K58" s="384"/>
      <c r="L58" s="179"/>
      <c r="O58" s="179"/>
      <c r="P58" s="8"/>
      <c r="Q58" s="179"/>
      <c r="R58" s="179"/>
      <c r="S58" s="26"/>
      <c r="T58" s="26"/>
      <c r="U58" s="93"/>
      <c r="V58" s="26"/>
      <c r="W58" s="26"/>
      <c r="X58" s="90"/>
      <c r="Y58" s="90"/>
      <c r="Z58" s="182"/>
      <c r="AA58" s="90"/>
      <c r="AC58" s="182"/>
      <c r="AD58" s="182"/>
      <c r="AE58" s="177"/>
      <c r="AF58" s="177"/>
      <c r="AG58" s="177"/>
      <c r="AI58" s="177"/>
      <c r="AJ58" s="327"/>
      <c r="AN58" s="87"/>
      <c r="AO58" s="87"/>
      <c r="AP58" s="87"/>
    </row>
    <row r="59" customFormat="false" ht="11.1" hidden="false" customHeight="true" outlineLevel="0" collapsed="false">
      <c r="B59" s="8"/>
      <c r="C59" s="177"/>
      <c r="D59" s="177"/>
      <c r="E59" s="383"/>
      <c r="F59" s="385"/>
      <c r="G59" s="176"/>
      <c r="K59" s="174"/>
      <c r="Z59" s="2"/>
      <c r="AC59" s="2"/>
      <c r="AD59" s="2"/>
      <c r="AN59" s="87"/>
      <c r="AO59" s="87"/>
      <c r="AP59" s="87"/>
    </row>
    <row r="61" customFormat="false" ht="11.1" hidden="false" customHeight="true" outlineLevel="0" collapsed="false">
      <c r="B61" s="171"/>
    </row>
  </sheetData>
  <mergeCells count="4">
    <mergeCell ref="K1:V1"/>
    <mergeCell ref="K2:L2"/>
    <mergeCell ref="M5:U5"/>
    <mergeCell ref="AF5:AG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5" activeCellId="0" sqref="A15"/>
    </sheetView>
  </sheetViews>
  <sheetFormatPr defaultColWidth="9.328125" defaultRowHeight="11.1" zeroHeight="false" outlineLevelRow="0" outlineLevelCol="0"/>
  <cols>
    <col collapsed="false" customWidth="true" hidden="false" outlineLevel="0" max="1" min="1" style="176" width="8.66"/>
    <col collapsed="false" customWidth="true" hidden="false" outlineLevel="0" max="2" min="2" style="176" width="6.99"/>
    <col collapsed="false" customWidth="true" hidden="false" outlineLevel="0" max="3" min="3" style="177" width="6.32"/>
    <col collapsed="false" customWidth="true" hidden="false" outlineLevel="0" max="4" min="4" style="176" width="6.32"/>
    <col collapsed="false" customWidth="true" hidden="false" outlineLevel="0" max="5" min="5" style="177" width="6.99"/>
    <col collapsed="false" customWidth="true" hidden="false" outlineLevel="0" max="6" min="6" style="176" width="7.32"/>
    <col collapsed="false" customWidth="true" hidden="false" outlineLevel="0" max="7" min="7" style="176" width="6.82"/>
    <col collapsed="false" customWidth="true" hidden="false" outlineLevel="0" max="8" min="8" style="179" width="5.66"/>
    <col collapsed="false" customWidth="true" hidden="false" outlineLevel="0" max="11" min="9" style="176" width="6.32"/>
    <col collapsed="false" customWidth="true" hidden="false" outlineLevel="0" max="12" min="12" style="176" width="6.82"/>
    <col collapsed="false" customWidth="true" hidden="false" outlineLevel="0" max="13" min="13" style="179" width="5.49"/>
    <col collapsed="false" customWidth="true" hidden="false" outlineLevel="0" max="14" min="14" style="8" width="4.49"/>
    <col collapsed="false" customWidth="true" hidden="false" outlineLevel="0" max="15" min="15" style="179" width="5.49"/>
    <col collapsed="false" customWidth="true" hidden="false" outlineLevel="0" max="16" min="16" style="8" width="4.82"/>
    <col collapsed="false" customWidth="true" hidden="false" outlineLevel="0" max="18" min="17" style="179" width="4.32"/>
    <col collapsed="false" customWidth="true" hidden="false" outlineLevel="0" max="20" min="19" style="272" width="4.32"/>
    <col collapsed="false" customWidth="true" hidden="false" outlineLevel="0" max="21" min="21" style="8" width="5.16"/>
    <col collapsed="false" customWidth="true" hidden="false" outlineLevel="0" max="23" min="22" style="176" width="5.49"/>
    <col collapsed="false" customWidth="true" hidden="false" outlineLevel="0" max="25" min="24" style="177" width="6.32"/>
    <col collapsed="false" customWidth="true" hidden="false" outlineLevel="0" max="26" min="26" style="176" width="5.49"/>
    <col collapsed="false" customWidth="true" hidden="false" outlineLevel="0" max="27" min="27" style="177" width="6.32"/>
    <col collapsed="false" customWidth="true" hidden="false" outlineLevel="0" max="28" min="28" style="176" width="5.49"/>
    <col collapsed="false" customWidth="true" hidden="false" outlineLevel="0" max="29" min="29" style="176" width="5.82"/>
    <col collapsed="false" customWidth="true" hidden="false" outlineLevel="0" max="33" min="30" style="176" width="5.49"/>
    <col collapsed="false" customWidth="true" hidden="false" outlineLevel="0" max="34" min="34" style="182" width="6.32"/>
    <col collapsed="false" customWidth="true" hidden="false" outlineLevel="0" max="35" min="35" style="176" width="5.49"/>
    <col collapsed="false" customWidth="true" hidden="false" outlineLevel="0" max="36" min="36" style="327" width="6.32"/>
    <col collapsed="false" customWidth="true" hidden="false" outlineLevel="0" max="37" min="37" style="176" width="6.32"/>
    <col collapsed="false" customWidth="true" hidden="false" outlineLevel="0" max="38" min="38" style="176" width="6.82"/>
    <col collapsed="false" customWidth="true" hidden="false" outlineLevel="0" max="39" min="39" style="8" width="6.82"/>
    <col collapsed="false" customWidth="true" hidden="false" outlineLevel="0" max="40" min="40" style="177" width="5.49"/>
    <col collapsed="false" customWidth="true" hidden="false" outlineLevel="0" max="41" min="41" style="176" width="5.49"/>
    <col collapsed="false" customWidth="true" hidden="false" outlineLevel="0" max="42" min="42" style="176" width="6.32"/>
    <col collapsed="false" customWidth="true" hidden="false" outlineLevel="0" max="43" min="43" style="193" width="6.32"/>
    <col collapsed="false" customWidth="true" hidden="false" outlineLevel="0" max="44" min="44" style="194" width="5.49"/>
    <col collapsed="false" customWidth="true" hidden="false" outlineLevel="0" max="45" min="45" style="176" width="5.32"/>
    <col collapsed="false" customWidth="true" hidden="false" outlineLevel="0" max="46" min="46" style="327" width="5.82"/>
    <col collapsed="false" customWidth="true" hidden="false" outlineLevel="0" max="47" min="47" style="180" width="4.99"/>
    <col collapsed="false" customWidth="true" hidden="false" outlineLevel="0" max="48" min="48" style="178" width="5.32"/>
    <col collapsed="false" customWidth="true" hidden="false" outlineLevel="0" max="49" min="49" style="182" width="3.82"/>
    <col collapsed="false" customWidth="true" hidden="false" outlineLevel="0" max="50" min="50" style="183" width="3.82"/>
    <col collapsed="false" customWidth="true" hidden="false" outlineLevel="0" max="51" min="51" style="176" width="3.82"/>
    <col collapsed="false" customWidth="true" hidden="false" outlineLevel="0" max="52" min="52" style="176" width="5.49"/>
    <col collapsed="false" customWidth="false" hidden="false" outlineLevel="0" max="257" min="53" style="184" width="9.32"/>
  </cols>
  <sheetData>
    <row r="1" customFormat="false" ht="14.1" hidden="false" customHeight="true" outlineLevel="0" collapsed="false">
      <c r="A1" s="185"/>
      <c r="B1" s="185"/>
      <c r="D1" s="185"/>
      <c r="F1" s="185"/>
      <c r="G1" s="185"/>
      <c r="I1" s="185"/>
      <c r="J1" s="185"/>
      <c r="K1" s="190" t="s">
        <v>0</v>
      </c>
      <c r="L1" s="185"/>
      <c r="M1" s="185"/>
      <c r="O1" s="185"/>
      <c r="Q1" s="185"/>
      <c r="R1" s="185"/>
      <c r="V1" s="185"/>
      <c r="W1" s="185"/>
      <c r="Z1" s="185"/>
      <c r="AB1" s="185"/>
      <c r="AC1" s="185"/>
      <c r="AD1" s="185"/>
      <c r="AE1" s="185"/>
      <c r="AF1" s="185"/>
      <c r="AG1" s="185"/>
      <c r="AI1" s="185"/>
      <c r="AK1" s="185"/>
      <c r="AL1" s="185"/>
      <c r="AN1" s="225"/>
      <c r="AO1" s="188"/>
      <c r="AP1" s="188"/>
    </row>
    <row r="2" customFormat="false" ht="14.1" hidden="false" customHeight="true" outlineLevel="0" collapsed="false">
      <c r="A2" s="188" t="s">
        <v>1</v>
      </c>
      <c r="B2" s="185"/>
      <c r="D2" s="189" t="n">
        <v>1.9835</v>
      </c>
      <c r="F2" s="185"/>
      <c r="G2" s="185"/>
      <c r="I2" s="185"/>
      <c r="J2" s="185"/>
      <c r="K2" s="190" t="s">
        <v>127</v>
      </c>
      <c r="L2" s="191"/>
      <c r="M2" s="192"/>
      <c r="N2" s="193"/>
      <c r="O2" s="192"/>
      <c r="P2" s="193"/>
      <c r="Q2" s="192"/>
      <c r="R2" s="192"/>
      <c r="S2" s="386"/>
      <c r="T2" s="386"/>
      <c r="U2" s="193"/>
      <c r="V2" s="192"/>
      <c r="W2" s="192"/>
      <c r="X2" s="84"/>
      <c r="Y2" s="84"/>
      <c r="Z2" s="192"/>
      <c r="AA2" s="84"/>
      <c r="AB2" s="192"/>
      <c r="AC2" s="192"/>
      <c r="AD2" s="192"/>
      <c r="AE2" s="185"/>
      <c r="AF2" s="185"/>
      <c r="AG2" s="185"/>
      <c r="AI2" s="185"/>
      <c r="AK2" s="185"/>
      <c r="AL2" s="185"/>
      <c r="AN2" s="225"/>
      <c r="AO2" s="188"/>
      <c r="AP2" s="188"/>
    </row>
    <row r="3" customFormat="false" ht="14.1" hidden="false" customHeight="true" outlineLevel="0" collapsed="false">
      <c r="A3" s="185"/>
      <c r="B3" s="185"/>
      <c r="D3" s="387"/>
      <c r="F3" s="185"/>
      <c r="G3" s="185"/>
      <c r="I3" s="185"/>
      <c r="J3" s="185"/>
      <c r="K3" s="185"/>
      <c r="L3" s="185"/>
      <c r="M3" s="185"/>
      <c r="O3" s="185"/>
      <c r="Q3" s="185"/>
      <c r="R3" s="185"/>
      <c r="V3" s="185"/>
      <c r="W3" s="185"/>
      <c r="Z3" s="185"/>
      <c r="AB3" s="185"/>
      <c r="AC3" s="185"/>
      <c r="AD3" s="185"/>
      <c r="AE3" s="185"/>
      <c r="AF3" s="185"/>
      <c r="AG3" s="185"/>
      <c r="AI3" s="185"/>
      <c r="AK3" s="185"/>
      <c r="AL3" s="185"/>
      <c r="AN3" s="225"/>
      <c r="AO3" s="201"/>
      <c r="AP3" s="201"/>
    </row>
    <row r="4" s="176" customFormat="true" ht="14.1" hidden="false" customHeight="true" outlineLevel="0" collapsed="false">
      <c r="A4" s="388"/>
      <c r="B4" s="389"/>
      <c r="C4" s="390"/>
      <c r="D4" s="391" t="s">
        <v>3</v>
      </c>
      <c r="E4" s="390"/>
      <c r="F4" s="388"/>
      <c r="G4" s="389"/>
      <c r="H4" s="392"/>
      <c r="I4" s="393" t="s">
        <v>111</v>
      </c>
      <c r="J4" s="388"/>
      <c r="K4" s="388"/>
      <c r="L4" s="394"/>
      <c r="M4" s="388"/>
      <c r="N4" s="395"/>
      <c r="O4" s="388"/>
      <c r="P4" s="395"/>
      <c r="Q4" s="388"/>
      <c r="R4" s="388"/>
      <c r="S4" s="396"/>
      <c r="T4" s="396"/>
      <c r="U4" s="395"/>
      <c r="V4" s="393"/>
      <c r="W4" s="388"/>
      <c r="X4" s="393" t="s">
        <v>5</v>
      </c>
      <c r="Y4" s="390"/>
      <c r="Z4" s="388"/>
      <c r="AA4" s="390"/>
      <c r="AB4" s="388"/>
      <c r="AC4" s="388"/>
      <c r="AD4" s="388"/>
      <c r="AE4" s="388"/>
      <c r="AF4" s="388"/>
      <c r="AG4" s="388"/>
      <c r="AH4" s="397"/>
      <c r="AI4" s="388"/>
      <c r="AJ4" s="398"/>
      <c r="AK4" s="388"/>
      <c r="AL4" s="388"/>
      <c r="AM4" s="395"/>
      <c r="AN4" s="43"/>
      <c r="AO4" s="30"/>
      <c r="AP4" s="399" t="s">
        <v>6</v>
      </c>
      <c r="AQ4" s="47"/>
      <c r="AR4" s="400"/>
      <c r="AS4" s="48"/>
      <c r="AT4" s="398"/>
      <c r="AU4" s="398"/>
      <c r="AV4" s="401"/>
      <c r="AW4" s="402" t="s">
        <v>7</v>
      </c>
      <c r="AX4" s="403"/>
      <c r="AY4" s="404"/>
      <c r="AZ4" s="405"/>
    </row>
    <row r="5" customFormat="false" ht="12.95" hidden="false" customHeight="true" outlineLevel="0" collapsed="false">
      <c r="A5" s="325" t="s">
        <v>8</v>
      </c>
      <c r="B5" s="406" t="s">
        <v>9</v>
      </c>
      <c r="C5" s="407" t="s">
        <v>9</v>
      </c>
      <c r="D5" s="325" t="s">
        <v>10</v>
      </c>
      <c r="E5" s="407" t="s">
        <v>11</v>
      </c>
      <c r="F5" s="325" t="s">
        <v>12</v>
      </c>
      <c r="G5" s="406" t="s">
        <v>13</v>
      </c>
      <c r="H5" s="408" t="s">
        <v>14</v>
      </c>
      <c r="I5" s="325" t="s">
        <v>15</v>
      </c>
      <c r="J5" s="325" t="s">
        <v>16</v>
      </c>
      <c r="K5" s="325" t="s">
        <v>17</v>
      </c>
      <c r="L5" s="325" t="s">
        <v>16</v>
      </c>
      <c r="M5" s="409" t="s">
        <v>18</v>
      </c>
      <c r="N5" s="409"/>
      <c r="O5" s="409"/>
      <c r="P5" s="409"/>
      <c r="Q5" s="409"/>
      <c r="R5" s="409"/>
      <c r="S5" s="409"/>
      <c r="T5" s="409"/>
      <c r="U5" s="409"/>
      <c r="V5" s="325" t="s">
        <v>19</v>
      </c>
      <c r="W5" s="32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407" t="s">
        <v>22</v>
      </c>
      <c r="AD5" s="407" t="s">
        <v>21</v>
      </c>
      <c r="AE5" s="325" t="s">
        <v>23</v>
      </c>
      <c r="AF5" s="410" t="s">
        <v>128</v>
      </c>
      <c r="AG5" s="411"/>
      <c r="AH5" s="412" t="s">
        <v>25</v>
      </c>
      <c r="AI5" s="407" t="s">
        <v>129</v>
      </c>
      <c r="AJ5" s="408" t="s">
        <v>27</v>
      </c>
      <c r="AK5" s="325" t="s">
        <v>15</v>
      </c>
      <c r="AL5" s="325" t="s">
        <v>16</v>
      </c>
      <c r="AM5" s="325" t="s">
        <v>17</v>
      </c>
      <c r="AN5" s="66" t="s">
        <v>28</v>
      </c>
      <c r="AO5" s="61" t="s">
        <v>21</v>
      </c>
      <c r="AP5" s="67" t="s">
        <v>29</v>
      </c>
      <c r="AQ5" s="67" t="s">
        <v>29</v>
      </c>
      <c r="AR5" s="62" t="s">
        <v>30</v>
      </c>
      <c r="AS5" s="68" t="s">
        <v>31</v>
      </c>
      <c r="AT5" s="408" t="s">
        <v>32</v>
      </c>
      <c r="AU5" s="210" t="s">
        <v>33</v>
      </c>
      <c r="AV5" s="413" t="s">
        <v>34</v>
      </c>
      <c r="AW5" s="412" t="s">
        <v>35</v>
      </c>
      <c r="AX5" s="412" t="s">
        <v>36</v>
      </c>
      <c r="AY5" s="274"/>
      <c r="AZ5" s="72" t="s">
        <v>17</v>
      </c>
    </row>
    <row r="6" customFormat="false" ht="12.95" hidden="false" customHeight="true" outlineLevel="0" collapsed="false">
      <c r="A6" s="414" t="s">
        <v>130</v>
      </c>
      <c r="B6" s="406" t="s">
        <v>38</v>
      </c>
      <c r="C6" s="407"/>
      <c r="D6" s="325" t="s">
        <v>39</v>
      </c>
      <c r="E6" s="407" t="s">
        <v>40</v>
      </c>
      <c r="F6" s="325" t="s">
        <v>41</v>
      </c>
      <c r="G6" s="406" t="s">
        <v>42</v>
      </c>
      <c r="H6" s="408" t="s">
        <v>43</v>
      </c>
      <c r="I6" s="325" t="s">
        <v>44</v>
      </c>
      <c r="J6" s="325" t="s">
        <v>44</v>
      </c>
      <c r="K6" s="325" t="s">
        <v>44</v>
      </c>
      <c r="L6" s="325" t="s">
        <v>45</v>
      </c>
      <c r="M6" s="415" t="s">
        <v>46</v>
      </c>
      <c r="N6" s="69" t="s">
        <v>47</v>
      </c>
      <c r="O6" s="325" t="s">
        <v>48</v>
      </c>
      <c r="P6" s="69" t="s">
        <v>49</v>
      </c>
      <c r="Q6" s="58" t="s">
        <v>50</v>
      </c>
      <c r="R6" s="58" t="s">
        <v>51</v>
      </c>
      <c r="S6" s="58"/>
      <c r="T6" s="58" t="s">
        <v>48</v>
      </c>
      <c r="U6" s="416" t="s">
        <v>52</v>
      </c>
      <c r="V6" s="325" t="s">
        <v>53</v>
      </c>
      <c r="W6" s="32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407" t="s">
        <v>57</v>
      </c>
      <c r="AD6" s="407" t="s">
        <v>58</v>
      </c>
      <c r="AE6" s="325" t="s">
        <v>59</v>
      </c>
      <c r="AF6" s="74" t="s">
        <v>60</v>
      </c>
      <c r="AG6" s="77" t="s">
        <v>61</v>
      </c>
      <c r="AH6" s="412" t="s">
        <v>62</v>
      </c>
      <c r="AI6" s="407" t="s">
        <v>63</v>
      </c>
      <c r="AJ6" s="408"/>
      <c r="AK6" s="325" t="s">
        <v>64</v>
      </c>
      <c r="AL6" s="325" t="s">
        <v>64</v>
      </c>
      <c r="AM6" s="325" t="s">
        <v>64</v>
      </c>
      <c r="AN6" s="66" t="s">
        <v>65</v>
      </c>
      <c r="AO6" s="61" t="s">
        <v>66</v>
      </c>
      <c r="AP6" s="67" t="s">
        <v>67</v>
      </c>
      <c r="AQ6" s="67" t="s">
        <v>67</v>
      </c>
      <c r="AR6" s="62" t="s">
        <v>68</v>
      </c>
      <c r="AS6" s="68" t="s">
        <v>69</v>
      </c>
      <c r="AT6" s="408" t="s">
        <v>70</v>
      </c>
      <c r="AU6" s="210" t="s">
        <v>71</v>
      </c>
      <c r="AV6" s="417"/>
      <c r="AW6" s="412" t="s">
        <v>72</v>
      </c>
      <c r="AX6" s="412" t="s">
        <v>72</v>
      </c>
      <c r="AY6" s="274"/>
      <c r="AZ6" s="72" t="s">
        <v>73</v>
      </c>
    </row>
    <row r="7" customFormat="false" ht="12.95" hidden="false" customHeight="true" outlineLevel="0" collapsed="false">
      <c r="A7" s="325"/>
      <c r="B7" s="406"/>
      <c r="C7" s="407"/>
      <c r="D7" s="325"/>
      <c r="E7" s="407"/>
      <c r="F7" s="325"/>
      <c r="G7" s="406"/>
      <c r="H7" s="408"/>
      <c r="I7" s="325"/>
      <c r="J7" s="325"/>
      <c r="K7" s="325"/>
      <c r="L7" s="418"/>
      <c r="M7" s="325"/>
      <c r="N7" s="69" t="s">
        <v>74</v>
      </c>
      <c r="O7" s="325" t="s">
        <v>75</v>
      </c>
      <c r="P7" s="69"/>
      <c r="Q7" s="58" t="s">
        <v>76</v>
      </c>
      <c r="R7" s="58" t="s">
        <v>76</v>
      </c>
      <c r="S7" s="58" t="s">
        <v>61</v>
      </c>
      <c r="T7" s="58" t="s">
        <v>61</v>
      </c>
      <c r="U7" s="416" t="s">
        <v>77</v>
      </c>
      <c r="V7" s="325"/>
      <c r="W7" s="32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407"/>
      <c r="AD7" s="407"/>
      <c r="AE7" s="325"/>
      <c r="AF7" s="79" t="n">
        <v>1.7</v>
      </c>
      <c r="AG7" s="79" t="n">
        <v>1.3</v>
      </c>
      <c r="AH7" s="412"/>
      <c r="AI7" s="407"/>
      <c r="AJ7" s="408"/>
      <c r="AK7" s="325"/>
      <c r="AL7" s="325"/>
      <c r="AM7" s="325"/>
      <c r="AN7" s="66"/>
      <c r="AO7" s="61" t="s">
        <v>41</v>
      </c>
      <c r="AP7" s="67" t="s">
        <v>83</v>
      </c>
      <c r="AQ7" s="67" t="s">
        <v>84</v>
      </c>
      <c r="AR7" s="62" t="s">
        <v>85</v>
      </c>
      <c r="AS7" s="68" t="s">
        <v>86</v>
      </c>
      <c r="AT7" s="408" t="s">
        <v>87</v>
      </c>
      <c r="AU7" s="210" t="s">
        <v>88</v>
      </c>
      <c r="AV7" s="417"/>
      <c r="AW7" s="412"/>
      <c r="AX7" s="412"/>
      <c r="AY7" s="274"/>
      <c r="AZ7" s="72" t="s">
        <v>89</v>
      </c>
    </row>
    <row r="8" customFormat="false" ht="12.95" hidden="false" customHeight="true" outlineLevel="0" collapsed="false">
      <c r="A8" s="325"/>
      <c r="B8" s="406"/>
      <c r="C8" s="407"/>
      <c r="D8" s="325"/>
      <c r="E8" s="407"/>
      <c r="F8" s="325"/>
      <c r="G8" s="406"/>
      <c r="H8" s="408"/>
      <c r="I8" s="325"/>
      <c r="J8" s="325"/>
      <c r="K8" s="325"/>
      <c r="L8" s="418"/>
      <c r="M8" s="325"/>
      <c r="N8" s="69"/>
      <c r="O8" s="325"/>
      <c r="P8" s="69"/>
      <c r="Q8" s="58" t="s">
        <v>61</v>
      </c>
      <c r="R8" s="58" t="s">
        <v>61</v>
      </c>
      <c r="S8" s="58"/>
      <c r="T8" s="58"/>
      <c r="U8" s="416"/>
      <c r="V8" s="325"/>
      <c r="W8" s="32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407"/>
      <c r="AD8" s="407"/>
      <c r="AE8" s="325"/>
      <c r="AF8" s="419"/>
      <c r="AG8" s="420"/>
      <c r="AH8" s="412"/>
      <c r="AI8" s="407"/>
      <c r="AJ8" s="408"/>
      <c r="AK8" s="325"/>
      <c r="AL8" s="325"/>
      <c r="AM8" s="325"/>
      <c r="AN8" s="66"/>
      <c r="AO8" s="61"/>
      <c r="AP8" s="67"/>
      <c r="AQ8" s="67"/>
      <c r="AR8" s="62"/>
      <c r="AS8" s="68"/>
      <c r="AT8" s="408"/>
      <c r="AU8" s="210"/>
      <c r="AV8" s="417"/>
      <c r="AW8" s="412"/>
      <c r="AX8" s="412"/>
      <c r="AY8" s="274"/>
      <c r="AZ8" s="72"/>
    </row>
    <row r="9" customFormat="false" ht="12.95" hidden="false" customHeight="true" outlineLevel="0" collapsed="false">
      <c r="A9" s="325"/>
      <c r="B9" s="406"/>
      <c r="C9" s="407"/>
      <c r="D9" s="325"/>
      <c r="E9" s="407"/>
      <c r="F9" s="325"/>
      <c r="G9" s="406"/>
      <c r="H9" s="408"/>
      <c r="I9" s="325"/>
      <c r="J9" s="325"/>
      <c r="K9" s="325"/>
      <c r="L9" s="418"/>
      <c r="M9" s="325"/>
      <c r="N9" s="69"/>
      <c r="O9" s="325"/>
      <c r="P9" s="69"/>
      <c r="Q9" s="58"/>
      <c r="R9" s="81" t="n">
        <v>4.2</v>
      </c>
      <c r="S9" s="58"/>
      <c r="T9" s="58"/>
      <c r="U9" s="416"/>
      <c r="V9" s="325"/>
      <c r="W9" s="325"/>
      <c r="X9" s="65"/>
      <c r="Y9" s="57" t="s">
        <v>90</v>
      </c>
      <c r="Z9" s="61"/>
      <c r="AA9" s="57" t="s">
        <v>90</v>
      </c>
      <c r="AB9" s="61" t="s">
        <v>93</v>
      </c>
      <c r="AC9" s="407"/>
      <c r="AD9" s="407"/>
      <c r="AE9" s="325"/>
      <c r="AF9" s="419"/>
      <c r="AG9" s="420"/>
      <c r="AH9" s="412"/>
      <c r="AI9" s="407"/>
      <c r="AJ9" s="408"/>
      <c r="AK9" s="325"/>
      <c r="AL9" s="325"/>
      <c r="AM9" s="325"/>
      <c r="AN9" s="66"/>
      <c r="AO9" s="61"/>
      <c r="AP9" s="67"/>
      <c r="AQ9" s="67"/>
      <c r="AR9" s="62"/>
      <c r="AS9" s="68"/>
      <c r="AT9" s="408"/>
      <c r="AU9" s="210"/>
      <c r="AV9" s="417"/>
      <c r="AW9" s="412"/>
      <c r="AX9" s="412"/>
      <c r="AY9" s="274"/>
      <c r="AZ9" s="72"/>
    </row>
    <row r="10" customFormat="false" ht="12.95" hidden="false" customHeight="true" outlineLevel="0" collapsed="false">
      <c r="A10" s="325"/>
      <c r="B10" s="406"/>
      <c r="C10" s="407" t="s">
        <v>10</v>
      </c>
      <c r="D10" s="325"/>
      <c r="E10" s="407" t="s">
        <v>95</v>
      </c>
      <c r="F10" s="325"/>
      <c r="G10" s="406" t="s">
        <v>41</v>
      </c>
      <c r="H10" s="408" t="s">
        <v>41</v>
      </c>
      <c r="I10" s="408" t="s">
        <v>41</v>
      </c>
      <c r="J10" s="408" t="s">
        <v>41</v>
      </c>
      <c r="K10" s="408" t="s">
        <v>41</v>
      </c>
      <c r="L10" s="421" t="s">
        <v>41</v>
      </c>
      <c r="M10" s="408" t="s">
        <v>41</v>
      </c>
      <c r="N10" s="408" t="s">
        <v>41</v>
      </c>
      <c r="O10" s="408" t="s">
        <v>41</v>
      </c>
      <c r="P10" s="40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421" t="s">
        <v>41</v>
      </c>
      <c r="V10" s="408" t="s">
        <v>41</v>
      </c>
      <c r="W10" s="408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408" t="s">
        <v>41</v>
      </c>
      <c r="AD10" s="408" t="s">
        <v>41</v>
      </c>
      <c r="AE10" s="408" t="s">
        <v>41</v>
      </c>
      <c r="AF10" s="422" t="s">
        <v>41</v>
      </c>
      <c r="AG10" s="421" t="s">
        <v>41</v>
      </c>
      <c r="AH10" s="408" t="s">
        <v>41</v>
      </c>
      <c r="AI10" s="408" t="s">
        <v>41</v>
      </c>
      <c r="AJ10" s="408" t="s">
        <v>41</v>
      </c>
      <c r="AK10" s="408" t="s">
        <v>41</v>
      </c>
      <c r="AL10" s="408" t="s">
        <v>41</v>
      </c>
      <c r="AM10" s="423" t="s">
        <v>41</v>
      </c>
      <c r="AN10" s="61" t="s">
        <v>41</v>
      </c>
      <c r="AO10" s="61" t="s">
        <v>41</v>
      </c>
      <c r="AP10" s="61" t="s">
        <v>41</v>
      </c>
      <c r="AQ10" s="67" t="s">
        <v>96</v>
      </c>
      <c r="AR10" s="62" t="s">
        <v>41</v>
      </c>
      <c r="AS10" s="61" t="s">
        <v>41</v>
      </c>
      <c r="AT10" s="62" t="s">
        <v>41</v>
      </c>
      <c r="AU10" s="61" t="s">
        <v>41</v>
      </c>
      <c r="AV10" s="417"/>
      <c r="AW10" s="412"/>
      <c r="AX10" s="412"/>
      <c r="AY10" s="274"/>
      <c r="AZ10" s="72" t="s">
        <v>97</v>
      </c>
    </row>
    <row r="11" customFormat="false" ht="12.95" hidden="false" customHeight="true" outlineLevel="0" collapsed="false">
      <c r="A11" s="325"/>
      <c r="B11" s="406"/>
      <c r="C11" s="407"/>
      <c r="D11" s="325"/>
      <c r="E11" s="407"/>
      <c r="F11" s="325"/>
      <c r="G11" s="406"/>
      <c r="H11" s="408"/>
      <c r="I11" s="325"/>
      <c r="J11" s="325"/>
      <c r="K11" s="325"/>
      <c r="L11" s="325"/>
      <c r="M11" s="415"/>
      <c r="N11" s="69" t="n">
        <v>1.03</v>
      </c>
      <c r="O11" s="424" t="n">
        <v>1.05</v>
      </c>
      <c r="P11" s="69" t="n">
        <v>1.02</v>
      </c>
      <c r="Q11" s="82" t="n">
        <v>1.02</v>
      </c>
      <c r="R11" s="83" t="n">
        <v>1.04</v>
      </c>
      <c r="S11" s="58"/>
      <c r="T11" s="82" t="n">
        <v>1.04</v>
      </c>
      <c r="U11" s="416"/>
      <c r="V11" s="325"/>
      <c r="W11" s="32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407"/>
      <c r="AD11" s="407"/>
      <c r="AE11" s="325"/>
      <c r="AF11" s="419"/>
      <c r="AG11" s="420"/>
      <c r="AH11" s="412"/>
      <c r="AI11" s="407"/>
      <c r="AJ11" s="408"/>
      <c r="AK11" s="325"/>
      <c r="AL11" s="325"/>
      <c r="AM11" s="325"/>
      <c r="AN11" s="66"/>
      <c r="AO11" s="61"/>
      <c r="AP11" s="67"/>
      <c r="AQ11" s="67"/>
      <c r="AR11" s="62"/>
      <c r="AS11" s="87"/>
      <c r="AV11" s="417"/>
      <c r="AW11" s="412"/>
      <c r="AX11" s="412"/>
      <c r="AY11" s="274"/>
      <c r="AZ11" s="72" t="s">
        <v>41</v>
      </c>
    </row>
    <row r="12" customFormat="false" ht="12.95" hidden="false" customHeight="true" outlineLevel="0" collapsed="false">
      <c r="A12" s="188" t="s">
        <v>99</v>
      </c>
      <c r="B12" s="213"/>
      <c r="C12" s="107"/>
      <c r="D12" s="107"/>
      <c r="E12" s="107"/>
      <c r="F12" s="107" t="n">
        <f aca="false">APR!F49</f>
        <v>5371.81749432821</v>
      </c>
      <c r="G12" s="425" t="n">
        <f aca="false">APR!G49</f>
        <v>8280</v>
      </c>
      <c r="H12" s="136" t="n">
        <f aca="false">APR!H49</f>
        <v>62.36</v>
      </c>
      <c r="I12" s="107" t="n">
        <f aca="false">APR!I49</f>
        <v>8342.36</v>
      </c>
      <c r="J12" s="107" t="n">
        <f aca="false">APR!J49</f>
        <v>844.642321653642</v>
      </c>
      <c r="K12" s="107" t="n">
        <f aca="false">APR!K49</f>
        <v>9187.00232165364</v>
      </c>
      <c r="L12" s="107" t="n">
        <f aca="false">APR!L49</f>
        <v>584.287494328208</v>
      </c>
      <c r="M12" s="216" t="n">
        <f aca="false">APR!M49</f>
        <v>1719.62</v>
      </c>
      <c r="N12" s="136" t="n">
        <f aca="false">APR!N49</f>
        <v>0</v>
      </c>
      <c r="O12" s="107" t="n">
        <f aca="false">APR!O49</f>
        <v>1085.37191875</v>
      </c>
      <c r="P12" s="158" t="n">
        <f aca="false">APR!P49</f>
        <v>0</v>
      </c>
      <c r="Q12" s="107"/>
      <c r="R12" s="107"/>
      <c r="S12" s="338"/>
      <c r="T12" s="338"/>
      <c r="U12" s="217"/>
      <c r="V12" s="107" t="n">
        <f aca="false">APR!V49</f>
        <v>924.7</v>
      </c>
      <c r="W12" s="107" t="n">
        <f aca="false">APR!W49</f>
        <v>0</v>
      </c>
      <c r="X12" s="107" t="n">
        <f aca="false">APR!X49</f>
        <v>1467.95136029128</v>
      </c>
      <c r="Y12" s="107" t="n">
        <f aca="false">APR!Y49</f>
        <v>1467.95136029128</v>
      </c>
      <c r="Z12" s="107" t="n">
        <f aca="false">APR!Z44</f>
        <v>478.713189249001</v>
      </c>
      <c r="AA12" s="107"/>
      <c r="AB12" s="107" t="n">
        <f aca="false">APR!AB44</f>
        <v>2027.06668401314</v>
      </c>
      <c r="AC12" s="107" t="n">
        <f aca="false">APR!AC44</f>
        <v>5373.24035151505</v>
      </c>
      <c r="AD12" s="107"/>
      <c r="AE12" s="107" t="n">
        <f aca="false">APR!AE49</f>
        <v>213.01</v>
      </c>
      <c r="AF12" s="216" t="n">
        <f aca="false">APR!AF49</f>
        <v>51</v>
      </c>
      <c r="AG12" s="218" t="n">
        <f aca="false">APR!AG49</f>
        <v>39</v>
      </c>
      <c r="AH12" s="215"/>
      <c r="AI12" s="107"/>
      <c r="AJ12" s="136" t="n">
        <f aca="false">APR!AJ49</f>
        <v>0</v>
      </c>
      <c r="AK12" s="107" t="n">
        <f aca="false">APR!AK49</f>
        <v>3554.83</v>
      </c>
      <c r="AL12" s="107" t="n">
        <f aca="false">APR!AL49</f>
        <v>260.354827325435</v>
      </c>
      <c r="AM12" s="107" t="n">
        <f aca="false">APR!AM49</f>
        <v>3815.18482732544</v>
      </c>
      <c r="AN12" s="425"/>
      <c r="AO12" s="215"/>
      <c r="AP12" s="135"/>
      <c r="AQ12" s="158" t="n">
        <f aca="false">APR!AQ50</f>
        <v>76.5740186441237</v>
      </c>
      <c r="AR12" s="136"/>
      <c r="AS12" s="107" t="n">
        <f aca="false">APR!AS49</f>
        <v>0</v>
      </c>
      <c r="AT12" s="136" t="n">
        <f aca="false">APR!AT49</f>
        <v>0</v>
      </c>
      <c r="AV12" s="222"/>
      <c r="AW12" s="215"/>
      <c r="AX12" s="215"/>
      <c r="AY12" s="274"/>
      <c r="AZ12" s="426"/>
    </row>
    <row r="13" s="230" customFormat="true" ht="12.95" hidden="false" customHeight="true" outlineLevel="0" collapsed="false">
      <c r="A13" s="225" t="s">
        <v>100</v>
      </c>
      <c r="B13" s="106" t="n">
        <f aca="false">APR!B44</f>
        <v>6874.1</v>
      </c>
      <c r="C13" s="107" t="n">
        <f aca="false">APR!C44</f>
        <v>199021</v>
      </c>
      <c r="D13" s="107" t="n">
        <f aca="false">APR!D53</f>
        <v>3866</v>
      </c>
      <c r="E13" s="107" t="n">
        <f aca="false">APR!E53</f>
        <v>47021</v>
      </c>
      <c r="F13" s="107" t="n">
        <f aca="false">APR!F52</f>
        <v>1949.07990925132</v>
      </c>
      <c r="G13" s="425" t="n">
        <f aca="false">APR!G52</f>
        <v>13433</v>
      </c>
      <c r="H13" s="136" t="n">
        <f aca="false">APR!H52</f>
        <v>116.85</v>
      </c>
      <c r="I13" s="107" t="n">
        <f aca="false">APR!I52</f>
        <v>13549.23</v>
      </c>
      <c r="J13" s="107" t="n">
        <f aca="false">APR!J52</f>
        <v>2569.67953869423</v>
      </c>
      <c r="K13" s="107" t="n">
        <f aca="false">APR!K52</f>
        <v>16118.9095386942</v>
      </c>
      <c r="L13" s="107" t="n">
        <f aca="false">APR!L52</f>
        <v>1536.64540925132</v>
      </c>
      <c r="M13" s="216" t="n">
        <f aca="false">APR!M52</f>
        <v>2621.53</v>
      </c>
      <c r="N13" s="136" t="n">
        <f aca="false">APR!N52</f>
        <v>0</v>
      </c>
      <c r="O13" s="107" t="n">
        <f aca="false">APR!O52</f>
        <v>1085.37191875</v>
      </c>
      <c r="P13" s="158"/>
      <c r="Q13" s="107" t="n">
        <f aca="false">APR!Q52</f>
        <v>281.153111965804</v>
      </c>
      <c r="R13" s="107" t="n">
        <f aca="false">APR!R52</f>
        <v>326.24937856</v>
      </c>
      <c r="S13" s="278" t="n">
        <f aca="false">APR!S52</f>
        <v>0.126348</v>
      </c>
      <c r="T13" s="226" t="n">
        <f aca="false">APR!T52</f>
        <v>109.48827344</v>
      </c>
      <c r="U13" s="427" t="n">
        <f aca="false">APR!U52</f>
        <v>77.8630613803556</v>
      </c>
      <c r="V13" s="107" t="n">
        <f aca="false">APR!V52</f>
        <v>5281.92</v>
      </c>
      <c r="W13" s="107" t="n">
        <f aca="false">APR!W52</f>
        <v>84.4</v>
      </c>
      <c r="X13" s="107" t="n">
        <f aca="false">APR!X52</f>
        <v>6107.59790790384</v>
      </c>
      <c r="Y13" s="80" t="n">
        <f aca="false">APR!Y52</f>
        <v>5783.63546747522</v>
      </c>
      <c r="Z13" s="107"/>
      <c r="AA13" s="80"/>
      <c r="AB13" s="107"/>
      <c r="AC13" s="107"/>
      <c r="AD13" s="107"/>
      <c r="AE13" s="107"/>
      <c r="AF13" s="216" t="n">
        <f aca="false">AF12</f>
        <v>51</v>
      </c>
      <c r="AG13" s="218" t="n">
        <f aca="false">AG12</f>
        <v>39</v>
      </c>
      <c r="AH13" s="215" t="n">
        <f aca="false">APR!AH52</f>
        <v>4927</v>
      </c>
      <c r="AI13" s="107" t="n">
        <f aca="false">APR!AI52</f>
        <v>5696.33684762419</v>
      </c>
      <c r="AJ13" s="136" t="n">
        <f aca="false">APR!AJ52</f>
        <v>0</v>
      </c>
      <c r="AK13" s="107" t="n">
        <f aca="false">APR!AK52</f>
        <v>13136.7955</v>
      </c>
      <c r="AL13" s="107" t="n">
        <f aca="false">APR!AL52</f>
        <v>1033.0341294429</v>
      </c>
      <c r="AM13" s="107" t="n">
        <f aca="false">APR!AM52</f>
        <v>14169.8296294429</v>
      </c>
      <c r="AN13" s="428" t="n">
        <f aca="false">APR!AN52</f>
        <v>8903.4116944076</v>
      </c>
      <c r="AO13" s="334" t="n">
        <f aca="false">APR!AO52</f>
        <v>323.962440428619</v>
      </c>
      <c r="AP13" s="107"/>
      <c r="AQ13" s="158"/>
      <c r="AR13" s="136"/>
      <c r="AS13" s="107" t="n">
        <f aca="false">APR!AS52</f>
        <v>0</v>
      </c>
      <c r="AT13" s="136"/>
      <c r="AU13" s="177"/>
      <c r="AV13" s="222" t="n">
        <f aca="false">APR!AV52</f>
        <v>4.773</v>
      </c>
      <c r="AW13" s="215"/>
      <c r="AX13" s="215"/>
      <c r="AY13" s="277"/>
      <c r="AZ13" s="429" t="n">
        <f aca="false">APR!AZ52</f>
        <v>794.88017334616</v>
      </c>
    </row>
    <row r="14" customFormat="false" ht="2.25" hidden="false" customHeight="true" outlineLevel="0" collapsed="false">
      <c r="A14" s="231"/>
      <c r="B14" s="232"/>
      <c r="C14" s="233"/>
      <c r="D14" s="234"/>
      <c r="E14" s="233"/>
      <c r="F14" s="234"/>
      <c r="G14" s="252"/>
      <c r="H14" s="240"/>
      <c r="I14" s="234"/>
      <c r="J14" s="234"/>
      <c r="K14" s="234"/>
      <c r="L14" s="234"/>
      <c r="M14" s="237"/>
      <c r="N14" s="238"/>
      <c r="O14" s="234"/>
      <c r="P14" s="238"/>
      <c r="Q14" s="234"/>
      <c r="R14" s="234"/>
      <c r="S14" s="430"/>
      <c r="T14" s="430"/>
      <c r="U14" s="239"/>
      <c r="V14" s="234"/>
      <c r="W14" s="234"/>
      <c r="X14" s="234"/>
      <c r="Y14" s="234"/>
      <c r="Z14" s="233"/>
      <c r="AA14" s="234"/>
      <c r="AB14" s="233"/>
      <c r="AC14" s="233"/>
      <c r="AD14" s="233"/>
      <c r="AE14" s="234"/>
      <c r="AF14" s="237"/>
      <c r="AG14" s="241"/>
      <c r="AH14" s="243"/>
      <c r="AI14" s="233"/>
      <c r="AJ14" s="240"/>
      <c r="AK14" s="234"/>
      <c r="AL14" s="234"/>
      <c r="AM14" s="234"/>
      <c r="AN14" s="261"/>
      <c r="AO14" s="243"/>
      <c r="AP14" s="243"/>
      <c r="AQ14" s="238"/>
      <c r="AR14" s="240"/>
      <c r="AS14" s="238"/>
      <c r="AT14" s="240"/>
      <c r="AU14" s="240"/>
      <c r="AV14" s="245"/>
      <c r="AW14" s="243"/>
      <c r="AX14" s="243"/>
      <c r="AY14" s="257"/>
      <c r="AZ14" s="319"/>
    </row>
    <row r="15" customFormat="false" ht="12.95" hidden="false" customHeight="true" outlineLevel="0" collapsed="false">
      <c r="A15" s="183" t="n">
        <v>1</v>
      </c>
      <c r="B15" s="106" t="n">
        <v>6874.46</v>
      </c>
      <c r="C15" s="107" t="n">
        <v>200037</v>
      </c>
      <c r="D15" s="215" t="n">
        <f aca="false">C15-C13</f>
        <v>1016</v>
      </c>
      <c r="E15" s="107" t="n">
        <f aca="false">C15-152000</f>
        <v>48037</v>
      </c>
      <c r="F15" s="135" t="n">
        <f aca="false">D15/$D$2</f>
        <v>512.225863372826</v>
      </c>
      <c r="G15" s="213" t="n">
        <v>1150</v>
      </c>
      <c r="H15" s="136" t="n">
        <v>10</v>
      </c>
      <c r="I15" s="135" t="n">
        <f aca="false">G15+H15</f>
        <v>1160</v>
      </c>
      <c r="J15" s="136" t="n">
        <f aca="false">IF(L15&gt;0,L15,0)</f>
        <v>0</v>
      </c>
      <c r="K15" s="135" t="n">
        <f aca="false">I15+J15</f>
        <v>1160</v>
      </c>
      <c r="L15" s="135" t="n">
        <f aca="false">F15-(I15-AK15)</f>
        <v>-471.724136627174</v>
      </c>
      <c r="M15" s="248" t="n">
        <v>155</v>
      </c>
      <c r="N15" s="158" t="n">
        <f aca="false">(1.8299*1.03)/2</f>
        <v>0.9423985</v>
      </c>
      <c r="O15" s="135" t="n">
        <f aca="false">63.1*1.05</f>
        <v>66.255</v>
      </c>
      <c r="P15" s="158" t="n">
        <v>0</v>
      </c>
      <c r="Q15" s="338" t="n">
        <f aca="false">1199400/325851/1.9835*1.02</f>
        <v>1.89283585214058</v>
      </c>
      <c r="R15" s="131" t="n">
        <v>4.2</v>
      </c>
      <c r="S15" s="131" t="n">
        <f aca="false">((5*1.04)-T15)-4.2</f>
        <v>0.17683792</v>
      </c>
      <c r="T15" s="131" t="n">
        <f aca="false">(0.7467*1.06)*1.04</f>
        <v>0.82316208</v>
      </c>
      <c r="U15" s="357" t="n">
        <v>0</v>
      </c>
      <c r="V15" s="135" t="n">
        <v>0</v>
      </c>
      <c r="W15" s="135" t="n">
        <v>3.85</v>
      </c>
      <c r="X15" s="135" t="n">
        <f aca="false">M15-N15-O15-P15-Q15-R15-S15-T15-U15+V15+W15-AT15+AR15</f>
        <v>84.5597656478594</v>
      </c>
      <c r="Y15" s="135" t="n">
        <f aca="false">X15-AO15</f>
        <v>84.5597656478594</v>
      </c>
      <c r="Z15" s="107" t="n">
        <f aca="false">Z12+AP15</f>
        <v>1189.15342360114</v>
      </c>
      <c r="AA15" s="135"/>
      <c r="AB15" s="107" t="n">
        <f aca="false">AB12+(Y15+AP15)*1.9835</f>
        <v>3603.94918401314</v>
      </c>
      <c r="AC15" s="107" t="n">
        <f aca="false">AC12-(APR!AQ44/1.9835)</f>
        <v>5364.36491146146</v>
      </c>
      <c r="AD15" s="107"/>
      <c r="AE15" s="135" t="n">
        <v>0</v>
      </c>
      <c r="AF15" s="248" t="n">
        <v>1.7</v>
      </c>
      <c r="AG15" s="249" t="n">
        <v>1.3</v>
      </c>
      <c r="AH15" s="136" t="n">
        <v>17.2</v>
      </c>
      <c r="AI15" s="107" t="n">
        <f aca="false">AI13-AH15</f>
        <v>5679.13684762419</v>
      </c>
      <c r="AJ15" s="97"/>
      <c r="AK15" s="134" t="n">
        <f aca="false">N15+O15+P15+Q15+R15+S15+T15+U15+X15+AE15+AH15+AT15-AR15</f>
        <v>176.05</v>
      </c>
      <c r="AL15" s="135" t="n">
        <f aca="false">IF(L15&lt;0,L15*-1,0)</f>
        <v>471.724136627174</v>
      </c>
      <c r="AM15" s="135" t="n">
        <f aca="false">AK15+AL15</f>
        <v>647.774136627174</v>
      </c>
      <c r="AN15" s="425" t="n">
        <v>0</v>
      </c>
      <c r="AO15" s="215"/>
      <c r="AP15" s="146" t="n">
        <f aca="false">795-X15</f>
        <v>710.440234352141</v>
      </c>
      <c r="AQ15" s="158" t="n">
        <f aca="false">59.865*(Z15*1.9835+AC15*1.9835)/E15</f>
        <v>16.1995829270651</v>
      </c>
      <c r="AR15" s="136"/>
      <c r="AS15" s="221"/>
      <c r="AT15" s="179"/>
      <c r="AU15" s="176"/>
      <c r="AV15" s="222" t="n">
        <v>0</v>
      </c>
      <c r="AW15" s="215" t="n">
        <v>62</v>
      </c>
      <c r="AX15" s="215" t="n">
        <v>37</v>
      </c>
      <c r="AY15" s="274"/>
      <c r="AZ15" s="250" t="n">
        <f aca="false">SUM(N15,P15:U15)</f>
        <v>8.03523435214058</v>
      </c>
    </row>
    <row r="16" customFormat="false" ht="12.95" hidden="false" customHeight="true" outlineLevel="0" collapsed="false">
      <c r="A16" s="183" t="n">
        <f aca="false">A15+1</f>
        <v>2</v>
      </c>
      <c r="B16" s="106" t="n">
        <v>6874.87</v>
      </c>
      <c r="C16" s="107" t="n">
        <v>201194</v>
      </c>
      <c r="D16" s="215" t="n">
        <f aca="false">C16-C15</f>
        <v>1157</v>
      </c>
      <c r="E16" s="107" t="n">
        <f aca="false">C16-152000</f>
        <v>49194</v>
      </c>
      <c r="F16" s="135" t="n">
        <f aca="false">D16/$D$2</f>
        <v>583.312326695236</v>
      </c>
      <c r="G16" s="213" t="n">
        <v>968</v>
      </c>
      <c r="H16" s="136" t="n">
        <v>3.1</v>
      </c>
      <c r="I16" s="135" t="n">
        <f aca="false">G16+H16</f>
        <v>971.1</v>
      </c>
      <c r="J16" s="136" t="n">
        <f aca="false">IF(L16&gt;0,L16,0)</f>
        <v>0</v>
      </c>
      <c r="K16" s="135" t="n">
        <f aca="false">I16+J16</f>
        <v>971.1</v>
      </c>
      <c r="L16" s="135" t="n">
        <f aca="false">F16-(I16-AK16)</f>
        <v>-206.287673304764</v>
      </c>
      <c r="M16" s="248" t="n">
        <v>152</v>
      </c>
      <c r="N16" s="158" t="n">
        <f aca="false">(1.8299*1.03)/2</f>
        <v>0.9423985</v>
      </c>
      <c r="O16" s="135" t="n">
        <f aca="false">48.2*1.05</f>
        <v>50.61</v>
      </c>
      <c r="P16" s="158" t="n">
        <v>0</v>
      </c>
      <c r="Q16" s="338" t="n">
        <f aca="false">1171900/325851/1.9835*1.02</f>
        <v>1.84943666426842</v>
      </c>
      <c r="R16" s="131" t="n">
        <v>4.2</v>
      </c>
      <c r="S16" s="131" t="n">
        <f aca="false">((5*1.04)-T16)-4.2</f>
        <v>0.17683792</v>
      </c>
      <c r="T16" s="131" t="n">
        <f aca="false">(0.7467*1.06)*1.04</f>
        <v>0.82316208</v>
      </c>
      <c r="U16" s="357" t="n">
        <v>0</v>
      </c>
      <c r="V16" s="135" t="n">
        <v>0</v>
      </c>
      <c r="W16" s="135" t="n">
        <v>12.3</v>
      </c>
      <c r="X16" s="135" t="n">
        <f aca="false">M16-N16-O16-P16-Q16-R16-S16-T16-U16+V16+W16-AT16+AR16</f>
        <v>105.698164835732</v>
      </c>
      <c r="Y16" s="135" t="n">
        <f aca="false">X16-AO16</f>
        <v>105.698164835732</v>
      </c>
      <c r="Z16" s="107" t="n">
        <f aca="false">Z15+AP16</f>
        <v>1878.45525876541</v>
      </c>
      <c r="AA16" s="135"/>
      <c r="AB16" s="107" t="n">
        <f aca="false">AB15+(Y16+AP16)*1.9835</f>
        <v>5180.83168401314</v>
      </c>
      <c r="AC16" s="107" t="n">
        <f aca="false">AC15-(AQ15/1.9835)</f>
        <v>5356.19774084031</v>
      </c>
      <c r="AD16" s="107"/>
      <c r="AE16" s="135" t="n">
        <v>0</v>
      </c>
      <c r="AF16" s="248" t="n">
        <v>1.7</v>
      </c>
      <c r="AG16" s="249" t="n">
        <v>1.3</v>
      </c>
      <c r="AH16" s="136" t="n">
        <v>17.2</v>
      </c>
      <c r="AI16" s="107" t="n">
        <f aca="false">AI15-AH16</f>
        <v>5661.93684762419</v>
      </c>
      <c r="AJ16" s="97"/>
      <c r="AK16" s="134" t="n">
        <f aca="false">N16+O16+P16+Q16+R16+S16+T16+U16+X16+AE16+AH16+AT16-AR16</f>
        <v>181.5</v>
      </c>
      <c r="AL16" s="135" t="n">
        <f aca="false">IF(L16&lt;0,L16*-1,0)</f>
        <v>206.287673304764</v>
      </c>
      <c r="AM16" s="135" t="n">
        <f aca="false">AK16+AL16</f>
        <v>387.787673304764</v>
      </c>
      <c r="AN16" s="425" t="n">
        <v>0</v>
      </c>
      <c r="AO16" s="215"/>
      <c r="AP16" s="146" t="n">
        <f aca="false">795-X16</f>
        <v>689.301835164268</v>
      </c>
      <c r="AQ16" s="158" t="n">
        <f aca="false">47.513*(Z16*1.9835+AC16*1.9835)/E16</f>
        <v>13.8595850066883</v>
      </c>
      <c r="AR16" s="136"/>
      <c r="AS16" s="221"/>
      <c r="AT16" s="179"/>
      <c r="AU16" s="176"/>
      <c r="AV16" s="222" t="n">
        <v>0</v>
      </c>
      <c r="AW16" s="215" t="n">
        <v>60</v>
      </c>
      <c r="AX16" s="215" t="n">
        <v>28</v>
      </c>
      <c r="AY16" s="274"/>
      <c r="AZ16" s="250" t="n">
        <f aca="false">SUM(N16,P16:U16)</f>
        <v>7.99183516426842</v>
      </c>
    </row>
    <row r="17" customFormat="false" ht="12.95" hidden="false" customHeight="true" outlineLevel="0" collapsed="false">
      <c r="A17" s="183" t="n">
        <f aca="false">A16+1</f>
        <v>3</v>
      </c>
      <c r="B17" s="106" t="n">
        <v>6875.28</v>
      </c>
      <c r="C17" s="107" t="n">
        <v>202360</v>
      </c>
      <c r="D17" s="215" t="n">
        <f aca="false">C17-C16</f>
        <v>1166</v>
      </c>
      <c r="E17" s="107" t="n">
        <f aca="false">C17-152000</f>
        <v>50360</v>
      </c>
      <c r="F17" s="135" t="n">
        <f aca="false">D17/$D$2</f>
        <v>587.849760524326</v>
      </c>
      <c r="G17" s="213" t="n">
        <v>842</v>
      </c>
      <c r="H17" s="136" t="n">
        <v>1.7</v>
      </c>
      <c r="I17" s="135" t="n">
        <f aca="false">G17+H17</f>
        <v>843.7</v>
      </c>
      <c r="J17" s="136" t="n">
        <f aca="false">IF(L17&gt;0,L17,0)</f>
        <v>0</v>
      </c>
      <c r="K17" s="135" t="n">
        <f aca="false">I17+J17</f>
        <v>843.7</v>
      </c>
      <c r="L17" s="135" t="n">
        <f aca="false">F17-(I17-AK17)</f>
        <v>-67.0502394756744</v>
      </c>
      <c r="M17" s="248" t="n">
        <v>153</v>
      </c>
      <c r="N17" s="158" t="n">
        <f aca="false">(1.8299*1.03)/2</f>
        <v>0.9423985</v>
      </c>
      <c r="O17" s="135" t="n">
        <f aca="false">44.2*1.05</f>
        <v>46.41</v>
      </c>
      <c r="P17" s="158" t="n">
        <v>0</v>
      </c>
      <c r="Q17" s="338" t="n">
        <f aca="false">1231000/325851/1.9835*1.02</f>
        <v>1.94270546438641</v>
      </c>
      <c r="R17" s="131" t="n">
        <v>4.2</v>
      </c>
      <c r="S17" s="131" t="n">
        <f aca="false">((5*1.04)-T17)-4.2</f>
        <v>0.30537776</v>
      </c>
      <c r="T17" s="131" t="n">
        <f aca="false">(0.6301*1.06)*1.04</f>
        <v>0.69462224</v>
      </c>
      <c r="U17" s="357" t="n">
        <v>0</v>
      </c>
      <c r="V17" s="135" t="n">
        <v>0</v>
      </c>
      <c r="W17" s="135" t="n">
        <v>18.6</v>
      </c>
      <c r="X17" s="135" t="n">
        <f aca="false">M17-N17-O17-P17-Q17-R17-S17-T17-U17+V17+W17-AT17+AR17</f>
        <v>117.104896035614</v>
      </c>
      <c r="Y17" s="135" t="n">
        <f aca="false">X17-AO17</f>
        <v>117.104896035614</v>
      </c>
      <c r="Z17" s="107" t="n">
        <f aca="false">Z16+AP17</f>
        <v>2556.3503627298</v>
      </c>
      <c r="AA17" s="135"/>
      <c r="AB17" s="107" t="n">
        <f aca="false">AB16+(Y17+AP17)*1.9835</f>
        <v>6757.71418401314</v>
      </c>
      <c r="AC17" s="107" t="n">
        <f aca="false">AC16-(AQ16/1.9835)</f>
        <v>5349.21030196625</v>
      </c>
      <c r="AD17" s="107"/>
      <c r="AE17" s="135" t="n">
        <v>0</v>
      </c>
      <c r="AF17" s="248" t="n">
        <v>1.7</v>
      </c>
      <c r="AG17" s="249" t="n">
        <v>1.3</v>
      </c>
      <c r="AH17" s="136" t="n">
        <v>17.2</v>
      </c>
      <c r="AI17" s="107" t="n">
        <f aca="false">AI16-AH17</f>
        <v>5644.73684762419</v>
      </c>
      <c r="AJ17" s="97"/>
      <c r="AK17" s="134" t="n">
        <f aca="false">N17+O17+P17+Q17+R17+S17+T17+U17+X17+AE17+AH17+AT17-AR17</f>
        <v>188.8</v>
      </c>
      <c r="AL17" s="135" t="n">
        <f aca="false">IF(L17&lt;0,L17*-1,0)</f>
        <v>67.0502394756744</v>
      </c>
      <c r="AM17" s="135" t="n">
        <f aca="false">AK17+AL17</f>
        <v>255.850239475674</v>
      </c>
      <c r="AN17" s="425" t="n">
        <v>0</v>
      </c>
      <c r="AO17" s="215"/>
      <c r="AP17" s="146" t="n">
        <f aca="false">795-X17</f>
        <v>677.895103964386</v>
      </c>
      <c r="AQ17" s="158" t="n">
        <f aca="false">27.978*(Z17*1.9835+AC17*1.9835)/E17</f>
        <v>8.71155784839483</v>
      </c>
      <c r="AR17" s="136"/>
      <c r="AS17" s="221"/>
      <c r="AT17" s="179"/>
      <c r="AU17" s="176"/>
      <c r="AV17" s="222" t="n">
        <v>0</v>
      </c>
      <c r="AW17" s="215" t="n">
        <v>68</v>
      </c>
      <c r="AX17" s="215" t="n">
        <v>32</v>
      </c>
      <c r="AY17" s="274"/>
      <c r="AZ17" s="250" t="n">
        <f aca="false">SUM(N17,P17:U17)</f>
        <v>8.08510396438641</v>
      </c>
    </row>
    <row r="18" customFormat="false" ht="12.95" hidden="false" customHeight="true" outlineLevel="0" collapsed="false">
      <c r="A18" s="183" t="n">
        <f aca="false">A17+1</f>
        <v>4</v>
      </c>
      <c r="B18" s="106" t="n">
        <v>6875.71</v>
      </c>
      <c r="C18" s="107" t="n">
        <v>203587</v>
      </c>
      <c r="D18" s="215" t="n">
        <f aca="false">C18-C17</f>
        <v>1227</v>
      </c>
      <c r="E18" s="107" t="n">
        <f aca="false">C18-152000</f>
        <v>51587</v>
      </c>
      <c r="F18" s="135" t="n">
        <f aca="false">D18/$D$2</f>
        <v>618.603478699269</v>
      </c>
      <c r="G18" s="213" t="n">
        <v>909</v>
      </c>
      <c r="H18" s="136" t="n">
        <v>1.3</v>
      </c>
      <c r="I18" s="135" t="n">
        <f aca="false">G18+H18</f>
        <v>910.3</v>
      </c>
      <c r="J18" s="136" t="n">
        <f aca="false">IF(L18&gt;0,L18,0)</f>
        <v>0</v>
      </c>
      <c r="K18" s="135" t="n">
        <f aca="false">I18+J18</f>
        <v>910.3</v>
      </c>
      <c r="L18" s="135" t="n">
        <f aca="false">F18-(I18-AK18)</f>
        <v>-39.196521300731</v>
      </c>
      <c r="M18" s="248" t="n">
        <v>170</v>
      </c>
      <c r="N18" s="158" t="n">
        <f aca="false">(1.8299*1.03)/2</f>
        <v>0.9423985</v>
      </c>
      <c r="O18" s="135" t="n">
        <f aca="false">49.9*1.05</f>
        <v>52.395</v>
      </c>
      <c r="P18" s="158" t="n">
        <v>0</v>
      </c>
      <c r="Q18" s="338" t="n">
        <f aca="false">1666900/325851/1.9835*1.02</f>
        <v>2.63062204596726</v>
      </c>
      <c r="R18" s="131" t="n">
        <v>4.2</v>
      </c>
      <c r="S18" s="131" t="n">
        <f aca="false">((5*1.04)-T18)-4.2</f>
        <v>0.30537776</v>
      </c>
      <c r="T18" s="131" t="n">
        <f aca="false">(0.6301*1.06)*1.04</f>
        <v>0.69462224</v>
      </c>
      <c r="U18" s="357" t="n">
        <v>0</v>
      </c>
      <c r="V18" s="135" t="n">
        <v>10.9</v>
      </c>
      <c r="W18" s="135" t="n">
        <v>28.3</v>
      </c>
      <c r="X18" s="135" t="n">
        <f aca="false">M18-N18-O18-P18-Q18-R18-S18-T18-U18+V18+W18-AT18+AR18</f>
        <v>148.031979454033</v>
      </c>
      <c r="Y18" s="135" t="n">
        <f aca="false">X18-AO18</f>
        <v>148.031979454033</v>
      </c>
      <c r="Z18" s="107" t="n">
        <f aca="false">Z17+AP18</f>
        <v>3203.31838327576</v>
      </c>
      <c r="AA18" s="135"/>
      <c r="AB18" s="107" t="n">
        <f aca="false">AB17+(Y18+AP18)*1.9835</f>
        <v>8334.59668401314</v>
      </c>
      <c r="AC18" s="107" t="n">
        <f aca="false">AC17-(AQ17/1.9835)</f>
        <v>5344.81828893454</v>
      </c>
      <c r="AD18" s="107"/>
      <c r="AE18" s="135" t="n">
        <v>22.8</v>
      </c>
      <c r="AF18" s="248" t="n">
        <v>1.7</v>
      </c>
      <c r="AG18" s="249" t="n">
        <v>1.3</v>
      </c>
      <c r="AH18" s="136" t="n">
        <v>20.5</v>
      </c>
      <c r="AI18" s="107" t="n">
        <f aca="false">AI17-AH18</f>
        <v>5624.23684762419</v>
      </c>
      <c r="AJ18" s="97"/>
      <c r="AK18" s="134" t="n">
        <f aca="false">N18+O18+P18+Q18+R18+S18+T18+U18+X18+AE18+AH18+AT18-AR18</f>
        <v>252.5</v>
      </c>
      <c r="AL18" s="135" t="n">
        <f aca="false">IF(L18&lt;0,L18*-1,0)</f>
        <v>39.196521300731</v>
      </c>
      <c r="AM18" s="135" t="n">
        <f aca="false">AK18+AL18</f>
        <v>291.696521300731</v>
      </c>
      <c r="AN18" s="425" t="n">
        <v>0</v>
      </c>
      <c r="AO18" s="215"/>
      <c r="AP18" s="146" t="n">
        <f aca="false">795-X18</f>
        <v>646.968020545967</v>
      </c>
      <c r="AQ18" s="158" t="n">
        <f aca="false">42.218*(Z18*1.9835+AC18*1.9835)/E18</f>
        <v>13.8758962857561</v>
      </c>
      <c r="AR18" s="136"/>
      <c r="AS18" s="221"/>
      <c r="AT18" s="179"/>
      <c r="AU18" s="176"/>
      <c r="AV18" s="222" t="n">
        <v>0</v>
      </c>
      <c r="AW18" s="215" t="n">
        <v>74</v>
      </c>
      <c r="AX18" s="215" t="n">
        <v>34</v>
      </c>
      <c r="AY18" s="274"/>
      <c r="AZ18" s="250" t="n">
        <f aca="false">SUM(N18,P18:U18)</f>
        <v>8.77302054596726</v>
      </c>
    </row>
    <row r="19" customFormat="false" ht="12.95" hidden="false" customHeight="true" outlineLevel="0" collapsed="false">
      <c r="A19" s="183" t="n">
        <f aca="false">A18+1</f>
        <v>5</v>
      </c>
      <c r="B19" s="106" t="n">
        <v>6876.01</v>
      </c>
      <c r="C19" s="107" t="n">
        <v>204444</v>
      </c>
      <c r="D19" s="215" t="n">
        <f aca="false">C19-C18</f>
        <v>857</v>
      </c>
      <c r="E19" s="107" t="n">
        <f aca="false">C19-152000</f>
        <v>52444</v>
      </c>
      <c r="F19" s="135" t="n">
        <f aca="false">D19/$D$2</f>
        <v>432.064532392236</v>
      </c>
      <c r="G19" s="213" t="n">
        <v>796</v>
      </c>
      <c r="H19" s="136" t="n">
        <v>1</v>
      </c>
      <c r="I19" s="135" t="n">
        <f aca="false">G19+H19</f>
        <v>797</v>
      </c>
      <c r="J19" s="136" t="n">
        <f aca="false">IF(L19&gt;0,L19,0)</f>
        <v>0</v>
      </c>
      <c r="K19" s="135" t="n">
        <f aca="false">I19+J19</f>
        <v>797</v>
      </c>
      <c r="L19" s="135" t="n">
        <f aca="false">F19-(I19-AK19)</f>
        <v>-65.7354676077641</v>
      </c>
      <c r="M19" s="248" t="n">
        <v>198</v>
      </c>
      <c r="N19" s="158" t="n">
        <f aca="false">(1.8299*1.03)/2</f>
        <v>0.9423985</v>
      </c>
      <c r="O19" s="135" t="n">
        <f aca="false">52.2*1.05</f>
        <v>54.81</v>
      </c>
      <c r="P19" s="158" t="n">
        <v>0</v>
      </c>
      <c r="Q19" s="338" t="n">
        <f aca="false">1546200/325851/1.9835*1.02</f>
        <v>2.44013906501565</v>
      </c>
      <c r="R19" s="131" t="n">
        <v>4.2</v>
      </c>
      <c r="S19" s="131" t="n">
        <f aca="false">((5*1.04)-T19)-4.2</f>
        <v>0.30537776</v>
      </c>
      <c r="T19" s="131" t="n">
        <f aca="false">(0.6301*1.06)*1.04</f>
        <v>0.69462224</v>
      </c>
      <c r="U19" s="357" t="n">
        <v>0</v>
      </c>
      <c r="V19" s="135" t="n">
        <v>19.4</v>
      </c>
      <c r="W19" s="135" t="n">
        <v>30</v>
      </c>
      <c r="X19" s="135" t="n">
        <f aca="false">M19-N19-O19-P19-Q19-R19-S19-T19-U19+V19+W19-AT19+AR19</f>
        <v>184.007462434984</v>
      </c>
      <c r="Y19" s="135" t="n">
        <f aca="false">X19-AO19</f>
        <v>184.007462434984</v>
      </c>
      <c r="Z19" s="107" t="n">
        <f aca="false">Z18+AP19</f>
        <v>3807.97078177576</v>
      </c>
      <c r="AA19" s="135"/>
      <c r="AB19" s="107" t="n">
        <f aca="false">AB18+(Y19+AP19)*1.9835</f>
        <v>9898.90351817768</v>
      </c>
      <c r="AC19" s="107" t="n">
        <f aca="false">AC18-(AQ18/1.9835)</f>
        <v>5337.82262657721</v>
      </c>
      <c r="AD19" s="107"/>
      <c r="AE19" s="135" t="n">
        <v>31.4</v>
      </c>
      <c r="AF19" s="248" t="n">
        <v>1.7</v>
      </c>
      <c r="AG19" s="249" t="n">
        <v>1.3</v>
      </c>
      <c r="AH19" s="136" t="n">
        <v>20.4</v>
      </c>
      <c r="AI19" s="107" t="n">
        <f aca="false">AI18-AH19</f>
        <v>5603.83684762419</v>
      </c>
      <c r="AJ19" s="97"/>
      <c r="AK19" s="134" t="n">
        <f aca="false">N19+O19+P19+Q19+R19+S19+T19+U19+X19+AE19+AH19+AT19-AR19</f>
        <v>299.2</v>
      </c>
      <c r="AL19" s="135" t="n">
        <f aca="false">IF(L19&lt;0,L19*-1,0)</f>
        <v>65.7354676077641</v>
      </c>
      <c r="AM19" s="135" t="n">
        <f aca="false">AK19+AL19</f>
        <v>364.935467607764</v>
      </c>
      <c r="AN19" s="425" t="n">
        <v>0</v>
      </c>
      <c r="AO19" s="215"/>
      <c r="AP19" s="146" t="n">
        <f aca="false">I19-Q19-R19-X19-AF19</f>
        <v>604.6523985</v>
      </c>
      <c r="AQ19" s="158" t="n">
        <f aca="false">29.486*(Z19*1.9835+AC19*1.9835)/E19</f>
        <v>10.1993769852443</v>
      </c>
      <c r="AR19" s="136"/>
      <c r="AS19" s="221"/>
      <c r="AT19" s="179"/>
      <c r="AU19" s="176"/>
      <c r="AV19" s="222" t="n">
        <v>0</v>
      </c>
      <c r="AW19" s="215" t="n">
        <v>66</v>
      </c>
      <c r="AX19" s="215" t="n">
        <v>46</v>
      </c>
      <c r="AY19" s="274"/>
      <c r="AZ19" s="250" t="n">
        <f aca="false">SUM(N19,P19:U19)</f>
        <v>8.58253756501565</v>
      </c>
    </row>
    <row r="20" customFormat="false" ht="12.95" hidden="false" customHeight="true" outlineLevel="0" collapsed="false">
      <c r="A20" s="183" t="n">
        <f aca="false">A19+1</f>
        <v>6</v>
      </c>
      <c r="B20" s="106" t="n">
        <v>6876.31</v>
      </c>
      <c r="C20" s="107" t="n">
        <v>205311</v>
      </c>
      <c r="D20" s="215" t="n">
        <f aca="false">C20-C19</f>
        <v>867</v>
      </c>
      <c r="E20" s="107" t="n">
        <f aca="false">C20-152000</f>
        <v>53311</v>
      </c>
      <c r="F20" s="135" t="n">
        <f aca="false">D20/$D$2</f>
        <v>437.106125535669</v>
      </c>
      <c r="G20" s="213" t="n">
        <v>730</v>
      </c>
      <c r="H20" s="136" t="n">
        <v>1</v>
      </c>
      <c r="I20" s="135" t="n">
        <f aca="false">G20+H20</f>
        <v>731</v>
      </c>
      <c r="J20" s="136" t="n">
        <f aca="false">IF(L20&gt;0,L20,0)</f>
        <v>0</v>
      </c>
      <c r="K20" s="135" t="n">
        <f aca="false">I20+J20</f>
        <v>731</v>
      </c>
      <c r="L20" s="135" t="n">
        <f aca="false">F20-(I20-AK20)</f>
        <v>-22.3938744643307</v>
      </c>
      <c r="M20" s="248" t="n">
        <v>180</v>
      </c>
      <c r="N20" s="158" t="n">
        <f aca="false">(1.8299*1.03)/2</f>
        <v>0.9423985</v>
      </c>
      <c r="O20" s="135" t="n">
        <f aca="false">33.3*1.05</f>
        <v>34.965</v>
      </c>
      <c r="P20" s="158" t="n">
        <v>0</v>
      </c>
      <c r="Q20" s="338" t="n">
        <f aca="false">985700/325851/1.9835*1.02</f>
        <v>1.55558470856676</v>
      </c>
      <c r="R20" s="131" t="n">
        <v>4.2</v>
      </c>
      <c r="S20" s="131" t="n">
        <f aca="false">((5*1.04)-T20)-4.2</f>
        <v>0.30537776</v>
      </c>
      <c r="T20" s="131" t="n">
        <f aca="false">(0.6301*1.06)*1.04</f>
        <v>0.69462224</v>
      </c>
      <c r="U20" s="357" t="n">
        <v>0</v>
      </c>
      <c r="V20" s="135" t="n">
        <v>20.4</v>
      </c>
      <c r="W20" s="135" t="n">
        <v>29.7</v>
      </c>
      <c r="X20" s="135" t="n">
        <f aca="false">M20-N20-O20-P20-Q20-R20-S20-T20-U20+V20+W20-AT20+AR20</f>
        <v>187.437016791433</v>
      </c>
      <c r="Y20" s="135" t="n">
        <f aca="false">X20-AO20</f>
        <v>187.437016791433</v>
      </c>
      <c r="Z20" s="107" t="n">
        <f aca="false">Z19+AP20</f>
        <v>4344.07818027576</v>
      </c>
      <c r="AA20" s="135"/>
      <c r="AB20" s="107" t="n">
        <f aca="false">AB19+(Y20+AP20)*1.9835</f>
        <v>11334.0538659082</v>
      </c>
      <c r="AC20" s="107" t="n">
        <f aca="false">AC19-(AQ19/1.9835)</f>
        <v>5332.6805156696</v>
      </c>
      <c r="AD20" s="107"/>
      <c r="AE20" s="135" t="n">
        <v>21</v>
      </c>
      <c r="AF20" s="248" t="n">
        <v>1.7</v>
      </c>
      <c r="AG20" s="249" t="n">
        <v>1.3</v>
      </c>
      <c r="AH20" s="136" t="n">
        <v>20.4</v>
      </c>
      <c r="AI20" s="107" t="n">
        <f aca="false">AI19-AH20</f>
        <v>5583.43684762419</v>
      </c>
      <c r="AJ20" s="97"/>
      <c r="AK20" s="134" t="n">
        <f aca="false">N20+O20+P20+Q20+R20+S20+T20+U20+X20+AE20+AH20+AT20-AR20</f>
        <v>271.5</v>
      </c>
      <c r="AL20" s="135" t="n">
        <f aca="false">IF(L20&lt;0,L20*-1,0)</f>
        <v>22.3938744643307</v>
      </c>
      <c r="AM20" s="135" t="n">
        <f aca="false">AK20+AL20</f>
        <v>293.893874464331</v>
      </c>
      <c r="AN20" s="425" t="n">
        <v>0</v>
      </c>
      <c r="AO20" s="215"/>
      <c r="AP20" s="146" t="n">
        <f aca="false">I20-Q20-R20-X20-AF20</f>
        <v>536.1073985</v>
      </c>
      <c r="AQ20" s="158" t="n">
        <f aca="false">47.9*(Z20*1.9835+AC20*1.9835)/E20</f>
        <v>17.2456989521154</v>
      </c>
      <c r="AR20" s="136"/>
      <c r="AS20" s="221"/>
      <c r="AT20" s="179"/>
      <c r="AU20" s="176"/>
      <c r="AV20" s="222" t="n">
        <v>0.16</v>
      </c>
      <c r="AW20" s="215" t="n">
        <v>60</v>
      </c>
      <c r="AX20" s="215" t="n">
        <v>40</v>
      </c>
      <c r="AY20" s="274"/>
      <c r="AZ20" s="250" t="n">
        <f aca="false">SUM(N20,P20:U20)</f>
        <v>7.69798320856676</v>
      </c>
    </row>
    <row r="21" customFormat="false" ht="12.95" hidden="false" customHeight="true" outlineLevel="0" collapsed="false">
      <c r="A21" s="183" t="n">
        <f aca="false">A20+1</f>
        <v>7</v>
      </c>
      <c r="B21" s="106" t="n">
        <v>6876.57</v>
      </c>
      <c r="C21" s="107" t="n">
        <v>206062</v>
      </c>
      <c r="D21" s="215" t="n">
        <f aca="false">C21-C20</f>
        <v>751</v>
      </c>
      <c r="E21" s="107" t="n">
        <f aca="false">C21-152000</f>
        <v>54062</v>
      </c>
      <c r="F21" s="135" t="n">
        <f aca="false">D21/$D$2</f>
        <v>378.623645071843</v>
      </c>
      <c r="G21" s="213" t="n">
        <v>629</v>
      </c>
      <c r="H21" s="136" t="n">
        <v>1.2</v>
      </c>
      <c r="I21" s="135" t="n">
        <f aca="false">G21+H21</f>
        <v>630.2</v>
      </c>
      <c r="J21" s="136" t="n">
        <f aca="false">IF(L21&gt;0,L21,0)</f>
        <v>0</v>
      </c>
      <c r="K21" s="135" t="n">
        <f aca="false">I21+J21</f>
        <v>630.2</v>
      </c>
      <c r="L21" s="135" t="n">
        <f aca="false">F21-(I21-AK21)</f>
        <v>-45.1763549281574</v>
      </c>
      <c r="M21" s="248" t="n">
        <v>134</v>
      </c>
      <c r="N21" s="158" t="n">
        <f aca="false">(1.8299*1.03)/2</f>
        <v>0.9423985</v>
      </c>
      <c r="O21" s="135" t="n">
        <f aca="false">0*1.05</f>
        <v>0</v>
      </c>
      <c r="P21" s="158" t="n">
        <v>0</v>
      </c>
      <c r="Q21" s="338" t="n">
        <f aca="false">992500/325851/1.9835*1.02</f>
        <v>1.56631614411333</v>
      </c>
      <c r="R21" s="131" t="n">
        <f aca="false">(4*1.04)-T21</f>
        <v>3.46537776</v>
      </c>
      <c r="S21" s="131" t="n">
        <v>0</v>
      </c>
      <c r="T21" s="131" t="n">
        <f aca="false">(0.6301*1.06)*1.04</f>
        <v>0.69462224</v>
      </c>
      <c r="U21" s="357" t="n">
        <v>0</v>
      </c>
      <c r="V21" s="135" t="n">
        <v>20.5</v>
      </c>
      <c r="W21" s="135" t="n">
        <v>34</v>
      </c>
      <c r="X21" s="135" t="n">
        <f aca="false">M21-N21-O21-P21-Q21-R21-S21-T21-U21+V21+W21-AT21+AR21</f>
        <v>181.831285355887</v>
      </c>
      <c r="Y21" s="135" t="n">
        <f aca="false">X21-AO21</f>
        <v>181.831285355887</v>
      </c>
      <c r="Z21" s="107" t="n">
        <f aca="false">Z20+AP21</f>
        <v>4785.71520101576</v>
      </c>
      <c r="AA21" s="135"/>
      <c r="AB21" s="107" t="n">
        <f aca="false">AB20+(Y21+AP21)*1.9835</f>
        <v>12570.7032510494</v>
      </c>
      <c r="AC21" s="107" t="n">
        <f aca="false">AC20-(AQ20/1.9835)</f>
        <v>5323.98593591054</v>
      </c>
      <c r="AD21" s="107"/>
      <c r="AE21" s="135" t="n">
        <v>0</v>
      </c>
      <c r="AF21" s="248" t="n">
        <v>1.7</v>
      </c>
      <c r="AG21" s="249" t="n">
        <v>1.3</v>
      </c>
      <c r="AH21" s="136" t="n">
        <v>17.9</v>
      </c>
      <c r="AI21" s="107" t="n">
        <f aca="false">AI20-AH21</f>
        <v>5565.53684762419</v>
      </c>
      <c r="AJ21" s="97"/>
      <c r="AK21" s="134" t="n">
        <f aca="false">N21+O21+P21+Q21+R21+S21+T21+U21+X21+AE21+AH21+AT21-AR21</f>
        <v>206.4</v>
      </c>
      <c r="AL21" s="135" t="n">
        <f aca="false">IF(L21&lt;0,L21*-1,0)</f>
        <v>45.1763549281574</v>
      </c>
      <c r="AM21" s="135" t="n">
        <f aca="false">AK21+AL21</f>
        <v>251.576354928157</v>
      </c>
      <c r="AN21" s="425" t="n">
        <v>0</v>
      </c>
      <c r="AO21" s="215"/>
      <c r="AP21" s="146" t="n">
        <f aca="false">I21-Q21-R21-X21-AF21</f>
        <v>441.63702074</v>
      </c>
      <c r="AQ21" s="158" t="n">
        <f aca="false">14.065*(Z21*1.9835+AC21*1.9835)/E21</f>
        <v>5.21696772898963</v>
      </c>
      <c r="AR21" s="136"/>
      <c r="AS21" s="221"/>
      <c r="AT21" s="179"/>
      <c r="AU21" s="176"/>
      <c r="AV21" s="222" t="n">
        <v>0.12</v>
      </c>
      <c r="AW21" s="215" t="n">
        <v>66</v>
      </c>
      <c r="AX21" s="215" t="n">
        <v>39</v>
      </c>
      <c r="AY21" s="274"/>
      <c r="AZ21" s="250" t="n">
        <f aca="false">SUM(N21,P21:U21)</f>
        <v>6.66871464411333</v>
      </c>
    </row>
    <row r="22" customFormat="false" ht="12.95" hidden="false" customHeight="true" outlineLevel="0" collapsed="false">
      <c r="A22" s="183" t="n">
        <f aca="false">A21+1</f>
        <v>8</v>
      </c>
      <c r="B22" s="106" t="n">
        <v>6876.83</v>
      </c>
      <c r="C22" s="107" t="n">
        <v>206813</v>
      </c>
      <c r="D22" s="215" t="n">
        <f aca="false">C22-C21</f>
        <v>751</v>
      </c>
      <c r="E22" s="107" t="n">
        <f aca="false">C22-152000</f>
        <v>54813</v>
      </c>
      <c r="F22" s="135" t="n">
        <f aca="false">D22/$D$2</f>
        <v>378.623645071843</v>
      </c>
      <c r="G22" s="213" t="n">
        <v>558</v>
      </c>
      <c r="H22" s="136" t="n">
        <v>1</v>
      </c>
      <c r="I22" s="135" t="n">
        <f aca="false">G22+H22</f>
        <v>559</v>
      </c>
      <c r="J22" s="136" t="n">
        <f aca="false">IF(L22&gt;0,L22,0)</f>
        <v>52.1236450718427</v>
      </c>
      <c r="K22" s="135" t="n">
        <f aca="false">I22+J22</f>
        <v>611.123645071843</v>
      </c>
      <c r="L22" s="135" t="n">
        <f aca="false">F22-(I22-AK22)</f>
        <v>52.1236450718427</v>
      </c>
      <c r="M22" s="248" t="n">
        <v>139</v>
      </c>
      <c r="N22" s="158" t="n">
        <f aca="false">(1.8299*1.03)/2</f>
        <v>0.9423985</v>
      </c>
      <c r="O22" s="135" t="n">
        <f aca="false">0*1.05</f>
        <v>0</v>
      </c>
      <c r="P22" s="158" t="n">
        <v>0</v>
      </c>
      <c r="Q22" s="338" t="n">
        <f aca="false">978300/325851/1.9835*1.02</f>
        <v>1.54390638164843</v>
      </c>
      <c r="R22" s="131" t="n">
        <f aca="false">(4*1.04)-T22</f>
        <v>3.46537776</v>
      </c>
      <c r="S22" s="131" t="n">
        <v>0</v>
      </c>
      <c r="T22" s="131" t="n">
        <f aca="false">(0.6301*1.06)*1.04</f>
        <v>0.69462224</v>
      </c>
      <c r="U22" s="357" t="n">
        <v>0</v>
      </c>
      <c r="V22" s="135" t="n">
        <v>20.8</v>
      </c>
      <c r="W22" s="135" t="n">
        <v>43.2</v>
      </c>
      <c r="X22" s="135" t="n">
        <f aca="false">M22-N22-O22-P22-Q22-R22-S22-T22-U22+V22+W22-AT22+AR22</f>
        <v>196.353695118352</v>
      </c>
      <c r="Y22" s="135" t="n">
        <f aca="false">X22-AO22</f>
        <v>196.353695118352</v>
      </c>
      <c r="Z22" s="107" t="n">
        <f aca="false">Z21+AP22</f>
        <v>5141.65222175576</v>
      </c>
      <c r="AA22" s="135"/>
      <c r="AB22" s="107" t="n">
        <f aca="false">AB21+(Y22+AP22)*1.9835</f>
        <v>13666.1718859545</v>
      </c>
      <c r="AC22" s="107" t="n">
        <f aca="false">AC21-(AQ21/1.9835)</f>
        <v>5321.35575303734</v>
      </c>
      <c r="AD22" s="107"/>
      <c r="AE22" s="135" t="n">
        <v>13.5</v>
      </c>
      <c r="AF22" s="248" t="n">
        <v>1.7</v>
      </c>
      <c r="AG22" s="249" t="n">
        <v>1.3</v>
      </c>
      <c r="AH22" s="136" t="n">
        <v>16</v>
      </c>
      <c r="AI22" s="107" t="n">
        <f aca="false">AI21-AH22</f>
        <v>5549.53684762419</v>
      </c>
      <c r="AJ22" s="97"/>
      <c r="AK22" s="134" t="n">
        <f aca="false">N22+O22+P22+Q22+R22+S22+T22+U22+X22+AE22+AH22+AT22-AR22</f>
        <v>232.5</v>
      </c>
      <c r="AL22" s="135" t="n">
        <f aca="false">IF(L22&lt;0,L22*-1,0)</f>
        <v>0</v>
      </c>
      <c r="AM22" s="135" t="n">
        <f aca="false">AK22+AL22</f>
        <v>232.5</v>
      </c>
      <c r="AN22" s="425" t="n">
        <v>0</v>
      </c>
      <c r="AO22" s="215"/>
      <c r="AP22" s="146" t="n">
        <f aca="false">I22-Q22-R22-X22-AF22</f>
        <v>355.93702074</v>
      </c>
      <c r="AQ22" s="158" t="n">
        <f aca="false">10.506*(Z22*1.9835+AC22*1.9835)/E22</f>
        <v>3.97779671970026</v>
      </c>
      <c r="AR22" s="136"/>
      <c r="AS22" s="221"/>
      <c r="AT22" s="179"/>
      <c r="AU22" s="176"/>
      <c r="AV22" s="222" t="n">
        <v>0.1</v>
      </c>
      <c r="AW22" s="215" t="n">
        <v>58</v>
      </c>
      <c r="AX22" s="215" t="n">
        <v>36</v>
      </c>
      <c r="AY22" s="274"/>
      <c r="AZ22" s="250" t="n">
        <f aca="false">SUM(N22,P22:U22)</f>
        <v>6.64630488164843</v>
      </c>
    </row>
    <row r="23" customFormat="false" ht="12.95" hidden="false" customHeight="true" outlineLevel="0" collapsed="false">
      <c r="A23" s="183" t="n">
        <f aca="false">A22+1</f>
        <v>9</v>
      </c>
      <c r="B23" s="106" t="n">
        <v>6877.01</v>
      </c>
      <c r="C23" s="107" t="n">
        <v>207333</v>
      </c>
      <c r="D23" s="215" t="n">
        <f aca="false">C23-C22</f>
        <v>520</v>
      </c>
      <c r="E23" s="107" t="n">
        <f aca="false">C23-152000</f>
        <v>55333</v>
      </c>
      <c r="F23" s="135" t="n">
        <f aca="false">D23/$D$2</f>
        <v>262.162843458533</v>
      </c>
      <c r="G23" s="213" t="n">
        <v>499</v>
      </c>
      <c r="H23" s="136" t="n">
        <v>1.2</v>
      </c>
      <c r="I23" s="135" t="n">
        <f aca="false">G23+H23</f>
        <v>500.2</v>
      </c>
      <c r="J23" s="136" t="n">
        <f aca="false">IF(L23&gt;0,L23,0)</f>
        <v>11.1628434585329</v>
      </c>
      <c r="K23" s="135" t="n">
        <f aca="false">I23+J23</f>
        <v>511.362843458533</v>
      </c>
      <c r="L23" s="135" t="n">
        <f aca="false">F23-(I23-AK23)</f>
        <v>11.1628434585329</v>
      </c>
      <c r="M23" s="248" t="n">
        <v>139</v>
      </c>
      <c r="N23" s="158" t="n">
        <f aca="false">(1.8299*1.03)/2</f>
        <v>0.9423985</v>
      </c>
      <c r="O23" s="135" t="n">
        <f aca="false">0*1.05</f>
        <v>0</v>
      </c>
      <c r="P23" s="158" t="n">
        <v>0</v>
      </c>
      <c r="Q23" s="338" t="n">
        <f aca="false">1021400/325851/1.9835*1.02</f>
        <v>1.61192474518625</v>
      </c>
      <c r="R23" s="131" t="n">
        <f aca="false">(3.5*1.04)-T23</f>
        <v>2.94537776</v>
      </c>
      <c r="S23" s="131" t="n">
        <v>0</v>
      </c>
      <c r="T23" s="131" t="n">
        <f aca="false">(0.6301*1.06)*1.04</f>
        <v>0.69462224</v>
      </c>
      <c r="U23" s="357" t="n">
        <v>0</v>
      </c>
      <c r="V23" s="135" t="n">
        <v>22.3</v>
      </c>
      <c r="W23" s="135" t="n">
        <v>47.8</v>
      </c>
      <c r="X23" s="135" t="n">
        <f aca="false">M23-N23-O23-P23-Q23-R23-S23-T23-U23+V23+W23-AT23+AR23</f>
        <v>202.905676754814</v>
      </c>
      <c r="Y23" s="135" t="n">
        <f aca="false">X23-AO23</f>
        <v>202.905676754814</v>
      </c>
      <c r="Z23" s="107" t="n">
        <f aca="false">Z22+AP23</f>
        <v>5432.68924249576</v>
      </c>
      <c r="AA23" s="135"/>
      <c r="AB23" s="107" t="n">
        <f aca="false">AB22+(Y23+AP23)*1.9835</f>
        <v>14645.9072264354</v>
      </c>
      <c r="AC23" s="107" t="n">
        <f aca="false">AC22-(AQ22/1.9835)</f>
        <v>5319.35030977054</v>
      </c>
      <c r="AD23" s="107"/>
      <c r="AE23" s="135" t="n">
        <v>23.9</v>
      </c>
      <c r="AF23" s="248" t="n">
        <v>1.7</v>
      </c>
      <c r="AG23" s="249" t="n">
        <v>1.3</v>
      </c>
      <c r="AH23" s="136" t="n">
        <v>16.2</v>
      </c>
      <c r="AI23" s="107" t="n">
        <f aca="false">AI22-AH23</f>
        <v>5533.33684762419</v>
      </c>
      <c r="AJ23" s="97"/>
      <c r="AK23" s="134" t="n">
        <f aca="false">N23+O23+P23+Q23+R23+S23+T23+U23+X23+AE23+AH23+AT23-AR23</f>
        <v>249.2</v>
      </c>
      <c r="AL23" s="135" t="n">
        <f aca="false">IF(L23&lt;0,L23*-1,0)</f>
        <v>0</v>
      </c>
      <c r="AM23" s="135" t="n">
        <f aca="false">AK23+AL23</f>
        <v>249.2</v>
      </c>
      <c r="AN23" s="425" t="n">
        <v>0</v>
      </c>
      <c r="AO23" s="215"/>
      <c r="AP23" s="146" t="n">
        <f aca="false">I23-Q23-R23-X23-AF23</f>
        <v>291.03702074</v>
      </c>
      <c r="AQ23" s="158" t="n">
        <f aca="false">38.467*(Z23*1.9835+AC23*1.9835)/E23</f>
        <v>14.8261079694579</v>
      </c>
      <c r="AR23" s="136"/>
      <c r="AS23" s="221"/>
      <c r="AT23" s="179"/>
      <c r="AU23" s="176"/>
      <c r="AV23" s="222" t="n">
        <v>0</v>
      </c>
      <c r="AW23" s="215" t="n">
        <v>56</v>
      </c>
      <c r="AX23" s="215" t="n">
        <v>32</v>
      </c>
      <c r="AY23" s="274"/>
      <c r="AZ23" s="250" t="n">
        <f aca="false">SUM(N23,P23:U23)</f>
        <v>6.19432324518625</v>
      </c>
    </row>
    <row r="24" customFormat="false" ht="12.95" hidden="false" customHeight="true" outlineLevel="0" collapsed="false">
      <c r="A24" s="183" t="n">
        <f aca="false">A23+1</f>
        <v>10</v>
      </c>
      <c r="B24" s="106" t="n">
        <v>6877.14</v>
      </c>
      <c r="C24" s="107" t="n">
        <v>207712</v>
      </c>
      <c r="D24" s="215" t="n">
        <f aca="false">C24-C23</f>
        <v>379</v>
      </c>
      <c r="E24" s="107" t="n">
        <f aca="false">C24-152000</f>
        <v>55712</v>
      </c>
      <c r="F24" s="135" t="n">
        <f aca="false">D24/$D$2</f>
        <v>191.076380136123</v>
      </c>
      <c r="G24" s="213" t="n">
        <v>458</v>
      </c>
      <c r="H24" s="136" t="n">
        <v>1.3</v>
      </c>
      <c r="I24" s="135" t="n">
        <f aca="false">G24+H24</f>
        <v>459.3</v>
      </c>
      <c r="J24" s="136" t="n">
        <f aca="false">IF(L24&gt;0,L24,0)</f>
        <v>9.57638013612302</v>
      </c>
      <c r="K24" s="135" t="n">
        <f aca="false">I24+J24</f>
        <v>468.876380136123</v>
      </c>
      <c r="L24" s="135" t="n">
        <f aca="false">F24-(I24-AK24)</f>
        <v>9.57638013612302</v>
      </c>
      <c r="M24" s="248" t="n">
        <v>141</v>
      </c>
      <c r="N24" s="158" t="n">
        <f aca="false">(1.8299*1.03)/2</f>
        <v>0.9423985</v>
      </c>
      <c r="O24" s="135" t="n">
        <f aca="false">0*1.05</f>
        <v>0</v>
      </c>
      <c r="P24" s="158" t="n">
        <v>0</v>
      </c>
      <c r="Q24" s="338" t="n">
        <f aca="false">979800/325851/1.9835*1.02</f>
        <v>1.54627361007782</v>
      </c>
      <c r="R24" s="131" t="n">
        <f aca="false">(3.5*1.04)-T24</f>
        <v>2.74507168</v>
      </c>
      <c r="S24" s="131" t="n">
        <v>0</v>
      </c>
      <c r="T24" s="131" t="n">
        <f aca="false">(0.8118*1.06)*1.04</f>
        <v>0.89492832</v>
      </c>
      <c r="U24" s="357" t="n">
        <v>0</v>
      </c>
      <c r="V24" s="135" t="n">
        <v>26.5</v>
      </c>
      <c r="W24" s="135" t="n">
        <v>56.6</v>
      </c>
      <c r="X24" s="135" t="n">
        <f aca="false">M24-N24-O24-P24-Q24-R24-S24-T24-U24+V24+W24-AT24+AR24</f>
        <v>217.971327889922</v>
      </c>
      <c r="Y24" s="135" t="n">
        <f aca="false">X24-AO24</f>
        <v>217.971327889922</v>
      </c>
      <c r="Z24" s="107" t="n">
        <f aca="false">Z23+AP24</f>
        <v>5668.02656931576</v>
      </c>
      <c r="AA24" s="135"/>
      <c r="AB24" s="107" t="n">
        <f aca="false">AB23+(Y24+AP24)*1.9835</f>
        <v>15545.0449430526</v>
      </c>
      <c r="AC24" s="107" t="n">
        <f aca="false">AC23-(AQ23/1.9835)</f>
        <v>5311.87558934227</v>
      </c>
      <c r="AD24" s="107"/>
      <c r="AE24" s="135" t="n">
        <v>38.1</v>
      </c>
      <c r="AF24" s="248" t="n">
        <v>1.7</v>
      </c>
      <c r="AG24" s="249" t="n">
        <v>1.3</v>
      </c>
      <c r="AH24" s="136" t="n">
        <v>15.6</v>
      </c>
      <c r="AI24" s="107" t="n">
        <f aca="false">AI23-AH24</f>
        <v>5517.73684762419</v>
      </c>
      <c r="AJ24" s="97"/>
      <c r="AK24" s="134" t="n">
        <f aca="false">N24+O24+P24+Q24+R24+S24+T24+U24+X24+AE24+AH24+AT24-AR24</f>
        <v>277.8</v>
      </c>
      <c r="AL24" s="135" t="n">
        <f aca="false">IF(L24&lt;0,L24*-1,0)</f>
        <v>0</v>
      </c>
      <c r="AM24" s="135" t="n">
        <f aca="false">AK24+AL24</f>
        <v>277.8</v>
      </c>
      <c r="AN24" s="425" t="n">
        <v>0</v>
      </c>
      <c r="AO24" s="215"/>
      <c r="AP24" s="146" t="n">
        <f aca="false">I24-Q24-R24-X24-AF24</f>
        <v>235.33732682</v>
      </c>
      <c r="AQ24" s="158" t="n">
        <f aca="false">14.743*(Z24*1.9835+AC24*1.9835)/E24</f>
        <v>5.76325440732745</v>
      </c>
      <c r="AR24" s="136"/>
      <c r="AS24" s="221"/>
      <c r="AT24" s="179"/>
      <c r="AU24" s="176"/>
      <c r="AV24" s="222" t="n">
        <v>0.01</v>
      </c>
      <c r="AW24" s="215" t="n">
        <v>64</v>
      </c>
      <c r="AX24" s="215" t="n">
        <v>35</v>
      </c>
      <c r="AY24" s="274"/>
      <c r="AZ24" s="250" t="n">
        <f aca="false">SUM(N24,P24:U24)</f>
        <v>6.12867211007783</v>
      </c>
    </row>
    <row r="25" customFormat="false" ht="12.95" hidden="false" customHeight="true" outlineLevel="0" collapsed="false">
      <c r="A25" s="183" t="n">
        <f aca="false">A24+1</f>
        <v>11</v>
      </c>
      <c r="B25" s="106" t="n">
        <v>6877.26</v>
      </c>
      <c r="C25" s="107" t="n">
        <v>208063</v>
      </c>
      <c r="D25" s="215" t="n">
        <f aca="false">C25-C24</f>
        <v>351</v>
      </c>
      <c r="E25" s="107" t="n">
        <f aca="false">C25-152000</f>
        <v>56063</v>
      </c>
      <c r="F25" s="135" t="n">
        <f aca="false">D25/$D$2</f>
        <v>176.95991933451</v>
      </c>
      <c r="G25" s="213" t="n">
        <v>443</v>
      </c>
      <c r="H25" s="136" t="n">
        <v>0.89</v>
      </c>
      <c r="I25" s="135" t="n">
        <f aca="false">G25+H25</f>
        <v>443.89</v>
      </c>
      <c r="J25" s="136" t="n">
        <f aca="false">IF(L25&gt;0,L25,0)</f>
        <v>22.4699193345097</v>
      </c>
      <c r="K25" s="135" t="n">
        <f aca="false">I25+J25</f>
        <v>466.35991933451</v>
      </c>
      <c r="L25" s="135" t="n">
        <f aca="false">F25-(I25-AK25)</f>
        <v>22.4699193345097</v>
      </c>
      <c r="M25" s="248" t="n">
        <v>140</v>
      </c>
      <c r="N25" s="158" t="n">
        <f aca="false">(1.8299*1.03)/2</f>
        <v>0.9423985</v>
      </c>
      <c r="O25" s="135" t="n">
        <f aca="false">0*1.05</f>
        <v>0</v>
      </c>
      <c r="P25" s="158" t="n">
        <v>0</v>
      </c>
      <c r="Q25" s="338" t="n">
        <f aca="false">1156500/325851/1.9835*1.02</f>
        <v>1.82513311906002</v>
      </c>
      <c r="R25" s="131" t="n">
        <f aca="false">(3.5*1.04)-T25</f>
        <v>2.74507168</v>
      </c>
      <c r="S25" s="131" t="n">
        <v>0</v>
      </c>
      <c r="T25" s="131" t="n">
        <f aca="false">(0.8118*1.06)*1.04</f>
        <v>0.89492832</v>
      </c>
      <c r="U25" s="357" t="n">
        <v>0</v>
      </c>
      <c r="V25" s="135" t="n">
        <v>29.7</v>
      </c>
      <c r="W25" s="135" t="n">
        <v>61.3</v>
      </c>
      <c r="X25" s="135" t="n">
        <f aca="false">M25-N25-O25-P25-Q25-R25-S25-T25-U25+V25+W25-AT25+AR25</f>
        <v>224.59246838094</v>
      </c>
      <c r="Y25" s="135" t="n">
        <f aca="false">X25-AO25</f>
        <v>224.59246838094</v>
      </c>
      <c r="Z25" s="107" t="n">
        <f aca="false">Z24+AP25</f>
        <v>5881.05389613576</v>
      </c>
      <c r="AA25" s="135"/>
      <c r="AB25" s="107" t="n">
        <f aca="false">AB24+(Y25+AP25)*1.9835</f>
        <v>16413.0638068336</v>
      </c>
      <c r="AC25" s="107" t="n">
        <f aca="false">AC24-(AQ24/1.9835)</f>
        <v>5308.96999095189</v>
      </c>
      <c r="AD25" s="107"/>
      <c r="AE25" s="135" t="n">
        <v>42.5</v>
      </c>
      <c r="AF25" s="248" t="n">
        <v>1.7</v>
      </c>
      <c r="AG25" s="249" t="n">
        <v>1.3</v>
      </c>
      <c r="AH25" s="136" t="n">
        <v>15.9</v>
      </c>
      <c r="AI25" s="107" t="n">
        <f aca="false">AI24-AH25</f>
        <v>5501.83684762419</v>
      </c>
      <c r="AJ25" s="97"/>
      <c r="AK25" s="134" t="n">
        <f aca="false">N25+O25+P25+Q25+R25+S25+T25+U25+X25+AE25+AH25+AT25-AR25</f>
        <v>289.4</v>
      </c>
      <c r="AL25" s="135" t="n">
        <f aca="false">IF(L25&lt;0,L25*-1,0)</f>
        <v>0</v>
      </c>
      <c r="AM25" s="135" t="n">
        <f aca="false">AK25+AL25</f>
        <v>289.4</v>
      </c>
      <c r="AN25" s="425" t="n">
        <v>0</v>
      </c>
      <c r="AO25" s="215"/>
      <c r="AP25" s="146" t="n">
        <f aca="false">I25-Q25-R25-X25-AF25</f>
        <v>213.02732682</v>
      </c>
      <c r="AQ25" s="158" t="n">
        <f aca="false">21.521*(Z25*1.9835+AC25*1.9835)/E25</f>
        <v>8.52019103206759</v>
      </c>
      <c r="AR25" s="136"/>
      <c r="AS25" s="221"/>
      <c r="AT25" s="179"/>
      <c r="AU25" s="176"/>
      <c r="AV25" s="222" t="n">
        <v>0.03</v>
      </c>
      <c r="AW25" s="215" t="n">
        <v>70</v>
      </c>
      <c r="AX25" s="215" t="n">
        <v>37</v>
      </c>
      <c r="AY25" s="274"/>
      <c r="AZ25" s="250" t="n">
        <f aca="false">SUM(N25,P25:U25)</f>
        <v>6.40753161906002</v>
      </c>
    </row>
    <row r="26" customFormat="false" ht="12.95" hidden="false" customHeight="true" outlineLevel="0" collapsed="false">
      <c r="A26" s="183" t="n">
        <f aca="false">A25+1</f>
        <v>12</v>
      </c>
      <c r="B26" s="106" t="n">
        <v>6877.33</v>
      </c>
      <c r="C26" s="107" t="n">
        <v>208268</v>
      </c>
      <c r="D26" s="215" t="n">
        <f aca="false">C26-C25</f>
        <v>205</v>
      </c>
      <c r="E26" s="107" t="n">
        <f aca="false">C26-152000</f>
        <v>56268</v>
      </c>
      <c r="F26" s="135" t="n">
        <f aca="false">D26/$D$2</f>
        <v>103.352659440383</v>
      </c>
      <c r="G26" s="213" t="n">
        <v>426</v>
      </c>
      <c r="H26" s="136" t="n">
        <v>0.72</v>
      </c>
      <c r="I26" s="135" t="n">
        <f aca="false">G26+H26</f>
        <v>426.72</v>
      </c>
      <c r="J26" s="136" t="n">
        <f aca="false">IF(L26&gt;0,L26,0)</f>
        <v>0</v>
      </c>
      <c r="K26" s="135" t="n">
        <f aca="false">I26+J26</f>
        <v>426.72</v>
      </c>
      <c r="L26" s="135" t="n">
        <f aca="false">F26-(I26-AK26)</f>
        <v>-19.0673405596169</v>
      </c>
      <c r="M26" s="248" t="n">
        <v>146</v>
      </c>
      <c r="N26" s="158" t="n">
        <f aca="false">(1.8299*1.03)/2</f>
        <v>0.9423985</v>
      </c>
      <c r="O26" s="135" t="n">
        <f aca="false">0*1.05</f>
        <v>0</v>
      </c>
      <c r="P26" s="158" t="n">
        <v>0</v>
      </c>
      <c r="Q26" s="338" t="n">
        <f aca="false">1328200/325851/1.9835*1.02</f>
        <v>2.09610186661091</v>
      </c>
      <c r="R26" s="131" t="n">
        <f aca="false">(3.5*1.04)-T26</f>
        <v>2.74507168</v>
      </c>
      <c r="S26" s="131" t="n">
        <v>0</v>
      </c>
      <c r="T26" s="131" t="n">
        <f aca="false">(0.8118*1.06)*1.04</f>
        <v>0.89492832</v>
      </c>
      <c r="U26" s="357" t="n">
        <v>0</v>
      </c>
      <c r="V26" s="135" t="n">
        <v>30.7</v>
      </c>
      <c r="W26" s="135" t="n">
        <v>60.9</v>
      </c>
      <c r="X26" s="135" t="n">
        <f aca="false">M26-N26-O26-P26-Q26-R26-S26-T26-U26+V26+W26-AT26+AR26</f>
        <v>230.921499633389</v>
      </c>
      <c r="Y26" s="135" t="n">
        <f aca="false">X26-AO26</f>
        <v>230.921499633389</v>
      </c>
      <c r="Z26" s="107" t="n">
        <f aca="false">Z25+AP26</f>
        <v>6070.31122295576</v>
      </c>
      <c r="AA26" s="135"/>
      <c r="AB26" s="107" t="n">
        <f aca="false">AB25+(Y26+AP26)*1.9835</f>
        <v>17246.4885091039</v>
      </c>
      <c r="AC26" s="107" t="n">
        <f aca="false">AC25-(AQ25/1.9835)</f>
        <v>5304.67445728309</v>
      </c>
      <c r="AD26" s="107"/>
      <c r="AE26" s="135" t="n">
        <v>50.3</v>
      </c>
      <c r="AF26" s="248" t="n">
        <v>1.7</v>
      </c>
      <c r="AG26" s="249" t="n">
        <v>1.3</v>
      </c>
      <c r="AH26" s="136" t="n">
        <v>16.4</v>
      </c>
      <c r="AI26" s="107" t="n">
        <f aca="false">AI25-AH26</f>
        <v>5485.43684762419</v>
      </c>
      <c r="AJ26" s="97"/>
      <c r="AK26" s="134" t="n">
        <f aca="false">N26+O26+P26+Q26+R26+S26+T26+U26+X26+AE26+AH26+AT26-AR26</f>
        <v>304.3</v>
      </c>
      <c r="AL26" s="135" t="n">
        <f aca="false">IF(L26&lt;0,L26*-1,0)</f>
        <v>19.0673405596169</v>
      </c>
      <c r="AM26" s="135" t="n">
        <f aca="false">AK26+AL26</f>
        <v>323.367340559617</v>
      </c>
      <c r="AN26" s="425" t="n">
        <v>0</v>
      </c>
      <c r="AO26" s="215"/>
      <c r="AP26" s="146" t="n">
        <f aca="false">I26-Q26-R26-X26-AF26</f>
        <v>189.25732682</v>
      </c>
      <c r="AQ26" s="158" t="n">
        <f aca="false">42.026*(Z26*1.9835+AC26*1.9835)/E26</f>
        <v>16.8515417546416</v>
      </c>
      <c r="AR26" s="136"/>
      <c r="AS26" s="221"/>
      <c r="AT26" s="179"/>
      <c r="AU26" s="176"/>
      <c r="AV26" s="222" t="n">
        <v>0</v>
      </c>
      <c r="AW26" s="334" t="n">
        <v>78</v>
      </c>
      <c r="AX26" s="215" t="n">
        <v>39</v>
      </c>
      <c r="AY26" s="274"/>
      <c r="AZ26" s="250" t="n">
        <f aca="false">SUM(N26,P26:U26)</f>
        <v>6.67850036661091</v>
      </c>
    </row>
    <row r="27" customFormat="false" ht="12.95" hidden="false" customHeight="true" outlineLevel="0" collapsed="false">
      <c r="A27" s="183" t="n">
        <f aca="false">A26+1</f>
        <v>13</v>
      </c>
      <c r="B27" s="106" t="n">
        <v>6877.38</v>
      </c>
      <c r="C27" s="107" t="n">
        <v>208414</v>
      </c>
      <c r="D27" s="215" t="n">
        <f aca="false">C27-C26</f>
        <v>146</v>
      </c>
      <c r="E27" s="107" t="n">
        <f aca="false">C27-152000</f>
        <v>56414</v>
      </c>
      <c r="F27" s="135" t="n">
        <f aca="false">D27/$D$2</f>
        <v>73.6072598941265</v>
      </c>
      <c r="G27" s="213" t="n">
        <v>483</v>
      </c>
      <c r="H27" s="136" t="n">
        <v>0.6</v>
      </c>
      <c r="I27" s="135" t="n">
        <f aca="false">G27+H27</f>
        <v>483.6</v>
      </c>
      <c r="J27" s="136" t="n">
        <f aca="false">IF(L27&gt;0,L27,0)</f>
        <v>0</v>
      </c>
      <c r="K27" s="135" t="n">
        <f aca="false">I27+J27</f>
        <v>483.6</v>
      </c>
      <c r="L27" s="135" t="n">
        <f aca="false">F27-(I27-AK27)</f>
        <v>-41.3927401058735</v>
      </c>
      <c r="M27" s="248" t="n">
        <v>161</v>
      </c>
      <c r="N27" s="158" t="n">
        <f aca="false">(1.8299*1.03)/2</f>
        <v>0.9423985</v>
      </c>
      <c r="O27" s="135" t="n">
        <f aca="false">0*1.05</f>
        <v>0</v>
      </c>
      <c r="P27" s="158" t="n">
        <v>0</v>
      </c>
      <c r="Q27" s="338" t="n">
        <f aca="false">1688500/325851/1.9835*1.02</f>
        <v>2.66471013535049</v>
      </c>
      <c r="R27" s="131" t="n">
        <f aca="false">(3.5*1.04)-T27</f>
        <v>2.74507168</v>
      </c>
      <c r="S27" s="131" t="n">
        <v>0</v>
      </c>
      <c r="T27" s="131" t="n">
        <f aca="false">(0.8118*1.06)*1.04</f>
        <v>0.89492832</v>
      </c>
      <c r="U27" s="357" t="n">
        <v>0</v>
      </c>
      <c r="V27" s="135" t="n">
        <v>58.4</v>
      </c>
      <c r="W27" s="135" t="n">
        <v>60.7</v>
      </c>
      <c r="X27" s="135" t="n">
        <f aca="false">M27-N27-O27-P27-Q27-R27-S27-T27-U27+V27+W27-AT27+AR27</f>
        <v>272.85289136465</v>
      </c>
      <c r="Y27" s="135" t="n">
        <f aca="false">X27-AO27</f>
        <v>272.85289136465</v>
      </c>
      <c r="Z27" s="107" t="n">
        <f aca="false">Z26+AP27</f>
        <v>6273.94854977576</v>
      </c>
      <c r="AA27" s="135"/>
      <c r="AB27" s="107" t="n">
        <f aca="false">AB26+(Y27+AP27)*1.9835</f>
        <v>18191.6068568732</v>
      </c>
      <c r="AC27" s="107" t="n">
        <f aca="false">AC26-(AQ26/1.9835)</f>
        <v>5296.17859554644</v>
      </c>
      <c r="AD27" s="107"/>
      <c r="AE27" s="135" t="n">
        <v>72.2</v>
      </c>
      <c r="AF27" s="248" t="n">
        <v>1.7</v>
      </c>
      <c r="AG27" s="249" t="n">
        <v>1.3</v>
      </c>
      <c r="AH27" s="136" t="n">
        <v>16.3</v>
      </c>
      <c r="AI27" s="107" t="n">
        <f aca="false">AI26-AH27</f>
        <v>5469.13684762419</v>
      </c>
      <c r="AJ27" s="97"/>
      <c r="AK27" s="134" t="n">
        <f aca="false">N27+O27+P27+Q27+R27+S27+T27+U27+X27+AE27+AH27+AT27-AR27</f>
        <v>368.6</v>
      </c>
      <c r="AL27" s="135" t="n">
        <f aca="false">IF(L27&lt;0,L27*-1,0)</f>
        <v>41.3927401058735</v>
      </c>
      <c r="AM27" s="135" t="n">
        <f aca="false">AK27+AL27</f>
        <v>409.992740105874</v>
      </c>
      <c r="AN27" s="425" t="n">
        <v>0</v>
      </c>
      <c r="AO27" s="215"/>
      <c r="AP27" s="146" t="n">
        <f aca="false">I27-Q27-R27-X27-AF27</f>
        <v>203.63732682</v>
      </c>
      <c r="AQ27" s="158" t="n">
        <f aca="false">29.655*(Z27*1.9835+AC27*1.9835)/E27</f>
        <v>12.0637233842823</v>
      </c>
      <c r="AR27" s="136"/>
      <c r="AS27" s="221"/>
      <c r="AT27" s="179"/>
      <c r="AU27" s="176"/>
      <c r="AV27" s="222" t="n">
        <v>0</v>
      </c>
      <c r="AW27" s="334" t="n">
        <v>82</v>
      </c>
      <c r="AX27" s="215" t="n">
        <v>45</v>
      </c>
      <c r="AY27" s="274"/>
      <c r="AZ27" s="250" t="n">
        <f aca="false">SUM(N27,P27:U27)</f>
        <v>7.24710863535049</v>
      </c>
    </row>
    <row r="28" customFormat="false" ht="12.95" hidden="false" customHeight="true" outlineLevel="0" collapsed="false">
      <c r="A28" s="183" t="n">
        <f aca="false">A27+1</f>
        <v>14</v>
      </c>
      <c r="B28" s="106" t="n">
        <v>6877.5</v>
      </c>
      <c r="C28" s="107" t="n">
        <v>208764</v>
      </c>
      <c r="D28" s="215" t="n">
        <f aca="false">C28-C27</f>
        <v>350</v>
      </c>
      <c r="E28" s="107" t="n">
        <f aca="false">C28-152000</f>
        <v>56764</v>
      </c>
      <c r="F28" s="135" t="n">
        <f aca="false">D28/$D$2</f>
        <v>176.455760020166</v>
      </c>
      <c r="G28" s="213" t="n">
        <v>669</v>
      </c>
      <c r="H28" s="136" t="n">
        <v>0.55</v>
      </c>
      <c r="I28" s="135" t="n">
        <f aca="false">G28+H28</f>
        <v>669.55</v>
      </c>
      <c r="J28" s="136" t="n">
        <f aca="false">IF(L28&gt;0,L28,0)</f>
        <v>0</v>
      </c>
      <c r="K28" s="135" t="n">
        <f aca="false">I28+J28</f>
        <v>669.55</v>
      </c>
      <c r="L28" s="135" t="n">
        <f aca="false">F28-(I28-AK28)</f>
        <v>-8.09423997983365</v>
      </c>
      <c r="M28" s="248" t="n">
        <v>217</v>
      </c>
      <c r="N28" s="158" t="n">
        <f aca="false">(1.8299*1.03)/2</f>
        <v>0.9423985</v>
      </c>
      <c r="O28" s="135" t="n">
        <f aca="false">35*1.05</f>
        <v>36.75</v>
      </c>
      <c r="P28" s="158" t="n">
        <v>0</v>
      </c>
      <c r="Q28" s="338" t="n">
        <f aca="false">1166700/325851/1.9835*1.02</f>
        <v>1.84123027237987</v>
      </c>
      <c r="R28" s="131" t="n">
        <f aca="false">(3.5*1.04)-T28</f>
        <v>2.74507168</v>
      </c>
      <c r="S28" s="131" t="n">
        <v>0</v>
      </c>
      <c r="T28" s="131" t="n">
        <f aca="false">(0.8118*1.06)*1.04</f>
        <v>0.89492832</v>
      </c>
      <c r="U28" s="357" t="n">
        <v>0</v>
      </c>
      <c r="V28" s="135" t="n">
        <v>85.4</v>
      </c>
      <c r="W28" s="135" t="n">
        <v>63.2</v>
      </c>
      <c r="X28" s="135" t="n">
        <f aca="false">M28-N28-O28-P28-Q28-R28-S28-T28-U28+V28+W28-AT28+AR28</f>
        <v>322.42637122762</v>
      </c>
      <c r="Y28" s="135" t="n">
        <f aca="false">X28-AO28</f>
        <v>322.42637122762</v>
      </c>
      <c r="Z28" s="107" t="n">
        <f aca="false">Z27+AP28</f>
        <v>6614.78587659576</v>
      </c>
      <c r="AA28" s="135"/>
      <c r="AB28" s="107" t="n">
        <f aca="false">AB27+(Y28+AP28)*1.9835</f>
        <v>19507.1904019506</v>
      </c>
      <c r="AC28" s="107" t="n">
        <f aca="false">AC27-(AQ27/1.9835)</f>
        <v>5290.09655703659</v>
      </c>
      <c r="AD28" s="107"/>
      <c r="AE28" s="135" t="n">
        <v>103</v>
      </c>
      <c r="AF28" s="248" t="n">
        <v>1.7</v>
      </c>
      <c r="AG28" s="249" t="n">
        <v>1.3</v>
      </c>
      <c r="AH28" s="136" t="n">
        <v>16.4</v>
      </c>
      <c r="AI28" s="107" t="n">
        <f aca="false">AI27-AH28</f>
        <v>5452.73684762419</v>
      </c>
      <c r="AJ28" s="97"/>
      <c r="AK28" s="134" t="n">
        <f aca="false">N28+O28+P28+Q28+R28+S28+T28+U28+X28+AE28+AH28+AT28-AR28</f>
        <v>485</v>
      </c>
      <c r="AL28" s="135" t="n">
        <f aca="false">IF(L28&lt;0,L28*-1,0)</f>
        <v>8.09423997983365</v>
      </c>
      <c r="AM28" s="135" t="n">
        <f aca="false">AK28+AL28</f>
        <v>493.094239979834</v>
      </c>
      <c r="AN28" s="425" t="n">
        <v>0</v>
      </c>
      <c r="AO28" s="215"/>
      <c r="AP28" s="146" t="n">
        <f aca="false">I28-Q28-R28-X28-AF28</f>
        <v>340.83732682</v>
      </c>
      <c r="AQ28" s="158" t="n">
        <f aca="false">57.242*(Z28*1.9835+AC28*1.9835)/E28</f>
        <v>23.8121781834891</v>
      </c>
      <c r="AR28" s="136"/>
      <c r="AS28" s="221"/>
      <c r="AT28" s="179"/>
      <c r="AU28" s="176"/>
      <c r="AV28" s="222" t="n">
        <v>0</v>
      </c>
      <c r="AW28" s="334" t="n">
        <v>81</v>
      </c>
      <c r="AX28" s="215" t="n">
        <v>46</v>
      </c>
      <c r="AY28" s="274"/>
      <c r="AZ28" s="250" t="n">
        <f aca="false">SUM(N28,P28:U28)</f>
        <v>6.42362877237987</v>
      </c>
    </row>
    <row r="29" customFormat="false" ht="12.95" hidden="false" customHeight="true" outlineLevel="0" collapsed="false">
      <c r="A29" s="183" t="n">
        <f aca="false">A28+1</f>
        <v>15</v>
      </c>
      <c r="B29" s="106" t="n">
        <v>6877.65</v>
      </c>
      <c r="C29" s="107" t="n">
        <v>209202</v>
      </c>
      <c r="D29" s="215" t="n">
        <f aca="false">C29-C28</f>
        <v>438</v>
      </c>
      <c r="E29" s="107" t="n">
        <f aca="false">C29-152000</f>
        <v>57202</v>
      </c>
      <c r="F29" s="135" t="n">
        <f aca="false">D29/$D$2</f>
        <v>220.82177968238</v>
      </c>
      <c r="G29" s="213" t="n">
        <v>835</v>
      </c>
      <c r="H29" s="136" t="n">
        <v>0.51</v>
      </c>
      <c r="I29" s="135" t="n">
        <f aca="false">G29+H29</f>
        <v>835.51</v>
      </c>
      <c r="J29" s="136" t="n">
        <f aca="false">IF(L29&gt;0,L29,0)</f>
        <v>0</v>
      </c>
      <c r="K29" s="135" t="n">
        <f aca="false">I29+J29</f>
        <v>835.51</v>
      </c>
      <c r="L29" s="135" t="n">
        <f aca="false">F29-(I29-AK29)</f>
        <v>-57.3882203176203</v>
      </c>
      <c r="M29" s="248" t="n">
        <v>245</v>
      </c>
      <c r="N29" s="158" t="n">
        <f aca="false">(1.8299*1.03)/2</f>
        <v>0.9423985</v>
      </c>
      <c r="O29" s="135" t="n">
        <f aca="false">61.5*1.05</f>
        <v>64.575</v>
      </c>
      <c r="P29" s="158" t="n">
        <v>0</v>
      </c>
      <c r="Q29" s="338" t="n">
        <f aca="false">1387300/325851/1.9835*1.02</f>
        <v>2.18937066672889</v>
      </c>
      <c r="R29" s="131" t="n">
        <f aca="false">(3.5*1.04)-T29</f>
        <v>2.74507168</v>
      </c>
      <c r="S29" s="131" t="n">
        <v>0</v>
      </c>
      <c r="T29" s="131" t="n">
        <f aca="false">(0.8118*1.06)*1.04</f>
        <v>0.89492832</v>
      </c>
      <c r="U29" s="357" t="n">
        <v>0</v>
      </c>
      <c r="V29" s="135" t="n">
        <v>94.7</v>
      </c>
      <c r="W29" s="135" t="n">
        <v>65.2</v>
      </c>
      <c r="X29" s="135" t="n">
        <f aca="false">M29-N29-O29-P29-Q29-R29-S29-T29-U29+V29+W29-AT29+AR29</f>
        <v>333.553230833271</v>
      </c>
      <c r="Y29" s="135" t="n">
        <f aca="false">X29-AO29</f>
        <v>333.553230833271</v>
      </c>
      <c r="Z29" s="107" t="n">
        <f aca="false">Z28+AP29</f>
        <v>7076.23264576249</v>
      </c>
      <c r="AA29" s="135"/>
      <c r="AB29" s="107" t="n">
        <f aca="false">AB28+(Y29+AP29)*1.9835</f>
        <v>21084.0729019506</v>
      </c>
      <c r="AC29" s="107" t="n">
        <f aca="false">AC28-(AQ28/1.9835)</f>
        <v>5278.09142561058</v>
      </c>
      <c r="AD29" s="107"/>
      <c r="AE29" s="135" t="n">
        <v>136</v>
      </c>
      <c r="AF29" s="248" t="n">
        <v>1.7</v>
      </c>
      <c r="AG29" s="249" t="n">
        <v>1.3</v>
      </c>
      <c r="AH29" s="136" t="n">
        <v>16.4</v>
      </c>
      <c r="AI29" s="107" t="n">
        <f aca="false">AI28-AH29</f>
        <v>5436.33684762419</v>
      </c>
      <c r="AJ29" s="97"/>
      <c r="AK29" s="134" t="n">
        <f aca="false">N29+O29+P29+Q29+R29+S29+T29+U29+X29+AE29+AH29+AT29-AR29</f>
        <v>557.3</v>
      </c>
      <c r="AL29" s="135" t="n">
        <f aca="false">IF(L29&lt;0,L29*-1,0)</f>
        <v>57.3882203176203</v>
      </c>
      <c r="AM29" s="135" t="n">
        <f aca="false">AK29+AL29</f>
        <v>614.68822031762</v>
      </c>
      <c r="AN29" s="425" t="n">
        <v>0</v>
      </c>
      <c r="AO29" s="215"/>
      <c r="AP29" s="146" t="n">
        <f aca="false">795-X29</f>
        <v>461.446769166729</v>
      </c>
      <c r="AQ29" s="158" t="n">
        <f aca="false">66.84*(Z29*1.9835+AC29*1.9835)/E29</f>
        <v>28.6336308523443</v>
      </c>
      <c r="AR29" s="136"/>
      <c r="AS29" s="221"/>
      <c r="AT29" s="179"/>
      <c r="AU29" s="176"/>
      <c r="AV29" s="222" t="n">
        <v>0</v>
      </c>
      <c r="AW29" s="334" t="n">
        <v>84</v>
      </c>
      <c r="AX29" s="215" t="n">
        <v>47</v>
      </c>
      <c r="AY29" s="274"/>
      <c r="AZ29" s="250" t="n">
        <f aca="false">SUM(N29,P29:U29)</f>
        <v>6.77176916672889</v>
      </c>
    </row>
    <row r="30" customFormat="false" ht="12.95" hidden="false" customHeight="true" outlineLevel="0" collapsed="false">
      <c r="A30" s="183" t="n">
        <f aca="false">A29+1</f>
        <v>16</v>
      </c>
      <c r="B30" s="106" t="n">
        <v>6877.94</v>
      </c>
      <c r="C30" s="107" t="n">
        <v>210050</v>
      </c>
      <c r="D30" s="215" t="n">
        <f aca="false">C30-C29</f>
        <v>848</v>
      </c>
      <c r="E30" s="107" t="n">
        <f aca="false">C30-152000</f>
        <v>58050</v>
      </c>
      <c r="F30" s="135" t="n">
        <f aca="false">D30/$D$2</f>
        <v>427.527098563146</v>
      </c>
      <c r="G30" s="213" t="n">
        <v>1070</v>
      </c>
      <c r="H30" s="136" t="n">
        <v>0.5</v>
      </c>
      <c r="I30" s="135" t="n">
        <f aca="false">G30+H30</f>
        <v>1070.5</v>
      </c>
      <c r="J30" s="136" t="n">
        <f aca="false">IF(L30&gt;0,L30,0)</f>
        <v>0</v>
      </c>
      <c r="K30" s="135" t="n">
        <f aca="false">I30+J30</f>
        <v>1070.5</v>
      </c>
      <c r="L30" s="135" t="n">
        <f aca="false">F30-(I30-AK30)</f>
        <v>-62.472901436854</v>
      </c>
      <c r="M30" s="248" t="n">
        <v>252</v>
      </c>
      <c r="N30" s="158" t="n">
        <f aca="false">(1.8299*1.03)/2</f>
        <v>0.9423985</v>
      </c>
      <c r="O30" s="135" t="n">
        <f aca="false">55.7*1.05</f>
        <v>58.485</v>
      </c>
      <c r="P30" s="158" t="n">
        <v>0</v>
      </c>
      <c r="Q30" s="338" t="n">
        <f aca="false">1682600/325851/1.9835*1.02</f>
        <v>2.65539903686155</v>
      </c>
      <c r="R30" s="131" t="n">
        <f aca="false">(4.7*1.04)-T30</f>
        <v>3.99307168</v>
      </c>
      <c r="S30" s="131" t="n">
        <v>0</v>
      </c>
      <c r="T30" s="131" t="n">
        <f aca="false">(0.8118*1.06)*1.04</f>
        <v>0.89492832</v>
      </c>
      <c r="U30" s="357" t="n">
        <v>0</v>
      </c>
      <c r="V30" s="135" t="n">
        <v>98.1</v>
      </c>
      <c r="W30" s="135" t="n">
        <v>64.9</v>
      </c>
      <c r="X30" s="135" t="n">
        <f aca="false">M30-N30-O30-P30-Q30-R30-S30-T30-U30+V30+W30-AT30+AR30</f>
        <v>357.104070121318</v>
      </c>
      <c r="Y30" s="135" t="n">
        <f aca="false">X30-AO30</f>
        <v>357.104070121318</v>
      </c>
      <c r="Z30" s="107" t="n">
        <f aca="false">Z29+AP30</f>
        <v>7514.12857564117</v>
      </c>
      <c r="AA30" s="135"/>
      <c r="AB30" s="107" t="n">
        <f aca="false">AB29+(Y30+AP30)*1.9835</f>
        <v>22660.9554019506</v>
      </c>
      <c r="AC30" s="107" t="n">
        <f aca="false">AC29-(AQ29/1.9835)</f>
        <v>5263.6555139129</v>
      </c>
      <c r="AD30" s="107"/>
      <c r="AE30" s="135" t="n">
        <v>149</v>
      </c>
      <c r="AF30" s="248" t="n">
        <v>1.7</v>
      </c>
      <c r="AG30" s="249" t="n">
        <v>1.3</v>
      </c>
      <c r="AH30" s="136" t="n">
        <v>16.5</v>
      </c>
      <c r="AI30" s="107" t="n">
        <f aca="false">AI29-AH30</f>
        <v>5419.83684762419</v>
      </c>
      <c r="AJ30" s="97"/>
      <c r="AK30" s="134" t="n">
        <f aca="false">N30+O30+P30+Q30+R30+S30+T30+U30+X30+AE30+AH30+AT30-AR30</f>
        <v>580.5</v>
      </c>
      <c r="AL30" s="135" t="n">
        <f aca="false">IF(L30&lt;0,L30*-1,0)</f>
        <v>62.472901436854</v>
      </c>
      <c r="AM30" s="135" t="n">
        <f aca="false">AK30+AL30</f>
        <v>642.972901436854</v>
      </c>
      <c r="AN30" s="425" t="n">
        <v>0</v>
      </c>
      <c r="AO30" s="215"/>
      <c r="AP30" s="146" t="n">
        <f aca="false">795-X30</f>
        <v>437.895929878682</v>
      </c>
      <c r="AQ30" s="158" t="n">
        <f aca="false">55.185*(Z30*1.9835+AC30*1.9835)/E30</f>
        <v>24.0938705722115</v>
      </c>
      <c r="AR30" s="136" t="n">
        <f aca="false">18/1.9835</f>
        <v>9.07486765817998</v>
      </c>
      <c r="AS30" s="221"/>
      <c r="AT30" s="179"/>
      <c r="AU30" s="176"/>
      <c r="AV30" s="222" t="n">
        <v>0</v>
      </c>
      <c r="AW30" s="215" t="n">
        <v>81</v>
      </c>
      <c r="AX30" s="215" t="n">
        <v>42</v>
      </c>
      <c r="AY30" s="274"/>
      <c r="AZ30" s="250" t="n">
        <f aca="false">SUM(N30,P30:U30)</f>
        <v>8.48579753686155</v>
      </c>
    </row>
    <row r="31" customFormat="false" ht="12.95" hidden="false" customHeight="true" outlineLevel="0" collapsed="false">
      <c r="A31" s="183" t="n">
        <f aca="false">A30+1</f>
        <v>17</v>
      </c>
      <c r="B31" s="106" t="n">
        <v>6878.3</v>
      </c>
      <c r="C31" s="107" t="n">
        <v>211111</v>
      </c>
      <c r="D31" s="215" t="n">
        <f aca="false">C31-C30</f>
        <v>1061</v>
      </c>
      <c r="E31" s="107" t="n">
        <f aca="false">C31-152000</f>
        <v>59111</v>
      </c>
      <c r="F31" s="135" t="n">
        <f aca="false">D31/$D$2</f>
        <v>534.913032518276</v>
      </c>
      <c r="G31" s="213" t="n">
        <v>1190</v>
      </c>
      <c r="H31" s="136" t="n">
        <v>0.43</v>
      </c>
      <c r="I31" s="135" t="n">
        <f aca="false">G31+H31</f>
        <v>1190.43</v>
      </c>
      <c r="J31" s="136" t="n">
        <f aca="false">IF(L31&gt;0,L31,0)</f>
        <v>0</v>
      </c>
      <c r="K31" s="135" t="n">
        <f aca="false">I31+J31</f>
        <v>1190.43</v>
      </c>
      <c r="L31" s="135" t="n">
        <f aca="false">F31-(I31-AK31)</f>
        <v>-41.3169674817243</v>
      </c>
      <c r="M31" s="248" t="n">
        <v>242</v>
      </c>
      <c r="N31" s="158" t="n">
        <f aca="false">(1.8299*1.03)/2</f>
        <v>0.9423985</v>
      </c>
      <c r="O31" s="135" t="n">
        <f aca="false">45.1*1.05</f>
        <v>47.355</v>
      </c>
      <c r="P31" s="158" t="n">
        <v>0</v>
      </c>
      <c r="Q31" s="338" t="n">
        <f aca="false">1486500/325851/1.9835*1.02</f>
        <v>2.34592337352591</v>
      </c>
      <c r="R31" s="131" t="n">
        <f aca="false">(4.7*1.04)-T31</f>
        <v>3.8567048</v>
      </c>
      <c r="S31" s="131" t="n">
        <v>0</v>
      </c>
      <c r="T31" s="131" t="n">
        <f aca="false">(0.9355*1.06)*1.04</f>
        <v>1.0312952</v>
      </c>
      <c r="U31" s="357" t="n">
        <v>0</v>
      </c>
      <c r="V31" s="135" t="n">
        <v>107</v>
      </c>
      <c r="W31" s="135" t="n">
        <v>67.7</v>
      </c>
      <c r="X31" s="135" t="n">
        <f aca="false">M31-N31-O31-P31-Q31-R31-S31-T31-U31+V31+W31-AT31+AR31</f>
        <v>370.243545784654</v>
      </c>
      <c r="Y31" s="135" t="n">
        <f aca="false">X31-AO31</f>
        <v>370.243545784654</v>
      </c>
      <c r="Z31" s="107" t="n">
        <f aca="false">Z30+AP31</f>
        <v>7938.88502985652</v>
      </c>
      <c r="AA31" s="135"/>
      <c r="AB31" s="107" t="n">
        <f aca="false">AB30+(Y31+AP31)*1.9835</f>
        <v>24237.8379019506</v>
      </c>
      <c r="AC31" s="107" t="n">
        <f aca="false">AC30-(AQ30/1.9835)</f>
        <v>5251.50836464534</v>
      </c>
      <c r="AD31" s="107"/>
      <c r="AE31" s="135" t="n">
        <v>181</v>
      </c>
      <c r="AF31" s="248" t="n">
        <v>1.7</v>
      </c>
      <c r="AG31" s="249" t="n">
        <v>1.3</v>
      </c>
      <c r="AH31" s="136" t="n">
        <v>16.5</v>
      </c>
      <c r="AI31" s="107" t="n">
        <f aca="false">AI30-AH31</f>
        <v>5403.33684762419</v>
      </c>
      <c r="AJ31" s="97"/>
      <c r="AK31" s="134" t="n">
        <f aca="false">N31+O31+P31+Q31+R31+S31+T31+U31+X31+AE31+AH31+AT31-AR31</f>
        <v>614.2</v>
      </c>
      <c r="AL31" s="135" t="n">
        <f aca="false">IF(L31&lt;0,L31*-1,0)</f>
        <v>41.3169674817243</v>
      </c>
      <c r="AM31" s="135" t="n">
        <f aca="false">AK31+AL31</f>
        <v>655.516967481724</v>
      </c>
      <c r="AN31" s="425" t="n">
        <v>0</v>
      </c>
      <c r="AO31" s="215"/>
      <c r="AP31" s="146" t="n">
        <f aca="false">795-X31</f>
        <v>424.756454215346</v>
      </c>
      <c r="AQ31" s="158" t="n">
        <f aca="false">51.244*(Z31*1.9835+AC31*1.9835)/E31</f>
        <v>22.6811290225242</v>
      </c>
      <c r="AR31" s="136" t="n">
        <f aca="false">18/1.9835</f>
        <v>9.07486765817998</v>
      </c>
      <c r="AS31" s="221"/>
      <c r="AT31" s="179"/>
      <c r="AU31" s="176"/>
      <c r="AV31" s="222" t="n">
        <v>0</v>
      </c>
      <c r="AW31" s="215" t="n">
        <v>80</v>
      </c>
      <c r="AX31" s="215" t="n">
        <v>41</v>
      </c>
      <c r="AY31" s="274"/>
      <c r="AZ31" s="250" t="n">
        <f aca="false">SUM(N31,P31:U31)</f>
        <v>8.17632187352591</v>
      </c>
    </row>
    <row r="32" customFormat="false" ht="12.95" hidden="false" customHeight="true" outlineLevel="0" collapsed="false">
      <c r="A32" s="183" t="n">
        <f aca="false">A31+1</f>
        <v>18</v>
      </c>
      <c r="B32" s="106" t="n">
        <v>6878.64</v>
      </c>
      <c r="C32" s="107" t="n">
        <v>212115</v>
      </c>
      <c r="D32" s="215" t="n">
        <f aca="false">C32-C31</f>
        <v>1004</v>
      </c>
      <c r="E32" s="107" t="n">
        <f aca="false">C32-152000</f>
        <v>60115</v>
      </c>
      <c r="F32" s="135" t="n">
        <f aca="false">D32/$D$2</f>
        <v>506.175951600706</v>
      </c>
      <c r="G32" s="213" t="n">
        <v>1210</v>
      </c>
      <c r="H32" s="136" t="n">
        <v>0.41</v>
      </c>
      <c r="I32" s="135" t="n">
        <f aca="false">G32+H32</f>
        <v>1210.41</v>
      </c>
      <c r="J32" s="136" t="n">
        <f aca="false">IF(L32&gt;0,L32,0)</f>
        <v>0</v>
      </c>
      <c r="K32" s="135" t="n">
        <f aca="false">I32+J32</f>
        <v>1210.41</v>
      </c>
      <c r="L32" s="135" t="n">
        <f aca="false">F32-(I32-AK32)</f>
        <v>-92.0340483992941</v>
      </c>
      <c r="M32" s="248" t="n">
        <v>248</v>
      </c>
      <c r="N32" s="158" t="n">
        <f aca="false">(1.8299*1.03)/2</f>
        <v>0.9423985</v>
      </c>
      <c r="O32" s="135" t="n">
        <f aca="false">44.1*1.05</f>
        <v>46.305</v>
      </c>
      <c r="P32" s="158" t="n">
        <v>0</v>
      </c>
      <c r="Q32" s="338" t="n">
        <f aca="false">1563300/325851/1.9835*1.02</f>
        <v>2.4671254691107</v>
      </c>
      <c r="R32" s="131" t="n">
        <v>4.2</v>
      </c>
      <c r="S32" s="131" t="n">
        <f aca="false">((5.3*1.04)-T32)-4.2</f>
        <v>0.2807048</v>
      </c>
      <c r="T32" s="131" t="n">
        <f aca="false">(0.9355*1.06)*1.04</f>
        <v>1.0312952</v>
      </c>
      <c r="U32" s="357" t="n">
        <v>0</v>
      </c>
      <c r="V32" s="135" t="n">
        <v>107</v>
      </c>
      <c r="W32" s="135" t="n">
        <v>74.6</v>
      </c>
      <c r="X32" s="135" t="n">
        <f aca="false">M32-N32-O32-P32-Q32-R32-S32-T32-U32+V32+W32-AT32+AR32</f>
        <v>383.448343689069</v>
      </c>
      <c r="Y32" s="135" t="n">
        <f aca="false">X32-AO32</f>
        <v>383.448343689069</v>
      </c>
      <c r="Z32" s="107" t="n">
        <f aca="false">Z31+AP32</f>
        <v>8350.43668616745</v>
      </c>
      <c r="AA32" s="135"/>
      <c r="AB32" s="107" t="n">
        <f aca="false">AB31+(Y32+AP32)*1.9835</f>
        <v>25814.7204019506</v>
      </c>
      <c r="AC32" s="107" t="n">
        <f aca="false">AC31-(AQ31/1.9835)</f>
        <v>5240.07346218881</v>
      </c>
      <c r="AD32" s="107"/>
      <c r="AE32" s="135" t="n">
        <v>166</v>
      </c>
      <c r="AF32" s="248" t="n">
        <v>1.7</v>
      </c>
      <c r="AG32" s="249" t="n">
        <v>1.3</v>
      </c>
      <c r="AH32" s="136" t="n">
        <v>16.6</v>
      </c>
      <c r="AI32" s="107" t="n">
        <f aca="false">AI31-AH32</f>
        <v>5386.73684762419</v>
      </c>
      <c r="AJ32" s="97"/>
      <c r="AK32" s="134" t="n">
        <f aca="false">N32+O32+P32+Q32+R32+S32+T32+U32+X32+AE32+AH32+AT32-AR32</f>
        <v>612.2</v>
      </c>
      <c r="AL32" s="135" t="n">
        <f aca="false">IF(L32&lt;0,L32*-1,0)</f>
        <v>92.0340483992941</v>
      </c>
      <c r="AM32" s="135" t="n">
        <f aca="false">AK32+AL32</f>
        <v>704.234048399294</v>
      </c>
      <c r="AN32" s="425" t="n">
        <v>0</v>
      </c>
      <c r="AO32" s="215"/>
      <c r="AP32" s="146" t="n">
        <f aca="false">795-X32</f>
        <v>411.551656310931</v>
      </c>
      <c r="AQ32" s="158" t="n">
        <f aca="false">45.392*(Z32*1.9835+AC32*1.9835)/E32</f>
        <v>20.3546871180834</v>
      </c>
      <c r="AR32" s="136" t="n">
        <f aca="false">18/1.9835</f>
        <v>9.07486765817998</v>
      </c>
      <c r="AS32" s="221"/>
      <c r="AT32" s="179"/>
      <c r="AU32" s="176"/>
      <c r="AV32" s="222" t="n">
        <v>0</v>
      </c>
      <c r="AW32" s="215" t="n">
        <v>72</v>
      </c>
      <c r="AX32" s="215" t="n">
        <v>43</v>
      </c>
      <c r="AY32" s="274"/>
      <c r="AZ32" s="250" t="n">
        <f aca="false">SUM(N32,P32:U32)</f>
        <v>8.9215239691107</v>
      </c>
    </row>
    <row r="33" customFormat="false" ht="12.95" hidden="false" customHeight="true" outlineLevel="0" collapsed="false">
      <c r="A33" s="183" t="n">
        <f aca="false">A32+1</f>
        <v>19</v>
      </c>
      <c r="B33" s="106" t="n">
        <v>6878.91</v>
      </c>
      <c r="C33" s="310" t="n">
        <v>212913</v>
      </c>
      <c r="D33" s="215" t="n">
        <f aca="false">C33-C32</f>
        <v>798</v>
      </c>
      <c r="E33" s="107" t="n">
        <f aca="false">C33-152000</f>
        <v>60913</v>
      </c>
      <c r="F33" s="135" t="n">
        <f aca="false">D33/$D$2</f>
        <v>402.319132845979</v>
      </c>
      <c r="G33" s="213" t="n">
        <v>987</v>
      </c>
      <c r="H33" s="136" t="n">
        <v>0.39</v>
      </c>
      <c r="I33" s="135" t="n">
        <f aca="false">G33+H33</f>
        <v>987.39</v>
      </c>
      <c r="J33" s="136" t="n">
        <f aca="false">IF(L33&gt;0,L33,0)</f>
        <v>9.42913284597933</v>
      </c>
      <c r="K33" s="135" t="n">
        <f aca="false">I33+J33</f>
        <v>996.819132845979</v>
      </c>
      <c r="L33" s="135" t="n">
        <f aca="false">F33-(I33-AK33)</f>
        <v>9.42913284597933</v>
      </c>
      <c r="M33" s="248" t="n">
        <v>256</v>
      </c>
      <c r="N33" s="158" t="n">
        <f aca="false">(1.8299*1.03)/2</f>
        <v>0.9423985</v>
      </c>
      <c r="O33" s="135" t="n">
        <f aca="false">44.2*1.05</f>
        <v>46.41</v>
      </c>
      <c r="P33" s="158" t="n">
        <v>0</v>
      </c>
      <c r="Q33" s="338" t="n">
        <f aca="false">1418300/325851/1.9835*1.02</f>
        <v>2.23829338760296</v>
      </c>
      <c r="R33" s="131" t="n">
        <v>4.2</v>
      </c>
      <c r="S33" s="131" t="n">
        <f aca="false">((6.9*1.04)-T33)-4.2</f>
        <v>1.9447048</v>
      </c>
      <c r="T33" s="131" t="n">
        <f aca="false">(0.9355*1.06)*1.04</f>
        <v>1.0312952</v>
      </c>
      <c r="U33" s="357" t="n">
        <v>0</v>
      </c>
      <c r="V33" s="135" t="n">
        <v>106</v>
      </c>
      <c r="W33" s="135" t="n">
        <v>76.9</v>
      </c>
      <c r="X33" s="135" t="n">
        <f aca="false">M33-N33-O33-P33-Q33-R33-S33-T33-U33+V33+W33-AT33+AR33</f>
        <v>391.208175770577</v>
      </c>
      <c r="Y33" s="135" t="n">
        <f aca="false">X33-AO33</f>
        <v>391.208175770577</v>
      </c>
      <c r="Z33" s="107" t="n">
        <f aca="false">Z32+AP33</f>
        <v>8754.22851039687</v>
      </c>
      <c r="AA33" s="135"/>
      <c r="AB33" s="107" t="n">
        <f aca="false">AB32+(Y33+AP33)*1.9835</f>
        <v>27391.6029019506</v>
      </c>
      <c r="AC33" s="107" t="n">
        <f aca="false">AC32-(AQ32/1.9835)</f>
        <v>5229.81145708769</v>
      </c>
      <c r="AD33" s="107"/>
      <c r="AE33" s="135" t="n">
        <v>139</v>
      </c>
      <c r="AF33" s="248" t="n">
        <v>1.7</v>
      </c>
      <c r="AG33" s="249" t="n">
        <v>1.3</v>
      </c>
      <c r="AH33" s="136" t="n">
        <v>16.6</v>
      </c>
      <c r="AI33" s="107" t="n">
        <f aca="false">AI32-AH33</f>
        <v>5370.13684762419</v>
      </c>
      <c r="AJ33" s="97"/>
      <c r="AK33" s="134" t="n">
        <f aca="false">N33+O33+P33+Q33+R33+S33+T33+U33+X33+AE33+AH33+AT33-AR33</f>
        <v>594.5</v>
      </c>
      <c r="AL33" s="135" t="n">
        <f aca="false">IF(L33&lt;0,L33*-1,0)</f>
        <v>0</v>
      </c>
      <c r="AM33" s="135" t="n">
        <f aca="false">AK33+AL33</f>
        <v>594.5</v>
      </c>
      <c r="AN33" s="425" t="n">
        <v>0</v>
      </c>
      <c r="AO33" s="215"/>
      <c r="AP33" s="146" t="n">
        <f aca="false">795-X33</f>
        <v>403.791824229423</v>
      </c>
      <c r="AQ33" s="158" t="n">
        <f aca="false">30.665*(Z33*1.9835+AC33*1.9835)/E33</f>
        <v>13.9636141963683</v>
      </c>
      <c r="AR33" s="136" t="n">
        <f aca="false">18/1.9835</f>
        <v>9.07486765817998</v>
      </c>
      <c r="AS33" s="221"/>
      <c r="AT33" s="179"/>
      <c r="AU33" s="176"/>
      <c r="AV33" s="222" t="n">
        <v>0</v>
      </c>
      <c r="AW33" s="215" t="n">
        <v>66</v>
      </c>
      <c r="AX33" s="215" t="n">
        <v>36</v>
      </c>
      <c r="AY33" s="274"/>
      <c r="AZ33" s="250" t="n">
        <f aca="false">SUM(N33,P33:U33)</f>
        <v>10.356691887603</v>
      </c>
    </row>
    <row r="34" customFormat="false" ht="12.95" hidden="false" customHeight="true" outlineLevel="0" collapsed="false">
      <c r="A34" s="183" t="n">
        <f aca="false">A33+1</f>
        <v>20</v>
      </c>
      <c r="B34" s="106" t="n">
        <v>6878.97</v>
      </c>
      <c r="C34" s="107" t="n">
        <v>213090</v>
      </c>
      <c r="D34" s="215" t="n">
        <f aca="false">C34-C33</f>
        <v>177</v>
      </c>
      <c r="E34" s="107" t="n">
        <f aca="false">C34-152000</f>
        <v>61090</v>
      </c>
      <c r="F34" s="135" t="n">
        <f aca="false">D34/$D$2</f>
        <v>89.2361986387698</v>
      </c>
      <c r="G34" s="213" t="n">
        <v>777</v>
      </c>
      <c r="H34" s="136" t="n">
        <v>0.33</v>
      </c>
      <c r="I34" s="135" t="n">
        <f aca="false">G34+H34</f>
        <v>777.33</v>
      </c>
      <c r="J34" s="136" t="n">
        <f aca="false">IF(L34&gt;0,L34,0)</f>
        <v>0</v>
      </c>
      <c r="K34" s="135" t="n">
        <f aca="false">I34+J34</f>
        <v>777.33</v>
      </c>
      <c r="L34" s="135" t="n">
        <f aca="false">F34-(I34-AK34)</f>
        <v>-56.5938013612301</v>
      </c>
      <c r="M34" s="248" t="n">
        <v>255</v>
      </c>
      <c r="N34" s="158" t="n">
        <f aca="false">(1.8299*1.03)/2</f>
        <v>0.9423985</v>
      </c>
      <c r="O34" s="135" t="n">
        <f aca="false">47.7*1.05</f>
        <v>50.085</v>
      </c>
      <c r="P34" s="158" t="n">
        <v>0</v>
      </c>
      <c r="Q34" s="338" t="n">
        <f aca="false">1434700/325851/1.9835*1.02</f>
        <v>2.26417508509763</v>
      </c>
      <c r="R34" s="131" t="n">
        <v>4.2</v>
      </c>
      <c r="S34" s="131" t="n">
        <f aca="false">((6*1.04)-T34)-4.2</f>
        <v>1.0087048</v>
      </c>
      <c r="T34" s="131" t="n">
        <f aca="false">(0.9355*1.06)*1.04</f>
        <v>1.0312952</v>
      </c>
      <c r="U34" s="357" t="n">
        <v>0</v>
      </c>
      <c r="V34" s="135" t="n">
        <v>109</v>
      </c>
      <c r="W34" s="135" t="n">
        <v>75.9</v>
      </c>
      <c r="X34" s="135" t="n">
        <f aca="false">M34-N34-O34-P34-Q34-R34-S34-T34-U34+V34+W34-AT34+AR34</f>
        <v>389.443294073082</v>
      </c>
      <c r="Y34" s="135" t="n">
        <f aca="false">X34-AO34</f>
        <v>389.443294073082</v>
      </c>
      <c r="Z34" s="107" t="n">
        <f aca="false">Z33+AP34</f>
        <v>9133.95104123869</v>
      </c>
      <c r="AA34" s="135"/>
      <c r="AB34" s="107" t="n">
        <f aca="false">AB33+(Y34+AP34)*1.9835</f>
        <v>28917.2433156693</v>
      </c>
      <c r="AC34" s="107" t="n">
        <f aca="false">AC33-(AQ33/1.9835)</f>
        <v>5222.77157092869</v>
      </c>
      <c r="AD34" s="107"/>
      <c r="AE34" s="135" t="n">
        <v>175</v>
      </c>
      <c r="AF34" s="248" t="n">
        <v>1.7</v>
      </c>
      <c r="AG34" s="249" t="n">
        <v>1.3</v>
      </c>
      <c r="AH34" s="136" t="n">
        <v>16.6</v>
      </c>
      <c r="AI34" s="107" t="n">
        <f aca="false">AI33-AH34</f>
        <v>5353.53684762419</v>
      </c>
      <c r="AJ34" s="97"/>
      <c r="AK34" s="134" t="n">
        <f aca="false">N34+O34+P34+Q34+R34+S34+T34+U34+X34+AE34+AH34+AT34-AR34</f>
        <v>631.5</v>
      </c>
      <c r="AL34" s="135" t="n">
        <f aca="false">IF(L34&lt;0,L34*-1,0)</f>
        <v>56.5938013612301</v>
      </c>
      <c r="AM34" s="135" t="n">
        <f aca="false">AK34+AL34</f>
        <v>688.09380136123</v>
      </c>
      <c r="AN34" s="425" t="n">
        <v>0</v>
      </c>
      <c r="AO34" s="215"/>
      <c r="AP34" s="146" t="n">
        <f aca="false">I34-Q34-R34-X34-AF34</f>
        <v>379.72253084182</v>
      </c>
      <c r="AQ34" s="158" t="n">
        <f aca="false">57.173*(Z34*1.9835+AC34*1.9835)/E34</f>
        <v>26.65068464445</v>
      </c>
      <c r="AR34" s="136" t="n">
        <f aca="false">18/1.9835</f>
        <v>9.07486765817998</v>
      </c>
      <c r="AS34" s="221"/>
      <c r="AT34" s="179"/>
      <c r="AU34" s="176"/>
      <c r="AV34" s="222" t="n">
        <v>0</v>
      </c>
      <c r="AW34" s="215" t="n">
        <v>65</v>
      </c>
      <c r="AX34" s="215" t="n">
        <v>37</v>
      </c>
      <c r="AY34" s="274"/>
      <c r="AZ34" s="250" t="n">
        <f aca="false">SUM(N34,P34:U34)</f>
        <v>9.44657358509763</v>
      </c>
    </row>
    <row r="35" customFormat="false" ht="12.95" hidden="false" customHeight="true" outlineLevel="0" collapsed="false">
      <c r="A35" s="183" t="n">
        <f aca="false">A34+1</f>
        <v>21</v>
      </c>
      <c r="B35" s="431" t="n">
        <v>6879.01</v>
      </c>
      <c r="C35" s="107" t="n">
        <v>213209</v>
      </c>
      <c r="D35" s="215" t="n">
        <f aca="false">C35-C34</f>
        <v>119</v>
      </c>
      <c r="E35" s="107" t="n">
        <f aca="false">C35-152000</f>
        <v>61209</v>
      </c>
      <c r="F35" s="135" t="n">
        <f aca="false">D35/$D$2</f>
        <v>59.9949584068566</v>
      </c>
      <c r="G35" s="213" t="n">
        <v>708</v>
      </c>
      <c r="H35" s="136" t="n">
        <v>0.27</v>
      </c>
      <c r="I35" s="135" t="n">
        <f aca="false">G35+H35</f>
        <v>708.27</v>
      </c>
      <c r="J35" s="136" t="n">
        <f aca="false">IF(L35&gt;0,L35,0)</f>
        <v>0</v>
      </c>
      <c r="K35" s="135" t="n">
        <f aca="false">I35+J35</f>
        <v>708.27</v>
      </c>
      <c r="L35" s="135" t="n">
        <f aca="false">F35-(I35-AK35)</f>
        <v>-15.8750415931434</v>
      </c>
      <c r="M35" s="248" t="n">
        <v>266</v>
      </c>
      <c r="N35" s="158" t="n">
        <f aca="false">(1.8299*1.03)/2</f>
        <v>0.9423985</v>
      </c>
      <c r="O35" s="135" t="n">
        <f aca="false">56.4*1.05</f>
        <v>59.22</v>
      </c>
      <c r="P35" s="158" t="n">
        <v>0</v>
      </c>
      <c r="Q35" s="338" t="n">
        <f aca="false">1571900/325851/1.9835*1.02</f>
        <v>2.48069757877254</v>
      </c>
      <c r="R35" s="131" t="n">
        <v>4.2</v>
      </c>
      <c r="S35" s="131" t="n">
        <f aca="false">((6*1.04)-T35)-4.2</f>
        <v>1.0087048</v>
      </c>
      <c r="T35" s="131" t="n">
        <f aca="false">(0.9355*1.06)*1.04</f>
        <v>1.0312952</v>
      </c>
      <c r="U35" s="357" t="n">
        <v>0</v>
      </c>
      <c r="V35" s="135" t="n">
        <v>112</v>
      </c>
      <c r="W35" s="135" t="n">
        <v>75</v>
      </c>
      <c r="X35" s="135" t="n">
        <f aca="false">M35-N35-O35-P35-Q35-R35-S35-T35-U35+V35+W35-AT35+AR35</f>
        <v>393.191771579407</v>
      </c>
      <c r="Y35" s="135" t="n">
        <f aca="false">X35-AO35</f>
        <v>393.191771579407</v>
      </c>
      <c r="Z35" s="107" t="n">
        <f aca="false">Z34+AP35</f>
        <v>9440.64857208051</v>
      </c>
      <c r="AA35" s="135"/>
      <c r="AB35" s="107" t="n">
        <f aca="false">AB34+(Y35+AP35)*1.9835</f>
        <v>30305.4737470219</v>
      </c>
      <c r="AC35" s="107" t="n">
        <f aca="false">AC34-(AQ34/1.9835)</f>
        <v>5209.33538003157</v>
      </c>
      <c r="AD35" s="107"/>
      <c r="AE35" s="135" t="n">
        <v>163</v>
      </c>
      <c r="AF35" s="248" t="n">
        <v>1.7</v>
      </c>
      <c r="AG35" s="249" t="n">
        <v>1.3</v>
      </c>
      <c r="AH35" s="136" t="n">
        <v>16.4</v>
      </c>
      <c r="AI35" s="107" t="n">
        <f aca="false">AI34-AH35</f>
        <v>5337.13684762419</v>
      </c>
      <c r="AJ35" s="97"/>
      <c r="AK35" s="134" t="n">
        <f aca="false">N35+O35+P35+Q35+R35+S35+T35+U35+X35+AE35+AH35+AT35-AR35</f>
        <v>632.4</v>
      </c>
      <c r="AL35" s="135" t="n">
        <f aca="false">IF(L35&lt;0,L35*-1,0)</f>
        <v>15.8750415931434</v>
      </c>
      <c r="AM35" s="135" t="n">
        <f aca="false">AK35+AL35</f>
        <v>648.275041593143</v>
      </c>
      <c r="AN35" s="425" t="n">
        <v>0</v>
      </c>
      <c r="AO35" s="215"/>
      <c r="AP35" s="146" t="n">
        <f aca="false">I35-Q35-R35-X35-AF35</f>
        <v>306.69753084182</v>
      </c>
      <c r="AQ35" s="158" t="n">
        <f aca="false">40.194*(Z35*1.9835+AC35*1.9835)/E35</f>
        <v>19.0816224074133</v>
      </c>
      <c r="AR35" s="136" t="n">
        <f aca="false">18/1.9835</f>
        <v>9.07486765817998</v>
      </c>
      <c r="AS35" s="221"/>
      <c r="AT35" s="179"/>
      <c r="AU35" s="176"/>
      <c r="AV35" s="222" t="n">
        <v>0</v>
      </c>
      <c r="AW35" s="215" t="n">
        <v>73</v>
      </c>
      <c r="AX35" s="215" t="n">
        <v>38</v>
      </c>
      <c r="AY35" s="274"/>
      <c r="AZ35" s="250" t="n">
        <f aca="false">SUM(N35,P35:U35)</f>
        <v>9.66309607877254</v>
      </c>
    </row>
    <row r="36" customFormat="false" ht="12.95" hidden="false" customHeight="true" outlineLevel="0" collapsed="false">
      <c r="A36" s="183" t="n">
        <f aca="false">A35+1</f>
        <v>22</v>
      </c>
      <c r="B36" s="106" t="n">
        <v>6879.02</v>
      </c>
      <c r="C36" s="107" t="n">
        <v>213238</v>
      </c>
      <c r="D36" s="215" t="n">
        <f aca="false">C36-C35</f>
        <v>29</v>
      </c>
      <c r="E36" s="107" t="n">
        <f aca="false">C36-152000</f>
        <v>61238</v>
      </c>
      <c r="F36" s="135" t="n">
        <f aca="false">D36/$D$2</f>
        <v>14.6206201159566</v>
      </c>
      <c r="G36" s="213" t="n">
        <v>743</v>
      </c>
      <c r="H36" s="136" t="n">
        <v>0.22</v>
      </c>
      <c r="I36" s="135" t="n">
        <f aca="false">G36+H36</f>
        <v>743.22</v>
      </c>
      <c r="J36" s="136" t="n">
        <f aca="false">IF(L36&gt;0,L36,0)</f>
        <v>0</v>
      </c>
      <c r="K36" s="135" t="n">
        <f aca="false">I36+J36</f>
        <v>743.22</v>
      </c>
      <c r="L36" s="135" t="n">
        <f aca="false">F36-(I36-AK36)</f>
        <v>-37.4993798840434</v>
      </c>
      <c r="M36" s="248" t="n">
        <v>276</v>
      </c>
      <c r="N36" s="158" t="n">
        <f aca="false">(1.8299*1.03)/2</f>
        <v>0.9423985</v>
      </c>
      <c r="O36" s="135" t="n">
        <f aca="false">51.5*1.05</f>
        <v>54.075</v>
      </c>
      <c r="P36" s="158" t="n">
        <v>3.5</v>
      </c>
      <c r="Q36" s="338" t="n">
        <f aca="false">1546600/325851/1.9835*1.02</f>
        <v>2.44077032593015</v>
      </c>
      <c r="R36" s="131" t="n">
        <v>4.2</v>
      </c>
      <c r="S36" s="131" t="n">
        <f aca="false">((6*1.04)-T36)-4.2</f>
        <v>1.0087048</v>
      </c>
      <c r="T36" s="131" t="n">
        <f aca="false">(0.9355*1.06)*1.04</f>
        <v>1.0312952</v>
      </c>
      <c r="U36" s="357" t="n">
        <v>0</v>
      </c>
      <c r="V36" s="135" t="n">
        <v>123</v>
      </c>
      <c r="W36" s="135" t="n">
        <v>75</v>
      </c>
      <c r="X36" s="135" t="n">
        <f aca="false">M36-N36-O36-P36-Q36-R36-S36-T36-U36+V36+W36-AT36+AR36</f>
        <v>415.87669883225</v>
      </c>
      <c r="Y36" s="135" t="n">
        <f aca="false">X36-AO36</f>
        <v>415.87669883225</v>
      </c>
      <c r="Z36" s="107" t="n">
        <f aca="false">Z35+AP36</f>
        <v>9759.65110292234</v>
      </c>
      <c r="AA36" s="135"/>
      <c r="AB36" s="107" t="n">
        <f aca="false">AB35+(Y36+AP36)*1.9835</f>
        <v>31763.1066990804</v>
      </c>
      <c r="AC36" s="107" t="n">
        <f aca="false">AC35-(AQ35/1.9835)</f>
        <v>5199.71520236209</v>
      </c>
      <c r="AD36" s="107"/>
      <c r="AE36" s="135" t="n">
        <v>201</v>
      </c>
      <c r="AF36" s="248" t="n">
        <v>1.7</v>
      </c>
      <c r="AG36" s="249" t="n">
        <v>1.3</v>
      </c>
      <c r="AH36" s="136" t="n">
        <v>16.1</v>
      </c>
      <c r="AI36" s="107" t="n">
        <f aca="false">AI35-AH36</f>
        <v>5321.03684762419</v>
      </c>
      <c r="AJ36" s="97"/>
      <c r="AK36" s="134" t="n">
        <f aca="false">N36+O36+P36+Q36+R36+S36+T36+U36+X36+AE36+AH36+AT36-AR36</f>
        <v>691.1</v>
      </c>
      <c r="AL36" s="135" t="n">
        <f aca="false">IF(L36&lt;0,L36*-1,0)</f>
        <v>37.4993798840434</v>
      </c>
      <c r="AM36" s="135" t="n">
        <f aca="false">AK36+AL36</f>
        <v>728.599379884043</v>
      </c>
      <c r="AN36" s="425" t="n">
        <v>0</v>
      </c>
      <c r="AO36" s="215"/>
      <c r="AP36" s="146" t="n">
        <f aca="false">I36-Q36-R36-X36-AF36</f>
        <v>319.00253084182</v>
      </c>
      <c r="AQ36" s="158" t="n">
        <f aca="false">65.489*(Z36*1.9835+AC36*1.9835)/E36</f>
        <v>31.7316577929405</v>
      </c>
      <c r="AR36" s="136" t="n">
        <f aca="false">18/1.9835</f>
        <v>9.07486765817998</v>
      </c>
      <c r="AS36" s="221"/>
      <c r="AT36" s="179"/>
      <c r="AU36" s="176"/>
      <c r="AV36" s="222" t="n">
        <v>0</v>
      </c>
      <c r="AW36" s="215" t="n">
        <v>81</v>
      </c>
      <c r="AX36" s="215" t="n">
        <v>42</v>
      </c>
      <c r="AY36" s="274"/>
      <c r="AZ36" s="250" t="n">
        <f aca="false">SUM(N36,P36:U36)</f>
        <v>13.1231688259302</v>
      </c>
    </row>
    <row r="37" customFormat="false" ht="12.95" hidden="false" customHeight="true" outlineLevel="0" collapsed="false">
      <c r="A37" s="183" t="n">
        <f aca="false">A36+1</f>
        <v>23</v>
      </c>
      <c r="B37" s="106" t="n">
        <v>6879.16</v>
      </c>
      <c r="C37" s="107" t="n">
        <v>213656</v>
      </c>
      <c r="D37" s="215" t="n">
        <f aca="false">C37-C36</f>
        <v>418</v>
      </c>
      <c r="E37" s="107" t="n">
        <f aca="false">C37-152000</f>
        <v>61656</v>
      </c>
      <c r="F37" s="135" t="n">
        <f aca="false">D37/$D$2</f>
        <v>210.738593395513</v>
      </c>
      <c r="G37" s="213" t="n">
        <v>912</v>
      </c>
      <c r="H37" s="136" t="n">
        <v>0.18</v>
      </c>
      <c r="I37" s="135" t="n">
        <f aca="false">G37+H37</f>
        <v>912.18</v>
      </c>
      <c r="J37" s="136" t="n">
        <f aca="false">IF(L37&gt;0,L37,0)</f>
        <v>0</v>
      </c>
      <c r="K37" s="135" t="n">
        <f aca="false">I37+J37</f>
        <v>912.18</v>
      </c>
      <c r="L37" s="135" t="n">
        <f aca="false">F37-(I37-AK37)</f>
        <v>-58.2414066044869</v>
      </c>
      <c r="M37" s="248" t="n">
        <v>254</v>
      </c>
      <c r="N37" s="158" t="n">
        <f aca="false">(1.8299*1.03)/2</f>
        <v>0.9423985</v>
      </c>
      <c r="O37" s="135" t="n">
        <f aca="false">47.5*1.05</f>
        <v>49.875</v>
      </c>
      <c r="P37" s="158" t="n">
        <v>3.82</v>
      </c>
      <c r="Q37" s="338" t="n">
        <f aca="false">1665800/325851/1.9835*1.02</f>
        <v>2.62888607845238</v>
      </c>
      <c r="R37" s="131" t="n">
        <f aca="false">(4*1.04)-T37</f>
        <v>3.1287048</v>
      </c>
      <c r="S37" s="131" t="n">
        <v>0</v>
      </c>
      <c r="T37" s="131" t="n">
        <f aca="false">(0.9355*1.06)*1.04</f>
        <v>1.0312952</v>
      </c>
      <c r="U37" s="357" t="n">
        <v>0</v>
      </c>
      <c r="V37" s="135" t="n">
        <v>127</v>
      </c>
      <c r="W37" s="135" t="n">
        <v>74.1</v>
      </c>
      <c r="X37" s="135" t="n">
        <f aca="false">M37-N37-O37-P37-Q37-R37-S37-T37-U37+V37+W37-AT37+AR37</f>
        <v>402.748583079728</v>
      </c>
      <c r="Y37" s="135" t="n">
        <f aca="false">X37-AO37</f>
        <v>402.748583079728</v>
      </c>
      <c r="Z37" s="107" t="n">
        <f aca="false">Z36+AP37</f>
        <v>10151.9025198426</v>
      </c>
      <c r="AA37" s="135"/>
      <c r="AB37" s="107" t="n">
        <f aca="false">AB36+(Y37+AP37)*1.9835</f>
        <v>33339.9891990804</v>
      </c>
      <c r="AC37" s="107" t="n">
        <f aca="false">AC36-(AQ36/1.9835)</f>
        <v>5183.71739152622</v>
      </c>
      <c r="AD37" s="107"/>
      <c r="AE37" s="135" t="n">
        <v>172</v>
      </c>
      <c r="AF37" s="248" t="n">
        <v>1.7</v>
      </c>
      <c r="AG37" s="249" t="n">
        <v>1.3</v>
      </c>
      <c r="AH37" s="136" t="n">
        <v>16.1</v>
      </c>
      <c r="AI37" s="107" t="n">
        <f aca="false">AI36-AH37</f>
        <v>5304.93684762419</v>
      </c>
      <c r="AJ37" s="97"/>
      <c r="AK37" s="134" t="n">
        <f aca="false">N37+O37+P37+Q37+R37+S37+T37+U37+X37+AE37+AH37+AT37-AR37</f>
        <v>643.2</v>
      </c>
      <c r="AL37" s="135" t="n">
        <f aca="false">IF(L37&lt;0,L37*-1,0)</f>
        <v>58.2414066044869</v>
      </c>
      <c r="AM37" s="135" t="n">
        <f aca="false">AK37+AL37</f>
        <v>701.441406604487</v>
      </c>
      <c r="AN37" s="425" t="n">
        <v>0</v>
      </c>
      <c r="AO37" s="215"/>
      <c r="AP37" s="146" t="n">
        <f aca="false">795-X37</f>
        <v>392.251416920272</v>
      </c>
      <c r="AQ37" s="158" t="n">
        <f aca="false">85.932*(Z37*1.9835+AC37*1.9835)/E37</f>
        <v>42.3948511476385</v>
      </c>
      <c r="AR37" s="136" t="n">
        <f aca="false">18/1.9835</f>
        <v>9.07486765817998</v>
      </c>
      <c r="AS37" s="221"/>
      <c r="AT37" s="179"/>
      <c r="AU37" s="176"/>
      <c r="AV37" s="222" t="n">
        <v>0</v>
      </c>
      <c r="AW37" s="215" t="n">
        <v>84</v>
      </c>
      <c r="AX37" s="215" t="n">
        <v>46</v>
      </c>
      <c r="AY37" s="274"/>
      <c r="AZ37" s="250" t="n">
        <f aca="false">SUM(N37,P37:U37)</f>
        <v>11.5512845784524</v>
      </c>
    </row>
    <row r="38" customFormat="false" ht="12.95" hidden="false" customHeight="true" outlineLevel="0" collapsed="false">
      <c r="A38" s="183" t="n">
        <f aca="false">A37+1</f>
        <v>24</v>
      </c>
      <c r="B38" s="106" t="n">
        <v>6879.4</v>
      </c>
      <c r="C38" s="107" t="n">
        <v>214373</v>
      </c>
      <c r="D38" s="215" t="n">
        <f aca="false">C38-C37</f>
        <v>717</v>
      </c>
      <c r="E38" s="107" t="n">
        <f aca="false">C38-152000</f>
        <v>62373</v>
      </c>
      <c r="F38" s="135" t="n">
        <f aca="false">D38/$D$2</f>
        <v>361.482228384169</v>
      </c>
      <c r="G38" s="213" t="n">
        <v>1030</v>
      </c>
      <c r="H38" s="136" t="n">
        <v>0.13</v>
      </c>
      <c r="I38" s="135" t="n">
        <f aca="false">G38+H38</f>
        <v>1030.13</v>
      </c>
      <c r="J38" s="136" t="n">
        <f aca="false">IF(L38&gt;0,L38,0)</f>
        <v>0</v>
      </c>
      <c r="K38" s="135" t="n">
        <f aca="false">I38+J38</f>
        <v>1030.13</v>
      </c>
      <c r="L38" s="135" t="n">
        <f aca="false">F38-(I38-AK38)</f>
        <v>-29.4477716158308</v>
      </c>
      <c r="M38" s="248" t="n">
        <v>245</v>
      </c>
      <c r="N38" s="158" t="n">
        <f aca="false">(1.8299*1.03)/2</f>
        <v>0.9423985</v>
      </c>
      <c r="O38" s="135" t="n">
        <f aca="false">44.3*1.05</f>
        <v>46.515</v>
      </c>
      <c r="P38" s="158" t="n">
        <v>0</v>
      </c>
      <c r="Q38" s="338" t="n">
        <f aca="false">1680700/325851/1.9835*1.02</f>
        <v>2.65240054751766</v>
      </c>
      <c r="R38" s="131" t="n">
        <f aca="false">(4*1.04)-T38</f>
        <v>3.06994688</v>
      </c>
      <c r="S38" s="131" t="n">
        <v>0</v>
      </c>
      <c r="T38" s="131" t="n">
        <f aca="false">(0.9888*1.06)*1.04</f>
        <v>1.09005312</v>
      </c>
      <c r="U38" s="357" t="n">
        <v>0</v>
      </c>
      <c r="V38" s="135" t="n">
        <v>126</v>
      </c>
      <c r="W38" s="135" t="n">
        <v>74.1</v>
      </c>
      <c r="X38" s="135" t="n">
        <f aca="false">M38-N38-O38-P38-Q38-R38-S38-T38-U38+V38+W38-AT38+AR38</f>
        <v>399.905068610662</v>
      </c>
      <c r="Y38" s="135" t="n">
        <f aca="false">X38-AO38</f>
        <v>399.905068610662</v>
      </c>
      <c r="Z38" s="107" t="n">
        <f aca="false">Z37+AP38</f>
        <v>10546.9974512319</v>
      </c>
      <c r="AA38" s="135"/>
      <c r="AB38" s="107" t="n">
        <f aca="false">AB37+(Y38+AP38)*1.9835</f>
        <v>34916.8716990804</v>
      </c>
      <c r="AC38" s="107" t="n">
        <f aca="false">AC37-(AQ37/1.9835)</f>
        <v>5162.34363243994</v>
      </c>
      <c r="AD38" s="107"/>
      <c r="AE38" s="135" t="n">
        <v>178</v>
      </c>
      <c r="AF38" s="248" t="n">
        <v>1.7</v>
      </c>
      <c r="AG38" s="249" t="n">
        <v>1.3</v>
      </c>
      <c r="AH38" s="136" t="n">
        <v>16.1</v>
      </c>
      <c r="AI38" s="107" t="n">
        <f aca="false">AI37-AH38</f>
        <v>5288.83684762419</v>
      </c>
      <c r="AJ38" s="97"/>
      <c r="AK38" s="134" t="n">
        <f aca="false">N38+O38+P38+Q38+R38+S38+T38+U38+X38+AE38+AH38+AT38-AR38</f>
        <v>639.2</v>
      </c>
      <c r="AL38" s="135" t="n">
        <f aca="false">IF(L38&lt;0,L38*-1,0)</f>
        <v>29.4477716158308</v>
      </c>
      <c r="AM38" s="135" t="n">
        <f aca="false">AK38+AL38</f>
        <v>668.647771615831</v>
      </c>
      <c r="AN38" s="425" t="n">
        <v>0</v>
      </c>
      <c r="AO38" s="215"/>
      <c r="AP38" s="146" t="n">
        <f aca="false">795-X38</f>
        <v>395.094931389338</v>
      </c>
      <c r="AQ38" s="158" t="n">
        <f aca="false">51.282*(Z38*1.9835+AC38*1.9835)/E38</f>
        <v>25.6187830121968</v>
      </c>
      <c r="AR38" s="136" t="n">
        <f aca="false">18/1.9835</f>
        <v>9.07486765817998</v>
      </c>
      <c r="AS38" s="221"/>
      <c r="AT38" s="179"/>
      <c r="AU38" s="176"/>
      <c r="AV38" s="222" t="n">
        <v>0</v>
      </c>
      <c r="AW38" s="215" t="n">
        <v>81</v>
      </c>
      <c r="AX38" s="215" t="n">
        <v>40</v>
      </c>
      <c r="AY38" s="274"/>
      <c r="AZ38" s="250" t="n">
        <f aca="false">SUM(N38,P38:U38)</f>
        <v>7.75479904751766</v>
      </c>
    </row>
    <row r="39" customFormat="false" ht="12.95" hidden="false" customHeight="true" outlineLevel="0" collapsed="false">
      <c r="A39" s="183" t="n">
        <f aca="false">A38+1</f>
        <v>25</v>
      </c>
      <c r="B39" s="106" t="n">
        <v>6879.59</v>
      </c>
      <c r="C39" s="107" t="n">
        <v>214940</v>
      </c>
      <c r="D39" s="215" t="n">
        <f aca="false">C39-C38</f>
        <v>567</v>
      </c>
      <c r="E39" s="107" t="n">
        <f aca="false">C39-152000</f>
        <v>62940</v>
      </c>
      <c r="F39" s="135" t="n">
        <f aca="false">D39/$D$2</f>
        <v>285.858331232669</v>
      </c>
      <c r="G39" s="213" t="n">
        <v>998</v>
      </c>
      <c r="H39" s="136" t="n">
        <v>0.1</v>
      </c>
      <c r="I39" s="135" t="n">
        <f aca="false">G39+H39</f>
        <v>998.1</v>
      </c>
      <c r="J39" s="136" t="n">
        <f aca="false">IF(L39&gt;0,L39,0)</f>
        <v>0</v>
      </c>
      <c r="K39" s="135" t="n">
        <f aca="false">I39+J39</f>
        <v>998.1</v>
      </c>
      <c r="L39" s="135" t="n">
        <f aca="false">F39-(I39-AK39)</f>
        <v>-78.9416687673304</v>
      </c>
      <c r="M39" s="248" t="n">
        <v>249</v>
      </c>
      <c r="N39" s="158" t="n">
        <f aca="false">(1.8299*1.03)/2</f>
        <v>0.9423985</v>
      </c>
      <c r="O39" s="135" t="n">
        <f aca="false">38.7*1.05</f>
        <v>40.635</v>
      </c>
      <c r="P39" s="158" t="n">
        <v>0</v>
      </c>
      <c r="Q39" s="338" t="n">
        <f aca="false">1692800/325851/1.9835*1.02</f>
        <v>2.67149619018141</v>
      </c>
      <c r="R39" s="131" t="n">
        <v>4.2</v>
      </c>
      <c r="S39" s="131" t="n">
        <f aca="false">((5.5*1.04)-T39)-4.2</f>
        <v>0.42994688</v>
      </c>
      <c r="T39" s="131" t="n">
        <f aca="false">(0.9888*1.06)*1.04</f>
        <v>1.09005312</v>
      </c>
      <c r="U39" s="357" t="n">
        <v>0</v>
      </c>
      <c r="V39" s="135" t="n">
        <v>124</v>
      </c>
      <c r="W39" s="135" t="n">
        <v>73.2</v>
      </c>
      <c r="X39" s="135" t="n">
        <f aca="false">M39-N39-O39-P39-Q39-R39-S39-T39-U39+V39+W39-AT39+AR39</f>
        <v>405.305972967999</v>
      </c>
      <c r="Y39" s="135" t="n">
        <f aca="false">X39-AO39</f>
        <v>405.305972967999</v>
      </c>
      <c r="Z39" s="107" t="n">
        <f aca="false">Z38+AP39</f>
        <v>10936.6914782639</v>
      </c>
      <c r="AA39" s="135"/>
      <c r="AB39" s="107" t="n">
        <f aca="false">AB38+(Y39+AP39)*1.9835</f>
        <v>36493.7541990804</v>
      </c>
      <c r="AC39" s="107" t="n">
        <f aca="false">AC38-(AQ38/1.9835)</f>
        <v>5149.4276843622</v>
      </c>
      <c r="AD39" s="107"/>
      <c r="AE39" s="135" t="n">
        <v>171</v>
      </c>
      <c r="AF39" s="248" t="n">
        <v>1.7</v>
      </c>
      <c r="AG39" s="249" t="n">
        <v>1.3</v>
      </c>
      <c r="AH39" s="136" t="n">
        <v>16.1</v>
      </c>
      <c r="AI39" s="107" t="n">
        <f aca="false">AI38-AH39</f>
        <v>5272.73684762419</v>
      </c>
      <c r="AJ39" s="97"/>
      <c r="AK39" s="134" t="n">
        <f aca="false">N39+O39+P39+Q39+R39+S39+T39+U39+X39+AE39+AH39+AT39-AR39</f>
        <v>633.3</v>
      </c>
      <c r="AL39" s="135" t="n">
        <f aca="false">IF(L39&lt;0,L39*-1,0)</f>
        <v>78.9416687673304</v>
      </c>
      <c r="AM39" s="135" t="n">
        <f aca="false">AK39+AL39</f>
        <v>712.241668767331</v>
      </c>
      <c r="AN39" s="425" t="n">
        <v>0</v>
      </c>
      <c r="AO39" s="215"/>
      <c r="AP39" s="146" t="n">
        <f aca="false">795-X39</f>
        <v>389.694027032001</v>
      </c>
      <c r="AQ39" s="158" t="n">
        <f aca="false">55.512*(Z39*1.9835+AC39*1.9835)/E39</f>
        <v>28.1412654152627</v>
      </c>
      <c r="AR39" s="136" t="n">
        <f aca="false">18/1.9835</f>
        <v>9.07486765817998</v>
      </c>
      <c r="AS39" s="221"/>
      <c r="AT39" s="179"/>
      <c r="AU39" s="176"/>
      <c r="AV39" s="222" t="n">
        <v>0</v>
      </c>
      <c r="AW39" s="215" t="n">
        <v>81</v>
      </c>
      <c r="AX39" s="215" t="n">
        <v>40</v>
      </c>
      <c r="AY39" s="274"/>
      <c r="AZ39" s="250" t="n">
        <f aca="false">SUM(N39,P39:U39)</f>
        <v>9.33389469018141</v>
      </c>
    </row>
    <row r="40" customFormat="false" ht="12.95" hidden="false" customHeight="true" outlineLevel="0" collapsed="false">
      <c r="A40" s="183" t="n">
        <f aca="false">A39+1</f>
        <v>26</v>
      </c>
      <c r="B40" s="106" t="n">
        <v>6879.77</v>
      </c>
      <c r="C40" s="107" t="n">
        <v>215478</v>
      </c>
      <c r="D40" s="215" t="n">
        <f aca="false">C40-C39</f>
        <v>538</v>
      </c>
      <c r="E40" s="107" t="n">
        <f aca="false">C40-152000</f>
        <v>63478</v>
      </c>
      <c r="F40" s="135" t="n">
        <f aca="false">D40/$D$2</f>
        <v>271.237711116713</v>
      </c>
      <c r="G40" s="213" t="n">
        <v>964</v>
      </c>
      <c r="H40" s="136" t="n">
        <v>0.08</v>
      </c>
      <c r="I40" s="135" t="n">
        <f aca="false">G40+H40</f>
        <v>964.08</v>
      </c>
      <c r="J40" s="136" t="n">
        <f aca="false">IF(L40&gt;0,L40,0)</f>
        <v>0</v>
      </c>
      <c r="K40" s="135" t="n">
        <f aca="false">I40+J40</f>
        <v>964.08</v>
      </c>
      <c r="L40" s="135" t="n">
        <f aca="false">F40-(I40-AK40)</f>
        <v>-76.242288883287</v>
      </c>
      <c r="M40" s="248" t="n">
        <v>248</v>
      </c>
      <c r="N40" s="158" t="n">
        <f aca="false">(1.8299*1.03)/2</f>
        <v>0.9423985</v>
      </c>
      <c r="O40" s="135" t="n">
        <f aca="false">40.3*1.05</f>
        <v>42.315</v>
      </c>
      <c r="P40" s="158" t="n">
        <v>0</v>
      </c>
      <c r="Q40" s="338" t="n">
        <f aca="false">1751800/325851/1.9835*1.02</f>
        <v>2.76460717507076</v>
      </c>
      <c r="R40" s="131" t="n">
        <v>4.2</v>
      </c>
      <c r="S40" s="131" t="n">
        <f aca="false">((5.5*1.04)-T40)-4.2</f>
        <v>0.42994688</v>
      </c>
      <c r="T40" s="131" t="n">
        <f aca="false">(0.9888*1.06)*1.04</f>
        <v>1.09005312</v>
      </c>
      <c r="U40" s="357" t="n">
        <v>0</v>
      </c>
      <c r="V40" s="135" t="n">
        <v>123</v>
      </c>
      <c r="W40" s="135" t="n">
        <v>73.5</v>
      </c>
      <c r="X40" s="135" t="n">
        <f aca="false">M40-N40-O40-P40-Q40-R40-S40-T40-U40+V40+W40-AT40+AR40</f>
        <v>401.832861983109</v>
      </c>
      <c r="Y40" s="135" t="n">
        <f aca="false">X40-AO40</f>
        <v>401.832861983109</v>
      </c>
      <c r="Z40" s="107" t="n">
        <f aca="false">Z39+AP40</f>
        <v>11329.8586162808</v>
      </c>
      <c r="AA40" s="135"/>
      <c r="AB40" s="107" t="n">
        <f aca="false">AB39+(Y40+AP40)*1.9835</f>
        <v>38070.6366990804</v>
      </c>
      <c r="AC40" s="107" t="n">
        <f aca="false">AC39-(AQ39/1.9835)</f>
        <v>5135.24000328569</v>
      </c>
      <c r="AD40" s="107"/>
      <c r="AE40" s="135" t="n">
        <v>156</v>
      </c>
      <c r="AF40" s="248" t="n">
        <v>1.7</v>
      </c>
      <c r="AG40" s="249" t="n">
        <v>1.3</v>
      </c>
      <c r="AH40" s="136" t="n">
        <v>16.1</v>
      </c>
      <c r="AI40" s="107" t="n">
        <f aca="false">AI39-AH40</f>
        <v>5256.63684762419</v>
      </c>
      <c r="AJ40" s="97"/>
      <c r="AK40" s="134" t="n">
        <f aca="false">N40+O40+P40+Q40+R40+S40+T40+U40+X40+AE40+AH40+AT40-AR40</f>
        <v>616.6</v>
      </c>
      <c r="AL40" s="135" t="n">
        <f aca="false">IF(L40&lt;0,L40*-1,0)</f>
        <v>76.242288883287</v>
      </c>
      <c r="AM40" s="135" t="n">
        <f aca="false">AK40+AL40</f>
        <v>692.842288883287</v>
      </c>
      <c r="AN40" s="425" t="n">
        <v>0</v>
      </c>
      <c r="AO40" s="215"/>
      <c r="AP40" s="146" t="n">
        <f aca="false">795-X40</f>
        <v>393.167138016891</v>
      </c>
      <c r="AQ40" s="158" t="n">
        <f aca="false">55.862*(Z40*1.9835+AC40*1.9835)/E40</f>
        <v>28.7402000390297</v>
      </c>
      <c r="AR40" s="136" t="n">
        <f aca="false">18/1.9835</f>
        <v>9.07486765817998</v>
      </c>
      <c r="AS40" s="221"/>
      <c r="AT40" s="179"/>
      <c r="AU40" s="176"/>
      <c r="AV40" s="222" t="n">
        <v>0</v>
      </c>
      <c r="AW40" s="215" t="n">
        <v>80</v>
      </c>
      <c r="AX40" s="215" t="n">
        <v>42</v>
      </c>
      <c r="AY40" s="274"/>
      <c r="AZ40" s="250" t="n">
        <f aca="false">SUM(N40,P40:U40)</f>
        <v>9.42700567507076</v>
      </c>
    </row>
    <row r="41" customFormat="false" ht="12.95" hidden="false" customHeight="true" outlineLevel="0" collapsed="false">
      <c r="A41" s="183" t="n">
        <f aca="false">A40+1</f>
        <v>27</v>
      </c>
      <c r="B41" s="106" t="n">
        <v>6879.9</v>
      </c>
      <c r="C41" s="107" t="n">
        <v>215866</v>
      </c>
      <c r="D41" s="215" t="n">
        <f aca="false">C41-C40</f>
        <v>388</v>
      </c>
      <c r="E41" s="107" t="n">
        <f aca="false">C41-152000</f>
        <v>63866</v>
      </c>
      <c r="F41" s="135" t="n">
        <f aca="false">D41/$D$2</f>
        <v>195.613813965213</v>
      </c>
      <c r="G41" s="213" t="n">
        <v>903</v>
      </c>
      <c r="H41" s="136" t="n">
        <v>0.06</v>
      </c>
      <c r="I41" s="135" t="n">
        <f aca="false">G41+H41</f>
        <v>903.06</v>
      </c>
      <c r="J41" s="136" t="n">
        <f aca="false">IF(L41&gt;0,L41,0)</f>
        <v>0</v>
      </c>
      <c r="K41" s="135" t="n">
        <f aca="false">I41+J41</f>
        <v>903.06</v>
      </c>
      <c r="L41" s="135" t="n">
        <f aca="false">F41-(I41-AK41)</f>
        <v>-61.4461860347868</v>
      </c>
      <c r="M41" s="248" t="n">
        <v>242</v>
      </c>
      <c r="N41" s="158" t="n">
        <f aca="false">(1.8299*1.03)/2</f>
        <v>0.9423985</v>
      </c>
      <c r="O41" s="135" t="n">
        <f aca="false">39.1*1.05</f>
        <v>41.055</v>
      </c>
      <c r="P41" s="158" t="n">
        <v>0</v>
      </c>
      <c r="Q41" s="338" t="n">
        <f aca="false">2346600/325851/1.9835*1.02</f>
        <v>3.70329215493838</v>
      </c>
      <c r="R41" s="131" t="n">
        <v>4.2</v>
      </c>
      <c r="S41" s="131" t="n">
        <f aca="false">((5.5*1.04)-T41)-4.2</f>
        <v>0.42994688</v>
      </c>
      <c r="T41" s="131" t="n">
        <f aca="false">(0.9888*1.06)*1.04</f>
        <v>1.09005312</v>
      </c>
      <c r="U41" s="357" t="n">
        <v>0</v>
      </c>
      <c r="V41" s="135" t="n">
        <v>128</v>
      </c>
      <c r="W41" s="135" t="n">
        <v>72.9</v>
      </c>
      <c r="X41" s="135" t="n">
        <f aca="false">M41-N41-O41-P41-Q41-R41-S41-T41-U41+V41+W41-AT41+AR41</f>
        <v>400.554177003242</v>
      </c>
      <c r="Y41" s="135" t="n">
        <f aca="false">X41-AO41</f>
        <v>400.554177003242</v>
      </c>
      <c r="Z41" s="107" t="n">
        <f aca="false">Z40+AP41</f>
        <v>11724.3044392776</v>
      </c>
      <c r="AA41" s="135"/>
      <c r="AB41" s="107" t="n">
        <f aca="false">AB40+(Y41+AP41)*1.9835</f>
        <v>39647.5191990804</v>
      </c>
      <c r="AC41" s="107" t="n">
        <f aca="false">AC40-(AQ40/1.9835)</f>
        <v>5120.75036373992</v>
      </c>
      <c r="AD41" s="107"/>
      <c r="AE41" s="135" t="n">
        <v>187</v>
      </c>
      <c r="AF41" s="248" t="n">
        <v>1.7</v>
      </c>
      <c r="AG41" s="249" t="n">
        <v>1.3</v>
      </c>
      <c r="AH41" s="136" t="n">
        <v>16.1</v>
      </c>
      <c r="AI41" s="107" t="n">
        <f aca="false">AI40-AH41</f>
        <v>5240.53684762419</v>
      </c>
      <c r="AJ41" s="97"/>
      <c r="AK41" s="134" t="n">
        <f aca="false">N41+O41+P41+Q41+R41+S41+T41+U41+X41+AE41+AH41+AT41-AR41</f>
        <v>646</v>
      </c>
      <c r="AL41" s="135" t="n">
        <f aca="false">IF(L41&lt;0,L41*-1,0)</f>
        <v>61.4461860347868</v>
      </c>
      <c r="AM41" s="135" t="n">
        <f aca="false">AK41+AL41</f>
        <v>707.446186034787</v>
      </c>
      <c r="AN41" s="425" t="n">
        <v>0</v>
      </c>
      <c r="AO41" s="215"/>
      <c r="AP41" s="146" t="n">
        <f aca="false">795-X41</f>
        <v>394.445822996758</v>
      </c>
      <c r="AQ41" s="158" t="n">
        <f aca="false">50.434*(Z41*1.9835+AC41*1.9835)/E41</f>
        <v>26.3850748476629</v>
      </c>
      <c r="AR41" s="136" t="n">
        <f aca="false">18/1.9835</f>
        <v>9.07486765817998</v>
      </c>
      <c r="AS41" s="221"/>
      <c r="AT41" s="179"/>
      <c r="AU41" s="176"/>
      <c r="AV41" s="222" t="n">
        <v>0</v>
      </c>
      <c r="AW41" s="215" t="n">
        <v>78</v>
      </c>
      <c r="AX41" s="215" t="n">
        <v>41</v>
      </c>
      <c r="AY41" s="274"/>
      <c r="AZ41" s="250" t="n">
        <f aca="false">SUM(N41,P41:U41)</f>
        <v>10.3656906549384</v>
      </c>
    </row>
    <row r="42" customFormat="false" ht="12.95" hidden="false" customHeight="true" outlineLevel="0" collapsed="false">
      <c r="A42" s="183" t="n">
        <v>28</v>
      </c>
      <c r="B42" s="106" t="n">
        <v>6879.94</v>
      </c>
      <c r="C42" s="107" t="n">
        <v>215986</v>
      </c>
      <c r="D42" s="215" t="n">
        <f aca="false">C42-C41</f>
        <v>120</v>
      </c>
      <c r="E42" s="107" t="n">
        <f aca="false">C42-152000</f>
        <v>63986</v>
      </c>
      <c r="F42" s="135" t="n">
        <f aca="false">D42/$D$2</f>
        <v>60.4991177211999</v>
      </c>
      <c r="G42" s="213" t="n">
        <v>827</v>
      </c>
      <c r="H42" s="136" t="n">
        <v>0.05</v>
      </c>
      <c r="I42" s="135" t="n">
        <f aca="false">G42+H42</f>
        <v>827.05</v>
      </c>
      <c r="J42" s="136" t="n">
        <f aca="false">IF(L42&gt;0,L42,0)</f>
        <v>0</v>
      </c>
      <c r="K42" s="135" t="n">
        <f aca="false">I42+J42</f>
        <v>827.05</v>
      </c>
      <c r="L42" s="135" t="n">
        <f aca="false">F42-(I42-AK42)</f>
        <v>-110.6508822788</v>
      </c>
      <c r="M42" s="248" t="n">
        <v>242</v>
      </c>
      <c r="N42" s="158" t="n">
        <f aca="false">(1.8299*1.03)/2</f>
        <v>0.9423985</v>
      </c>
      <c r="O42" s="135" t="n">
        <f aca="false">30*1.05</f>
        <v>31.5</v>
      </c>
      <c r="P42" s="158" t="n">
        <v>0</v>
      </c>
      <c r="Q42" s="338" t="n">
        <f aca="false">1363200/325851/1.9835*1.02</f>
        <v>2.15133719663002</v>
      </c>
      <c r="R42" s="131" t="n">
        <v>4.2</v>
      </c>
      <c r="S42" s="131" t="n">
        <f aca="false">((5.5*1.04)-T42)-4.2</f>
        <v>0.42994688</v>
      </c>
      <c r="T42" s="131" t="n">
        <f aca="false">(0.9888*1.06)*1.04</f>
        <v>1.09005312</v>
      </c>
      <c r="U42" s="357" t="n">
        <v>0</v>
      </c>
      <c r="V42" s="135" t="n">
        <v>134</v>
      </c>
      <c r="W42" s="135" t="n">
        <v>72.8</v>
      </c>
      <c r="X42" s="135" t="n">
        <f aca="false">M42-N42-O42-P42-Q42-R42-S42-T42-U42+V42+W42-AT42+AR42</f>
        <v>417.56113196155</v>
      </c>
      <c r="Y42" s="135" t="n">
        <f aca="false">X42-AO42</f>
        <v>417.56113196155</v>
      </c>
      <c r="Z42" s="107" t="n">
        <f aca="false">Z41+AP42</f>
        <v>12101.743307316</v>
      </c>
      <c r="AA42" s="135"/>
      <c r="AB42" s="107" t="n">
        <f aca="false">AB41+(Y42+AP42)*1.9835</f>
        <v>41224.4016990804</v>
      </c>
      <c r="AC42" s="107" t="n">
        <f aca="false">AC41-(AQ41/1.9835)</f>
        <v>5107.44808249582</v>
      </c>
      <c r="AD42" s="107"/>
      <c r="AE42" s="135" t="n">
        <v>191</v>
      </c>
      <c r="AF42" s="248" t="n">
        <v>1.7</v>
      </c>
      <c r="AG42" s="249" t="n">
        <v>1.3</v>
      </c>
      <c r="AH42" s="136" t="n">
        <v>16.1</v>
      </c>
      <c r="AI42" s="107" t="n">
        <f aca="false">AI41-AH42</f>
        <v>5224.43684762419</v>
      </c>
      <c r="AJ42" s="97"/>
      <c r="AK42" s="134" t="n">
        <f aca="false">N42+O42+P42+Q42+R42+S42+T42+U42+X42+AE42+AH42+AT42-AR42</f>
        <v>655.9</v>
      </c>
      <c r="AL42" s="135" t="n">
        <f aca="false">IF(L42&lt;0,L42*-1,0)</f>
        <v>110.6508822788</v>
      </c>
      <c r="AM42" s="135" t="n">
        <f aca="false">AK42+AL42</f>
        <v>766.5508822788</v>
      </c>
      <c r="AN42" s="425" t="n">
        <v>0</v>
      </c>
      <c r="AO42" s="215"/>
      <c r="AP42" s="146" t="n">
        <f aca="false">795-X42</f>
        <v>377.43886803845</v>
      </c>
      <c r="AQ42" s="158" t="n">
        <f aca="false">29.77*(Z42*1.9835+AC42*1.9835)/E42</f>
        <v>15.8813180147652</v>
      </c>
      <c r="AR42" s="136" t="n">
        <f aca="false">18/1.9835</f>
        <v>9.07486765817998</v>
      </c>
      <c r="AS42" s="221"/>
      <c r="AT42" s="179"/>
      <c r="AU42" s="176"/>
      <c r="AV42" s="222" t="n">
        <v>0</v>
      </c>
      <c r="AW42" s="215" t="n">
        <v>76</v>
      </c>
      <c r="AX42" s="215" t="n">
        <v>43</v>
      </c>
      <c r="AY42" s="274"/>
      <c r="AZ42" s="250" t="n">
        <f aca="false">SUM(N42,P42:U42)</f>
        <v>8.81373569663002</v>
      </c>
    </row>
    <row r="43" customFormat="false" ht="12.95" hidden="false" customHeight="true" outlineLevel="0" collapsed="false">
      <c r="A43" s="183" t="n">
        <v>29</v>
      </c>
      <c r="B43" s="106" t="n">
        <v>6879.98</v>
      </c>
      <c r="C43" s="107" t="n">
        <v>216105</v>
      </c>
      <c r="D43" s="215" t="n">
        <f aca="false">C43-C42</f>
        <v>119</v>
      </c>
      <c r="E43" s="107" t="n">
        <f aca="false">C43-152000</f>
        <v>64105</v>
      </c>
      <c r="F43" s="135" t="n">
        <f aca="false">D43/$D$2</f>
        <v>59.9949584068566</v>
      </c>
      <c r="G43" s="213" t="n">
        <v>722</v>
      </c>
      <c r="H43" s="136" t="n">
        <v>0.04</v>
      </c>
      <c r="I43" s="135" t="n">
        <f aca="false">G43+H43</f>
        <v>722.04</v>
      </c>
      <c r="J43" s="136" t="n">
        <f aca="false">IF(L43&gt;0,L43,0)</f>
        <v>0</v>
      </c>
      <c r="K43" s="135" t="n">
        <f aca="false">I43+J43</f>
        <v>722.04</v>
      </c>
      <c r="L43" s="135" t="n">
        <f aca="false">F43-(I43-AK43)</f>
        <v>-21.5450415931434</v>
      </c>
      <c r="M43" s="248" t="n">
        <v>257</v>
      </c>
      <c r="N43" s="158" t="n">
        <f aca="false">(1.8299*1.03)/2</f>
        <v>0.9423985</v>
      </c>
      <c r="O43" s="135" t="n">
        <f aca="false">38.6*1.05</f>
        <v>40.53</v>
      </c>
      <c r="P43" s="158" t="n">
        <v>0</v>
      </c>
      <c r="Q43" s="338" t="n">
        <f aca="false">1710700/325851/1.9835*1.02</f>
        <v>2.69974511610546</v>
      </c>
      <c r="R43" s="131" t="n">
        <v>4.2</v>
      </c>
      <c r="S43" s="131" t="n">
        <f aca="false">((6*1.04)-T43)-4.2</f>
        <v>0.94994688</v>
      </c>
      <c r="T43" s="131" t="n">
        <f aca="false">(0.9888*1.06)*1.04</f>
        <v>1.09005312</v>
      </c>
      <c r="U43" s="357" t="n">
        <v>0</v>
      </c>
      <c r="V43" s="135" t="n">
        <v>137</v>
      </c>
      <c r="W43" s="135" t="n">
        <v>73.4</v>
      </c>
      <c r="X43" s="135" t="n">
        <f aca="false">M43-N43-O43-P43-Q43-R43-S43-T43-U43+V43+W43-AT43+AR43</f>
        <v>426.062724042075</v>
      </c>
      <c r="Y43" s="135" t="n">
        <f aca="false">X43-AO43</f>
        <v>426.062724042075</v>
      </c>
      <c r="Z43" s="107" t="n">
        <f aca="false">Z42+AP43</f>
        <v>12389.1208381579</v>
      </c>
      <c r="AA43" s="135"/>
      <c r="AB43" s="107" t="n">
        <f aca="false">AB42+(Y43+AP43)*1.9835</f>
        <v>42639.5104446426</v>
      </c>
      <c r="AC43" s="107" t="n">
        <f aca="false">AC42-(AQ42/1.9835)</f>
        <v>5099.44136809463</v>
      </c>
      <c r="AD43" s="107"/>
      <c r="AE43" s="135" t="n">
        <v>157</v>
      </c>
      <c r="AF43" s="248" t="n">
        <v>1.7</v>
      </c>
      <c r="AG43" s="249" t="n">
        <v>1.3</v>
      </c>
      <c r="AH43" s="136" t="n">
        <v>16.1</v>
      </c>
      <c r="AI43" s="107" t="n">
        <f aca="false">AI42-AH43</f>
        <v>5208.33684762419</v>
      </c>
      <c r="AJ43" s="97"/>
      <c r="AK43" s="134" t="n">
        <f aca="false">N43+O43+P43+Q43+R43+S43+T43+U43+X43+AE43+AH43+AT43-AR43</f>
        <v>640.5</v>
      </c>
      <c r="AL43" s="135" t="n">
        <f aca="false">IF(L43&lt;0,L43*-1,0)</f>
        <v>21.5450415931434</v>
      </c>
      <c r="AM43" s="135" t="n">
        <f aca="false">AK43+AL43</f>
        <v>662.045041593143</v>
      </c>
      <c r="AN43" s="425" t="n">
        <v>0</v>
      </c>
      <c r="AO43" s="215"/>
      <c r="AP43" s="146" t="n">
        <f aca="false">I43-Q43-R43-X43-AF43</f>
        <v>287.37753084182</v>
      </c>
      <c r="AQ43" s="158" t="n">
        <f aca="false">45.53*(Z43*1.9835+AC43*1.9835)/E43</f>
        <v>24.6372401464272</v>
      </c>
      <c r="AR43" s="136" t="n">
        <f aca="false">18/1.9835</f>
        <v>9.07486765817998</v>
      </c>
      <c r="AS43" s="221"/>
      <c r="AT43" s="179"/>
      <c r="AU43" s="176"/>
      <c r="AV43" s="222" t="n">
        <v>0</v>
      </c>
      <c r="AW43" s="215" t="n">
        <v>69</v>
      </c>
      <c r="AX43" s="215" t="n">
        <v>36</v>
      </c>
      <c r="AY43" s="274"/>
      <c r="AZ43" s="250" t="n">
        <f aca="false">SUM(N43,P43:U43)</f>
        <v>9.88214361610546</v>
      </c>
    </row>
    <row r="44" customFormat="false" ht="12.95" hidden="false" customHeight="true" outlineLevel="0" collapsed="false">
      <c r="A44" s="183" t="n">
        <v>30</v>
      </c>
      <c r="B44" s="106" t="n">
        <v>6879.92</v>
      </c>
      <c r="C44" s="107" t="n">
        <v>215926</v>
      </c>
      <c r="D44" s="215" t="n">
        <f aca="false">C44-C43</f>
        <v>-179</v>
      </c>
      <c r="E44" s="107" t="n">
        <f aca="false">C44-152000</f>
        <v>63926</v>
      </c>
      <c r="F44" s="135" t="n">
        <f aca="false">D44/$D$2</f>
        <v>-90.2445172674565</v>
      </c>
      <c r="G44" s="213" t="n">
        <v>613</v>
      </c>
      <c r="H44" s="136" t="n">
        <v>0.02</v>
      </c>
      <c r="I44" s="135" t="n">
        <f aca="false">G44+H44</f>
        <v>613.02</v>
      </c>
      <c r="J44" s="136" t="n">
        <f aca="false">IF(L44&gt;0,L44,0)</f>
        <v>0</v>
      </c>
      <c r="K44" s="135" t="n">
        <f aca="false">I44+J44</f>
        <v>613.02</v>
      </c>
      <c r="L44" s="135" t="n">
        <f aca="false">F44-(I44-AK44)</f>
        <v>-63.9645172674564</v>
      </c>
      <c r="M44" s="248" t="n">
        <v>252</v>
      </c>
      <c r="N44" s="158" t="n">
        <f aca="false">(1.8299*1.03)/2</f>
        <v>0.9423985</v>
      </c>
      <c r="O44" s="135" t="n">
        <f aca="false">42.9*1.05</f>
        <v>45.045</v>
      </c>
      <c r="P44" s="158" t="n">
        <v>0</v>
      </c>
      <c r="Q44" s="338" t="n">
        <f aca="false">1721600/325851/1.9835*1.02</f>
        <v>2.7169469760257</v>
      </c>
      <c r="R44" s="131" t="n">
        <v>4.2</v>
      </c>
      <c r="S44" s="131" t="n">
        <f aca="false">((5.5*1.04)-T44)-4.2</f>
        <v>0.42994688</v>
      </c>
      <c r="T44" s="131" t="n">
        <f aca="false">(0.9888*1.06)*1.04</f>
        <v>1.09005312</v>
      </c>
      <c r="U44" s="357" t="n">
        <v>0</v>
      </c>
      <c r="V44" s="135" t="n">
        <v>137</v>
      </c>
      <c r="W44" s="135" t="n">
        <v>74.2</v>
      </c>
      <c r="X44" s="135" t="n">
        <f aca="false">M44-N44-O44-P44-Q44-R44-S44-T44-U44+V44+W44-AT44+AR44</f>
        <v>417.850522182154</v>
      </c>
      <c r="Y44" s="135" t="n">
        <f aca="false">X44-AO44</f>
        <v>417.850522182154</v>
      </c>
      <c r="Z44" s="107" t="n">
        <f aca="false">Z43+AP44</f>
        <v>12575.6733689997</v>
      </c>
      <c r="AA44" s="135"/>
      <c r="AB44" s="107" t="n">
        <f aca="false">AB43+(Y44+AP44)*1.9835</f>
        <v>43838.3439003156</v>
      </c>
      <c r="AC44" s="107" t="n">
        <f aca="false">AC43-(AQ43/1.9835)</f>
        <v>5087.0202739951</v>
      </c>
      <c r="AD44" s="107"/>
      <c r="AE44" s="135" t="n">
        <v>160</v>
      </c>
      <c r="AF44" s="248" t="n">
        <v>1.7</v>
      </c>
      <c r="AG44" s="249" t="n">
        <v>1.3</v>
      </c>
      <c r="AH44" s="136" t="n">
        <v>16.1</v>
      </c>
      <c r="AI44" s="107" t="n">
        <f aca="false">AI43-AH44</f>
        <v>5192.23684762419</v>
      </c>
      <c r="AJ44" s="97"/>
      <c r="AK44" s="134" t="n">
        <f aca="false">N44+O44+P44+Q44+R44+S44+T44+U44+X44+AE44+AH44+AT44-AR44</f>
        <v>639.3</v>
      </c>
      <c r="AL44" s="135" t="n">
        <f aca="false">IF(L44&lt;0,L44*-1,0)</f>
        <v>63.9645172674564</v>
      </c>
      <c r="AM44" s="135" t="n">
        <f aca="false">AK44+AL44</f>
        <v>703.264517267457</v>
      </c>
      <c r="AN44" s="425" t="n">
        <v>0</v>
      </c>
      <c r="AO44" s="215"/>
      <c r="AP44" s="146" t="n">
        <f aca="false">I44-Q44-R44-X44-AF44</f>
        <v>186.55253084182</v>
      </c>
      <c r="AQ44" s="158" t="n">
        <f aca="false">71.973*(Z44*1.9835+AC44*1.9835)/E44</f>
        <v>39.4440241500589</v>
      </c>
      <c r="AR44" s="136" t="n">
        <f aca="false">18/1.9835</f>
        <v>9.07486765817998</v>
      </c>
      <c r="AS44" s="221"/>
      <c r="AT44" s="179"/>
      <c r="AU44" s="176"/>
      <c r="AV44" s="222" t="n">
        <v>0</v>
      </c>
      <c r="AW44" s="215" t="n">
        <v>76</v>
      </c>
      <c r="AX44" s="215" t="n">
        <v>44</v>
      </c>
      <c r="AY44" s="274"/>
      <c r="AZ44" s="250" t="n">
        <f aca="false">SUM(N44,P44:U44)</f>
        <v>9.3793454760257</v>
      </c>
    </row>
    <row r="45" customFormat="false" ht="12.95" hidden="false" customHeight="true" outlineLevel="0" collapsed="false">
      <c r="A45" s="183" t="n">
        <v>31</v>
      </c>
      <c r="B45" s="106" t="n">
        <v>6879.85</v>
      </c>
      <c r="C45" s="107" t="n">
        <v>215717</v>
      </c>
      <c r="D45" s="215" t="n">
        <f aca="false">C45-C44</f>
        <v>-209</v>
      </c>
      <c r="E45" s="107" t="n">
        <f aca="false">C45-152000</f>
        <v>63717</v>
      </c>
      <c r="F45" s="135" t="n">
        <f aca="false">D45/$D$2</f>
        <v>-105.369296697756</v>
      </c>
      <c r="G45" s="213" t="n">
        <v>542</v>
      </c>
      <c r="H45" s="136" t="n">
        <v>0.01</v>
      </c>
      <c r="I45" s="135" t="n">
        <f aca="false">G45+H45</f>
        <v>542.01</v>
      </c>
      <c r="J45" s="136" t="n">
        <f aca="false">IF(L45&gt;0,L45,0)</f>
        <v>0</v>
      </c>
      <c r="K45" s="135" t="n">
        <f aca="false">I45+J45</f>
        <v>542.01</v>
      </c>
      <c r="L45" s="135" t="n">
        <f aca="false">F45-(I45-AK45)</f>
        <v>-50.3792966977564</v>
      </c>
      <c r="M45" s="248" t="n">
        <v>229</v>
      </c>
      <c r="N45" s="158" t="n">
        <f aca="false">(1.8299*1.03)/2</f>
        <v>0.9423985</v>
      </c>
      <c r="O45" s="135" t="n">
        <f aca="false">24.2*1.05</f>
        <v>25.41</v>
      </c>
      <c r="P45" s="158" t="n">
        <v>0</v>
      </c>
      <c r="Q45" s="338" t="n">
        <f aca="false">1699900/325851/1.9835*1.02</f>
        <v>2.68270107141385</v>
      </c>
      <c r="R45" s="131" t="n">
        <v>4.2</v>
      </c>
      <c r="S45" s="131" t="n">
        <f aca="false">((5.5*1.04)-T45)-4.2</f>
        <v>0.17826896</v>
      </c>
      <c r="T45" s="131" t="n">
        <f aca="false">(1.2171*1.06)*1.04</f>
        <v>1.34173104</v>
      </c>
      <c r="U45" s="357" t="n">
        <v>0</v>
      </c>
      <c r="V45" s="135" t="n">
        <v>135</v>
      </c>
      <c r="W45" s="135" t="n">
        <v>74.9</v>
      </c>
      <c r="X45" s="135" t="n">
        <f aca="false">M45-N45-O45-P45-Q45-R45-S45-T45-U45+V45+W45-AT45+AR45</f>
        <v>413.219768086766</v>
      </c>
      <c r="Y45" s="135" t="n">
        <f aca="false">X45-AO45</f>
        <v>413.219768086766</v>
      </c>
      <c r="Z45" s="107" t="n">
        <f aca="false">Z44+AP45</f>
        <v>12695.8808998415</v>
      </c>
      <c r="AA45" s="135"/>
      <c r="AB45" s="107" t="n">
        <f aca="false">AB44+(Y45+AP45)*1.9835</f>
        <v>44896.3969477405</v>
      </c>
      <c r="AC45" s="107" t="n">
        <f aca="false">AC44-(AQ44/1.9835)</f>
        <v>5067.13420182466</v>
      </c>
      <c r="AD45" s="107"/>
      <c r="AE45" s="135" t="n">
        <v>142</v>
      </c>
      <c r="AF45" s="248" t="n">
        <v>1.7</v>
      </c>
      <c r="AG45" s="249" t="n">
        <v>1.3</v>
      </c>
      <c r="AH45" s="136" t="n">
        <v>16.1</v>
      </c>
      <c r="AI45" s="107" t="n">
        <f aca="false">AI44-AH45</f>
        <v>5176.13684762419</v>
      </c>
      <c r="AJ45" s="97"/>
      <c r="AK45" s="134" t="n">
        <f aca="false">N45+O45+P45+Q45+R45+S45+T45+U45+X45+AE45+AH45+AT45-AR45</f>
        <v>597</v>
      </c>
      <c r="AL45" s="135" t="n">
        <f aca="false">IF(L45&lt;0,L45*-1,0)</f>
        <v>50.3792966977564</v>
      </c>
      <c r="AM45" s="246" t="n">
        <f aca="false">AK45+AL45</f>
        <v>647.379296697756</v>
      </c>
      <c r="AN45" s="107" t="n">
        <v>0</v>
      </c>
      <c r="AO45" s="215"/>
      <c r="AP45" s="146" t="n">
        <f aca="false">I45-Q45-R45-X45-AF45</f>
        <v>120.20753084182</v>
      </c>
      <c r="AQ45" s="158" t="n">
        <f aca="false">70.747*(Z45*1.9835+AC45*1.9835)/E45</f>
        <v>39.1202479449769</v>
      </c>
      <c r="AR45" s="136" t="n">
        <f aca="false">18/1.9835</f>
        <v>9.07486765817998</v>
      </c>
      <c r="AS45" s="221"/>
      <c r="AT45" s="179"/>
      <c r="AU45" s="176"/>
      <c r="AV45" s="222" t="n">
        <v>0</v>
      </c>
      <c r="AW45" s="215" t="n">
        <v>73</v>
      </c>
      <c r="AX45" s="215" t="n">
        <v>41</v>
      </c>
      <c r="AY45" s="274"/>
      <c r="AZ45" s="250" t="n">
        <f aca="false">SUM(N45,P45:U45)</f>
        <v>9.34509957141385</v>
      </c>
    </row>
    <row r="46" customFormat="false" ht="3" hidden="false" customHeight="true" outlineLevel="0" collapsed="false">
      <c r="A46" s="231"/>
      <c r="B46" s="252"/>
      <c r="C46" s="233"/>
      <c r="D46" s="234"/>
      <c r="E46" s="233"/>
      <c r="F46" s="234"/>
      <c r="G46" s="252"/>
      <c r="H46" s="240" t="n">
        <v>0.01</v>
      </c>
      <c r="I46" s="234" t="n">
        <f aca="false">G46+H46</f>
        <v>0.01</v>
      </c>
      <c r="J46" s="234"/>
      <c r="K46" s="234"/>
      <c r="L46" s="234"/>
      <c r="M46" s="237"/>
      <c r="N46" s="238"/>
      <c r="O46" s="234"/>
      <c r="P46" s="238"/>
      <c r="Q46" s="234"/>
      <c r="R46" s="234"/>
      <c r="S46" s="430"/>
      <c r="T46" s="430"/>
      <c r="U46" s="239"/>
      <c r="V46" s="234"/>
      <c r="W46" s="234"/>
      <c r="X46" s="234"/>
      <c r="Y46" s="234"/>
      <c r="Z46" s="233"/>
      <c r="AA46" s="234"/>
      <c r="AB46" s="233"/>
      <c r="AC46" s="233"/>
      <c r="AD46" s="233"/>
      <c r="AE46" s="234"/>
      <c r="AF46" s="252"/>
      <c r="AG46" s="235"/>
      <c r="AH46" s="243"/>
      <c r="AI46" s="234"/>
      <c r="AJ46" s="240"/>
      <c r="AK46" s="234"/>
      <c r="AL46" s="234"/>
      <c r="AM46" s="235"/>
      <c r="AN46" s="233"/>
      <c r="AO46" s="243"/>
      <c r="AP46" s="243"/>
      <c r="AQ46" s="238"/>
      <c r="AR46" s="240"/>
      <c r="AS46" s="238"/>
      <c r="AT46" s="240"/>
      <c r="AU46" s="240"/>
      <c r="AV46" s="245"/>
      <c r="AW46" s="243"/>
      <c r="AX46" s="243"/>
      <c r="AY46" s="257"/>
      <c r="AZ46" s="319"/>
    </row>
    <row r="47" customFormat="false" ht="12.95" hidden="false" customHeight="true" outlineLevel="0" collapsed="false">
      <c r="A47" s="185" t="s">
        <v>101</v>
      </c>
      <c r="B47" s="213"/>
      <c r="C47" s="107"/>
      <c r="D47" s="107"/>
      <c r="E47" s="107"/>
      <c r="F47" s="107" t="n">
        <f aca="false">SUM(F15:F45)</f>
        <v>8417.44391227628</v>
      </c>
      <c r="G47" s="425" t="n">
        <f aca="false">SUM(G15:G45)</f>
        <v>24591</v>
      </c>
      <c r="H47" s="136" t="n">
        <f aca="false">SUM(H15:H46)</f>
        <v>29.3</v>
      </c>
      <c r="I47" s="107" t="n">
        <f aca="false">SUM(I15:I46)</f>
        <v>24620.3</v>
      </c>
      <c r="J47" s="107" t="n">
        <f aca="false">SUM(J15:J45)</f>
        <v>104.761920846988</v>
      </c>
      <c r="K47" s="107" t="n">
        <f aca="false">SUM(K15:K45)</f>
        <v>24725.051920847</v>
      </c>
      <c r="L47" s="107" t="n">
        <f aca="false">SUM(L15:L45)</f>
        <v>-1795.39608772372</v>
      </c>
      <c r="M47" s="216" t="n">
        <f aca="false">SUM(M15:M45)</f>
        <v>6483</v>
      </c>
      <c r="N47" s="136" t="n">
        <f aca="false">SUM(N15:N45)</f>
        <v>29.2143535</v>
      </c>
      <c r="O47" s="107" t="n">
        <f aca="false">SUM(O15:O45)</f>
        <v>1131.585</v>
      </c>
      <c r="P47" s="158" t="n">
        <f aca="false">SUM(P15:P45)</f>
        <v>7.32</v>
      </c>
      <c r="Q47" s="107" t="n">
        <f aca="false">SUM(Q15:Q45)</f>
        <v>70.7600875047381</v>
      </c>
      <c r="R47" s="107" t="n">
        <f aca="false">SUM(R15:R45)</f>
        <v>115.99499152</v>
      </c>
      <c r="S47" s="135" t="n">
        <f aca="false">SUM(S15:S45)</f>
        <v>10.10466112</v>
      </c>
      <c r="T47" s="135" t="n">
        <f aca="false">SUM(T15:T45)</f>
        <v>28.96434736</v>
      </c>
      <c r="U47" s="218" t="n">
        <f aca="false">SUM(U15:U45)</f>
        <v>0</v>
      </c>
      <c r="V47" s="107" t="n">
        <f aca="false">SUM(V15:V45)</f>
        <v>2372.8</v>
      </c>
      <c r="W47" s="107" t="n">
        <f aca="false">SUM(W15:W45)</f>
        <v>1788.75</v>
      </c>
      <c r="X47" s="107" t="n">
        <f aca="false">SUM(X15:X45)</f>
        <v>9395.80444152614</v>
      </c>
      <c r="Y47" s="107" t="n">
        <f aca="false">SUM(Y15:Y45)</f>
        <v>9395.80444152614</v>
      </c>
      <c r="Z47" s="107"/>
      <c r="AA47" s="107" t="n">
        <f aca="false">SUM(AA15:AA45)</f>
        <v>0</v>
      </c>
      <c r="AB47" s="107"/>
      <c r="AC47" s="107"/>
      <c r="AD47" s="107"/>
      <c r="AE47" s="107" t="n">
        <f aca="false">SUM(AE15:AE45)</f>
        <v>3242.7</v>
      </c>
      <c r="AF47" s="432" t="n">
        <f aca="false">SUM(AF15:AF45)</f>
        <v>52.7</v>
      </c>
      <c r="AG47" s="433" t="n">
        <f aca="false">SUM(AG15:AG45)</f>
        <v>40.3</v>
      </c>
      <c r="AH47" s="215" t="n">
        <f aca="false">SUM(AH15:AH45)</f>
        <v>520.2</v>
      </c>
      <c r="AI47" s="107"/>
      <c r="AJ47" s="136" t="n">
        <f aca="false">SUM(AJ15:AJ45)</f>
        <v>0</v>
      </c>
      <c r="AK47" s="107" t="n">
        <f aca="false">SUM(AK15:AK45)</f>
        <v>14407.45</v>
      </c>
      <c r="AL47" s="107" t="n">
        <f aca="false">SUM(AL15:AL45)</f>
        <v>1900.15800857071</v>
      </c>
      <c r="AM47" s="214" t="n">
        <f aca="false">SUM(AM15:AM45)</f>
        <v>16307.6080085707</v>
      </c>
      <c r="AN47" s="94" t="n">
        <f aca="false">SUM(AN15:AN45)</f>
        <v>0</v>
      </c>
      <c r="AO47" s="107" t="n">
        <f aca="false">SUM(AO15:AO45)</f>
        <v>0</v>
      </c>
      <c r="AP47" s="135"/>
      <c r="AQ47" s="158"/>
      <c r="AR47" s="136" t="n">
        <f aca="false">SUM(AR15:AR45)</f>
        <v>145.19788253088</v>
      </c>
      <c r="AS47" s="221" t="n">
        <f aca="false">SUM(AS15:AS45)</f>
        <v>0</v>
      </c>
      <c r="AT47" s="136" t="n">
        <f aca="false">SUM(AT15:AT45)</f>
        <v>0</v>
      </c>
      <c r="AU47" s="176"/>
      <c r="AV47" s="222" t="n">
        <f aca="false">SUM(AV15:AV45)</f>
        <v>0.42</v>
      </c>
      <c r="AW47" s="215" t="n">
        <f aca="false">AVERAGE(AW15:AW45)</f>
        <v>72.4193548387097</v>
      </c>
      <c r="AX47" s="215" t="n">
        <f aca="false">AVERAGE(AX15:AX45)</f>
        <v>39.5161290322581</v>
      </c>
      <c r="AY47" s="214" t="s">
        <v>126</v>
      </c>
      <c r="AZ47" s="340" t="n">
        <f aca="false">SUM(AZ15:AZ45)</f>
        <v>262.358441004738</v>
      </c>
    </row>
    <row r="48" customFormat="false" ht="12.95" hidden="false" customHeight="true" outlineLevel="0" collapsed="false">
      <c r="A48" s="185" t="s">
        <v>103</v>
      </c>
      <c r="B48" s="213"/>
      <c r="C48" s="107"/>
      <c r="D48" s="107" t="n">
        <f aca="false">SUM(D15:D45)</f>
        <v>16696</v>
      </c>
      <c r="E48" s="107"/>
      <c r="F48" s="107" t="n">
        <f aca="false">F47*$D$2</f>
        <v>16696</v>
      </c>
      <c r="G48" s="425" t="n">
        <f aca="false">G47*$D$2</f>
        <v>48776.2485</v>
      </c>
      <c r="H48" s="136" t="n">
        <f aca="false">H47*$D$2</f>
        <v>58.11655</v>
      </c>
      <c r="I48" s="107" t="n">
        <f aca="false">I47*$D$2</f>
        <v>48834.36505</v>
      </c>
      <c r="J48" s="107" t="n">
        <f aca="false">J47*$D$2</f>
        <v>207.79527</v>
      </c>
      <c r="K48" s="107" t="n">
        <f aca="false">K47*$D$2</f>
        <v>49042.140485</v>
      </c>
      <c r="L48" s="107" t="n">
        <f aca="false">L47*$D$2</f>
        <v>-3561.16814</v>
      </c>
      <c r="M48" s="216" t="n">
        <f aca="false">M47*$D$2</f>
        <v>12859.0305</v>
      </c>
      <c r="N48" s="215" t="n">
        <f aca="false">N47*$D$2</f>
        <v>57.94667016725</v>
      </c>
      <c r="O48" s="107" t="n">
        <f aca="false">O47*$D$2</f>
        <v>2244.4988475</v>
      </c>
      <c r="P48" s="158" t="n">
        <f aca="false">P47*$D$2</f>
        <v>14.51922</v>
      </c>
      <c r="Q48" s="107" t="n">
        <f aca="false">Q47*$D$2</f>
        <v>140.352633565648</v>
      </c>
      <c r="R48" s="107" t="n">
        <f aca="false">R47*$D$2</f>
        <v>230.07606567992</v>
      </c>
      <c r="S48" s="135" t="n">
        <f aca="false">S47*$D$2</f>
        <v>20.04259533152</v>
      </c>
      <c r="T48" s="135" t="n">
        <f aca="false">T47*$D$2</f>
        <v>57.45078298856</v>
      </c>
      <c r="U48" s="218" t="n">
        <f aca="false">U47*$D$2</f>
        <v>0</v>
      </c>
      <c r="V48" s="107" t="n">
        <f aca="false">V47*$D$2</f>
        <v>4706.4488</v>
      </c>
      <c r="W48" s="107" t="n">
        <f aca="false">W47*$D$2</f>
        <v>3547.985625</v>
      </c>
      <c r="X48" s="107" t="n">
        <f aca="false">X47*$D$2</f>
        <v>18636.5781097671</v>
      </c>
      <c r="Y48" s="107" t="n">
        <f aca="false">Y47*$D$2</f>
        <v>18636.5781097671</v>
      </c>
      <c r="Z48" s="107"/>
      <c r="AA48" s="107" t="n">
        <f aca="false">AA47*$D$2</f>
        <v>0</v>
      </c>
      <c r="AB48" s="107"/>
      <c r="AC48" s="107"/>
      <c r="AD48" s="107"/>
      <c r="AE48" s="107" t="n">
        <f aca="false">AE47*$D$2</f>
        <v>6431.89545</v>
      </c>
      <c r="AF48" s="216" t="n">
        <f aca="false">AF47*$D$2</f>
        <v>104.53045</v>
      </c>
      <c r="AG48" s="218" t="n">
        <f aca="false">AG47*$D$2</f>
        <v>79.93505</v>
      </c>
      <c r="AH48" s="215" t="n">
        <f aca="false">AH47*$D$2</f>
        <v>1031.8167</v>
      </c>
      <c r="AI48" s="107"/>
      <c r="AJ48" s="434" t="n">
        <f aca="false">AJ47*$D$2</f>
        <v>0</v>
      </c>
      <c r="AK48" s="435" t="n">
        <f aca="false">AK47*$D$2</f>
        <v>28577.177075</v>
      </c>
      <c r="AL48" s="107" t="n">
        <f aca="false">AL47*$D$2</f>
        <v>3768.96341</v>
      </c>
      <c r="AM48" s="214" t="n">
        <f aca="false">AM47*$D$2</f>
        <v>32346.140485</v>
      </c>
      <c r="AN48" s="107" t="n">
        <f aca="false">AN47*$D$2</f>
        <v>0</v>
      </c>
      <c r="AO48" s="107" t="n">
        <f aca="false">AO47*$D$2</f>
        <v>0</v>
      </c>
      <c r="AP48" s="135"/>
      <c r="AQ48" s="158" t="n">
        <f aca="false">SUM(AQ15:AQ45)</f>
        <v>628.677360509574</v>
      </c>
      <c r="AR48" s="136" t="n">
        <f aca="false">AR47*$D$2</f>
        <v>288</v>
      </c>
      <c r="AS48" s="107" t="n">
        <f aca="false">AS47*$D$2</f>
        <v>0</v>
      </c>
      <c r="AT48" s="136" t="n">
        <f aca="false">AT47*$D$2</f>
        <v>0</v>
      </c>
      <c r="AU48" s="176"/>
      <c r="AV48" s="222"/>
      <c r="AW48" s="215" t="n">
        <f aca="false">MAX(AW15:AW45)</f>
        <v>84</v>
      </c>
      <c r="AX48" s="215" t="n">
        <f aca="false">MAX(AX15:AX45)</f>
        <v>47</v>
      </c>
      <c r="AY48" s="214" t="s">
        <v>104</v>
      </c>
      <c r="AZ48" s="340" t="n">
        <f aca="false">AZ47*$D$2</f>
        <v>520.387967732898</v>
      </c>
    </row>
    <row r="49" customFormat="false" ht="3" hidden="false" customHeight="true" outlineLevel="0" collapsed="false">
      <c r="A49" s="231"/>
      <c r="B49" s="252"/>
      <c r="C49" s="233"/>
      <c r="D49" s="233"/>
      <c r="E49" s="233"/>
      <c r="F49" s="233"/>
      <c r="G49" s="261"/>
      <c r="H49" s="240"/>
      <c r="I49" s="233"/>
      <c r="J49" s="233"/>
      <c r="K49" s="233"/>
      <c r="L49" s="233"/>
      <c r="M49" s="258"/>
      <c r="N49" s="238"/>
      <c r="O49" s="233"/>
      <c r="P49" s="238"/>
      <c r="Q49" s="233"/>
      <c r="R49" s="233"/>
      <c r="S49" s="430"/>
      <c r="T49" s="430"/>
      <c r="U49" s="259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58"/>
      <c r="AG49" s="259"/>
      <c r="AH49" s="243"/>
      <c r="AI49" s="234"/>
      <c r="AJ49" s="240"/>
      <c r="AK49" s="233"/>
      <c r="AL49" s="233"/>
      <c r="AM49" s="257"/>
      <c r="AN49" s="233"/>
      <c r="AO49" s="233"/>
      <c r="AP49" s="233"/>
      <c r="AQ49" s="238"/>
      <c r="AR49" s="240"/>
      <c r="AS49" s="238"/>
      <c r="AT49" s="240"/>
      <c r="AU49" s="240"/>
      <c r="AV49" s="233"/>
      <c r="AW49" s="233"/>
      <c r="AX49" s="233"/>
      <c r="AY49" s="257"/>
      <c r="AZ49" s="319"/>
    </row>
    <row r="50" customFormat="false" ht="12.95" hidden="false" customHeight="true" outlineLevel="0" collapsed="false">
      <c r="A50" s="185" t="s">
        <v>105</v>
      </c>
      <c r="B50" s="213"/>
      <c r="C50" s="107"/>
      <c r="D50" s="107"/>
      <c r="E50" s="107"/>
      <c r="F50" s="107" t="n">
        <f aca="false">F12+F47</f>
        <v>13789.2614066045</v>
      </c>
      <c r="G50" s="425" t="n">
        <f aca="false">G12+G47</f>
        <v>32871</v>
      </c>
      <c r="H50" s="136" t="n">
        <f aca="false">H12+H47</f>
        <v>91.66</v>
      </c>
      <c r="I50" s="107" t="n">
        <f aca="false">I12+I47</f>
        <v>32962.66</v>
      </c>
      <c r="J50" s="107" t="n">
        <f aca="false">J12+J47</f>
        <v>949.40424250063</v>
      </c>
      <c r="K50" s="107" t="n">
        <f aca="false">K12+K47</f>
        <v>33912.0542425006</v>
      </c>
      <c r="L50" s="107" t="n">
        <f aca="false">L12+L47</f>
        <v>-1211.10859339551</v>
      </c>
      <c r="M50" s="216" t="n">
        <f aca="false">M12+M47</f>
        <v>8202.62</v>
      </c>
      <c r="N50" s="215" t="n">
        <f aca="false">N12+N47</f>
        <v>29.2143535</v>
      </c>
      <c r="O50" s="107" t="n">
        <f aca="false">O12+O47</f>
        <v>2216.95691875</v>
      </c>
      <c r="P50" s="158" t="n">
        <f aca="false">P12+P47</f>
        <v>7.32</v>
      </c>
      <c r="Q50" s="107"/>
      <c r="R50" s="107"/>
      <c r="S50" s="338"/>
      <c r="T50" s="338"/>
      <c r="U50" s="218"/>
      <c r="V50" s="107" t="n">
        <f aca="false">V12+V47</f>
        <v>3297.5</v>
      </c>
      <c r="W50" s="107" t="n">
        <f aca="false">W12+W47</f>
        <v>1788.75</v>
      </c>
      <c r="X50" s="107" t="n">
        <f aca="false">X12+X47</f>
        <v>10863.7558018174</v>
      </c>
      <c r="Y50" s="107" t="n">
        <f aca="false">Y12+Y47</f>
        <v>10863.7558018174</v>
      </c>
      <c r="Z50" s="80" t="n">
        <f aca="false">Z45</f>
        <v>12695.8808998415</v>
      </c>
      <c r="AA50" s="107" t="n">
        <f aca="false">AA12+AA47</f>
        <v>0</v>
      </c>
      <c r="AB50" s="107"/>
      <c r="AC50" s="107"/>
      <c r="AD50" s="107"/>
      <c r="AE50" s="107" t="n">
        <f aca="false">AE12+AE47</f>
        <v>3455.71</v>
      </c>
      <c r="AF50" s="216" t="n">
        <f aca="false">AF12+AF47</f>
        <v>103.7</v>
      </c>
      <c r="AG50" s="218" t="n">
        <f aca="false">AG12+AG47</f>
        <v>79.3</v>
      </c>
      <c r="AH50" s="215"/>
      <c r="AI50" s="107"/>
      <c r="AJ50" s="136" t="n">
        <f aca="false">AJ12+AJ47</f>
        <v>0</v>
      </c>
      <c r="AK50" s="107" t="n">
        <f aca="false">AK12+AK47</f>
        <v>17962.28</v>
      </c>
      <c r="AL50" s="107" t="n">
        <f aca="false">AL12+AL47</f>
        <v>2160.51283589614</v>
      </c>
      <c r="AM50" s="214" t="n">
        <f aca="false">AM12+AM47</f>
        <v>20122.7928358961</v>
      </c>
      <c r="AN50" s="107"/>
      <c r="AO50" s="215"/>
      <c r="AP50" s="135"/>
      <c r="AQ50" s="158"/>
      <c r="AR50" s="136" t="n">
        <f aca="false">AR12+AR47</f>
        <v>145.19788253088</v>
      </c>
      <c r="AS50" s="107" t="n">
        <f aca="false">AS12+AS47</f>
        <v>0</v>
      </c>
      <c r="AT50" s="136" t="n">
        <f aca="false">AT12+AT47</f>
        <v>0</v>
      </c>
      <c r="AU50" s="176"/>
      <c r="AV50" s="222" t="s">
        <v>131</v>
      </c>
      <c r="AW50" s="215" t="n">
        <f aca="false">MIN(AW15:AW45)</f>
        <v>56</v>
      </c>
      <c r="AX50" s="215" t="n">
        <f aca="false">MIN(AX15:AX45)</f>
        <v>28</v>
      </c>
      <c r="AY50" s="214" t="s">
        <v>106</v>
      </c>
      <c r="AZ50" s="340" t="n">
        <f aca="false">AZ12+AZ47</f>
        <v>262.358441004738</v>
      </c>
    </row>
    <row r="51" customFormat="false" ht="12.95" hidden="false" customHeight="true" outlineLevel="0" collapsed="false">
      <c r="A51" s="185" t="s">
        <v>107</v>
      </c>
      <c r="B51" s="213"/>
      <c r="C51" s="107"/>
      <c r="D51" s="107"/>
      <c r="E51" s="107"/>
      <c r="F51" s="107" t="n">
        <f aca="false">F50*$D$2</f>
        <v>27351</v>
      </c>
      <c r="G51" s="425" t="n">
        <f aca="false">G50*$D$2</f>
        <v>65199.6285</v>
      </c>
      <c r="H51" s="215" t="n">
        <f aca="false">H50*$D$2</f>
        <v>181.80761</v>
      </c>
      <c r="I51" s="107" t="n">
        <f aca="false">I50*$D$2</f>
        <v>65381.43611</v>
      </c>
      <c r="J51" s="107" t="n">
        <f aca="false">J50*$D$2</f>
        <v>1883.143315</v>
      </c>
      <c r="K51" s="107" t="n">
        <f aca="false">K50*$D$2</f>
        <v>67264.55959</v>
      </c>
      <c r="L51" s="107" t="n">
        <f aca="false">L50*$D$2</f>
        <v>-2402.233895</v>
      </c>
      <c r="M51" s="216" t="n">
        <f aca="false">M50*$D$2</f>
        <v>16269.89677</v>
      </c>
      <c r="N51" s="215" t="n">
        <f aca="false">N50*$D$2</f>
        <v>57.94667016725</v>
      </c>
      <c r="O51" s="107" t="n">
        <f aca="false">O50*$D$2</f>
        <v>4397.33404834063</v>
      </c>
      <c r="P51" s="158" t="n">
        <f aca="false">P50*$D$2</f>
        <v>14.51922</v>
      </c>
      <c r="Q51" s="107"/>
      <c r="R51" s="107"/>
      <c r="S51" s="338"/>
      <c r="T51" s="338"/>
      <c r="U51" s="218"/>
      <c r="V51" s="107" t="n">
        <f aca="false">V50*$D$2</f>
        <v>6540.59125</v>
      </c>
      <c r="W51" s="107" t="n">
        <f aca="false">W50*$D$2</f>
        <v>3547.985625</v>
      </c>
      <c r="X51" s="107" t="n">
        <f aca="false">X50*$D$2</f>
        <v>21548.2596329048</v>
      </c>
      <c r="Y51" s="107" t="n">
        <f aca="false">Y50*$D$2</f>
        <v>21548.2596329048</v>
      </c>
      <c r="Z51" s="80" t="n">
        <f aca="false">Z50*$D$2</f>
        <v>25182.2797648356</v>
      </c>
      <c r="AA51" s="107" t="n">
        <f aca="false">AA50*$D$2</f>
        <v>0</v>
      </c>
      <c r="AB51" s="107"/>
      <c r="AC51" s="107"/>
      <c r="AD51" s="107"/>
      <c r="AE51" s="107" t="n">
        <f aca="false">AE50*$D$2</f>
        <v>6854.400785</v>
      </c>
      <c r="AF51" s="216" t="n">
        <f aca="false">AF50*$D$2</f>
        <v>205.68895</v>
      </c>
      <c r="AG51" s="218" t="n">
        <f aca="false">AG50*$D$2</f>
        <v>157.29155</v>
      </c>
      <c r="AH51" s="215"/>
      <c r="AI51" s="107"/>
      <c r="AJ51" s="136" t="n">
        <f aca="false">AJ50*$D$2</f>
        <v>0</v>
      </c>
      <c r="AK51" s="107" t="n">
        <f aca="false">AK50*$D$2</f>
        <v>35628.18238</v>
      </c>
      <c r="AL51" s="107" t="n">
        <f aca="false">AL50*$D$2</f>
        <v>4285.37721</v>
      </c>
      <c r="AM51" s="214" t="n">
        <f aca="false">AM50*$D$2</f>
        <v>39913.55959</v>
      </c>
      <c r="AN51" s="107"/>
      <c r="AO51" s="215"/>
      <c r="AP51" s="135"/>
      <c r="AQ51" s="158" t="n">
        <f aca="false">AQ12+AQ48</f>
        <v>705.251379153698</v>
      </c>
      <c r="AR51" s="136" t="n">
        <f aca="false">AR50*$D$2</f>
        <v>288</v>
      </c>
      <c r="AS51" s="107" t="n">
        <f aca="false">AS50*$D$2</f>
        <v>0</v>
      </c>
      <c r="AT51" s="136" t="n">
        <f aca="false">AT50*$D$2</f>
        <v>0</v>
      </c>
      <c r="AU51" s="176"/>
      <c r="AV51" s="222" t="n">
        <f aca="false">AV47</f>
        <v>0.42</v>
      </c>
      <c r="AW51" s="215"/>
      <c r="AX51" s="215"/>
      <c r="AY51" s="274"/>
      <c r="AZ51" s="340" t="n">
        <f aca="false">AZ50*$D$2</f>
        <v>520.387967732898</v>
      </c>
    </row>
    <row r="52" customFormat="false" ht="3" hidden="false" customHeight="true" outlineLevel="0" collapsed="false">
      <c r="A52" s="231"/>
      <c r="B52" s="252"/>
      <c r="C52" s="233"/>
      <c r="D52" s="233"/>
      <c r="E52" s="233"/>
      <c r="F52" s="233"/>
      <c r="G52" s="261"/>
      <c r="H52" s="240"/>
      <c r="I52" s="233"/>
      <c r="J52" s="233"/>
      <c r="K52" s="233"/>
      <c r="L52" s="233"/>
      <c r="M52" s="258"/>
      <c r="N52" s="240"/>
      <c r="O52" s="233"/>
      <c r="P52" s="238"/>
      <c r="Q52" s="233"/>
      <c r="R52" s="233"/>
      <c r="S52" s="430"/>
      <c r="T52" s="430"/>
      <c r="U52" s="259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58"/>
      <c r="AG52" s="259"/>
      <c r="AH52" s="243"/>
      <c r="AI52" s="233"/>
      <c r="AJ52" s="240"/>
      <c r="AK52" s="233"/>
      <c r="AL52" s="233"/>
      <c r="AM52" s="257"/>
      <c r="AN52" s="233"/>
      <c r="AO52" s="263"/>
      <c r="AP52" s="263"/>
      <c r="AQ52" s="238"/>
      <c r="AR52" s="240"/>
      <c r="AS52" s="238"/>
      <c r="AT52" s="240"/>
      <c r="AU52" s="240"/>
      <c r="AV52" s="245"/>
      <c r="AW52" s="436"/>
      <c r="AX52" s="263"/>
      <c r="AY52" s="257"/>
      <c r="AZ52" s="319"/>
    </row>
    <row r="53" customFormat="false" ht="12.95" hidden="false" customHeight="true" outlineLevel="0" collapsed="false">
      <c r="A53" s="185" t="s">
        <v>108</v>
      </c>
      <c r="B53" s="213"/>
      <c r="C53" s="107"/>
      <c r="D53" s="107"/>
      <c r="E53" s="107"/>
      <c r="F53" s="107" t="n">
        <f aca="false">F13+F47</f>
        <v>10366.5238215276</v>
      </c>
      <c r="G53" s="425" t="n">
        <f aca="false">G13+G47</f>
        <v>38024</v>
      </c>
      <c r="H53" s="136" t="n">
        <f aca="false">H13+H47</f>
        <v>146.15</v>
      </c>
      <c r="I53" s="107" t="n">
        <f aca="false">I13+I47</f>
        <v>38169.53</v>
      </c>
      <c r="J53" s="107" t="n">
        <f aca="false">J13+J47</f>
        <v>2674.44145954122</v>
      </c>
      <c r="K53" s="107" t="n">
        <f aca="false">K13+K47</f>
        <v>40843.9614595412</v>
      </c>
      <c r="L53" s="107" t="n">
        <f aca="false">L13+L47</f>
        <v>-258.750678472397</v>
      </c>
      <c r="M53" s="216" t="n">
        <f aca="false">M13+M47</f>
        <v>9104.53</v>
      </c>
      <c r="N53" s="215" t="n">
        <f aca="false">N13+N47</f>
        <v>29.2143535</v>
      </c>
      <c r="O53" s="107" t="n">
        <f aca="false">O13+O47</f>
        <v>2216.95691875</v>
      </c>
      <c r="P53" s="338" t="n">
        <f aca="false">P13+P47</f>
        <v>7.32</v>
      </c>
      <c r="Q53" s="107" t="n">
        <f aca="false">Q13+Q47</f>
        <v>351.913199470542</v>
      </c>
      <c r="R53" s="107" t="n">
        <f aca="false">R13+R47</f>
        <v>442.24437008</v>
      </c>
      <c r="S53" s="135" t="n">
        <f aca="false">S13+S47</f>
        <v>10.23100912</v>
      </c>
      <c r="T53" s="107" t="n">
        <f aca="false">T13+T47</f>
        <v>138.4526208</v>
      </c>
      <c r="U53" s="218" t="n">
        <f aca="false">U13+U47</f>
        <v>77.8630613803556</v>
      </c>
      <c r="V53" s="107" t="n">
        <f aca="false">V13+V47</f>
        <v>7654.72</v>
      </c>
      <c r="W53" s="107" t="n">
        <f aca="false">W13+W47</f>
        <v>1873.15</v>
      </c>
      <c r="X53" s="107" t="n">
        <f aca="false">X13+X47</f>
        <v>15503.40234943</v>
      </c>
      <c r="Y53" s="107" t="n">
        <f aca="false">Y13+Y47</f>
        <v>15179.4399090014</v>
      </c>
      <c r="Z53" s="107"/>
      <c r="AA53" s="107"/>
      <c r="AB53" s="107"/>
      <c r="AC53" s="107"/>
      <c r="AD53" s="107"/>
      <c r="AE53" s="107"/>
      <c r="AF53" s="216" t="n">
        <f aca="false">AF13+AF47</f>
        <v>103.7</v>
      </c>
      <c r="AG53" s="218" t="n">
        <f aca="false">AG13+AG47</f>
        <v>79.3</v>
      </c>
      <c r="AH53" s="215" t="n">
        <f aca="false">AH13+AH47</f>
        <v>5447.2</v>
      </c>
      <c r="AI53" s="107" t="n">
        <f aca="false">AI45</f>
        <v>5176.13684762419</v>
      </c>
      <c r="AJ53" s="136" t="n">
        <f aca="false">AJ13+AJ47</f>
        <v>0</v>
      </c>
      <c r="AK53" s="107" t="n">
        <f aca="false">AK13+AK47</f>
        <v>27544.2455</v>
      </c>
      <c r="AL53" s="107" t="n">
        <f aca="false">AL13+AL47</f>
        <v>2933.19213801361</v>
      </c>
      <c r="AM53" s="214" t="n">
        <f aca="false">AM13+AM47</f>
        <v>30477.4376380136</v>
      </c>
      <c r="AN53" s="107" t="n">
        <f aca="false">AN13+AN47</f>
        <v>8903.4116944076</v>
      </c>
      <c r="AO53" s="107" t="n">
        <f aca="false">AO13+AO47</f>
        <v>323.962440428619</v>
      </c>
      <c r="AP53" s="135"/>
      <c r="AQ53" s="158"/>
      <c r="AR53" s="136" t="n">
        <f aca="false">AR13+AR47</f>
        <v>145.19788253088</v>
      </c>
      <c r="AS53" s="107" t="n">
        <f aca="false">AS13+AS47</f>
        <v>0</v>
      </c>
      <c r="AT53" s="136"/>
      <c r="AU53" s="176"/>
      <c r="AV53" s="222" t="n">
        <f aca="false">AV13+AV47</f>
        <v>5.193</v>
      </c>
      <c r="AW53" s="215"/>
      <c r="AX53" s="215"/>
      <c r="AY53" s="274"/>
      <c r="AZ53" s="340" t="n">
        <f aca="false">AZ13+AZ47</f>
        <v>1057.2386143509</v>
      </c>
    </row>
    <row r="54" customFormat="false" ht="12.95" hidden="false" customHeight="true" outlineLevel="0" collapsed="false">
      <c r="A54" s="185" t="s">
        <v>109</v>
      </c>
      <c r="B54" s="213"/>
      <c r="C54" s="107"/>
      <c r="D54" s="107" t="n">
        <f aca="false">D13+D48</f>
        <v>20562</v>
      </c>
      <c r="E54" s="107" t="n">
        <f aca="false">E45</f>
        <v>63717</v>
      </c>
      <c r="F54" s="107" t="n">
        <f aca="false">F53*$D$2</f>
        <v>20562</v>
      </c>
      <c r="G54" s="425" t="n">
        <f aca="false">G53*$D$2</f>
        <v>75420.604</v>
      </c>
      <c r="H54" s="215" t="n">
        <f aca="false">H53*$D$2</f>
        <v>289.888525</v>
      </c>
      <c r="I54" s="107" t="n">
        <f aca="false">I53*$D$2</f>
        <v>75709.262755</v>
      </c>
      <c r="J54" s="107" t="n">
        <f aca="false">J53*$D$2</f>
        <v>5304.754635</v>
      </c>
      <c r="K54" s="107" t="n">
        <f aca="false">K53*$D$2</f>
        <v>81013.997555</v>
      </c>
      <c r="L54" s="107" t="n">
        <f aca="false">L53*$D$2</f>
        <v>-513.231970749999</v>
      </c>
      <c r="M54" s="216" t="n">
        <f aca="false">M53*$D$2</f>
        <v>18058.835255</v>
      </c>
      <c r="N54" s="215" t="n">
        <f aca="false">N53*$D$2</f>
        <v>57.94667016725</v>
      </c>
      <c r="O54" s="107" t="n">
        <f aca="false">O53*$D$2</f>
        <v>4397.33404834063</v>
      </c>
      <c r="P54" s="338" t="n">
        <f aca="false">P53*$D$2</f>
        <v>14.51922</v>
      </c>
      <c r="Q54" s="107" t="n">
        <f aca="false">Q53*$D$2</f>
        <v>698.01983114982</v>
      </c>
      <c r="R54" s="107" t="n">
        <f aca="false">R53*$D$2</f>
        <v>877.19170805368</v>
      </c>
      <c r="S54" s="135" t="n">
        <f aca="false">S53*$D$2</f>
        <v>20.29320658952</v>
      </c>
      <c r="T54" s="107" t="n">
        <f aca="false">T53*$D$2</f>
        <v>274.6207733568</v>
      </c>
      <c r="U54" s="218" t="n">
        <f aca="false">U53*$D$2</f>
        <v>154.441382247935</v>
      </c>
      <c r="V54" s="107" t="n">
        <f aca="false">V53*$D$2</f>
        <v>15183.13712</v>
      </c>
      <c r="W54" s="107" t="n">
        <f aca="false">W53*$D$2</f>
        <v>3715.393025</v>
      </c>
      <c r="X54" s="107" t="n">
        <f aca="false">X53*$D$2</f>
        <v>30750.9985600944</v>
      </c>
      <c r="Y54" s="107" t="n">
        <f aca="false">Y53*$D$2</f>
        <v>30108.4190595042</v>
      </c>
      <c r="Z54" s="107"/>
      <c r="AA54" s="107"/>
      <c r="AB54" s="107"/>
      <c r="AC54" s="107"/>
      <c r="AD54" s="107"/>
      <c r="AE54" s="107"/>
      <c r="AF54" s="266" t="n">
        <f aca="false">AF53*$D$2</f>
        <v>205.68895</v>
      </c>
      <c r="AG54" s="267" t="n">
        <f aca="false">AG53*$D$2</f>
        <v>157.29155</v>
      </c>
      <c r="AH54" s="215" t="n">
        <f aca="false">AH53*$D$2</f>
        <v>10804.5212</v>
      </c>
      <c r="AI54" s="107" t="n">
        <f aca="false">AI53*$D$2</f>
        <v>10266.8674372626</v>
      </c>
      <c r="AJ54" s="136" t="n">
        <f aca="false">AJ53*$D$2</f>
        <v>0</v>
      </c>
      <c r="AK54" s="107" t="n">
        <f aca="false">AK53*$D$2</f>
        <v>54634.01094925</v>
      </c>
      <c r="AL54" s="107" t="n">
        <f aca="false">AL53*$D$2</f>
        <v>5817.98660575</v>
      </c>
      <c r="AM54" s="268" t="n">
        <f aca="false">AM53*$D$2</f>
        <v>60451.997555</v>
      </c>
      <c r="AN54" s="107" t="n">
        <f aca="false">AN53*$D$2</f>
        <v>17659.9170958575</v>
      </c>
      <c r="AO54" s="107" t="n">
        <f aca="false">AO53*$D$2</f>
        <v>642.579500590166</v>
      </c>
      <c r="AP54" s="135"/>
      <c r="AQ54" s="158" t="n">
        <f aca="false">AQ12+AQ48</f>
        <v>705.251379153698</v>
      </c>
      <c r="AR54" s="136" t="n">
        <f aca="false">AR53*$D$2</f>
        <v>288</v>
      </c>
      <c r="AS54" s="107" t="n">
        <f aca="false">AS53*$D$2</f>
        <v>0</v>
      </c>
      <c r="AT54" s="136"/>
      <c r="AU54" s="176"/>
      <c r="AV54" s="222"/>
      <c r="AW54" s="215"/>
      <c r="AX54" s="215"/>
      <c r="AY54" s="274"/>
      <c r="AZ54" s="340" t="n">
        <f aca="false">AZ53*$D$2</f>
        <v>2097.03279156501</v>
      </c>
    </row>
    <row r="55" customFormat="false" ht="3" hidden="false" customHeight="true" outlineLevel="0" collapsed="false">
      <c r="A55" s="231"/>
      <c r="B55" s="252"/>
      <c r="C55" s="233"/>
      <c r="D55" s="234"/>
      <c r="E55" s="233"/>
      <c r="F55" s="437"/>
      <c r="G55" s="438"/>
      <c r="H55" s="439"/>
      <c r="I55" s="234"/>
      <c r="J55" s="234"/>
      <c r="K55" s="234"/>
      <c r="L55" s="234"/>
      <c r="M55" s="237"/>
      <c r="N55" s="238"/>
      <c r="O55" s="234"/>
      <c r="P55" s="238"/>
      <c r="Q55" s="234"/>
      <c r="R55" s="234"/>
      <c r="S55" s="430"/>
      <c r="T55" s="430"/>
      <c r="U55" s="239"/>
      <c r="V55" s="234"/>
      <c r="W55" s="234"/>
      <c r="X55" s="234"/>
      <c r="Y55" s="234"/>
      <c r="Z55" s="233"/>
      <c r="AA55" s="234"/>
      <c r="AB55" s="233"/>
      <c r="AC55" s="233"/>
      <c r="AD55" s="233"/>
      <c r="AE55" s="234"/>
      <c r="AF55" s="237"/>
      <c r="AG55" s="241"/>
      <c r="AH55" s="243"/>
      <c r="AI55" s="233"/>
      <c r="AJ55" s="240"/>
      <c r="AK55" s="234"/>
      <c r="AL55" s="234"/>
      <c r="AM55" s="234"/>
      <c r="AN55" s="261"/>
      <c r="AO55" s="234"/>
      <c r="AP55" s="234"/>
      <c r="AQ55" s="238"/>
      <c r="AR55" s="240"/>
      <c r="AS55" s="238"/>
      <c r="AT55" s="240"/>
      <c r="AU55" s="240"/>
      <c r="AV55" s="234"/>
      <c r="AW55" s="234"/>
      <c r="AX55" s="234"/>
      <c r="AY55" s="257"/>
      <c r="AZ55" s="319"/>
    </row>
    <row r="56" customFormat="false" ht="11.1" hidden="false" customHeight="true" outlineLevel="0" collapsed="false">
      <c r="A56" s="440"/>
      <c r="B56" s="271"/>
      <c r="D56" s="185"/>
      <c r="F56" s="441"/>
      <c r="G56" s="441"/>
      <c r="H56" s="442"/>
      <c r="I56" s="185"/>
      <c r="J56" s="185"/>
      <c r="K56" s="185"/>
      <c r="L56" s="185"/>
      <c r="M56" s="185"/>
      <c r="O56" s="185"/>
      <c r="Q56" s="185"/>
      <c r="R56" s="185"/>
      <c r="V56" s="185"/>
      <c r="W56" s="185"/>
      <c r="X56" s="185"/>
      <c r="Y56" s="185"/>
      <c r="Z56" s="177"/>
      <c r="AA56" s="185"/>
      <c r="AB56" s="177"/>
      <c r="AC56" s="177"/>
      <c r="AD56" s="177"/>
      <c r="AE56" s="185"/>
      <c r="AF56" s="185"/>
      <c r="AG56" s="185"/>
      <c r="AI56" s="177"/>
      <c r="AK56" s="185"/>
      <c r="AL56" s="185"/>
      <c r="AM56" s="185"/>
      <c r="AN56" s="84"/>
      <c r="AO56" s="183"/>
      <c r="AP56" s="188"/>
      <c r="AQ56" s="69"/>
      <c r="AR56" s="408"/>
      <c r="AX56" s="182"/>
    </row>
    <row r="57" customFormat="false" ht="11.1" hidden="false" customHeight="true" outlineLevel="0" collapsed="false">
      <c r="A57" s="185"/>
      <c r="B57" s="177"/>
      <c r="E57" s="383"/>
      <c r="F57" s="225"/>
      <c r="G57" s="180"/>
      <c r="I57" s="383"/>
      <c r="J57" s="185"/>
      <c r="K57" s="174"/>
      <c r="L57" s="185"/>
      <c r="M57" s="185"/>
      <c r="O57" s="26"/>
      <c r="P57" s="93"/>
      <c r="Q57" s="26"/>
      <c r="R57" s="26"/>
      <c r="V57" s="185"/>
      <c r="W57" s="177"/>
      <c r="X57" s="26"/>
      <c r="Y57" s="26"/>
      <c r="Z57" s="177"/>
      <c r="AA57" s="26"/>
      <c r="AB57" s="177"/>
      <c r="AC57" s="177"/>
      <c r="AD57" s="177"/>
      <c r="AE57" s="177"/>
      <c r="AF57" s="177"/>
      <c r="AG57" s="177"/>
      <c r="AI57" s="443"/>
      <c r="AJ57" s="444"/>
      <c r="AK57" s="185"/>
      <c r="AL57" s="185"/>
      <c r="AN57" s="225"/>
      <c r="AO57" s="188"/>
      <c r="AP57" s="188"/>
    </row>
    <row r="59" customFormat="false" ht="11.1" hidden="false" customHeight="true" outlineLevel="0" collapsed="false">
      <c r="B59" s="8"/>
      <c r="D59" s="177"/>
      <c r="F59" s="385"/>
      <c r="AE59" s="177"/>
      <c r="AF59" s="177"/>
      <c r="AG59" s="177"/>
      <c r="AN59" s="225"/>
      <c r="AO59" s="180"/>
      <c r="AP59" s="180"/>
    </row>
    <row r="60" customFormat="false" ht="11.1" hidden="false" customHeight="true" outlineLevel="0" collapsed="false">
      <c r="B60" s="1"/>
      <c r="D60" s="1"/>
      <c r="G60" s="445"/>
      <c r="H60" s="446"/>
      <c r="I60" s="447"/>
      <c r="AN60" s="225"/>
      <c r="AO60" s="180"/>
      <c r="AP60" s="180"/>
    </row>
  </sheetData>
  <mergeCells count="1">
    <mergeCell ref="M5:U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5" activeCellId="0" sqref="A15"/>
    </sheetView>
  </sheetViews>
  <sheetFormatPr defaultColWidth="9.2890625" defaultRowHeight="11.1" zeroHeight="false" outlineLevelRow="0" outlineLevelCol="0"/>
  <cols>
    <col collapsed="false" customWidth="true" hidden="false" outlineLevel="0" max="1" min="1" style="1" width="4.66"/>
    <col collapsed="false" customWidth="true" hidden="false" outlineLevel="0" max="2" min="2" style="1" width="6.99"/>
    <col collapsed="false" customWidth="true" hidden="false" outlineLevel="0" max="3" min="3" style="2" width="6.32"/>
    <col collapsed="false" customWidth="true" hidden="false" outlineLevel="0" max="4" min="4" style="1" width="6.99"/>
    <col collapsed="false" customWidth="true" hidden="false" outlineLevel="0" max="5" min="5" style="2" width="6.99"/>
    <col collapsed="false" customWidth="true" hidden="false" outlineLevel="0" max="6" min="6" style="1" width="7.32"/>
    <col collapsed="false" customWidth="true" hidden="false" outlineLevel="0" max="7" min="7" style="1" width="6.82"/>
    <col collapsed="false" customWidth="true" hidden="false" outlineLevel="0" max="8" min="8" style="4" width="5.66"/>
    <col collapsed="false" customWidth="true" hidden="false" outlineLevel="0" max="11" min="9" style="1" width="6.32"/>
    <col collapsed="false" customWidth="true" hidden="false" outlineLevel="0" max="12" min="12" style="1" width="6.82"/>
    <col collapsed="false" customWidth="true" hidden="false" outlineLevel="0" max="13" min="13" style="4" width="5.49"/>
    <col collapsed="false" customWidth="true" hidden="false" outlineLevel="0" max="14" min="14" style="4" width="4.49"/>
    <col collapsed="false" customWidth="true" hidden="false" outlineLevel="0" max="15" min="15" style="4" width="5.49"/>
    <col collapsed="false" customWidth="true" hidden="false" outlineLevel="0" max="16" min="16" style="5" width="4.82"/>
    <col collapsed="false" customWidth="true" hidden="false" outlineLevel="0" max="18" min="17" style="4" width="4.32"/>
    <col collapsed="false" customWidth="true" hidden="false" outlineLevel="0" max="20" min="19" style="1" width="4.32"/>
    <col collapsed="false" customWidth="true" hidden="false" outlineLevel="0" max="21" min="21" style="5" width="5.16"/>
    <col collapsed="false" customWidth="true" hidden="false" outlineLevel="0" max="23" min="22" style="1" width="5.49"/>
    <col collapsed="false" customWidth="true" hidden="false" outlineLevel="0" max="25" min="24" style="2" width="6.32"/>
    <col collapsed="false" customWidth="true" hidden="false" outlineLevel="0" max="26" min="26" style="1" width="5.49"/>
    <col collapsed="false" customWidth="true" hidden="false" outlineLevel="0" max="27" min="27" style="2" width="6.32"/>
    <col collapsed="false" customWidth="true" hidden="false" outlineLevel="0" max="28" min="28" style="176" width="5.49"/>
    <col collapsed="false" customWidth="true" hidden="false" outlineLevel="0" max="29" min="29" style="1" width="5.82"/>
    <col collapsed="false" customWidth="true" hidden="false" outlineLevel="0" max="33" min="30" style="1" width="5.49"/>
    <col collapsed="false" customWidth="true" hidden="false" outlineLevel="0" max="34" min="34" style="2" width="6.32"/>
    <col collapsed="false" customWidth="true" hidden="false" outlineLevel="0" max="35" min="35" style="1" width="5.49"/>
    <col collapsed="false" customWidth="true" hidden="false" outlineLevel="0" max="36" min="36" style="87" width="6.32"/>
    <col collapsed="false" customWidth="true" hidden="false" outlineLevel="0" max="37" min="37" style="1" width="6.32"/>
    <col collapsed="false" customWidth="true" hidden="false" outlineLevel="0" max="38" min="38" style="1" width="6.82"/>
    <col collapsed="false" customWidth="true" hidden="false" outlineLevel="0" max="39" min="39" style="5" width="6.82"/>
    <col collapsed="false" customWidth="true" hidden="false" outlineLevel="0" max="41" min="40" style="1" width="5.49"/>
    <col collapsed="false" customWidth="true" hidden="false" outlineLevel="0" max="42" min="42" style="1" width="8.66"/>
    <col collapsed="false" customWidth="true" hidden="false" outlineLevel="0" max="43" min="43" style="193" width="6.32"/>
    <col collapsed="false" customWidth="true" hidden="false" outlineLevel="0" max="44" min="44" style="194" width="5.49"/>
    <col collapsed="false" customWidth="true" hidden="false" outlineLevel="0" max="45" min="45" style="172" width="5.32"/>
    <col collapsed="false" customWidth="true" hidden="false" outlineLevel="0" max="46" min="46" style="1" width="5.82"/>
    <col collapsed="false" customWidth="true" hidden="false" outlineLevel="0" max="47" min="47" style="4" width="4.99"/>
    <col collapsed="false" customWidth="true" hidden="false" outlineLevel="0" max="48" min="48" style="3" width="5.32"/>
    <col collapsed="false" customWidth="true" hidden="false" outlineLevel="0" max="49" min="49" style="9" width="3.82"/>
    <col collapsed="false" customWidth="true" hidden="false" outlineLevel="0" max="50" min="50" style="10" width="3.82"/>
    <col collapsed="false" customWidth="true" hidden="false" outlineLevel="0" max="51" min="51" style="0" width="3.82"/>
    <col collapsed="false" customWidth="true" hidden="false" outlineLevel="0" max="52" min="52" style="0" width="5.49"/>
    <col collapsed="false" customWidth="false" hidden="false" outlineLevel="0" max="53" min="53" style="448" width="9.32"/>
  </cols>
  <sheetData>
    <row r="1" customFormat="false" ht="14.1" hidden="false" customHeight="true" outlineLevel="0" collapsed="false">
      <c r="A1" s="11" t="s">
        <v>114</v>
      </c>
      <c r="B1" s="11"/>
      <c r="D1" s="11"/>
      <c r="F1" s="11"/>
      <c r="G1" s="11"/>
      <c r="I1" s="11"/>
      <c r="J1" s="11"/>
      <c r="K1" s="13" t="s">
        <v>0</v>
      </c>
      <c r="L1" s="11"/>
      <c r="M1" s="11"/>
      <c r="N1" s="11"/>
      <c r="S1" s="11"/>
      <c r="T1" s="11"/>
      <c r="V1" s="11"/>
      <c r="W1" s="11"/>
      <c r="Z1" s="11"/>
      <c r="AB1" s="185"/>
      <c r="AC1" s="11"/>
      <c r="AD1" s="11"/>
      <c r="AE1" s="11"/>
      <c r="AF1" s="11"/>
      <c r="AG1" s="11"/>
      <c r="AI1" s="11"/>
      <c r="AJ1" s="14"/>
      <c r="AK1" s="11"/>
      <c r="AL1" s="11"/>
      <c r="AN1" s="14"/>
      <c r="AO1" s="14"/>
      <c r="AP1" s="14"/>
    </row>
    <row r="2" customFormat="false" ht="14.1" hidden="false" customHeight="true" outlineLevel="0" collapsed="false">
      <c r="A2" s="14" t="s">
        <v>1</v>
      </c>
      <c r="B2" s="11"/>
      <c r="D2" s="15" t="n">
        <v>1.9835</v>
      </c>
      <c r="F2" s="11"/>
      <c r="G2" s="11"/>
      <c r="I2" s="11"/>
      <c r="J2" s="11"/>
      <c r="K2" s="348" t="s">
        <v>132</v>
      </c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8"/>
      <c r="W2" s="349"/>
      <c r="X2" s="350"/>
      <c r="Y2" s="350"/>
      <c r="Z2" s="349"/>
      <c r="AA2" s="350"/>
      <c r="AB2" s="192"/>
      <c r="AC2" s="349"/>
      <c r="AD2" s="349"/>
      <c r="AE2" s="349"/>
      <c r="AF2" s="349"/>
      <c r="AG2" s="349"/>
      <c r="AH2" s="350"/>
      <c r="AI2" s="11"/>
      <c r="AJ2" s="14"/>
      <c r="AK2" s="11"/>
      <c r="AL2" s="11"/>
      <c r="AN2" s="14"/>
      <c r="AO2" s="14"/>
      <c r="AP2" s="14"/>
    </row>
    <row r="3" customFormat="false" ht="14.1" hidden="false" customHeight="true" outlineLevel="0" collapsed="false">
      <c r="A3" s="16"/>
      <c r="B3" s="16"/>
      <c r="C3" s="17"/>
      <c r="D3" s="18"/>
      <c r="E3" s="17"/>
      <c r="F3" s="16"/>
      <c r="G3" s="16"/>
      <c r="H3" s="22"/>
      <c r="I3" s="16"/>
      <c r="J3" s="16"/>
      <c r="K3" s="16"/>
      <c r="L3" s="16"/>
      <c r="M3" s="16"/>
      <c r="N3" s="16"/>
      <c r="O3" s="22"/>
      <c r="P3" s="20"/>
      <c r="Q3" s="22"/>
      <c r="R3" s="22"/>
      <c r="S3" s="16"/>
      <c r="T3" s="16"/>
      <c r="U3" s="20"/>
      <c r="V3" s="16"/>
      <c r="W3" s="16"/>
      <c r="X3" s="17"/>
      <c r="Y3" s="17"/>
      <c r="Z3" s="16"/>
      <c r="AA3" s="90"/>
      <c r="AB3" s="185"/>
      <c r="AC3" s="16"/>
      <c r="AD3" s="16"/>
      <c r="AE3" s="16"/>
      <c r="AF3" s="16"/>
      <c r="AG3" s="16"/>
      <c r="AH3" s="17"/>
      <c r="AI3" s="16"/>
      <c r="AJ3" s="352"/>
      <c r="AK3" s="16"/>
      <c r="AL3" s="16"/>
      <c r="AM3" s="20"/>
      <c r="AN3" s="352"/>
      <c r="AO3" s="352"/>
      <c r="AP3" s="352"/>
      <c r="AV3" s="27"/>
      <c r="AW3" s="28"/>
      <c r="AX3" s="29"/>
      <c r="BA3" s="449"/>
      <c r="BB3" s="450"/>
    </row>
    <row r="4" s="176" customFormat="true" ht="14.1" hidden="false" customHeight="true" outlineLevel="0" collapsed="false">
      <c r="A4" s="388"/>
      <c r="B4" s="389"/>
      <c r="C4" s="390"/>
      <c r="D4" s="391" t="s">
        <v>3</v>
      </c>
      <c r="E4" s="390"/>
      <c r="F4" s="388"/>
      <c r="G4" s="389"/>
      <c r="H4" s="392"/>
      <c r="I4" s="393" t="s">
        <v>111</v>
      </c>
      <c r="J4" s="388"/>
      <c r="K4" s="388"/>
      <c r="L4" s="394"/>
      <c r="M4" s="388"/>
      <c r="N4" s="395"/>
      <c r="O4" s="388"/>
      <c r="P4" s="395"/>
      <c r="Q4" s="388"/>
      <c r="R4" s="388"/>
      <c r="S4" s="388"/>
      <c r="T4" s="388"/>
      <c r="U4" s="395"/>
      <c r="V4" s="393"/>
      <c r="W4" s="388"/>
      <c r="X4" s="393" t="s">
        <v>5</v>
      </c>
      <c r="Y4" s="390"/>
      <c r="Z4" s="388"/>
      <c r="AA4" s="390"/>
      <c r="AB4" s="388"/>
      <c r="AC4" s="388"/>
      <c r="AD4" s="388"/>
      <c r="AE4" s="388"/>
      <c r="AF4" s="388"/>
      <c r="AG4" s="388"/>
      <c r="AH4" s="397"/>
      <c r="AI4" s="388"/>
      <c r="AJ4" s="451"/>
      <c r="AK4" s="388"/>
      <c r="AL4" s="388"/>
      <c r="AM4" s="395"/>
      <c r="AN4" s="452"/>
      <c r="AO4" s="30"/>
      <c r="AP4" s="399" t="s">
        <v>6</v>
      </c>
      <c r="AQ4" s="47"/>
      <c r="AR4" s="400"/>
      <c r="AS4" s="41"/>
      <c r="AT4" s="398"/>
      <c r="AU4" s="398"/>
      <c r="AV4" s="401"/>
      <c r="AW4" s="402" t="s">
        <v>7</v>
      </c>
      <c r="AX4" s="403"/>
      <c r="AY4" s="404"/>
      <c r="AZ4" s="405"/>
      <c r="BA4" s="453"/>
      <c r="BB4" s="454"/>
    </row>
    <row r="5" s="184" customFormat="true" ht="12.95" hidden="false" customHeight="true" outlineLevel="0" collapsed="false">
      <c r="A5" s="325" t="s">
        <v>8</v>
      </c>
      <c r="B5" s="406" t="s">
        <v>9</v>
      </c>
      <c r="C5" s="407" t="s">
        <v>9</v>
      </c>
      <c r="D5" s="325" t="s">
        <v>10</v>
      </c>
      <c r="E5" s="407" t="s">
        <v>11</v>
      </c>
      <c r="F5" s="325" t="s">
        <v>12</v>
      </c>
      <c r="G5" s="406" t="s">
        <v>13</v>
      </c>
      <c r="H5" s="408" t="s">
        <v>14</v>
      </c>
      <c r="I5" s="325" t="s">
        <v>15</v>
      </c>
      <c r="J5" s="325" t="s">
        <v>16</v>
      </c>
      <c r="K5" s="325" t="s">
        <v>17</v>
      </c>
      <c r="L5" s="418" t="s">
        <v>16</v>
      </c>
      <c r="M5" s="455" t="s">
        <v>18</v>
      </c>
      <c r="N5" s="455"/>
      <c r="O5" s="455"/>
      <c r="P5" s="455"/>
      <c r="Q5" s="455"/>
      <c r="R5" s="455"/>
      <c r="S5" s="455"/>
      <c r="T5" s="455"/>
      <c r="U5" s="455"/>
      <c r="V5" s="325" t="s">
        <v>19</v>
      </c>
      <c r="W5" s="32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407" t="s">
        <v>22</v>
      </c>
      <c r="AD5" s="407" t="s">
        <v>21</v>
      </c>
      <c r="AE5" s="325" t="s">
        <v>23</v>
      </c>
      <c r="AF5" s="410" t="s">
        <v>128</v>
      </c>
      <c r="AG5" s="411"/>
      <c r="AH5" s="412" t="s">
        <v>25</v>
      </c>
      <c r="AI5" s="407" t="s">
        <v>129</v>
      </c>
      <c r="AJ5" s="407" t="s">
        <v>27</v>
      </c>
      <c r="AK5" s="325" t="s">
        <v>15</v>
      </c>
      <c r="AL5" s="325" t="s">
        <v>16</v>
      </c>
      <c r="AM5" s="325" t="s">
        <v>17</v>
      </c>
      <c r="AN5" s="456" t="s">
        <v>28</v>
      </c>
      <c r="AO5" s="61" t="s">
        <v>21</v>
      </c>
      <c r="AP5" s="67" t="s">
        <v>29</v>
      </c>
      <c r="AQ5" s="67" t="s">
        <v>29</v>
      </c>
      <c r="AR5" s="62" t="s">
        <v>30</v>
      </c>
      <c r="AS5" s="62" t="s">
        <v>31</v>
      </c>
      <c r="AT5" s="408" t="s">
        <v>32</v>
      </c>
      <c r="AU5" s="210" t="s">
        <v>33</v>
      </c>
      <c r="AV5" s="413" t="s">
        <v>34</v>
      </c>
      <c r="AW5" s="412" t="s">
        <v>35</v>
      </c>
      <c r="AX5" s="412" t="s">
        <v>36</v>
      </c>
      <c r="AY5" s="457"/>
      <c r="AZ5" s="295" t="s">
        <v>17</v>
      </c>
      <c r="BA5" s="69" t="s">
        <v>133</v>
      </c>
      <c r="BB5" s="458" t="s">
        <v>133</v>
      </c>
    </row>
    <row r="6" s="184" customFormat="true" ht="12.95" hidden="false" customHeight="true" outlineLevel="0" collapsed="false">
      <c r="A6" s="414" t="s">
        <v>134</v>
      </c>
      <c r="B6" s="406" t="s">
        <v>38</v>
      </c>
      <c r="C6" s="407"/>
      <c r="D6" s="325" t="s">
        <v>39</v>
      </c>
      <c r="E6" s="407" t="s">
        <v>40</v>
      </c>
      <c r="F6" s="325" t="s">
        <v>41</v>
      </c>
      <c r="G6" s="406" t="s">
        <v>42</v>
      </c>
      <c r="H6" s="408" t="s">
        <v>43</v>
      </c>
      <c r="I6" s="325" t="s">
        <v>44</v>
      </c>
      <c r="J6" s="325" t="s">
        <v>44</v>
      </c>
      <c r="K6" s="325" t="s">
        <v>44</v>
      </c>
      <c r="L6" s="418" t="s">
        <v>45</v>
      </c>
      <c r="M6" s="325" t="s">
        <v>46</v>
      </c>
      <c r="N6" s="69" t="s">
        <v>47</v>
      </c>
      <c r="O6" s="325" t="s">
        <v>48</v>
      </c>
      <c r="P6" s="69" t="s">
        <v>49</v>
      </c>
      <c r="Q6" s="58" t="s">
        <v>50</v>
      </c>
      <c r="R6" s="58" t="s">
        <v>51</v>
      </c>
      <c r="S6" s="58"/>
      <c r="T6" s="58" t="s">
        <v>48</v>
      </c>
      <c r="U6" s="416" t="s">
        <v>52</v>
      </c>
      <c r="V6" s="325" t="s">
        <v>53</v>
      </c>
      <c r="W6" s="32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407" t="s">
        <v>57</v>
      </c>
      <c r="AD6" s="407" t="s">
        <v>58</v>
      </c>
      <c r="AE6" s="325" t="s">
        <v>59</v>
      </c>
      <c r="AF6" s="74" t="s">
        <v>60</v>
      </c>
      <c r="AG6" s="77" t="s">
        <v>61</v>
      </c>
      <c r="AH6" s="412" t="s">
        <v>62</v>
      </c>
      <c r="AI6" s="407" t="s">
        <v>63</v>
      </c>
      <c r="AJ6" s="407"/>
      <c r="AK6" s="325" t="s">
        <v>64</v>
      </c>
      <c r="AL6" s="325" t="s">
        <v>64</v>
      </c>
      <c r="AM6" s="325" t="s">
        <v>64</v>
      </c>
      <c r="AN6" s="456" t="s">
        <v>65</v>
      </c>
      <c r="AO6" s="61" t="s">
        <v>66</v>
      </c>
      <c r="AP6" s="67" t="s">
        <v>67</v>
      </c>
      <c r="AQ6" s="67" t="s">
        <v>67</v>
      </c>
      <c r="AR6" s="62" t="s">
        <v>68</v>
      </c>
      <c r="AS6" s="62" t="s">
        <v>69</v>
      </c>
      <c r="AT6" s="408" t="s">
        <v>70</v>
      </c>
      <c r="AU6" s="210" t="s">
        <v>71</v>
      </c>
      <c r="AV6" s="417"/>
      <c r="AW6" s="412" t="s">
        <v>72</v>
      </c>
      <c r="AX6" s="412" t="s">
        <v>72</v>
      </c>
      <c r="AY6" s="457"/>
      <c r="AZ6" s="295" t="s">
        <v>73</v>
      </c>
      <c r="BA6" s="69" t="s">
        <v>135</v>
      </c>
      <c r="BB6" s="458" t="s">
        <v>136</v>
      </c>
    </row>
    <row r="7" s="184" customFormat="true" ht="12.95" hidden="false" customHeight="true" outlineLevel="0" collapsed="false">
      <c r="A7" s="325"/>
      <c r="B7" s="406"/>
      <c r="C7" s="407"/>
      <c r="D7" s="325"/>
      <c r="E7" s="407"/>
      <c r="F7" s="325"/>
      <c r="G7" s="406"/>
      <c r="H7" s="408"/>
      <c r="I7" s="325"/>
      <c r="J7" s="325"/>
      <c r="K7" s="325"/>
      <c r="L7" s="418"/>
      <c r="M7" s="325"/>
      <c r="N7" s="69" t="s">
        <v>74</v>
      </c>
      <c r="O7" s="325" t="s">
        <v>75</v>
      </c>
      <c r="P7" s="69"/>
      <c r="Q7" s="58" t="s">
        <v>76</v>
      </c>
      <c r="R7" s="58" t="s">
        <v>76</v>
      </c>
      <c r="S7" s="58" t="s">
        <v>61</v>
      </c>
      <c r="T7" s="58" t="s">
        <v>61</v>
      </c>
      <c r="U7" s="416" t="s">
        <v>77</v>
      </c>
      <c r="V7" s="325"/>
      <c r="W7" s="32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407"/>
      <c r="AD7" s="407"/>
      <c r="AE7" s="325"/>
      <c r="AF7" s="79" t="n">
        <v>1.7</v>
      </c>
      <c r="AG7" s="79" t="n">
        <v>1.3</v>
      </c>
      <c r="AH7" s="412"/>
      <c r="AI7" s="407"/>
      <c r="AJ7" s="407"/>
      <c r="AK7" s="325"/>
      <c r="AL7" s="325"/>
      <c r="AM7" s="325"/>
      <c r="AN7" s="456"/>
      <c r="AO7" s="61" t="s">
        <v>41</v>
      </c>
      <c r="AP7" s="67" t="s">
        <v>83</v>
      </c>
      <c r="AQ7" s="67" t="s">
        <v>84</v>
      </c>
      <c r="AR7" s="62" t="s">
        <v>85</v>
      </c>
      <c r="AS7" s="62" t="s">
        <v>86</v>
      </c>
      <c r="AT7" s="408" t="s">
        <v>87</v>
      </c>
      <c r="AU7" s="210" t="s">
        <v>88</v>
      </c>
      <c r="AV7" s="417"/>
      <c r="AW7" s="412"/>
      <c r="AX7" s="412"/>
      <c r="AY7" s="457"/>
      <c r="AZ7" s="295" t="s">
        <v>89</v>
      </c>
      <c r="BA7" s="8"/>
      <c r="BB7" s="274"/>
    </row>
    <row r="8" s="184" customFormat="true" ht="12.95" hidden="false" customHeight="true" outlineLevel="0" collapsed="false">
      <c r="A8" s="325"/>
      <c r="B8" s="406"/>
      <c r="C8" s="407"/>
      <c r="D8" s="325"/>
      <c r="E8" s="407"/>
      <c r="F8" s="325"/>
      <c r="G8" s="406"/>
      <c r="H8" s="408"/>
      <c r="I8" s="325"/>
      <c r="J8" s="325"/>
      <c r="K8" s="325"/>
      <c r="L8" s="418"/>
      <c r="M8" s="325"/>
      <c r="N8" s="69"/>
      <c r="O8" s="325"/>
      <c r="P8" s="69"/>
      <c r="Q8" s="58" t="s">
        <v>61</v>
      </c>
      <c r="R8" s="58" t="s">
        <v>61</v>
      </c>
      <c r="S8" s="58"/>
      <c r="T8" s="58"/>
      <c r="U8" s="416"/>
      <c r="V8" s="325"/>
      <c r="W8" s="32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407"/>
      <c r="AD8" s="407"/>
      <c r="AE8" s="325"/>
      <c r="AF8" s="419"/>
      <c r="AG8" s="420"/>
      <c r="AH8" s="412"/>
      <c r="AI8" s="407"/>
      <c r="AJ8" s="407"/>
      <c r="AK8" s="325"/>
      <c r="AL8" s="325"/>
      <c r="AM8" s="325"/>
      <c r="AN8" s="456"/>
      <c r="AO8" s="61"/>
      <c r="AP8" s="67"/>
      <c r="AQ8" s="67"/>
      <c r="AR8" s="62"/>
      <c r="AS8" s="62"/>
      <c r="AT8" s="408"/>
      <c r="AU8" s="210"/>
      <c r="AV8" s="417"/>
      <c r="AW8" s="412"/>
      <c r="AX8" s="412"/>
      <c r="AY8" s="457"/>
      <c r="AZ8" s="295"/>
      <c r="BA8" s="8"/>
      <c r="BB8" s="274"/>
    </row>
    <row r="9" s="184" customFormat="true" ht="12.95" hidden="false" customHeight="true" outlineLevel="0" collapsed="false">
      <c r="A9" s="325"/>
      <c r="B9" s="406"/>
      <c r="C9" s="407"/>
      <c r="D9" s="325"/>
      <c r="E9" s="407"/>
      <c r="F9" s="325"/>
      <c r="G9" s="406"/>
      <c r="H9" s="408"/>
      <c r="I9" s="325"/>
      <c r="J9" s="325"/>
      <c r="K9" s="325"/>
      <c r="L9" s="418"/>
      <c r="M9" s="325"/>
      <c r="N9" s="69"/>
      <c r="O9" s="325"/>
      <c r="P9" s="69"/>
      <c r="Q9" s="58"/>
      <c r="R9" s="81" t="n">
        <v>4.2</v>
      </c>
      <c r="S9" s="58"/>
      <c r="T9" s="58"/>
      <c r="U9" s="416"/>
      <c r="V9" s="325"/>
      <c r="W9" s="325"/>
      <c r="X9" s="65"/>
      <c r="Y9" s="57" t="s">
        <v>90</v>
      </c>
      <c r="Z9" s="61"/>
      <c r="AA9" s="57" t="s">
        <v>90</v>
      </c>
      <c r="AB9" s="61" t="s">
        <v>93</v>
      </c>
      <c r="AC9" s="407"/>
      <c r="AD9" s="407"/>
      <c r="AE9" s="325"/>
      <c r="AF9" s="419"/>
      <c r="AG9" s="420"/>
      <c r="AH9" s="412"/>
      <c r="AI9" s="407"/>
      <c r="AJ9" s="407"/>
      <c r="AK9" s="325"/>
      <c r="AL9" s="325"/>
      <c r="AM9" s="325"/>
      <c r="AN9" s="456"/>
      <c r="AO9" s="61"/>
      <c r="AP9" s="67"/>
      <c r="AQ9" s="67"/>
      <c r="AR9" s="62"/>
      <c r="AS9" s="172"/>
      <c r="AT9" s="408"/>
      <c r="AU9" s="210"/>
      <c r="AV9" s="417"/>
      <c r="AW9" s="412"/>
      <c r="AX9" s="412"/>
      <c r="AY9" s="457"/>
      <c r="AZ9" s="295"/>
      <c r="BA9" s="8"/>
      <c r="BB9" s="458" t="s">
        <v>137</v>
      </c>
    </row>
    <row r="10" s="184" customFormat="true" ht="12.95" hidden="false" customHeight="true" outlineLevel="0" collapsed="false">
      <c r="A10" s="325"/>
      <c r="B10" s="406"/>
      <c r="C10" s="407" t="s">
        <v>10</v>
      </c>
      <c r="D10" s="325"/>
      <c r="E10" s="407" t="s">
        <v>95</v>
      </c>
      <c r="F10" s="325"/>
      <c r="G10" s="406" t="s">
        <v>41</v>
      </c>
      <c r="H10" s="408" t="s">
        <v>41</v>
      </c>
      <c r="I10" s="408" t="s">
        <v>41</v>
      </c>
      <c r="J10" s="408" t="s">
        <v>41</v>
      </c>
      <c r="K10" s="408" t="s">
        <v>41</v>
      </c>
      <c r="L10" s="421" t="s">
        <v>41</v>
      </c>
      <c r="M10" s="408" t="s">
        <v>41</v>
      </c>
      <c r="N10" s="408" t="s">
        <v>41</v>
      </c>
      <c r="O10" s="408" t="s">
        <v>41</v>
      </c>
      <c r="P10" s="40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421" t="s">
        <v>41</v>
      </c>
      <c r="V10" s="408" t="s">
        <v>41</v>
      </c>
      <c r="W10" s="408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408" t="s">
        <v>41</v>
      </c>
      <c r="AD10" s="408" t="s">
        <v>41</v>
      </c>
      <c r="AE10" s="408" t="s">
        <v>41</v>
      </c>
      <c r="AF10" s="422" t="s">
        <v>41</v>
      </c>
      <c r="AG10" s="421" t="s">
        <v>41</v>
      </c>
      <c r="AH10" s="408" t="s">
        <v>41</v>
      </c>
      <c r="AI10" s="408" t="s">
        <v>41</v>
      </c>
      <c r="AJ10" s="408" t="s">
        <v>41</v>
      </c>
      <c r="AK10" s="408" t="s">
        <v>41</v>
      </c>
      <c r="AL10" s="408" t="s">
        <v>41</v>
      </c>
      <c r="AM10" s="408" t="s">
        <v>41</v>
      </c>
      <c r="AN10" s="456" t="s">
        <v>41</v>
      </c>
      <c r="AO10" s="61" t="s">
        <v>41</v>
      </c>
      <c r="AP10" s="61" t="s">
        <v>41</v>
      </c>
      <c r="AQ10" s="67" t="s">
        <v>96</v>
      </c>
      <c r="AR10" s="62" t="s">
        <v>41</v>
      </c>
      <c r="AS10" s="62" t="s">
        <v>41</v>
      </c>
      <c r="AT10" s="61" t="s">
        <v>41</v>
      </c>
      <c r="AU10" s="61" t="s">
        <v>41</v>
      </c>
      <c r="AV10" s="417"/>
      <c r="AW10" s="412"/>
      <c r="AX10" s="412"/>
      <c r="AY10" s="299"/>
      <c r="AZ10" s="295" t="s">
        <v>97</v>
      </c>
      <c r="BA10" s="69" t="s">
        <v>41</v>
      </c>
      <c r="BB10" s="458" t="s">
        <v>95</v>
      </c>
    </row>
    <row r="11" s="184" customFormat="true" ht="12.95" hidden="false" customHeight="true" outlineLevel="0" collapsed="false">
      <c r="A11" s="325"/>
      <c r="B11" s="406"/>
      <c r="C11" s="407"/>
      <c r="D11" s="325"/>
      <c r="E11" s="407"/>
      <c r="F11" s="459"/>
      <c r="G11" s="325"/>
      <c r="H11" s="408"/>
      <c r="I11" s="325"/>
      <c r="J11" s="325"/>
      <c r="K11" s="325"/>
      <c r="L11" s="418"/>
      <c r="M11" s="325"/>
      <c r="N11" s="69" t="n">
        <v>1.03</v>
      </c>
      <c r="O11" s="424" t="n">
        <v>1.05</v>
      </c>
      <c r="P11" s="69" t="n">
        <v>1.02</v>
      </c>
      <c r="Q11" s="82" t="n">
        <v>1.02</v>
      </c>
      <c r="R11" s="83" t="n">
        <v>1.04</v>
      </c>
      <c r="S11" s="58"/>
      <c r="T11" s="82" t="n">
        <v>1.04</v>
      </c>
      <c r="U11" s="416"/>
      <c r="V11" s="325"/>
      <c r="W11" s="32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407"/>
      <c r="AD11" s="407"/>
      <c r="AE11" s="325"/>
      <c r="AF11" s="419"/>
      <c r="AG11" s="420"/>
      <c r="AH11" s="412"/>
      <c r="AI11" s="407"/>
      <c r="AJ11" s="407"/>
      <c r="AK11" s="325"/>
      <c r="AL11" s="325"/>
      <c r="AM11" s="325"/>
      <c r="AN11" s="456"/>
      <c r="AO11" s="61"/>
      <c r="AP11" s="67"/>
      <c r="AQ11" s="67"/>
      <c r="AR11" s="62"/>
      <c r="AS11" s="346"/>
      <c r="AT11" s="327"/>
      <c r="AU11" s="180"/>
      <c r="AV11" s="417"/>
      <c r="AW11" s="412"/>
      <c r="AX11" s="412"/>
      <c r="AY11" s="299"/>
      <c r="AZ11" s="295" t="s">
        <v>41</v>
      </c>
      <c r="BA11" s="8"/>
      <c r="BB11" s="274"/>
    </row>
    <row r="12" customFormat="false" ht="12.95" hidden="false" customHeight="true" outlineLevel="0" collapsed="false">
      <c r="A12" s="11" t="s">
        <v>99</v>
      </c>
      <c r="B12" s="356"/>
      <c r="C12" s="94"/>
      <c r="D12" s="94"/>
      <c r="E12" s="94"/>
      <c r="F12" s="145" t="n">
        <f aca="false">MAY!F50</f>
        <v>13789.2614066045</v>
      </c>
      <c r="G12" s="94" t="n">
        <f aca="false">MAY!G50</f>
        <v>32871</v>
      </c>
      <c r="H12" s="94" t="n">
        <f aca="false">MAY!H50</f>
        <v>91.66</v>
      </c>
      <c r="I12" s="94" t="n">
        <f aca="false">MAY!I50</f>
        <v>32962.66</v>
      </c>
      <c r="J12" s="94" t="n">
        <f aca="false">MAY!J50</f>
        <v>949.40424250063</v>
      </c>
      <c r="K12" s="94" t="n">
        <f aca="false">MAY!K50</f>
        <v>33912.0542425006</v>
      </c>
      <c r="L12" s="99" t="n">
        <f aca="false">MAY!L50</f>
        <v>-1211.10859339551</v>
      </c>
      <c r="M12" s="94" t="n">
        <f aca="false">MAY!M50</f>
        <v>8202.62</v>
      </c>
      <c r="N12" s="94" t="n">
        <f aca="false">MAY!N50</f>
        <v>29.2143535</v>
      </c>
      <c r="O12" s="94" t="n">
        <f aca="false">MAY!O50</f>
        <v>2216.95691875</v>
      </c>
      <c r="P12" s="83" t="n">
        <f aca="false">MAY!P50</f>
        <v>7.32</v>
      </c>
      <c r="Q12" s="150"/>
      <c r="R12" s="150"/>
      <c r="S12" s="94"/>
      <c r="T12" s="94"/>
      <c r="U12" s="357"/>
      <c r="V12" s="94" t="n">
        <f aca="false">MAY!V50</f>
        <v>3297.5</v>
      </c>
      <c r="W12" s="94" t="n">
        <f aca="false">MAY!W50</f>
        <v>1788.75</v>
      </c>
      <c r="X12" s="94" t="n">
        <f aca="false">MAY!X50</f>
        <v>10863.7558018174</v>
      </c>
      <c r="Y12" s="94" t="n">
        <f aca="false">MAY!Y50</f>
        <v>10863.7558018174</v>
      </c>
      <c r="Z12" s="107" t="n">
        <f aca="false">MAY!Z45</f>
        <v>12695.8808998415</v>
      </c>
      <c r="AA12" s="107" t="n">
        <f aca="false">MAY!AA50</f>
        <v>0</v>
      </c>
      <c r="AB12" s="107" t="n">
        <f aca="false">MAY!AB45</f>
        <v>44896.3969477405</v>
      </c>
      <c r="AC12" s="107" t="n">
        <f aca="false">MAY!AC45</f>
        <v>5067.13420182466</v>
      </c>
      <c r="AD12" s="80"/>
      <c r="AE12" s="94" t="n">
        <f aca="false">MAY!AE50</f>
        <v>3455.71</v>
      </c>
      <c r="AF12" s="98" t="n">
        <f aca="false">MAY!AF50</f>
        <v>103.7</v>
      </c>
      <c r="AG12" s="99" t="n">
        <f aca="false">MAY!AG50</f>
        <v>79.3</v>
      </c>
      <c r="AH12" s="80"/>
      <c r="AI12" s="80"/>
      <c r="AJ12" s="94" t="n">
        <f aca="false">MAY!AJ50</f>
        <v>0</v>
      </c>
      <c r="AK12" s="94" t="n">
        <f aca="false">MAY!AK50</f>
        <v>17962.28</v>
      </c>
      <c r="AL12" s="94" t="n">
        <f aca="false">MAY!AL50</f>
        <v>2160.51283589614</v>
      </c>
      <c r="AM12" s="94" t="n">
        <f aca="false">MAY!AM50</f>
        <v>20122.7928358961</v>
      </c>
      <c r="AN12" s="460"/>
      <c r="AO12" s="146"/>
      <c r="AP12" s="80"/>
      <c r="AQ12" s="94" t="n">
        <f aca="false">MAY!AQ51</f>
        <v>705.251379153698</v>
      </c>
      <c r="AR12" s="103" t="n">
        <f aca="false">MAY!AR50</f>
        <v>145.19788253088</v>
      </c>
      <c r="AS12" s="150" t="n">
        <f aca="false">MAY!AS50</f>
        <v>0</v>
      </c>
      <c r="AT12" s="94" t="n">
        <f aca="false">MAY!AT50</f>
        <v>0</v>
      </c>
      <c r="AU12" s="461"/>
      <c r="AV12" s="462"/>
      <c r="AW12" s="103"/>
      <c r="AX12" s="103"/>
      <c r="AY12" s="294"/>
      <c r="AZ12" s="463"/>
      <c r="BA12" s="93"/>
      <c r="BB12" s="464"/>
    </row>
    <row r="13" s="108" customFormat="true" ht="12.95" hidden="false" customHeight="true" outlineLevel="0" collapsed="false">
      <c r="A13" s="2" t="s">
        <v>100</v>
      </c>
      <c r="B13" s="131" t="n">
        <f aca="false">MAY!B45</f>
        <v>6879.85</v>
      </c>
      <c r="C13" s="94" t="n">
        <f aca="false">MAY!C45</f>
        <v>215717</v>
      </c>
      <c r="D13" s="94" t="n">
        <f aca="false">MAY!D54</f>
        <v>20562</v>
      </c>
      <c r="E13" s="94" t="n">
        <f aca="false">MAY!E54</f>
        <v>63717</v>
      </c>
      <c r="F13" s="161" t="n">
        <f aca="false">MAY!F53</f>
        <v>10366.5238215276</v>
      </c>
      <c r="G13" s="94" t="n">
        <f aca="false">MAY!G53</f>
        <v>38024</v>
      </c>
      <c r="H13" s="94" t="n">
        <f aca="false">MAY!H53</f>
        <v>146.15</v>
      </c>
      <c r="I13" s="94" t="n">
        <f aca="false">MAY!I53</f>
        <v>38169.53</v>
      </c>
      <c r="J13" s="94" t="n">
        <f aca="false">MAY!J53</f>
        <v>2674.44145954122</v>
      </c>
      <c r="K13" s="94" t="n">
        <f aca="false">MAY!K53</f>
        <v>40843.9614595412</v>
      </c>
      <c r="L13" s="361" t="n">
        <f aca="false">MAY!L53</f>
        <v>-258.750678472397</v>
      </c>
      <c r="M13" s="94" t="n">
        <f aca="false">MAY!M53</f>
        <v>9104.53</v>
      </c>
      <c r="N13" s="94" t="n">
        <f aca="false">MAY!N53</f>
        <v>29.2143535</v>
      </c>
      <c r="O13" s="94" t="n">
        <f aca="false">MAY!O53</f>
        <v>2216.95691875</v>
      </c>
      <c r="P13" s="83"/>
      <c r="Q13" s="94" t="n">
        <f aca="false">MAY!Q53</f>
        <v>351.913199470542</v>
      </c>
      <c r="R13" s="94" t="n">
        <f aca="false">MAY!R53</f>
        <v>442.24437008</v>
      </c>
      <c r="S13" s="94" t="n">
        <f aca="false">MAY!S53</f>
        <v>10.23100912</v>
      </c>
      <c r="T13" s="94" t="n">
        <f aca="false">MAY!T53</f>
        <v>138.4526208</v>
      </c>
      <c r="U13" s="465" t="n">
        <f aca="false">MAY!U53</f>
        <v>77.8630613803556</v>
      </c>
      <c r="V13" s="94" t="n">
        <f aca="false">MAY!V53</f>
        <v>7654.72</v>
      </c>
      <c r="W13" s="94" t="n">
        <f aca="false">MAY!W53</f>
        <v>1873.15</v>
      </c>
      <c r="X13" s="94" t="n">
        <f aca="false">MAY!X53</f>
        <v>15503.40234943</v>
      </c>
      <c r="Y13" s="94" t="n">
        <f aca="false">MAY!Y53</f>
        <v>15179.4399090014</v>
      </c>
      <c r="Z13" s="80"/>
      <c r="AA13" s="94"/>
      <c r="AB13" s="107"/>
      <c r="AC13" s="80"/>
      <c r="AD13" s="80"/>
      <c r="AE13" s="94"/>
      <c r="AF13" s="362" t="n">
        <f aca="false">AF12</f>
        <v>103.7</v>
      </c>
      <c r="AG13" s="361" t="n">
        <f aca="false">AG12</f>
        <v>79.3</v>
      </c>
      <c r="AH13" s="94" t="n">
        <f aca="false">MAY!AH53</f>
        <v>5447.2</v>
      </c>
      <c r="AI13" s="94" t="n">
        <f aca="false">MAY!AI53</f>
        <v>5176.13684762419</v>
      </c>
      <c r="AJ13" s="94" t="n">
        <f aca="false">MAY!AJ53</f>
        <v>0</v>
      </c>
      <c r="AK13" s="94" t="n">
        <f aca="false">MAY!AK53</f>
        <v>27544.2455</v>
      </c>
      <c r="AL13" s="94" t="n">
        <f aca="false">MAY!AL53</f>
        <v>2933.19213801361</v>
      </c>
      <c r="AM13" s="94" t="n">
        <f aca="false">MAY!AM53</f>
        <v>30477.4376380136</v>
      </c>
      <c r="AN13" s="358" t="n">
        <f aca="false">MAY!AN53</f>
        <v>8903.4116944076</v>
      </c>
      <c r="AO13" s="94" t="n">
        <f aca="false">MAY!AO53</f>
        <v>323.962440428619</v>
      </c>
      <c r="AP13" s="134"/>
      <c r="AQ13" s="94" t="n">
        <f aca="false">MAY!AQ54</f>
        <v>705.251379153698</v>
      </c>
      <c r="AR13" s="103" t="n">
        <f aca="false">MAY!AR53</f>
        <v>145.19788253088</v>
      </c>
      <c r="AS13" s="150" t="n">
        <f aca="false">MAY!AS53</f>
        <v>0</v>
      </c>
      <c r="AT13" s="94" t="n">
        <f aca="false">MAY!AT53</f>
        <v>0</v>
      </c>
      <c r="AU13" s="466"/>
      <c r="AV13" s="131" t="n">
        <f aca="false">MAY!AV53</f>
        <v>5.193</v>
      </c>
      <c r="AW13" s="103"/>
      <c r="AX13" s="103"/>
      <c r="AY13" s="363"/>
      <c r="AZ13" s="467" t="n">
        <f aca="false">MAY!AZ53</f>
        <v>1057.2386143509</v>
      </c>
      <c r="BA13" s="93"/>
      <c r="BB13" s="91"/>
    </row>
    <row r="14" customFormat="false" ht="3" hidden="false" customHeight="true" outlineLevel="0" collapsed="false">
      <c r="A14" s="109"/>
      <c r="B14" s="364"/>
      <c r="C14" s="119"/>
      <c r="D14" s="116"/>
      <c r="E14" s="119"/>
      <c r="F14" s="143"/>
      <c r="G14" s="116"/>
      <c r="H14" s="118"/>
      <c r="I14" s="116"/>
      <c r="J14" s="116"/>
      <c r="K14" s="116"/>
      <c r="L14" s="116"/>
      <c r="M14" s="120"/>
      <c r="N14" s="116"/>
      <c r="O14" s="118" t="n">
        <v>0</v>
      </c>
      <c r="P14" s="365"/>
      <c r="Q14" s="118"/>
      <c r="R14" s="118"/>
      <c r="S14" s="116"/>
      <c r="T14" s="116"/>
      <c r="U14" s="366"/>
      <c r="V14" s="116"/>
      <c r="W14" s="116" t="n">
        <v>0</v>
      </c>
      <c r="X14" s="116"/>
      <c r="Y14" s="116"/>
      <c r="Z14" s="119"/>
      <c r="AA14" s="116"/>
      <c r="AB14" s="233"/>
      <c r="AC14" s="119"/>
      <c r="AD14" s="119"/>
      <c r="AE14" s="116"/>
      <c r="AF14" s="120"/>
      <c r="AG14" s="121"/>
      <c r="AH14" s="116"/>
      <c r="AI14" s="119"/>
      <c r="AJ14" s="119"/>
      <c r="AK14" s="116"/>
      <c r="AL14" s="116"/>
      <c r="AM14" s="116"/>
      <c r="AN14" s="468"/>
      <c r="AO14" s="123"/>
      <c r="AP14" s="123"/>
      <c r="AQ14" s="238"/>
      <c r="AR14" s="240"/>
      <c r="AS14" s="240"/>
      <c r="AT14" s="243"/>
      <c r="AU14" s="240"/>
      <c r="AV14" s="125"/>
      <c r="AW14" s="123"/>
      <c r="AX14" s="123"/>
      <c r="AY14" s="156"/>
      <c r="AZ14" s="469"/>
      <c r="BA14" s="365"/>
      <c r="BB14" s="469"/>
    </row>
    <row r="15" customFormat="false" ht="12.95" hidden="false" customHeight="true" outlineLevel="0" collapsed="false">
      <c r="A15" s="10" t="n">
        <v>1</v>
      </c>
      <c r="B15" s="359" t="n">
        <v>6879.74</v>
      </c>
      <c r="C15" s="94" t="n">
        <v>215388</v>
      </c>
      <c r="D15" s="103" t="n">
        <f aca="false">C15-C13</f>
        <v>-329</v>
      </c>
      <c r="E15" s="94" t="n">
        <f aca="false">C15-152000</f>
        <v>63388</v>
      </c>
      <c r="F15" s="141" t="n">
        <f aca="false">D15/$D$2</f>
        <v>-165.868414418956</v>
      </c>
      <c r="G15" s="134" t="n">
        <v>503</v>
      </c>
      <c r="H15" s="97" t="n">
        <v>0</v>
      </c>
      <c r="I15" s="134" t="n">
        <f aca="false">G15+H15</f>
        <v>503</v>
      </c>
      <c r="J15" s="368" t="n">
        <f aca="false">IF(L15&gt;0,L15,0)</f>
        <v>0</v>
      </c>
      <c r="K15" s="134" t="n">
        <f aca="false">I15+J15</f>
        <v>503</v>
      </c>
      <c r="L15" s="134" t="n">
        <f aca="false">F15-(I15-AK15)</f>
        <v>-46.6684144189564</v>
      </c>
      <c r="M15" s="137" t="n">
        <v>225</v>
      </c>
      <c r="N15" s="158" t="n">
        <f aca="false">(1.8299*1.03)/2</f>
        <v>0.9423985</v>
      </c>
      <c r="O15" s="136" t="n">
        <f aca="false">23.4*1.05</f>
        <v>24.57</v>
      </c>
      <c r="P15" s="158" t="n">
        <v>0</v>
      </c>
      <c r="Q15" s="338" t="n">
        <f aca="false">1867000/325851/1.9835*1.02</f>
        <v>2.94641031844795</v>
      </c>
      <c r="R15" s="131" t="n">
        <v>4.2</v>
      </c>
      <c r="S15" s="131" t="n">
        <f aca="false">((6.2*1.04)-T15)-4.2</f>
        <v>1.01672944</v>
      </c>
      <c r="T15" s="131" t="n">
        <f aca="false">(1.1169*1.06)*1.04</f>
        <v>1.23127056</v>
      </c>
      <c r="U15" s="357" t="n">
        <v>0</v>
      </c>
      <c r="V15" s="134" t="n">
        <v>133</v>
      </c>
      <c r="W15" s="134" t="n">
        <v>76.3</v>
      </c>
      <c r="X15" s="135" t="n">
        <f aca="false">M15-N15-O15-P15-Q15-R15-S15-T15-U15+V15+W15-AT15+AR15</f>
        <v>408.468058839732</v>
      </c>
      <c r="Y15" s="135" t="n">
        <f aca="false">X15-AO15</f>
        <v>408.468058839732</v>
      </c>
      <c r="Z15" s="107" t="n">
        <f aca="false">Z12+AP15</f>
        <v>12781.5664306833</v>
      </c>
      <c r="AA15" s="135"/>
      <c r="AB15" s="107" t="n">
        <f aca="false">AB12+(Y15+AP15)*1.9835</f>
        <v>45876.5505928738</v>
      </c>
      <c r="AC15" s="107" t="n">
        <f aca="false">AC12-(MAY!AQ45/1.9835)</f>
        <v>5047.41136444378</v>
      </c>
      <c r="AD15" s="80"/>
      <c r="AE15" s="134" t="n">
        <v>165</v>
      </c>
      <c r="AF15" s="137" t="n">
        <v>1.7</v>
      </c>
      <c r="AG15" s="138" t="n">
        <v>1.3</v>
      </c>
      <c r="AH15" s="134" t="n">
        <v>22.9</v>
      </c>
      <c r="AI15" s="80" t="n">
        <f aca="false">AI13-AH15</f>
        <v>5153.23684762419</v>
      </c>
      <c r="AJ15" s="134"/>
      <c r="AK15" s="134" t="n">
        <f aca="false">N16+O15+P15+Q15+R15+S15+T15+U15+X15+AE15+AH15-AR15</f>
        <v>622.2</v>
      </c>
      <c r="AL15" s="134" t="n">
        <f aca="false">IF(L15&lt;0,L15*-1,0)</f>
        <v>46.6684144189564</v>
      </c>
      <c r="AM15" s="134" t="n">
        <f aca="false">AK15+AL15</f>
        <v>668.868414418956</v>
      </c>
      <c r="AN15" s="460"/>
      <c r="AO15" s="146"/>
      <c r="AP15" s="146" t="n">
        <f aca="false">I15-Q15-R15-X15-AF15</f>
        <v>85.6855308418201</v>
      </c>
      <c r="AQ15" s="158" t="n">
        <f aca="false">52.885*(Z15*1.9835+AC15*1.9835)/E15</f>
        <v>29.5042180033149</v>
      </c>
      <c r="AR15" s="136" t="n">
        <f aca="false">18/1.9835</f>
        <v>9.07486765817998</v>
      </c>
      <c r="AS15" s="97"/>
      <c r="AT15" s="11"/>
      <c r="AV15" s="102" t="n">
        <v>0</v>
      </c>
      <c r="AW15" s="103" t="n">
        <v>80</v>
      </c>
      <c r="AX15" s="103" t="n">
        <v>43</v>
      </c>
      <c r="AY15" s="294"/>
      <c r="AZ15" s="250" t="n">
        <f aca="false">SUM(N16,P15:U15)</f>
        <v>10.3368088184479</v>
      </c>
      <c r="BA15" s="93" t="n">
        <v>1.04</v>
      </c>
      <c r="BB15" s="464" t="n">
        <v>10521</v>
      </c>
    </row>
    <row r="16" customFormat="false" ht="12.95" hidden="false" customHeight="true" outlineLevel="0" collapsed="false">
      <c r="A16" s="10" t="n">
        <f aca="false">A15+1</f>
        <v>2</v>
      </c>
      <c r="B16" s="359" t="n">
        <v>6879.64</v>
      </c>
      <c r="C16" s="94" t="n">
        <v>215090</v>
      </c>
      <c r="D16" s="103" t="n">
        <f aca="false">C16-C15</f>
        <v>-298</v>
      </c>
      <c r="E16" s="94" t="n">
        <f aca="false">C16-152000</f>
        <v>63090</v>
      </c>
      <c r="F16" s="141" t="n">
        <f aca="false">D16/$D$2</f>
        <v>-150.239475674313</v>
      </c>
      <c r="G16" s="134" t="n">
        <v>492</v>
      </c>
      <c r="H16" s="97" t="n">
        <v>0</v>
      </c>
      <c r="I16" s="134" t="n">
        <f aca="false">G16+H16</f>
        <v>492</v>
      </c>
      <c r="J16" s="368" t="n">
        <f aca="false">IF(L16&gt;0,L16,0)</f>
        <v>0</v>
      </c>
      <c r="K16" s="134" t="n">
        <f aca="false">I16+J16</f>
        <v>492</v>
      </c>
      <c r="L16" s="134" t="n">
        <f aca="false">F16-(I16-AK16)</f>
        <v>-21.539475674313</v>
      </c>
      <c r="M16" s="137" t="n">
        <v>236</v>
      </c>
      <c r="N16" s="158" t="n">
        <f aca="false">(1.8299*1.03)/2</f>
        <v>0.9423985</v>
      </c>
      <c r="O16" s="369" t="n">
        <f aca="false">21.3*1.05</f>
        <v>22.365</v>
      </c>
      <c r="P16" s="158" t="n">
        <v>0</v>
      </c>
      <c r="Q16" s="338" t="n">
        <f aca="false">1950400/325851/1.9835*1.02</f>
        <v>3.07802821912205</v>
      </c>
      <c r="R16" s="131" t="n">
        <v>4.2</v>
      </c>
      <c r="S16" s="131" t="n">
        <f aca="false">((6.2*1.04)-T16)-4.2</f>
        <v>1.01672944</v>
      </c>
      <c r="T16" s="131" t="n">
        <f aca="false">(1.1169*1.06)*1.04</f>
        <v>1.23127056</v>
      </c>
      <c r="U16" s="357" t="n">
        <v>0</v>
      </c>
      <c r="V16" s="134" t="n">
        <v>133</v>
      </c>
      <c r="W16" s="134" t="n">
        <v>76</v>
      </c>
      <c r="X16" s="135" t="n">
        <f aca="false">M16-N16-O16-P16-Q16-R16-S16-T16-U16+V16+W16-AT16+AR16</f>
        <v>421.241440939058</v>
      </c>
      <c r="Y16" s="135" t="n">
        <f aca="false">X16-AO16</f>
        <v>421.241440939058</v>
      </c>
      <c r="Z16" s="107" t="n">
        <f aca="false">Z15+AP16</f>
        <v>12843.3469615251</v>
      </c>
      <c r="AA16" s="135"/>
      <c r="AB16" s="107" t="n">
        <f aca="false">AB15+(Y16+AP16)*1.9835</f>
        <v>46834.6246739012</v>
      </c>
      <c r="AC16" s="107" t="n">
        <f aca="false">AC15-(AQ15/1.9835)</f>
        <v>5032.53653812499</v>
      </c>
      <c r="AD16" s="107"/>
      <c r="AE16" s="134" t="n">
        <v>153</v>
      </c>
      <c r="AF16" s="137" t="n">
        <v>1.7</v>
      </c>
      <c r="AG16" s="138" t="n">
        <v>1.3</v>
      </c>
      <c r="AH16" s="134" t="n">
        <v>22.7</v>
      </c>
      <c r="AI16" s="80" t="n">
        <f aca="false">AI15-AH16</f>
        <v>5130.53684762419</v>
      </c>
      <c r="AJ16" s="134"/>
      <c r="AK16" s="134" t="n">
        <f aca="false">N17+O16+P16+Q16+R16+S16+T16+U16+X16+AE16+AH16-AR16</f>
        <v>620.7</v>
      </c>
      <c r="AL16" s="134" t="n">
        <f aca="false">IF(L16&lt;0,L16*-1,0)</f>
        <v>21.539475674313</v>
      </c>
      <c r="AM16" s="134" t="n">
        <f aca="false">AK16+AL16</f>
        <v>642.239475674313</v>
      </c>
      <c r="AN16" s="460"/>
      <c r="AO16" s="146"/>
      <c r="AP16" s="146" t="n">
        <f aca="false">I16-Q16-R16-X16-AF16</f>
        <v>61.78053084182</v>
      </c>
      <c r="AQ16" s="158" t="n">
        <f aca="false">51.134*(Z16*1.9835+AC16*1.9835)/E16</f>
        <v>28.7374984022642</v>
      </c>
      <c r="AR16" s="136" t="n">
        <f aca="false">18/1.9835</f>
        <v>9.07486765817998</v>
      </c>
      <c r="AS16" s="97"/>
      <c r="AT16" s="11"/>
      <c r="AV16" s="102" t="n">
        <v>0</v>
      </c>
      <c r="AW16" s="103" t="n">
        <v>86</v>
      </c>
      <c r="AX16" s="103" t="n">
        <v>43</v>
      </c>
      <c r="AY16" s="294"/>
      <c r="AZ16" s="250" t="n">
        <f aca="false">SUM(N17,P16:U16)</f>
        <v>10.4684267191221</v>
      </c>
      <c r="BA16" s="93" t="n">
        <v>1.1</v>
      </c>
      <c r="BB16" s="464" t="n">
        <v>10562</v>
      </c>
    </row>
    <row r="17" customFormat="false" ht="12.95" hidden="false" customHeight="true" outlineLevel="0" collapsed="false">
      <c r="A17" s="10" t="n">
        <f aca="false">A16+1</f>
        <v>3</v>
      </c>
      <c r="B17" s="359" t="n">
        <v>6879.51</v>
      </c>
      <c r="C17" s="94" t="n">
        <v>214702</v>
      </c>
      <c r="D17" s="103" t="n">
        <f aca="false">C17-C16</f>
        <v>-388</v>
      </c>
      <c r="E17" s="94" t="n">
        <f aca="false">C17-152000</f>
        <v>62702</v>
      </c>
      <c r="F17" s="141" t="n">
        <f aca="false">D17/$D$2</f>
        <v>-195.613813965213</v>
      </c>
      <c r="G17" s="134" t="n">
        <v>477</v>
      </c>
      <c r="H17" s="97" t="n">
        <v>0</v>
      </c>
      <c r="I17" s="134" t="n">
        <f aca="false">G17+H17</f>
        <v>477</v>
      </c>
      <c r="J17" s="368" t="n">
        <f aca="false">IF(L17&gt;0,L17,0)</f>
        <v>0</v>
      </c>
      <c r="K17" s="134" t="n">
        <f aca="false">I17+J17</f>
        <v>477</v>
      </c>
      <c r="L17" s="134" t="n">
        <f aca="false">F17-(I17-AK17)</f>
        <v>-26.8138139652129</v>
      </c>
      <c r="M17" s="137" t="n">
        <v>239</v>
      </c>
      <c r="N17" s="158" t="n">
        <f aca="false">(1.8299*1.03)/2</f>
        <v>0.9423985</v>
      </c>
      <c r="O17" s="150" t="n">
        <f aca="false">23.1*1.05</f>
        <v>24.255</v>
      </c>
      <c r="P17" s="83" t="n">
        <v>0</v>
      </c>
      <c r="Q17" s="338" t="n">
        <f aca="false">1700400/325851/1.9835*1.02</f>
        <v>2.68349014755698</v>
      </c>
      <c r="R17" s="131" t="n">
        <v>4.2</v>
      </c>
      <c r="S17" s="131" t="n">
        <f aca="false">((6*1.04)-T17)-4.2</f>
        <v>0.80872944</v>
      </c>
      <c r="T17" s="131" t="n">
        <f aca="false">(1.1169*1.06)*1.04</f>
        <v>1.23127056</v>
      </c>
      <c r="U17" s="357" t="n">
        <v>0</v>
      </c>
      <c r="V17" s="134" t="n">
        <v>133</v>
      </c>
      <c r="W17" s="134" t="n">
        <v>75.7</v>
      </c>
      <c r="X17" s="135" t="n">
        <f aca="false">M17-N17-O17-P17-Q17-R17-S17-T17-U17+V17+W17-AT17+AR17</f>
        <v>422.653979010623</v>
      </c>
      <c r="Y17" s="135" t="n">
        <f aca="false">X17-AO17</f>
        <v>422.653979010623</v>
      </c>
      <c r="Z17" s="107" t="n">
        <f aca="false">Z16+AP17</f>
        <v>12889.109492367</v>
      </c>
      <c r="AA17" s="135"/>
      <c r="AB17" s="107" t="n">
        <f aca="false">AB16+(Y17+AP17)*1.9835</f>
        <v>47763.7288211935</v>
      </c>
      <c r="AC17" s="107" t="n">
        <f aca="false">AC16-(AQ16/1.9835)</f>
        <v>5018.04826063457</v>
      </c>
      <c r="AD17" s="107"/>
      <c r="AE17" s="134" t="n">
        <v>180</v>
      </c>
      <c r="AF17" s="137" t="n">
        <v>1.7</v>
      </c>
      <c r="AG17" s="138" t="n">
        <v>1.3</v>
      </c>
      <c r="AH17" s="134" t="n">
        <v>18.1</v>
      </c>
      <c r="AI17" s="80" t="n">
        <f aca="false">AI16-AH17</f>
        <v>5112.43684762419</v>
      </c>
      <c r="AJ17" s="134"/>
      <c r="AK17" s="134" t="n">
        <f aca="false">N18+O17+P17+Q17+R17+S17+T17+U17+X17+AE17+AH17-AR17</f>
        <v>645.8</v>
      </c>
      <c r="AL17" s="134" t="n">
        <f aca="false">IF(L17&lt;0,L17*-1,0)</f>
        <v>26.8138139652129</v>
      </c>
      <c r="AM17" s="134" t="n">
        <f aca="false">AK17+AL17</f>
        <v>672.613813965213</v>
      </c>
      <c r="AN17" s="460"/>
      <c r="AO17" s="146"/>
      <c r="AP17" s="146" t="n">
        <f aca="false">I17-Q17-R17-X17-AF17</f>
        <v>45.76253084182</v>
      </c>
      <c r="AQ17" s="158" t="n">
        <f aca="false">58.489*(Z17*1.9835+AC17*1.9835)/E17</f>
        <v>33.1323062383761</v>
      </c>
      <c r="AR17" s="136" t="n">
        <f aca="false">18/1.9835</f>
        <v>9.07486765817998</v>
      </c>
      <c r="AS17" s="97"/>
      <c r="AT17" s="11"/>
      <c r="AU17" s="0"/>
      <c r="AV17" s="102" t="n">
        <v>0</v>
      </c>
      <c r="AW17" s="103" t="n">
        <v>84</v>
      </c>
      <c r="AX17" s="103" t="n">
        <v>48</v>
      </c>
      <c r="AY17" s="294"/>
      <c r="AZ17" s="250" t="n">
        <f aca="false">SUM(N17,P17:U17)</f>
        <v>9.86588864755698</v>
      </c>
      <c r="BA17" s="93" t="n">
        <v>0.78</v>
      </c>
      <c r="BB17" s="464" t="n">
        <v>10601</v>
      </c>
    </row>
    <row r="18" customFormat="false" ht="12.95" hidden="false" customHeight="true" outlineLevel="0" collapsed="false">
      <c r="A18" s="10" t="n">
        <f aca="false">A17+1</f>
        <v>4</v>
      </c>
      <c r="B18" s="359" t="n">
        <v>6879.35</v>
      </c>
      <c r="C18" s="94" t="n">
        <v>214224</v>
      </c>
      <c r="D18" s="103" t="n">
        <f aca="false">C18-C17</f>
        <v>-478</v>
      </c>
      <c r="E18" s="94" t="n">
        <f aca="false">C18-152000</f>
        <v>62224</v>
      </c>
      <c r="F18" s="141" t="n">
        <f aca="false">D18/$D$2</f>
        <v>-240.988152256113</v>
      </c>
      <c r="G18" s="134" t="n">
        <v>449</v>
      </c>
      <c r="H18" s="97" t="n">
        <v>0</v>
      </c>
      <c r="I18" s="134" t="n">
        <f aca="false">G18+H18</f>
        <v>449</v>
      </c>
      <c r="J18" s="368" t="n">
        <f aca="false">IF(L18&gt;0,L18,0)</f>
        <v>0</v>
      </c>
      <c r="K18" s="134" t="n">
        <f aca="false">I18+J18</f>
        <v>449</v>
      </c>
      <c r="L18" s="134" t="n">
        <f aca="false">F18-(I18-AK18)</f>
        <v>-38.4881522561129</v>
      </c>
      <c r="M18" s="137" t="n">
        <v>241</v>
      </c>
      <c r="N18" s="158" t="n">
        <f aca="false">(1.8299*1.03)/2</f>
        <v>0.9423985</v>
      </c>
      <c r="O18" s="150" t="n">
        <f aca="false">20.3*1.05</f>
        <v>21.315</v>
      </c>
      <c r="P18" s="83" t="n">
        <v>0</v>
      </c>
      <c r="Q18" s="338" t="n">
        <f aca="false">1856400/325851/1.9835*1.02</f>
        <v>2.92968190421359</v>
      </c>
      <c r="R18" s="131" t="n">
        <v>4.2</v>
      </c>
      <c r="S18" s="131" t="n">
        <f aca="false">((6.5*1.04)-T18)-4.2</f>
        <v>1.32872944</v>
      </c>
      <c r="T18" s="131" t="n">
        <f aca="false">(1.1169*1.06)*1.04</f>
        <v>1.23127056</v>
      </c>
      <c r="U18" s="357" t="n">
        <v>0</v>
      </c>
      <c r="V18" s="134" t="n">
        <v>133</v>
      </c>
      <c r="W18" s="134" t="n">
        <v>75.9</v>
      </c>
      <c r="X18" s="135" t="n">
        <f aca="false">M18-N18-O18-P18-Q18-R18-S18-T18-U18+V18+W18-AT18+AR18</f>
        <v>427.027787253966</v>
      </c>
      <c r="Y18" s="135" t="n">
        <f aca="false">X18-AO18</f>
        <v>427.027787253966</v>
      </c>
      <c r="Z18" s="107" t="n">
        <f aca="false">Z17+AP18</f>
        <v>12902.2520232088</v>
      </c>
      <c r="AA18" s="135" t="n">
        <f aca="false">(-AP18)</f>
        <v>-13.1425308418201</v>
      </c>
      <c r="AB18" s="107" t="n">
        <f aca="false">AB17+(Y18+AP18)*1.9835</f>
        <v>48636.8066471365</v>
      </c>
      <c r="AC18" s="107" t="n">
        <f aca="false">AC17-(AQ17/1.9835)</f>
        <v>5001.34429983881</v>
      </c>
      <c r="AD18" s="107"/>
      <c r="AE18" s="134" t="n">
        <v>186</v>
      </c>
      <c r="AF18" s="137" t="n">
        <v>1.7</v>
      </c>
      <c r="AG18" s="138" t="n">
        <v>1.3</v>
      </c>
      <c r="AH18" s="134" t="n">
        <v>15.6</v>
      </c>
      <c r="AI18" s="80" t="n">
        <f aca="false">AI17-AH18</f>
        <v>5096.83684762419</v>
      </c>
      <c r="AJ18" s="134"/>
      <c r="AK18" s="134" t="n">
        <f aca="false">N19+O18+P18+Q18+R18+S18+T18+U18+X18+AE18+AH18-AR18</f>
        <v>651.5</v>
      </c>
      <c r="AL18" s="134" t="n">
        <f aca="false">IF(L18&lt;0,L18*-1,0)</f>
        <v>38.4881522561129</v>
      </c>
      <c r="AM18" s="134" t="n">
        <f aca="false">AK18+AL18</f>
        <v>689.988152256113</v>
      </c>
      <c r="AN18" s="460"/>
      <c r="AO18" s="146"/>
      <c r="AP18" s="146" t="n">
        <f aca="false">I18-Q18-R18-X18-AF18</f>
        <v>13.1425308418201</v>
      </c>
      <c r="AQ18" s="158" t="n">
        <f aca="false">64.449*(Z18*1.9835+AC18*1.9835)/E18</f>
        <v>36.7816103487029</v>
      </c>
      <c r="AR18" s="136" t="n">
        <f aca="false">18/1.9835</f>
        <v>9.07486765817998</v>
      </c>
      <c r="AS18" s="97"/>
      <c r="AT18" s="11"/>
      <c r="AV18" s="102" t="n">
        <v>0</v>
      </c>
      <c r="AW18" s="103" t="n">
        <v>87</v>
      </c>
      <c r="AX18" s="103" t="n">
        <v>52</v>
      </c>
      <c r="AY18" s="294"/>
      <c r="AZ18" s="250" t="n">
        <f aca="false">SUM(N18,P18:U18)</f>
        <v>10.6320804042136</v>
      </c>
      <c r="BA18" s="93" t="n">
        <v>0.206</v>
      </c>
      <c r="BB18" s="464" t="n">
        <v>10621</v>
      </c>
    </row>
    <row r="19" customFormat="false" ht="12.95" hidden="false" customHeight="true" outlineLevel="0" collapsed="false">
      <c r="A19" s="10" t="n">
        <f aca="false">A18+1</f>
        <v>5</v>
      </c>
      <c r="B19" s="359" t="n">
        <v>6879.18</v>
      </c>
      <c r="C19" s="94" t="n">
        <v>213716</v>
      </c>
      <c r="D19" s="103" t="n">
        <f aca="false">C19-C18</f>
        <v>-508</v>
      </c>
      <c r="E19" s="94" t="n">
        <f aca="false">C19-152000</f>
        <v>61716</v>
      </c>
      <c r="F19" s="141" t="n">
        <f aca="false">D19/$D$2</f>
        <v>-256.112931686413</v>
      </c>
      <c r="G19" s="134" t="n">
        <v>439</v>
      </c>
      <c r="H19" s="97" t="n">
        <v>0</v>
      </c>
      <c r="I19" s="134" t="n">
        <f aca="false">G19+H19</f>
        <v>439</v>
      </c>
      <c r="J19" s="368" t="n">
        <f aca="false">IF(L19&gt;0,L19,0)</f>
        <v>0</v>
      </c>
      <c r="K19" s="134" t="n">
        <f aca="false">I19+J19</f>
        <v>439</v>
      </c>
      <c r="L19" s="134" t="n">
        <f aca="false">F19-(I19-AK19)</f>
        <v>-50.6129316864128</v>
      </c>
      <c r="M19" s="137" t="n">
        <v>233</v>
      </c>
      <c r="N19" s="158" t="n">
        <f aca="false">(1.8299*1.03)/2</f>
        <v>0.9423985</v>
      </c>
      <c r="O19" s="150" t="n">
        <f aca="false">11.6*1.05</f>
        <v>12.18</v>
      </c>
      <c r="P19" s="83" t="n">
        <v>0</v>
      </c>
      <c r="Q19" s="338" t="n">
        <f aca="false">1873700/325851/1.9835*1.02</f>
        <v>2.95698393876589</v>
      </c>
      <c r="R19" s="131" t="n">
        <v>4.2</v>
      </c>
      <c r="S19" s="131" t="n">
        <f aca="false">((6.5*1.04)-T19)-4.2</f>
        <v>1.32872944</v>
      </c>
      <c r="T19" s="131" t="n">
        <f aca="false">(1.1169*1.06)*1.04</f>
        <v>1.23127056</v>
      </c>
      <c r="U19" s="357" t="n">
        <v>0</v>
      </c>
      <c r="V19" s="134" t="n">
        <v>135</v>
      </c>
      <c r="W19" s="134" t="n">
        <v>75.9</v>
      </c>
      <c r="X19" s="135" t="n">
        <f aca="false">M19-N19-O19-P19-Q19-R19-S19-T19-U19+V19+W19-AT19+AR19</f>
        <v>430.135485219414</v>
      </c>
      <c r="Y19" s="135" t="n">
        <f aca="false">X19-AO19</f>
        <v>430.135485219414</v>
      </c>
      <c r="Z19" s="107" t="n">
        <f aca="false">Z18+AP19</f>
        <v>12902.2595540506</v>
      </c>
      <c r="AA19" s="135" t="n">
        <f aca="false">(-AP19)</f>
        <v>-0.00753084181995978</v>
      </c>
      <c r="AB19" s="107" t="n">
        <f aca="false">AB18+(Y19+AP19)*1.9835</f>
        <v>49489.995319494</v>
      </c>
      <c r="AC19" s="107" t="n">
        <f aca="false">AC18-(AQ18/1.9835)</f>
        <v>4982.80050838497</v>
      </c>
      <c r="AD19" s="107"/>
      <c r="AE19" s="134" t="n">
        <v>185</v>
      </c>
      <c r="AF19" s="137" t="n">
        <v>1.7</v>
      </c>
      <c r="AG19" s="138" t="n">
        <v>1.3</v>
      </c>
      <c r="AH19" s="134" t="n">
        <v>15.6</v>
      </c>
      <c r="AI19" s="80" t="n">
        <f aca="false">AI18-AH19</f>
        <v>5081.23684762419</v>
      </c>
      <c r="AJ19" s="134"/>
      <c r="AK19" s="134" t="n">
        <f aca="false">N20+O19+P19+Q19+R19+S19+T19+U19+X19+AE19+AH19-AR19</f>
        <v>644.5</v>
      </c>
      <c r="AL19" s="134" t="n">
        <f aca="false">IF(L19&lt;0,L19*-1,0)</f>
        <v>50.6129316864128</v>
      </c>
      <c r="AM19" s="134" t="n">
        <f aca="false">AK19+AL19</f>
        <v>695.112931686413</v>
      </c>
      <c r="AN19" s="460"/>
      <c r="AO19" s="146"/>
      <c r="AP19" s="146" t="n">
        <f aca="false">I19-Q19-R19-X19-AF19</f>
        <v>0.00753084181995978</v>
      </c>
      <c r="AQ19" s="158" t="n">
        <f aca="false">87.318*(Z19*1.9835+AC19*1.9835)/E19</f>
        <v>50.1913199564736</v>
      </c>
      <c r="AR19" s="136" t="n">
        <f aca="false">18/1.9835</f>
        <v>9.07486765817998</v>
      </c>
      <c r="AS19" s="97"/>
      <c r="AT19" s="11"/>
      <c r="AV19" s="102" t="n">
        <v>0</v>
      </c>
      <c r="AW19" s="103" t="n">
        <v>86</v>
      </c>
      <c r="AX19" s="103" t="n">
        <v>50</v>
      </c>
      <c r="AY19" s="294"/>
      <c r="AZ19" s="250" t="n">
        <f aca="false">SUM(N19,P19:U19)</f>
        <v>10.6593824387659</v>
      </c>
      <c r="BA19" s="93" t="n">
        <v>0.293</v>
      </c>
      <c r="BB19" s="464" t="n">
        <v>10676</v>
      </c>
    </row>
    <row r="20" customFormat="false" ht="12.95" hidden="false" customHeight="true" outlineLevel="0" collapsed="false">
      <c r="A20" s="10" t="n">
        <f aca="false">A19+1</f>
        <v>6</v>
      </c>
      <c r="B20" s="359" t="n">
        <v>6879.05</v>
      </c>
      <c r="C20" s="94" t="n">
        <v>213328</v>
      </c>
      <c r="D20" s="103" t="n">
        <f aca="false">C20-C19</f>
        <v>-388</v>
      </c>
      <c r="E20" s="94" t="n">
        <f aca="false">C20-152000</f>
        <v>61328</v>
      </c>
      <c r="F20" s="141" t="n">
        <f aca="false">D20/$D$2</f>
        <v>-195.613813965213</v>
      </c>
      <c r="G20" s="134" t="n">
        <v>413</v>
      </c>
      <c r="H20" s="97" t="n">
        <v>0</v>
      </c>
      <c r="I20" s="134" t="n">
        <f aca="false">G20+H20</f>
        <v>413</v>
      </c>
      <c r="J20" s="368" t="n">
        <f aca="false">IF(L20&gt;0,L20,0)</f>
        <v>0</v>
      </c>
      <c r="K20" s="134" t="n">
        <f aca="false">I20+J20</f>
        <v>413</v>
      </c>
      <c r="L20" s="134" t="n">
        <f aca="false">F20-(I20-AK20)</f>
        <v>-11.613813965213</v>
      </c>
      <c r="M20" s="137" t="n">
        <v>229</v>
      </c>
      <c r="N20" s="158" t="n">
        <f aca="false">(1.8299*1.03)/2</f>
        <v>0.9423985</v>
      </c>
      <c r="O20" s="150" t="n">
        <f aca="false">7.29*1.05</f>
        <v>7.6545</v>
      </c>
      <c r="P20" s="83" t="n">
        <v>0</v>
      </c>
      <c r="Q20" s="338" t="n">
        <f aca="false">1862800/325851/1.9835*1.02</f>
        <v>2.93978207884565</v>
      </c>
      <c r="R20" s="131" t="n">
        <v>4.2</v>
      </c>
      <c r="S20" s="131" t="n">
        <f aca="false">((6.5*1.04)-T20)-4.2</f>
        <v>1.32872944</v>
      </c>
      <c r="T20" s="131" t="n">
        <f aca="false">(1.1169*1.06)*1.04</f>
        <v>1.23127056</v>
      </c>
      <c r="U20" s="357" t="n">
        <v>0</v>
      </c>
      <c r="V20" s="134" t="n">
        <v>137</v>
      </c>
      <c r="W20" s="134" t="n">
        <v>76.4</v>
      </c>
      <c r="X20" s="135" t="n">
        <f aca="false">M20-N20-O20-P20-Q20-R20-S20-T20-U20+V20+W20-AT20+AR20</f>
        <v>433.178187079334</v>
      </c>
      <c r="Y20" s="135" t="n">
        <f aca="false">X20-AO20</f>
        <v>433.178187079334</v>
      </c>
      <c r="Z20" s="107" t="n">
        <f aca="false">Z19+AP20</f>
        <v>12873.2415848924</v>
      </c>
      <c r="AA20" s="135" t="n">
        <f aca="false">(-AP20)</f>
        <v>29.0179691581799</v>
      </c>
      <c r="AB20" s="107" t="n">
        <f aca="false">AB19+(Y20+AP20)*1.9835</f>
        <v>50291.6471117406</v>
      </c>
      <c r="AC20" s="107" t="n">
        <f aca="false">AC19-(AQ19/1.9835)</f>
        <v>4957.49608692972</v>
      </c>
      <c r="AD20" s="107"/>
      <c r="AE20" s="134" t="n">
        <v>139</v>
      </c>
      <c r="AF20" s="137" t="n">
        <v>1.7</v>
      </c>
      <c r="AG20" s="138" t="n">
        <v>1.3</v>
      </c>
      <c r="AH20" s="134" t="n">
        <v>15.6</v>
      </c>
      <c r="AI20" s="80" t="n">
        <f aca="false">AI19-AH20</f>
        <v>5065.63684762419</v>
      </c>
      <c r="AJ20" s="134"/>
      <c r="AK20" s="134" t="n">
        <f aca="false">N21+O20+P20+Q20+R20+S20+T20+U20+X20+AE20+AH20-AR20</f>
        <v>597</v>
      </c>
      <c r="AL20" s="134" t="n">
        <f aca="false">IF(L20&lt;0,L20*-1,0)</f>
        <v>11.613813965213</v>
      </c>
      <c r="AM20" s="134" t="n">
        <f aca="false">AK20+AL20</f>
        <v>608.613813965213</v>
      </c>
      <c r="AN20" s="460"/>
      <c r="AO20" s="146"/>
      <c r="AP20" s="146" t="n">
        <f aca="false">I20-Q20-R20-X20-AF20</f>
        <v>-29.0179691581799</v>
      </c>
      <c r="AQ20" s="158" t="n">
        <f aca="false">66.701*(Z20*1.9835+AC20*1.9835)/E20</f>
        <v>38.4658256317591</v>
      </c>
      <c r="AR20" s="136" t="n">
        <f aca="false">18/1.9835</f>
        <v>9.07486765817998</v>
      </c>
      <c r="AS20" s="97"/>
      <c r="AT20" s="11"/>
      <c r="AV20" s="102" t="n">
        <v>0</v>
      </c>
      <c r="AW20" s="103" t="n">
        <v>87</v>
      </c>
      <c r="AX20" s="103" t="n">
        <v>47</v>
      </c>
      <c r="AY20" s="294"/>
      <c r="AZ20" s="250" t="n">
        <f aca="false">SUM(N20,P20:U20)</f>
        <v>10.6421805788457</v>
      </c>
      <c r="BA20" s="93" t="n">
        <v>0.323</v>
      </c>
      <c r="BB20" s="464" t="n">
        <v>10738</v>
      </c>
    </row>
    <row r="21" customFormat="false" ht="12.95" hidden="false" customHeight="true" outlineLevel="0" collapsed="false">
      <c r="A21" s="10" t="n">
        <f aca="false">A20+1</f>
        <v>7</v>
      </c>
      <c r="B21" s="359" t="n">
        <v>6878.89</v>
      </c>
      <c r="C21" s="94" t="n">
        <v>212854</v>
      </c>
      <c r="D21" s="103" t="n">
        <f aca="false">C21-C20</f>
        <v>-474</v>
      </c>
      <c r="E21" s="94" t="n">
        <f aca="false">C21-152000</f>
        <v>60854</v>
      </c>
      <c r="F21" s="141" t="n">
        <f aca="false">D21/$D$2</f>
        <v>-238.97151499874</v>
      </c>
      <c r="G21" s="134" t="n">
        <v>391</v>
      </c>
      <c r="H21" s="97" t="n">
        <v>0</v>
      </c>
      <c r="I21" s="134" t="n">
        <f aca="false">G21+H21</f>
        <v>391</v>
      </c>
      <c r="J21" s="368" t="n">
        <f aca="false">IF(L21&gt;0,L21,0)</f>
        <v>6.32848500126048</v>
      </c>
      <c r="K21" s="134" t="n">
        <f aca="false">I21+J21</f>
        <v>397.32848500126</v>
      </c>
      <c r="L21" s="134" t="n">
        <f aca="false">F21-(I21-AK21)</f>
        <v>6.32848500126048</v>
      </c>
      <c r="M21" s="137" t="n">
        <v>233</v>
      </c>
      <c r="N21" s="158" t="n">
        <f aca="false">(1.8299*1.03)/2</f>
        <v>0.9423985</v>
      </c>
      <c r="O21" s="150" t="n">
        <f aca="false">9.37*1.05</f>
        <v>9.8385</v>
      </c>
      <c r="P21" s="83" t="n">
        <v>0</v>
      </c>
      <c r="Q21" s="338" t="n">
        <f aca="false">1848000/325851/1.9835*1.02</f>
        <v>2.916425425009</v>
      </c>
      <c r="R21" s="131" t="n">
        <v>4.2</v>
      </c>
      <c r="S21" s="131" t="n">
        <f aca="false">((6.5*1.04)-T21)-4.2</f>
        <v>1.2062528</v>
      </c>
      <c r="T21" s="131" t="n">
        <f aca="false">(1.228*1.06)*1.04</f>
        <v>1.3537472</v>
      </c>
      <c r="U21" s="357" t="n">
        <v>0</v>
      </c>
      <c r="V21" s="134" t="n">
        <v>140</v>
      </c>
      <c r="W21" s="134" t="n">
        <v>75.7</v>
      </c>
      <c r="X21" s="135" t="n">
        <f aca="false">M21-N21-O21-P21-Q21-R21-S21-T21-U21+V21+W21-AT21+AR21</f>
        <v>437.317543733171</v>
      </c>
      <c r="Y21" s="135" t="n">
        <f aca="false">X21-AO21</f>
        <v>437.317543733171</v>
      </c>
      <c r="Z21" s="107" t="n">
        <f aca="false">Z20+AP21</f>
        <v>12818.1076157342</v>
      </c>
      <c r="AA21" s="135" t="n">
        <f aca="false">(-AP21)</f>
        <v>55.13396915818</v>
      </c>
      <c r="AB21" s="107" t="n">
        <f aca="false">AB20+(Y21+AP21)*1.9835</f>
        <v>51049.7082319101</v>
      </c>
      <c r="AC21" s="107" t="n">
        <f aca="false">AC20-(AQ20/1.9835)</f>
        <v>4938.10318265357</v>
      </c>
      <c r="AD21" s="107"/>
      <c r="AE21" s="134" t="n">
        <v>172</v>
      </c>
      <c r="AF21" s="137" t="n">
        <v>1.7</v>
      </c>
      <c r="AG21" s="138" t="n">
        <v>1.3</v>
      </c>
      <c r="AH21" s="134" t="n">
        <v>15.6</v>
      </c>
      <c r="AI21" s="80" t="n">
        <f aca="false">AI20-AH21</f>
        <v>5050.03684762419</v>
      </c>
      <c r="AJ21" s="134"/>
      <c r="AK21" s="134" t="n">
        <f aca="false">N22+O21+P21+Q21+R21+S21+T21+U21+X21+AE21+AH21-AR21</f>
        <v>636.3</v>
      </c>
      <c r="AL21" s="134" t="n">
        <f aca="false">IF(L21&lt;0,L21*-1,0)</f>
        <v>0</v>
      </c>
      <c r="AM21" s="134" t="n">
        <f aca="false">AK21+AL21</f>
        <v>636.3</v>
      </c>
      <c r="AN21" s="460"/>
      <c r="AO21" s="146"/>
      <c r="AP21" s="146" t="n">
        <f aca="false">I21-Q21-R21-X21-AF21</f>
        <v>-55.13396915818</v>
      </c>
      <c r="AQ21" s="158" t="n">
        <f aca="false">63.583*(Z21*1.9835+AC21*1.9835)/E21</f>
        <v>36.7988614617459</v>
      </c>
      <c r="AR21" s="136" t="n">
        <f aca="false">18/1.9835</f>
        <v>9.07486765817998</v>
      </c>
      <c r="AS21" s="97"/>
      <c r="AT21" s="11"/>
      <c r="AV21" s="102" t="n">
        <v>0</v>
      </c>
      <c r="AW21" s="103" t="n">
        <v>87</v>
      </c>
      <c r="AX21" s="103" t="n">
        <v>49</v>
      </c>
      <c r="AY21" s="294"/>
      <c r="AZ21" s="250" t="n">
        <f aca="false">SUM(N21,P21:U21)</f>
        <v>10.618823925009</v>
      </c>
      <c r="BA21" s="93" t="n">
        <v>0.322</v>
      </c>
      <c r="BB21" s="464" t="n">
        <v>10785</v>
      </c>
    </row>
    <row r="22" customFormat="false" ht="12.95" hidden="false" customHeight="true" outlineLevel="0" collapsed="false">
      <c r="A22" s="10" t="n">
        <f aca="false">A21+1</f>
        <v>8</v>
      </c>
      <c r="B22" s="359" t="n">
        <v>6878.7</v>
      </c>
      <c r="C22" s="94" t="n">
        <v>212293</v>
      </c>
      <c r="D22" s="103" t="n">
        <f aca="false">C22-C21</f>
        <v>-561</v>
      </c>
      <c r="E22" s="94" t="n">
        <f aca="false">C22-152000</f>
        <v>60293</v>
      </c>
      <c r="F22" s="141" t="n">
        <f aca="false">D22/$D$2</f>
        <v>-282.833375346609</v>
      </c>
      <c r="G22" s="134" t="n">
        <v>348</v>
      </c>
      <c r="H22" s="97" t="n">
        <v>0</v>
      </c>
      <c r="I22" s="134" t="n">
        <f aca="false">G22+H22</f>
        <v>348</v>
      </c>
      <c r="J22" s="368" t="n">
        <f aca="false">IF(L22&gt;0,L22,0)</f>
        <v>0</v>
      </c>
      <c r="K22" s="134" t="n">
        <f aca="false">I22+J22</f>
        <v>348</v>
      </c>
      <c r="L22" s="134" t="n">
        <f aca="false">F22-(I22-AK22)</f>
        <v>-20.3333753466094</v>
      </c>
      <c r="M22" s="137" t="n">
        <v>219</v>
      </c>
      <c r="N22" s="158" t="n">
        <f aca="false">(1.8299*1.03)/2</f>
        <v>0.9423985</v>
      </c>
      <c r="O22" s="150" t="n">
        <f aca="false">4.7*1.05</f>
        <v>4.935</v>
      </c>
      <c r="P22" s="83" t="n">
        <v>0</v>
      </c>
      <c r="Q22" s="338" t="n">
        <f aca="false">1992800/325851/1.9835*1.02</f>
        <v>3.14494187605949</v>
      </c>
      <c r="R22" s="131" t="n">
        <v>4.2</v>
      </c>
      <c r="S22" s="131" t="n">
        <f aca="false">((6.5*1.04)-T22)-4.2</f>
        <v>1.2062528</v>
      </c>
      <c r="T22" s="131" t="n">
        <f aca="false">(1.228*1.06)*1.04</f>
        <v>1.3537472</v>
      </c>
      <c r="U22" s="357" t="n">
        <v>0</v>
      </c>
      <c r="V22" s="134" t="n">
        <v>141</v>
      </c>
      <c r="W22" s="134" t="n">
        <v>75.9</v>
      </c>
      <c r="X22" s="135" t="n">
        <f aca="false">M22-N22-O22-P22-Q22-R22-S22-T22-U22+V22+W22-AT22+AR22</f>
        <v>429.192527282121</v>
      </c>
      <c r="Y22" s="135" t="n">
        <f aca="false">X22-AO22</f>
        <v>429.192527282121</v>
      </c>
      <c r="Z22" s="107" t="n">
        <f aca="false">Z21+AP22</f>
        <v>12727.8701465761</v>
      </c>
      <c r="AA22" s="135" t="n">
        <f aca="false">(-AP22)</f>
        <v>90.23746915818</v>
      </c>
      <c r="AB22" s="107" t="n">
        <f aca="false">AB21+(Y22+AP22)*1.9835</f>
        <v>51722.0255896989</v>
      </c>
      <c r="AC22" s="107" t="n">
        <f aca="false">AC21-(AQ21/1.9835)</f>
        <v>4919.5506938904</v>
      </c>
      <c r="AD22" s="107"/>
      <c r="AE22" s="134" t="n">
        <v>159</v>
      </c>
      <c r="AF22" s="137" t="n">
        <v>1.7</v>
      </c>
      <c r="AG22" s="138" t="n">
        <v>1.3</v>
      </c>
      <c r="AH22" s="134" t="n">
        <v>15.6</v>
      </c>
      <c r="AI22" s="80" t="n">
        <f aca="false">AI21-AH22</f>
        <v>5034.43684762419</v>
      </c>
      <c r="AJ22" s="134"/>
      <c r="AK22" s="134" t="n">
        <f aca="false">N23+O22+P22+Q22+R22+S22+T22+U22+X22+AE22+AH22-AR22</f>
        <v>610.5</v>
      </c>
      <c r="AL22" s="134" t="n">
        <f aca="false">IF(L22&lt;0,L22*-1,0)</f>
        <v>20.3333753466094</v>
      </c>
      <c r="AM22" s="134" t="n">
        <f aca="false">AK22+AL22</f>
        <v>630.83337534661</v>
      </c>
      <c r="AN22" s="460"/>
      <c r="AO22" s="146"/>
      <c r="AP22" s="146" t="n">
        <f aca="false">I22-Q22-R22-X22-AF22</f>
        <v>-90.23746915818</v>
      </c>
      <c r="AQ22" s="158" t="n">
        <f aca="false">72.765*(Z22*1.9835+AC22*1.9835)/E22</f>
        <v>42.2443942810119</v>
      </c>
      <c r="AR22" s="136" t="n">
        <f aca="false">18/1.9835</f>
        <v>9.07486765817998</v>
      </c>
      <c r="AS22" s="97"/>
      <c r="AT22" s="11"/>
      <c r="AV22" s="102" t="n">
        <v>0</v>
      </c>
      <c r="AW22" s="103" t="n">
        <v>90</v>
      </c>
      <c r="AX22" s="103" t="n">
        <v>50</v>
      </c>
      <c r="AY22" s="294"/>
      <c r="AZ22" s="250" t="n">
        <f aca="false">SUM(N22,P22:U22)</f>
        <v>10.8473403760595</v>
      </c>
      <c r="BA22" s="93" t="n">
        <v>0.305</v>
      </c>
      <c r="BB22" s="464" t="n">
        <v>10829</v>
      </c>
    </row>
    <row r="23" customFormat="false" ht="12.95" hidden="false" customHeight="true" outlineLevel="0" collapsed="false">
      <c r="A23" s="10" t="n">
        <f aca="false">A22+1</f>
        <v>9</v>
      </c>
      <c r="B23" s="359" t="n">
        <v>6878.53</v>
      </c>
      <c r="C23" s="94" t="n">
        <v>211790</v>
      </c>
      <c r="D23" s="103" t="n">
        <f aca="false">C23-C22</f>
        <v>-503</v>
      </c>
      <c r="E23" s="94" t="n">
        <f aca="false">C23-152000</f>
        <v>59790</v>
      </c>
      <c r="F23" s="141" t="n">
        <f aca="false">D23/$D$2</f>
        <v>-253.592135114696</v>
      </c>
      <c r="G23" s="134" t="n">
        <v>345</v>
      </c>
      <c r="H23" s="97" t="n">
        <v>0</v>
      </c>
      <c r="I23" s="134" t="n">
        <f aca="false">G23+H23</f>
        <v>345</v>
      </c>
      <c r="J23" s="368" t="n">
        <f aca="false">IF(L23&gt;0,L23,0)</f>
        <v>0</v>
      </c>
      <c r="K23" s="134" t="n">
        <f aca="false">I23+J23</f>
        <v>345</v>
      </c>
      <c r="L23" s="134" t="n">
        <f aca="false">F23-(I23-AK23)</f>
        <v>-16.5921351146962</v>
      </c>
      <c r="M23" s="137" t="n">
        <v>215</v>
      </c>
      <c r="N23" s="158" t="n">
        <f aca="false">(1.8299*1.03)/2</f>
        <v>0.9423985</v>
      </c>
      <c r="O23" s="150" t="n">
        <f aca="false">0*1.05</f>
        <v>0</v>
      </c>
      <c r="P23" s="83" t="n">
        <v>0</v>
      </c>
      <c r="Q23" s="338" t="n">
        <f aca="false">2242200/325851/1.9835*1.02</f>
        <v>3.5385330562528</v>
      </c>
      <c r="R23" s="131" t="n">
        <v>4.2</v>
      </c>
      <c r="S23" s="131" t="n">
        <f aca="false">((6.5*1.04)-T23)-4.2</f>
        <v>1.2062528</v>
      </c>
      <c r="T23" s="131" t="n">
        <f aca="false">(1.228*1.06)*1.04</f>
        <v>1.3537472</v>
      </c>
      <c r="U23" s="357" t="n">
        <v>0</v>
      </c>
      <c r="V23" s="134" t="n">
        <v>141</v>
      </c>
      <c r="W23" s="134" t="n">
        <v>76.4</v>
      </c>
      <c r="X23" s="135" t="n">
        <f aca="false">M23-N23-O23-P23-Q23-R23-S23-T23-U23+V23+W23-AT23+AR23</f>
        <v>430.233936101927</v>
      </c>
      <c r="Y23" s="135" t="n">
        <f aca="false">X23-AO23</f>
        <v>430.233936101927</v>
      </c>
      <c r="Z23" s="107" t="n">
        <f aca="false">Z22+AP23</f>
        <v>12633.1976774179</v>
      </c>
      <c r="AA23" s="135" t="n">
        <f aca="false">(-AP23)</f>
        <v>94.6724691581799</v>
      </c>
      <c r="AB23" s="107" t="n">
        <f aca="false">AB22+(Y23+AP23)*1.9835</f>
        <v>52387.6117593818</v>
      </c>
      <c r="AC23" s="107" t="n">
        <f aca="false">AC22-(AQ22/1.9835)</f>
        <v>4898.25278903483</v>
      </c>
      <c r="AD23" s="107"/>
      <c r="AE23" s="134" t="n">
        <v>134</v>
      </c>
      <c r="AF23" s="137" t="n">
        <v>1.7</v>
      </c>
      <c r="AG23" s="138" t="n">
        <v>1.3</v>
      </c>
      <c r="AH23" s="134" t="n">
        <v>15.6</v>
      </c>
      <c r="AI23" s="80" t="n">
        <f aca="false">AI22-AH23</f>
        <v>5018.83684762419</v>
      </c>
      <c r="AJ23" s="134"/>
      <c r="AK23" s="134" t="n">
        <f aca="false">N24+O23+P23+Q23+R23+S23+T23+U23+X23+AE23+AH23-AR23</f>
        <v>582</v>
      </c>
      <c r="AL23" s="134" t="n">
        <f aca="false">IF(L23&lt;0,L23*-1,0)</f>
        <v>16.5921351146962</v>
      </c>
      <c r="AM23" s="134" t="n">
        <f aca="false">AK23+AL23</f>
        <v>598.592135114696</v>
      </c>
      <c r="AN23" s="460"/>
      <c r="AO23" s="146"/>
      <c r="AP23" s="146" t="n">
        <f aca="false">I23-Q23-R23-X23-AF23</f>
        <v>-94.6724691581799</v>
      </c>
      <c r="AQ23" s="158" t="n">
        <f aca="false">71.552*(Z23*1.9835+AC23*1.9835)/E23</f>
        <v>41.6143655607786</v>
      </c>
      <c r="AR23" s="136" t="n">
        <f aca="false">18/1.9835</f>
        <v>9.07486765817998</v>
      </c>
      <c r="AS23" s="97"/>
      <c r="AT23" s="11"/>
      <c r="AV23" s="102" t="n">
        <v>0</v>
      </c>
      <c r="AW23" s="103" t="n">
        <v>94</v>
      </c>
      <c r="AX23" s="103" t="n">
        <v>52</v>
      </c>
      <c r="AY23" s="294"/>
      <c r="AZ23" s="250" t="n">
        <f aca="false">SUM(N23,P23:U23)</f>
        <v>11.2409315562528</v>
      </c>
      <c r="BA23" s="93" t="n">
        <v>0.325</v>
      </c>
      <c r="BB23" s="464" t="n">
        <v>10886</v>
      </c>
    </row>
    <row r="24" customFormat="false" ht="12.95" hidden="false" customHeight="true" outlineLevel="0" collapsed="false">
      <c r="A24" s="10" t="n">
        <f aca="false">A23+1</f>
        <v>10</v>
      </c>
      <c r="B24" s="359" t="n">
        <v>6878.33</v>
      </c>
      <c r="C24" s="94" t="n">
        <v>211200</v>
      </c>
      <c r="D24" s="103" t="n">
        <f aca="false">C24-C23</f>
        <v>-590</v>
      </c>
      <c r="E24" s="94" t="n">
        <f aca="false">C24-152000</f>
        <v>59200</v>
      </c>
      <c r="F24" s="141" t="n">
        <f aca="false">D24/$D$2</f>
        <v>-297.453995462566</v>
      </c>
      <c r="G24" s="134" t="n">
        <v>317</v>
      </c>
      <c r="H24" s="97" t="n">
        <v>0</v>
      </c>
      <c r="I24" s="134" t="n">
        <f aca="false">G24+H24</f>
        <v>317</v>
      </c>
      <c r="J24" s="368" t="n">
        <f aca="false">IF(L24&gt;0,L24,0)</f>
        <v>0</v>
      </c>
      <c r="K24" s="134" t="n">
        <f aca="false">I24+J24</f>
        <v>317</v>
      </c>
      <c r="L24" s="134" t="n">
        <f aca="false">F24-(I24-AK24)</f>
        <v>-10.5539954625661</v>
      </c>
      <c r="M24" s="137" t="n">
        <v>223</v>
      </c>
      <c r="N24" s="158" t="n">
        <f aca="false">(1.8299*1.03)/2</f>
        <v>0.9423985</v>
      </c>
      <c r="O24" s="150" t="n">
        <f aca="false">0*1.05</f>
        <v>0</v>
      </c>
      <c r="P24" s="83" t="n">
        <v>0</v>
      </c>
      <c r="Q24" s="338" t="n">
        <f aca="false">1977100/325851/1.9835*1.02</f>
        <v>3.1201648851652</v>
      </c>
      <c r="R24" s="131" t="n">
        <v>4.2</v>
      </c>
      <c r="S24" s="131" t="n">
        <f aca="false">((6.2*1.04)-T24)-4.2</f>
        <v>0.8942528</v>
      </c>
      <c r="T24" s="131" t="n">
        <f aca="false">(1.228*1.06)*1.04</f>
        <v>1.3537472</v>
      </c>
      <c r="U24" s="357" t="n">
        <v>0</v>
      </c>
      <c r="V24" s="134" t="n">
        <v>137</v>
      </c>
      <c r="W24" s="134" t="n">
        <v>75.3</v>
      </c>
      <c r="X24" s="135" t="n">
        <f aca="false">M24-N24-O24-P24-Q24-R24-S24-T24-U24+V24+W24-AT24+AR24</f>
        <v>433.864304273015</v>
      </c>
      <c r="Y24" s="135" t="n">
        <f aca="false">X24-AO24</f>
        <v>433.864304273015</v>
      </c>
      <c r="Z24" s="107" t="n">
        <f aca="false">Z23+AP24</f>
        <v>12507.3132082597</v>
      </c>
      <c r="AA24" s="135" t="n">
        <f aca="false">(-AP24)</f>
        <v>125.88446915818</v>
      </c>
      <c r="AB24" s="107" t="n">
        <f aca="false">AB23+(Y24+AP24)*1.9835</f>
        <v>52998.4897623321</v>
      </c>
      <c r="AC24" s="107" t="n">
        <f aca="false">AC23-(AQ23/1.9835)</f>
        <v>4877.27251902688</v>
      </c>
      <c r="AD24" s="107"/>
      <c r="AE24" s="134" t="n">
        <v>153</v>
      </c>
      <c r="AF24" s="137" t="n">
        <v>1.7</v>
      </c>
      <c r="AG24" s="138" t="n">
        <v>1.3</v>
      </c>
      <c r="AH24" s="134" t="n">
        <v>15.6</v>
      </c>
      <c r="AI24" s="80" t="n">
        <f aca="false">AI23-AH24</f>
        <v>5003.23684762419</v>
      </c>
      <c r="AJ24" s="134"/>
      <c r="AK24" s="134" t="n">
        <f aca="false">N25+O24+P24+Q24+R24+S24+T24+U24+X24+AE24+AH24-AR24</f>
        <v>603.9</v>
      </c>
      <c r="AL24" s="134" t="n">
        <f aca="false">IF(L24&lt;0,L24*-1,0)</f>
        <v>10.5539954625661</v>
      </c>
      <c r="AM24" s="134" t="n">
        <f aca="false">AK24+AL24</f>
        <v>614.453995462566</v>
      </c>
      <c r="AN24" s="460"/>
      <c r="AO24" s="146"/>
      <c r="AP24" s="146" t="n">
        <f aca="false">I24-Q24-R24-X24-AF24</f>
        <v>-125.88446915818</v>
      </c>
      <c r="AQ24" s="158" t="n">
        <f aca="false">56.042*(Z24*1.9835+AC24*1.9835)/E24</f>
        <v>32.6428801001228</v>
      </c>
      <c r="AR24" s="136" t="n">
        <f aca="false">18/1.9835</f>
        <v>9.07486765817998</v>
      </c>
      <c r="AS24" s="97"/>
      <c r="AT24" s="11"/>
      <c r="AV24" s="102" t="n">
        <v>0</v>
      </c>
      <c r="AW24" s="103" t="n">
        <v>95</v>
      </c>
      <c r="AX24" s="103" t="n">
        <v>53</v>
      </c>
      <c r="AY24" s="294"/>
      <c r="AZ24" s="250" t="n">
        <f aca="false">SUM(N24,P24:U24)</f>
        <v>10.5105633851652</v>
      </c>
      <c r="BA24" s="93" t="n">
        <v>0.327</v>
      </c>
      <c r="BB24" s="464" t="n">
        <v>11007</v>
      </c>
    </row>
    <row r="25" customFormat="false" ht="12.95" hidden="false" customHeight="true" outlineLevel="0" collapsed="false">
      <c r="A25" s="10" t="n">
        <f aca="false">A24+1</f>
        <v>11</v>
      </c>
      <c r="B25" s="359" t="n">
        <v>6878.11</v>
      </c>
      <c r="C25" s="94" t="n">
        <v>210550</v>
      </c>
      <c r="D25" s="103" t="n">
        <f aca="false">C25-C24</f>
        <v>-650</v>
      </c>
      <c r="E25" s="94" t="n">
        <f aca="false">C25-152000</f>
        <v>58550</v>
      </c>
      <c r="F25" s="141" t="n">
        <f aca="false">D25/$D$2</f>
        <v>-327.703554323166</v>
      </c>
      <c r="G25" s="134" t="n">
        <v>276</v>
      </c>
      <c r="H25" s="97" t="n">
        <v>0</v>
      </c>
      <c r="I25" s="134" t="n">
        <f aca="false">G25+H25</f>
        <v>276</v>
      </c>
      <c r="J25" s="368" t="n">
        <f aca="false">IF(L25&gt;0,L25,0)</f>
        <v>0</v>
      </c>
      <c r="K25" s="134" t="n">
        <f aca="false">I25+J25</f>
        <v>276</v>
      </c>
      <c r="L25" s="134" t="n">
        <f aca="false">F25-(I25-AK25)</f>
        <v>-8.90355432316602</v>
      </c>
      <c r="M25" s="137" t="n">
        <v>227</v>
      </c>
      <c r="N25" s="158" t="n">
        <f aca="false">(1.8299*1.03)/2</f>
        <v>0.9423985</v>
      </c>
      <c r="O25" s="150" t="n">
        <f aca="false">3.27*1.05</f>
        <v>3.4335</v>
      </c>
      <c r="P25" s="83" t="n">
        <v>0</v>
      </c>
      <c r="Q25" s="338" t="n">
        <f aca="false">2137400/325851/1.9835*1.02</f>
        <v>3.37314269665273</v>
      </c>
      <c r="R25" s="131" t="n">
        <v>4.2</v>
      </c>
      <c r="S25" s="131" t="n">
        <f aca="false">((6.2*1.04)-T25)-4.2</f>
        <v>0.8942528</v>
      </c>
      <c r="T25" s="131" t="n">
        <f aca="false">(1.228*1.06)*1.04</f>
        <v>1.3537472</v>
      </c>
      <c r="U25" s="357" t="n">
        <v>0</v>
      </c>
      <c r="V25" s="134" t="n">
        <v>134</v>
      </c>
      <c r="W25" s="134" t="n">
        <v>73.2</v>
      </c>
      <c r="X25" s="135" t="n">
        <f aca="false">M25-N25-O25-P25-Q25-R25-S25-T25-U25+V25+W25-AT25+AR25</f>
        <v>429.077826461527</v>
      </c>
      <c r="Y25" s="135" t="n">
        <f aca="false">X25-AO25</f>
        <v>429.077826461527</v>
      </c>
      <c r="Z25" s="107" t="n">
        <f aca="false">Z24+AP25</f>
        <v>12344.9622391015</v>
      </c>
      <c r="AA25" s="135" t="n">
        <f aca="false">(-AP25)</f>
        <v>162.35096915818</v>
      </c>
      <c r="AB25" s="107" t="n">
        <f aca="false">AB24+(Y25+AP25)*1.9835</f>
        <v>53527.5424837933</v>
      </c>
      <c r="AC25" s="107" t="n">
        <f aca="false">AC24+AS25-(AQ24/1.9835)</f>
        <v>4861.18130697741</v>
      </c>
      <c r="AD25" s="107"/>
      <c r="AE25" s="134" t="n">
        <v>145</v>
      </c>
      <c r="AF25" s="137" t="n">
        <v>1.7</v>
      </c>
      <c r="AG25" s="138" t="n">
        <v>1.3</v>
      </c>
      <c r="AH25" s="134" t="n">
        <v>15.6</v>
      </c>
      <c r="AI25" s="80" t="n">
        <f aca="false">AI24-AH25</f>
        <v>4987.63684762419</v>
      </c>
      <c r="AJ25" s="134"/>
      <c r="AK25" s="134" t="n">
        <f aca="false">N26+O25+P25+Q25+R25+S25+T25+U25+X25+AE25+AH25-AR25</f>
        <v>594.8</v>
      </c>
      <c r="AL25" s="134" t="n">
        <f aca="false">IF(L25&lt;0,L25*-1,0)</f>
        <v>8.90355432316602</v>
      </c>
      <c r="AM25" s="134" t="n">
        <f aca="false">AK25+AL25</f>
        <v>603.703554323166</v>
      </c>
      <c r="AN25" s="460"/>
      <c r="AO25" s="146"/>
      <c r="AP25" s="146" t="n">
        <f aca="false">I25-Q25-R25-X25-AF25</f>
        <v>-162.35096915818</v>
      </c>
      <c r="AQ25" s="158" t="n">
        <f aca="false">79.693*(Z25*1.9835+AC25*1.9835)/E25</f>
        <v>46.4524926297975</v>
      </c>
      <c r="AR25" s="136" t="n">
        <f aca="false">18/1.9835</f>
        <v>9.07486765817998</v>
      </c>
      <c r="AS25" s="97" t="n">
        <v>0.366</v>
      </c>
      <c r="AT25" s="11"/>
      <c r="AV25" s="102" t="n">
        <v>0</v>
      </c>
      <c r="AW25" s="103" t="n">
        <v>88</v>
      </c>
      <c r="AX25" s="103" t="n">
        <v>50</v>
      </c>
      <c r="AY25" s="294"/>
      <c r="AZ25" s="250" t="n">
        <f aca="false">SUM(N25,P25:U25)</f>
        <v>10.7635411966527</v>
      </c>
      <c r="BA25" s="93" t="n">
        <v>0.366</v>
      </c>
      <c r="BB25" s="464" t="n">
        <v>11010</v>
      </c>
    </row>
    <row r="26" customFormat="false" ht="12.95" hidden="false" customHeight="true" outlineLevel="0" collapsed="false">
      <c r="A26" s="10" t="n">
        <f aca="false">A25+1</f>
        <v>12</v>
      </c>
      <c r="B26" s="359" t="n">
        <v>6877.9</v>
      </c>
      <c r="C26" s="94" t="n">
        <v>209933</v>
      </c>
      <c r="D26" s="103" t="n">
        <f aca="false">C26-C25</f>
        <v>-617</v>
      </c>
      <c r="E26" s="94" t="n">
        <f aca="false">C26-152000</f>
        <v>57933</v>
      </c>
      <c r="F26" s="141" t="n">
        <f aca="false">D26/$D$2</f>
        <v>-311.066296949836</v>
      </c>
      <c r="G26" s="134" t="n">
        <v>245</v>
      </c>
      <c r="H26" s="97" t="n">
        <v>0</v>
      </c>
      <c r="I26" s="134" t="n">
        <f aca="false">G26+H26</f>
        <v>245</v>
      </c>
      <c r="J26" s="368" t="n">
        <f aca="false">IF(L26&gt;0,L26,0)</f>
        <v>19.8337030501638</v>
      </c>
      <c r="K26" s="134" t="n">
        <f aca="false">I26+J26</f>
        <v>264.833703050164</v>
      </c>
      <c r="L26" s="134" t="n">
        <f aca="false">F26-(I26-AK26)</f>
        <v>19.8337030501638</v>
      </c>
      <c r="M26" s="137" t="n">
        <v>224</v>
      </c>
      <c r="N26" s="158" t="n">
        <f aca="false">(1.8299*1.03)/2</f>
        <v>0.9423985</v>
      </c>
      <c r="O26" s="150" t="n">
        <f aca="false">8.12*1.05</f>
        <v>8.526</v>
      </c>
      <c r="P26" s="83" t="n">
        <v>0</v>
      </c>
      <c r="Q26" s="338" t="n">
        <f aca="false">2108500/325851/1.9835*1.02</f>
        <v>3.3275340955798</v>
      </c>
      <c r="R26" s="131" t="n">
        <v>4.2</v>
      </c>
      <c r="S26" s="131" t="n">
        <f aca="false">((6.2*1.04)-T26)-4.2</f>
        <v>0.8942528</v>
      </c>
      <c r="T26" s="131" t="n">
        <f aca="false">(1.228*1.06)*1.04</f>
        <v>1.3537472</v>
      </c>
      <c r="U26" s="357" t="n">
        <v>0</v>
      </c>
      <c r="V26" s="134" t="n">
        <v>133</v>
      </c>
      <c r="W26" s="134" t="n">
        <v>72.3</v>
      </c>
      <c r="X26" s="135" t="n">
        <f aca="false">M26-N26-O26-P26-Q26-R26-S26-T26-U26+V26+W26-AT26+AR26</f>
        <v>419.1309350626</v>
      </c>
      <c r="Y26" s="135" t="n">
        <f aca="false">X26-AO26</f>
        <v>419.1309350626</v>
      </c>
      <c r="Z26" s="107" t="n">
        <f aca="false">Z25+AP26</f>
        <v>12161.6037699433</v>
      </c>
      <c r="AA26" s="135" t="n">
        <f aca="false">(-AP26)</f>
        <v>183.35846915818</v>
      </c>
      <c r="AB26" s="107" t="n">
        <f aca="false">AB25+(Y26+AP26)*1.9835</f>
        <v>53995.1971699147</v>
      </c>
      <c r="AC26" s="107" t="n">
        <f aca="false">AC25+AS26-(AQ25/1.9835)</f>
        <v>4843.11185014363</v>
      </c>
      <c r="AD26" s="107"/>
      <c r="AE26" s="134" t="n">
        <v>131</v>
      </c>
      <c r="AF26" s="137" t="n">
        <v>1.7</v>
      </c>
      <c r="AG26" s="138" t="n">
        <v>1.3</v>
      </c>
      <c r="AH26" s="134" t="n">
        <v>15.6</v>
      </c>
      <c r="AI26" s="80" t="n">
        <f aca="false">AI25-AH26</f>
        <v>4972.03684762419</v>
      </c>
      <c r="AJ26" s="134"/>
      <c r="AK26" s="134" t="n">
        <f aca="false">N27+O26+P26+Q26+R26+S26+T26+U26+X26+AE26+AH26-AR26</f>
        <v>575.9</v>
      </c>
      <c r="AL26" s="134" t="n">
        <f aca="false">IF(L26&lt;0,L26*-1,0)</f>
        <v>0</v>
      </c>
      <c r="AM26" s="134" t="n">
        <f aca="false">AK26+AL26</f>
        <v>575.9</v>
      </c>
      <c r="AN26" s="460"/>
      <c r="AO26" s="146"/>
      <c r="AP26" s="146" t="n">
        <f aca="false">I26-Q26-R26-X26-AF26</f>
        <v>-183.35846915818</v>
      </c>
      <c r="AQ26" s="158" t="n">
        <f aca="false">67.182*(Z26*1.9835+AC26*1.9835)/E26</f>
        <v>39.1136628743264</v>
      </c>
      <c r="AR26" s="136" t="n">
        <f aca="false">18/1.9835</f>
        <v>9.07486765817998</v>
      </c>
      <c r="AS26" s="97" t="n">
        <v>5.35</v>
      </c>
      <c r="AT26" s="11"/>
      <c r="AV26" s="102" t="n">
        <v>0</v>
      </c>
      <c r="AW26" s="103" t="n">
        <v>90</v>
      </c>
      <c r="AX26" s="103" t="n">
        <v>53</v>
      </c>
      <c r="AY26" s="294"/>
      <c r="AZ26" s="250" t="n">
        <f aca="false">SUM(N26,P26:U26)</f>
        <v>10.7179325955798</v>
      </c>
      <c r="BA26" s="93" t="n">
        <v>5.35</v>
      </c>
      <c r="BB26" s="464" t="n">
        <v>11170</v>
      </c>
    </row>
    <row r="27" customFormat="false" ht="12.95" hidden="false" customHeight="true" outlineLevel="0" collapsed="false">
      <c r="A27" s="10" t="n">
        <f aca="false">A26+1</f>
        <v>13</v>
      </c>
      <c r="B27" s="359" t="n">
        <v>6877.65</v>
      </c>
      <c r="C27" s="94" t="n">
        <v>209202</v>
      </c>
      <c r="D27" s="103" t="n">
        <f aca="false">C27-C26</f>
        <v>-731</v>
      </c>
      <c r="E27" s="94" t="n">
        <f aca="false">C27-152000</f>
        <v>57202</v>
      </c>
      <c r="F27" s="141" t="n">
        <f aca="false">D27/$D$2</f>
        <v>-368.540458784976</v>
      </c>
      <c r="G27" s="134" t="n">
        <v>234</v>
      </c>
      <c r="H27" s="97" t="n">
        <v>0</v>
      </c>
      <c r="I27" s="134" t="n">
        <f aca="false">G27+H27</f>
        <v>234</v>
      </c>
      <c r="J27" s="368" t="n">
        <f aca="false">IF(L27&gt;0,L27,0)</f>
        <v>0</v>
      </c>
      <c r="K27" s="134" t="n">
        <f aca="false">I27+J27</f>
        <v>234</v>
      </c>
      <c r="L27" s="134" t="n">
        <f aca="false">F27-(I27-AK27)</f>
        <v>-50.9404587849761</v>
      </c>
      <c r="M27" s="137" t="n">
        <v>218</v>
      </c>
      <c r="N27" s="158" t="n">
        <f aca="false">(1.8299*1.03)/2</f>
        <v>0.9423985</v>
      </c>
      <c r="O27" s="150" t="n">
        <f aca="false">11.4*1.05</f>
        <v>11.97</v>
      </c>
      <c r="P27" s="83" t="n">
        <v>0</v>
      </c>
      <c r="Q27" s="338" t="n">
        <f aca="false">1940400/325851/1.9835*1.02</f>
        <v>3.06224669625945</v>
      </c>
      <c r="R27" s="131" t="n">
        <v>4.2</v>
      </c>
      <c r="S27" s="131" t="n">
        <f aca="false">((6.2*1.04)-T27)-4.2</f>
        <v>0.8942528</v>
      </c>
      <c r="T27" s="131" t="n">
        <f aca="false">(1.228*1.06)*1.04</f>
        <v>1.3537472</v>
      </c>
      <c r="U27" s="357" t="n">
        <v>0</v>
      </c>
      <c r="V27" s="134" t="n">
        <v>133</v>
      </c>
      <c r="W27" s="134" t="n">
        <v>72</v>
      </c>
      <c r="X27" s="135" t="n">
        <f aca="false">M27-N27-O27-P27-Q27-R27-S27-T27-U27+V27+W27-AT27+AR27</f>
        <v>409.652222461921</v>
      </c>
      <c r="Y27" s="135" t="n">
        <f aca="false">X27-AO27</f>
        <v>409.652222461921</v>
      </c>
      <c r="Z27" s="107" t="n">
        <f aca="false">Z26+AP27</f>
        <v>11976.9893007852</v>
      </c>
      <c r="AA27" s="135" t="n">
        <f aca="false">(-AP27)</f>
        <v>184.61446915818</v>
      </c>
      <c r="AB27" s="107" t="n">
        <f aca="false">AB26+(Y27+AP27)*1.9835</f>
        <v>54441.5595535927</v>
      </c>
      <c r="AC27" s="107" t="n">
        <f aca="false">AC26+AS27-(AQ26/1.9835)</f>
        <v>4831.81233268745</v>
      </c>
      <c r="AD27" s="107"/>
      <c r="AE27" s="134" t="n">
        <v>113</v>
      </c>
      <c r="AF27" s="137" t="n">
        <v>1.7</v>
      </c>
      <c r="AG27" s="138" t="n">
        <v>1.3</v>
      </c>
      <c r="AH27" s="134" t="n">
        <v>15.6</v>
      </c>
      <c r="AI27" s="80" t="n">
        <f aca="false">AI26-AH27</f>
        <v>4956.43684762419</v>
      </c>
      <c r="AJ27" s="134"/>
      <c r="AK27" s="134" t="n">
        <f aca="false">N28+O27+P27+Q27+R27+S27+T27+U27+X27+AE27+AH27-AR27</f>
        <v>551.6</v>
      </c>
      <c r="AL27" s="134" t="n">
        <f aca="false">IF(L27&lt;0,L27*-1,0)</f>
        <v>50.9404587849761</v>
      </c>
      <c r="AM27" s="134" t="n">
        <f aca="false">AK27+AL27</f>
        <v>602.540458784976</v>
      </c>
      <c r="AN27" s="460"/>
      <c r="AO27" s="146"/>
      <c r="AP27" s="146" t="n">
        <f aca="false">I27-Q27-R27-X27-AF27</f>
        <v>-184.61446915818</v>
      </c>
      <c r="AQ27" s="158" t="n">
        <f aca="false">66.668*(Z27*1.9835+AC27*1.9835)/E27</f>
        <v>38.8575281110844</v>
      </c>
      <c r="AR27" s="136" t="n">
        <f aca="false">18/1.9835</f>
        <v>9.07486765817998</v>
      </c>
      <c r="AS27" s="97" t="n">
        <v>8.42</v>
      </c>
      <c r="AT27" s="11"/>
      <c r="AV27" s="102" t="n">
        <v>0</v>
      </c>
      <c r="AW27" s="103" t="n">
        <v>91</v>
      </c>
      <c r="AX27" s="103" t="n">
        <v>55</v>
      </c>
      <c r="AY27" s="294"/>
      <c r="AZ27" s="250" t="n">
        <f aca="false">SUM(N27,P27:U27)</f>
        <v>10.4526451962595</v>
      </c>
      <c r="BA27" s="93" t="n">
        <v>8.42</v>
      </c>
      <c r="BB27" s="464" t="n">
        <v>10982</v>
      </c>
    </row>
    <row r="28" customFormat="false" ht="12.95" hidden="false" customHeight="true" outlineLevel="0" collapsed="false">
      <c r="A28" s="10" t="n">
        <f aca="false">A27+1</f>
        <v>14</v>
      </c>
      <c r="B28" s="359" t="n">
        <v>6877.42</v>
      </c>
      <c r="C28" s="94" t="n">
        <v>208530</v>
      </c>
      <c r="D28" s="103" t="n">
        <f aca="false">C28-C27</f>
        <v>-672</v>
      </c>
      <c r="E28" s="94" t="n">
        <f aca="false">C28-152000</f>
        <v>56530</v>
      </c>
      <c r="F28" s="141" t="n">
        <f aca="false">D28/$D$2</f>
        <v>-338.795059238719</v>
      </c>
      <c r="G28" s="134" t="n">
        <v>218</v>
      </c>
      <c r="H28" s="97" t="n">
        <v>0</v>
      </c>
      <c r="I28" s="134" t="n">
        <f aca="false">G28+H28</f>
        <v>218</v>
      </c>
      <c r="J28" s="368" t="n">
        <f aca="false">IF(L28&gt;0,L28,0)</f>
        <v>0</v>
      </c>
      <c r="K28" s="134" t="n">
        <f aca="false">I28+J28</f>
        <v>218</v>
      </c>
      <c r="L28" s="134" t="n">
        <f aca="false">F28-(I28-AK28)</f>
        <v>-22.6950592387194</v>
      </c>
      <c r="M28" s="137" t="n">
        <v>214</v>
      </c>
      <c r="N28" s="158" t="n">
        <f aca="false">(1.8299*1.03)/2</f>
        <v>0.9423985</v>
      </c>
      <c r="O28" s="150" t="n">
        <f aca="false">8.06*1.05</f>
        <v>8.463</v>
      </c>
      <c r="P28" s="83" t="n">
        <v>0</v>
      </c>
      <c r="Q28" s="338" t="n">
        <f aca="false">1994400/325851/1.9835*1.02</f>
        <v>3.14746691971751</v>
      </c>
      <c r="R28" s="131" t="n">
        <v>4.2</v>
      </c>
      <c r="S28" s="131" t="n">
        <f aca="false">((7.2*1.04)-T28)-4.2</f>
        <v>2.01560992</v>
      </c>
      <c r="T28" s="131" t="n">
        <f aca="false">(1.1542*1.06)*1.04</f>
        <v>1.27239008</v>
      </c>
      <c r="U28" s="357" t="n">
        <v>0</v>
      </c>
      <c r="V28" s="134" t="n">
        <v>134</v>
      </c>
      <c r="W28" s="134" t="n">
        <v>73.3</v>
      </c>
      <c r="X28" s="135" t="n">
        <f aca="false">M28-N28-O28-P28-Q28-R28-S28-T28-U28+V28+W28-AT28+AR28</f>
        <v>410.334002238463</v>
      </c>
      <c r="Y28" s="135" t="n">
        <f aca="false">X28-AO28</f>
        <v>410.334002238463</v>
      </c>
      <c r="Z28" s="107" t="n">
        <f aca="false">Z27+AP28</f>
        <v>11775.607831627</v>
      </c>
      <c r="AA28" s="135" t="n">
        <f aca="false">(-AP28)</f>
        <v>201.38146915818</v>
      </c>
      <c r="AB28" s="107" t="n">
        <f aca="false">AB27+(Y28+AP28)*1.9835</f>
        <v>54856.0169029574</v>
      </c>
      <c r="AC28" s="107" t="n">
        <f aca="false">AC27+AS28-(AQ27/1.9835)</f>
        <v>4820.54194795789</v>
      </c>
      <c r="AD28" s="107"/>
      <c r="AE28" s="134" t="n">
        <v>97.2</v>
      </c>
      <c r="AF28" s="137" t="n">
        <v>1.7</v>
      </c>
      <c r="AG28" s="138" t="n">
        <v>1.3</v>
      </c>
      <c r="AH28" s="134" t="n">
        <v>15.6</v>
      </c>
      <c r="AI28" s="80" t="n">
        <f aca="false">AI27-AH28</f>
        <v>4940.83684762419</v>
      </c>
      <c r="AJ28" s="134"/>
      <c r="AK28" s="134" t="n">
        <f aca="false">N29+O28+P28+Q28+R28+S28+T28+U28+X28+AE28+AH28-AR28</f>
        <v>534.1</v>
      </c>
      <c r="AL28" s="134" t="n">
        <f aca="false">IF(L28&lt;0,L28*-1,0)</f>
        <v>22.6950592387194</v>
      </c>
      <c r="AM28" s="134" t="n">
        <f aca="false">AK28+AL28</f>
        <v>556.795059238719</v>
      </c>
      <c r="AN28" s="460"/>
      <c r="AO28" s="146"/>
      <c r="AP28" s="146" t="n">
        <f aca="false">I28-Q28-R28-X28-AF28</f>
        <v>-201.38146915818</v>
      </c>
      <c r="AQ28" s="158" t="n">
        <f aca="false">61.005*(Z28*1.9835+AC28*1.9835)/E28</f>
        <v>35.524338239371</v>
      </c>
      <c r="AR28" s="136" t="n">
        <f aca="false">18/1.9835</f>
        <v>9.07486765817998</v>
      </c>
      <c r="AS28" s="97" t="n">
        <v>8.32</v>
      </c>
      <c r="AT28" s="11"/>
      <c r="AV28" s="102" t="n">
        <v>0</v>
      </c>
      <c r="AW28" s="103" t="n">
        <v>88</v>
      </c>
      <c r="AX28" s="103" t="n">
        <v>52</v>
      </c>
      <c r="AY28" s="294"/>
      <c r="AZ28" s="250" t="n">
        <f aca="false">SUM(N28,P28:U28)</f>
        <v>11.5778654197175</v>
      </c>
      <c r="BA28" s="93" t="n">
        <v>8.32</v>
      </c>
      <c r="BB28" s="464" t="n">
        <v>10985</v>
      </c>
    </row>
    <row r="29" customFormat="false" ht="12.95" hidden="false" customHeight="true" outlineLevel="0" collapsed="false">
      <c r="A29" s="10" t="n">
        <f aca="false">A28+1</f>
        <v>15</v>
      </c>
      <c r="B29" s="359" t="n">
        <v>6877.19</v>
      </c>
      <c r="C29" s="94" t="n">
        <v>207859</v>
      </c>
      <c r="D29" s="103" t="n">
        <f aca="false">C29-C28</f>
        <v>-671</v>
      </c>
      <c r="E29" s="94" t="n">
        <f aca="false">C29-152000</f>
        <v>55859</v>
      </c>
      <c r="F29" s="141" t="n">
        <f aca="false">D29/$D$2</f>
        <v>-338.290899924376</v>
      </c>
      <c r="G29" s="134" t="n">
        <v>206</v>
      </c>
      <c r="H29" s="97" t="n">
        <v>0</v>
      </c>
      <c r="I29" s="134" t="n">
        <f aca="false">G29+H29</f>
        <v>206</v>
      </c>
      <c r="J29" s="368" t="n">
        <f aca="false">IF(L29&gt;0,L29,0)</f>
        <v>0</v>
      </c>
      <c r="K29" s="134" t="n">
        <f aca="false">I29+J29</f>
        <v>206</v>
      </c>
      <c r="L29" s="134" t="n">
        <f aca="false">F29-(I29-AK29)</f>
        <v>-32.0908999243761</v>
      </c>
      <c r="M29" s="137" t="n">
        <v>210</v>
      </c>
      <c r="N29" s="158" t="n">
        <f aca="false">(1.8299*1.03)/2</f>
        <v>0.9423985</v>
      </c>
      <c r="O29" s="150" t="n">
        <f aca="false">8.12*1.05</f>
        <v>8.526</v>
      </c>
      <c r="P29" s="83" t="n">
        <v>0</v>
      </c>
      <c r="Q29" s="338" t="n">
        <f aca="false">1839100/325851/1.9835*1.02</f>
        <v>2.90237986966128</v>
      </c>
      <c r="R29" s="131" t="n">
        <v>4.2</v>
      </c>
      <c r="S29" s="131" t="n">
        <f aca="false">((7.2*1.04)-T29)-4.2</f>
        <v>2.01560992</v>
      </c>
      <c r="T29" s="131" t="n">
        <f aca="false">(1.1542*1.06)*1.04</f>
        <v>1.27239008</v>
      </c>
      <c r="U29" s="357" t="n">
        <v>0</v>
      </c>
      <c r="V29" s="134" t="n">
        <v>133</v>
      </c>
      <c r="W29" s="134" t="n">
        <v>72.8</v>
      </c>
      <c r="X29" s="135" t="n">
        <f aca="false">M29-N29-O29-P29-Q29-R29-S29-T29-U29+V29+W29-AT29+AR29</f>
        <v>405.016089288519</v>
      </c>
      <c r="Y29" s="135" t="n">
        <f aca="false">X29-AO29</f>
        <v>405.016089288519</v>
      </c>
      <c r="Z29" s="107" t="n">
        <f aca="false">Z28+AP29</f>
        <v>11567.7893624688</v>
      </c>
      <c r="AA29" s="135" t="n">
        <f aca="false">(-AP29)</f>
        <v>207.81846915818</v>
      </c>
      <c r="AB29" s="107" t="n">
        <f aca="false">AB28+(Y29+AP29)*1.9835</f>
        <v>55247.1583824859</v>
      </c>
      <c r="AC29" s="107" t="n">
        <f aca="false">AC28+AS29-(AQ28/1.9835)</f>
        <v>4810.93202194863</v>
      </c>
      <c r="AD29" s="107"/>
      <c r="AE29" s="134" t="n">
        <v>80.8</v>
      </c>
      <c r="AF29" s="137" t="n">
        <v>1.7</v>
      </c>
      <c r="AG29" s="138" t="n">
        <v>1.3</v>
      </c>
      <c r="AH29" s="134" t="n">
        <v>15.6</v>
      </c>
      <c r="AI29" s="80" t="n">
        <f aca="false">AI28-AH29</f>
        <v>4925.23684762419</v>
      </c>
      <c r="AJ29" s="134"/>
      <c r="AK29" s="134" t="n">
        <f aca="false">N30+O29+P29+Q29+R29+S29+T29+U29+X29+AE29+AH29-AR29</f>
        <v>512.2</v>
      </c>
      <c r="AL29" s="134" t="n">
        <f aca="false">IF(L29&lt;0,L29*-1,0)</f>
        <v>32.0908999243761</v>
      </c>
      <c r="AM29" s="134" t="n">
        <f aca="false">AK29+AL29</f>
        <v>544.290899924376</v>
      </c>
      <c r="AN29" s="460"/>
      <c r="AO29" s="146"/>
      <c r="AP29" s="146" t="n">
        <f aca="false">I29-Q29-R29-X29-AF29</f>
        <v>-207.81846915818</v>
      </c>
      <c r="AQ29" s="158" t="n">
        <f aca="false">48.804*(Z29*1.9835+AC29*1.9835)/E29</f>
        <v>28.3840564534967</v>
      </c>
      <c r="AR29" s="136" t="n">
        <f aca="false">18/1.9835</f>
        <v>9.07486765817998</v>
      </c>
      <c r="AS29" s="97" t="n">
        <v>8.3</v>
      </c>
      <c r="AT29" s="11"/>
      <c r="AV29" s="102" t="n">
        <v>0</v>
      </c>
      <c r="AW29" s="103" t="n">
        <v>87</v>
      </c>
      <c r="AX29" s="103" t="n">
        <v>48</v>
      </c>
      <c r="AY29" s="294"/>
      <c r="AZ29" s="250" t="n">
        <f aca="false">SUM(N29,P29:U29)</f>
        <v>11.3327783696613</v>
      </c>
      <c r="BA29" s="93" t="n">
        <v>8.3</v>
      </c>
      <c r="BB29" s="464" t="n">
        <v>11036</v>
      </c>
    </row>
    <row r="30" customFormat="false" ht="12.95" hidden="false" customHeight="true" outlineLevel="0" collapsed="false">
      <c r="A30" s="10" t="n">
        <f aca="false">A29+1</f>
        <v>16</v>
      </c>
      <c r="B30" s="359" t="n">
        <v>6876.97</v>
      </c>
      <c r="C30" s="94" t="n">
        <v>207217</v>
      </c>
      <c r="D30" s="103" t="n">
        <f aca="false">C30-C29</f>
        <v>-642</v>
      </c>
      <c r="E30" s="94" t="n">
        <f aca="false">C30-152000</f>
        <v>55217</v>
      </c>
      <c r="F30" s="141" t="n">
        <f aca="false">D30/$D$2</f>
        <v>-323.670279808419</v>
      </c>
      <c r="G30" s="134" t="n">
        <v>178</v>
      </c>
      <c r="H30" s="97" t="n">
        <v>0</v>
      </c>
      <c r="I30" s="134" t="n">
        <f aca="false">G30+H30</f>
        <v>178</v>
      </c>
      <c r="J30" s="368" t="n">
        <f aca="false">IF(L30&gt;0,L30,0)</f>
        <v>0</v>
      </c>
      <c r="K30" s="134" t="n">
        <f aca="false">I30+J30</f>
        <v>178</v>
      </c>
      <c r="L30" s="134" t="n">
        <f aca="false">F30-(I30-AK30)</f>
        <v>-1.77027980841939</v>
      </c>
      <c r="M30" s="137" t="n">
        <v>203</v>
      </c>
      <c r="N30" s="158" t="n">
        <f aca="false">(1.8299*1.03)/2</f>
        <v>0.9423985</v>
      </c>
      <c r="O30" s="150" t="n">
        <f aca="false">9.26*1.05</f>
        <v>9.723</v>
      </c>
      <c r="P30" s="83" t="n">
        <v>0</v>
      </c>
      <c r="Q30" s="338" t="n">
        <f aca="false">2221800/325851/1.9835*1.02</f>
        <v>3.50633874961309</v>
      </c>
      <c r="R30" s="131" t="n">
        <v>4.2</v>
      </c>
      <c r="S30" s="131" t="n">
        <f aca="false">((7.2*1.04)-T30)-4.2</f>
        <v>2.01560992</v>
      </c>
      <c r="T30" s="131" t="n">
        <f aca="false">(1.1542*1.06)*1.04</f>
        <v>1.27239008</v>
      </c>
      <c r="U30" s="357" t="n">
        <v>0</v>
      </c>
      <c r="V30" s="134" t="n">
        <v>130</v>
      </c>
      <c r="W30" s="134" t="n">
        <v>71.9</v>
      </c>
      <c r="X30" s="135" t="n">
        <f aca="false">M30-N30-O30-P30-Q30-R30-S30-T30-U30+V30+W30-AT30+AR30</f>
        <v>392.315130408567</v>
      </c>
      <c r="Y30" s="135" t="n">
        <f aca="false">X30-AO30</f>
        <v>392.315130408567</v>
      </c>
      <c r="Z30" s="107" t="n">
        <f aca="false">Z29+AP30</f>
        <v>11344.0678933106</v>
      </c>
      <c r="AA30" s="135" t="n">
        <f aca="false">(-AP30)</f>
        <v>223.72146915818</v>
      </c>
      <c r="AB30" s="107" t="n">
        <f aca="false">AB29+(Y30+AP30)*1.9835</f>
        <v>55581.5639095761</v>
      </c>
      <c r="AC30" s="107" t="n">
        <f aca="false">AC29+AS30-(AQ29/1.9835)</f>
        <v>4805.14193550875</v>
      </c>
      <c r="AD30" s="107"/>
      <c r="AE30" s="134" t="n">
        <v>79.4</v>
      </c>
      <c r="AF30" s="137" t="n">
        <v>1.7</v>
      </c>
      <c r="AG30" s="138" t="n">
        <v>1.3</v>
      </c>
      <c r="AH30" s="134" t="n">
        <v>15.6</v>
      </c>
      <c r="AI30" s="80" t="n">
        <f aca="false">AI29-AH30</f>
        <v>4909.63684762419</v>
      </c>
      <c r="AJ30" s="80"/>
      <c r="AK30" s="134" t="n">
        <f aca="false">N31+O30+P30+Q30+R30+S30+T30+U30+X30+AE30+AH30-AR30</f>
        <v>499.9</v>
      </c>
      <c r="AL30" s="134" t="n">
        <f aca="false">IF(L30&lt;0,L30*-1,0)</f>
        <v>1.77027980841939</v>
      </c>
      <c r="AM30" s="134" t="n">
        <f aca="false">AK30+AL30</f>
        <v>501.67027980842</v>
      </c>
      <c r="AN30" s="460"/>
      <c r="AO30" s="146"/>
      <c r="AP30" s="146" t="n">
        <f aca="false">I30-Q30-R30-X30-AF30</f>
        <v>-223.72146915818</v>
      </c>
      <c r="AQ30" s="158" t="n">
        <f aca="false">48.973*(Z30*1.9835+AC30*1.9835)/E30</f>
        <v>28.4097481612533</v>
      </c>
      <c r="AR30" s="136" t="n">
        <f aca="false">18/1.9835</f>
        <v>9.07486765817998</v>
      </c>
      <c r="AS30" s="97" t="n">
        <v>8.52</v>
      </c>
      <c r="AT30" s="11"/>
      <c r="AV30" s="102" t="n">
        <v>0</v>
      </c>
      <c r="AW30" s="103" t="n">
        <v>87</v>
      </c>
      <c r="AX30" s="103" t="n">
        <v>52</v>
      </c>
      <c r="AY30" s="294"/>
      <c r="AZ30" s="250" t="n">
        <f aca="false">SUM(N30,P30:U30)</f>
        <v>11.9367372496131</v>
      </c>
      <c r="BA30" s="93" t="n">
        <v>8.52</v>
      </c>
      <c r="BB30" s="464" t="n">
        <v>11122</v>
      </c>
    </row>
    <row r="31" customFormat="false" ht="12.95" hidden="false" customHeight="true" outlineLevel="0" collapsed="false">
      <c r="A31" s="10" t="n">
        <f aca="false">A30+1</f>
        <v>17</v>
      </c>
      <c r="B31" s="359" t="n">
        <v>6876.72</v>
      </c>
      <c r="C31" s="94" t="n">
        <v>206495</v>
      </c>
      <c r="D31" s="103" t="n">
        <f aca="false">C31-C30</f>
        <v>-722</v>
      </c>
      <c r="E31" s="94" t="n">
        <f aca="false">C31-152000</f>
        <v>54495</v>
      </c>
      <c r="F31" s="141" t="n">
        <f aca="false">D31/$D$2</f>
        <v>-364.003024955886</v>
      </c>
      <c r="G31" s="134" t="n">
        <v>162</v>
      </c>
      <c r="H31" s="97" t="n">
        <v>0</v>
      </c>
      <c r="I31" s="134" t="n">
        <f aca="false">G31+H31</f>
        <v>162</v>
      </c>
      <c r="J31" s="368" t="n">
        <f aca="false">IF(L31&gt;0,L31,0)</f>
        <v>0</v>
      </c>
      <c r="K31" s="134" t="n">
        <f aca="false">I31+J31</f>
        <v>162</v>
      </c>
      <c r="L31" s="134" t="n">
        <f aca="false">F31-(I31-AK31)</f>
        <v>-17.003024955886</v>
      </c>
      <c r="M31" s="137" t="n">
        <v>211</v>
      </c>
      <c r="N31" s="158" t="n">
        <f aca="false">(1.8299*1.03)/2</f>
        <v>0.9423985</v>
      </c>
      <c r="O31" s="150" t="n">
        <f aca="false">10.4*1.05</f>
        <v>10.92</v>
      </c>
      <c r="P31" s="83" t="n">
        <v>1.64</v>
      </c>
      <c r="Q31" s="338" t="n">
        <f aca="false">2066300/325851/1.9835*1.02</f>
        <v>3.26093606909962</v>
      </c>
      <c r="R31" s="131" t="n">
        <v>4.2</v>
      </c>
      <c r="S31" s="131" t="n">
        <f aca="false">((7.2*1.04)-T31)-4.2</f>
        <v>2.01560992</v>
      </c>
      <c r="T31" s="131" t="n">
        <f aca="false">(1.1542*1.06)*1.04</f>
        <v>1.27239008</v>
      </c>
      <c r="U31" s="357" t="n">
        <v>0</v>
      </c>
      <c r="V31" s="134" t="n">
        <v>126</v>
      </c>
      <c r="W31" s="134" t="n">
        <v>73.4</v>
      </c>
      <c r="X31" s="135" t="n">
        <f aca="false">M31-N31-O31-P31-Q31-R31-S31-T31-U31+V31+W31-AT31+AR31</f>
        <v>395.22353308908</v>
      </c>
      <c r="Y31" s="135" t="n">
        <f aca="false">X31-AO31</f>
        <v>395.22353308908</v>
      </c>
      <c r="Z31" s="107" t="n">
        <f aca="false">Z30+AP31</f>
        <v>11101.6834241524</v>
      </c>
      <c r="AA31" s="135" t="n">
        <f aca="false">(-AP31)</f>
        <v>242.38446915818</v>
      </c>
      <c r="AB31" s="107" t="n">
        <f aca="false">AB30+(Y31+AP31)*1.9835</f>
        <v>55884.720192883</v>
      </c>
      <c r="AC31" s="107" t="n">
        <f aca="false">AC30+AS31-(AQ30/1.9835)</f>
        <v>4799.35889635511</v>
      </c>
      <c r="AD31" s="107"/>
      <c r="AE31" s="134" t="n">
        <v>83</v>
      </c>
      <c r="AF31" s="137" t="n">
        <v>1.7</v>
      </c>
      <c r="AG31" s="138" t="n">
        <v>1.3</v>
      </c>
      <c r="AH31" s="134" t="n">
        <v>15.6</v>
      </c>
      <c r="AI31" s="80" t="n">
        <f aca="false">AI30-AH31</f>
        <v>4894.03684762419</v>
      </c>
      <c r="AJ31" s="80"/>
      <c r="AK31" s="134" t="n">
        <f aca="false">N32+O31+P31+Q31+R31+S31+T31+U31+X31+AE31+AH31-AR31</f>
        <v>509</v>
      </c>
      <c r="AL31" s="134" t="n">
        <f aca="false">IF(L31&lt;0,L31*-1,0)</f>
        <v>17.003024955886</v>
      </c>
      <c r="AM31" s="134" t="n">
        <f aca="false">AK31+AL31</f>
        <v>526.003024955886</v>
      </c>
      <c r="AN31" s="460"/>
      <c r="AO31" s="146"/>
      <c r="AP31" s="146" t="n">
        <f aca="false">I31-Q31-R31-X31-AF31</f>
        <v>-242.38446915818</v>
      </c>
      <c r="AQ31" s="158" t="n">
        <f aca="false">58.124*(Z31*1.9835+AC31*1.9835)/E31</f>
        <v>33.6400502182044</v>
      </c>
      <c r="AR31" s="136" t="n">
        <f aca="false">18/1.9835</f>
        <v>9.07486765817998</v>
      </c>
      <c r="AS31" s="97" t="n">
        <v>8.54</v>
      </c>
      <c r="AT31" s="11"/>
      <c r="AV31" s="102" t="n">
        <v>0</v>
      </c>
      <c r="AW31" s="103" t="n">
        <v>88</v>
      </c>
      <c r="AX31" s="103" t="n">
        <v>50</v>
      </c>
      <c r="AY31" s="294"/>
      <c r="AZ31" s="250" t="n">
        <f aca="false">SUM(N31,P31:U31)</f>
        <v>13.3313345690996</v>
      </c>
      <c r="BA31" s="93" t="n">
        <v>8.54</v>
      </c>
      <c r="BB31" s="464" t="n">
        <v>11293</v>
      </c>
    </row>
    <row r="32" customFormat="false" ht="12.95" hidden="false" customHeight="true" outlineLevel="0" collapsed="false">
      <c r="A32" s="10" t="n">
        <f aca="false">A31+1</f>
        <v>18</v>
      </c>
      <c r="B32" s="359" t="n">
        <v>6876.45</v>
      </c>
      <c r="C32" s="94" t="n">
        <v>205715</v>
      </c>
      <c r="D32" s="103" t="n">
        <f aca="false">C32-C31</f>
        <v>-780</v>
      </c>
      <c r="E32" s="94" t="n">
        <f aca="false">C32-152000</f>
        <v>53715</v>
      </c>
      <c r="F32" s="141" t="n">
        <f aca="false">D32/$D$2</f>
        <v>-393.244265187799</v>
      </c>
      <c r="G32" s="134" t="n">
        <v>150</v>
      </c>
      <c r="H32" s="97" t="n">
        <v>0</v>
      </c>
      <c r="I32" s="134" t="n">
        <f aca="false">G32+H32</f>
        <v>150</v>
      </c>
      <c r="J32" s="368" t="n">
        <f aca="false">IF(L32&gt;0,L32,0)</f>
        <v>0</v>
      </c>
      <c r="K32" s="134" t="n">
        <f aca="false">I32+J32</f>
        <v>150</v>
      </c>
      <c r="L32" s="134" t="n">
        <f aca="false">F32-(I32-AK32)</f>
        <v>-28.7442651877993</v>
      </c>
      <c r="M32" s="137" t="n">
        <v>211</v>
      </c>
      <c r="N32" s="158" t="n">
        <f aca="false">(1.8299*1.03)/2</f>
        <v>0.9423985</v>
      </c>
      <c r="O32" s="150" t="n">
        <f aca="false">9.89*1.05</f>
        <v>10.3845</v>
      </c>
      <c r="P32" s="83" t="n">
        <v>2.98</v>
      </c>
      <c r="Q32" s="338" t="n">
        <f aca="false">1953300/325851/1.9835*1.02</f>
        <v>3.08260486075221</v>
      </c>
      <c r="R32" s="131" t="n">
        <v>4.2</v>
      </c>
      <c r="S32" s="131" t="n">
        <f aca="false">((6.5*1.04)-T32)-4.2</f>
        <v>1.28760992</v>
      </c>
      <c r="T32" s="131" t="n">
        <f aca="false">(1.1542*1.06)*1.04</f>
        <v>1.27239008</v>
      </c>
      <c r="U32" s="357" t="n">
        <v>0</v>
      </c>
      <c r="V32" s="134" t="n">
        <v>122</v>
      </c>
      <c r="W32" s="134" t="n">
        <v>75</v>
      </c>
      <c r="X32" s="135" t="n">
        <f aca="false">M32-N32-O32-P32-Q32-R32-S32-T32-U32+V32+W32-AT32+AR32</f>
        <v>392.925364297428</v>
      </c>
      <c r="Y32" s="135" t="n">
        <f aca="false">X32-AO32</f>
        <v>392.925364297428</v>
      </c>
      <c r="Z32" s="107" t="n">
        <f aca="false">Z31+AP32</f>
        <v>10849.7754549943</v>
      </c>
      <c r="AA32" s="135" t="n">
        <f aca="false">(-AP32)</f>
        <v>251.90796915818</v>
      </c>
      <c r="AB32" s="107" t="n">
        <f aca="false">AB31+(Y32+AP32)*1.9835</f>
        <v>56164.4281961417</v>
      </c>
      <c r="AC32" s="107" t="n">
        <f aca="false">AC31+AS32-(AQ31/1.9835)</f>
        <v>4790.97895170262</v>
      </c>
      <c r="AD32" s="107"/>
      <c r="AE32" s="134" t="n">
        <v>90.9</v>
      </c>
      <c r="AF32" s="137" t="n">
        <v>1.7</v>
      </c>
      <c r="AG32" s="138" t="n">
        <v>1.3</v>
      </c>
      <c r="AH32" s="134" t="n">
        <v>15.6</v>
      </c>
      <c r="AI32" s="80" t="n">
        <f aca="false">AI31-AH32</f>
        <v>4878.43684762418</v>
      </c>
      <c r="AJ32" s="80"/>
      <c r="AK32" s="134" t="n">
        <f aca="false">N33+O32+P32+Q32+R32+S32+T32+U32+X32+AE32+AH32-AR32</f>
        <v>514.5</v>
      </c>
      <c r="AL32" s="134" t="n">
        <f aca="false">IF(L32&lt;0,L32*-1,0)</f>
        <v>28.7442651877993</v>
      </c>
      <c r="AM32" s="134" t="n">
        <f aca="false">AK32+AL32</f>
        <v>543.244265187799</v>
      </c>
      <c r="AN32" s="460"/>
      <c r="AO32" s="146"/>
      <c r="AP32" s="146" t="n">
        <f aca="false">I32-Q32-R32-X32-AF32</f>
        <v>-251.90796915818</v>
      </c>
      <c r="AQ32" s="158" t="n">
        <f aca="false">76.395*(Z32*1.9835+AC32*1.9835)/E32</f>
        <v>44.1224131277367</v>
      </c>
      <c r="AR32" s="136" t="n">
        <f aca="false">18/1.9835</f>
        <v>9.07486765817998</v>
      </c>
      <c r="AS32" s="97" t="n">
        <v>8.58</v>
      </c>
      <c r="AT32" s="11"/>
      <c r="AV32" s="102" t="n">
        <v>0</v>
      </c>
      <c r="AW32" s="103" t="n">
        <v>91</v>
      </c>
      <c r="AX32" s="103" t="n">
        <v>50</v>
      </c>
      <c r="AY32" s="294"/>
      <c r="AZ32" s="250" t="n">
        <f aca="false">SUM(N32,P32:U32)</f>
        <v>13.7650033607522</v>
      </c>
      <c r="BA32" s="93" t="n">
        <v>8.58</v>
      </c>
      <c r="BB32" s="464" t="n">
        <v>11389</v>
      </c>
    </row>
    <row r="33" customFormat="false" ht="12.95" hidden="false" customHeight="true" outlineLevel="0" collapsed="false">
      <c r="A33" s="10" t="n">
        <f aca="false">A32+1</f>
        <v>19</v>
      </c>
      <c r="B33" s="359" t="n">
        <v>6876.17</v>
      </c>
      <c r="C33" s="94" t="n">
        <v>204906</v>
      </c>
      <c r="D33" s="103" t="n">
        <f aca="false">C33-C32</f>
        <v>-809</v>
      </c>
      <c r="E33" s="94" t="n">
        <f aca="false">C33-152000</f>
        <v>52906</v>
      </c>
      <c r="F33" s="141" t="n">
        <f aca="false">D33/$D$2</f>
        <v>-407.864885303756</v>
      </c>
      <c r="G33" s="134" t="n">
        <v>144</v>
      </c>
      <c r="H33" s="97" t="n">
        <v>0</v>
      </c>
      <c r="I33" s="134" t="n">
        <f aca="false">G33+H33</f>
        <v>144</v>
      </c>
      <c r="J33" s="368" t="n">
        <f aca="false">IF(L33&gt;0,L33,0)</f>
        <v>0</v>
      </c>
      <c r="K33" s="134" t="n">
        <f aca="false">I33+J33</f>
        <v>144</v>
      </c>
      <c r="L33" s="134" t="n">
        <f aca="false">F33-(I33-AK33)</f>
        <v>-31.1648853037559</v>
      </c>
      <c r="M33" s="137" t="n">
        <v>209</v>
      </c>
      <c r="N33" s="158" t="n">
        <f aca="false">(1.8299*1.03)/2</f>
        <v>0.9423985</v>
      </c>
      <c r="O33" s="150" t="n">
        <f aca="false">11.9*1.05</f>
        <v>12.495</v>
      </c>
      <c r="P33" s="83" t="n">
        <v>2.4388</v>
      </c>
      <c r="Q33" s="338" t="n">
        <f aca="false">1955700/325851/1.9835*1.02</f>
        <v>3.08639242623923</v>
      </c>
      <c r="R33" s="131" t="n">
        <v>4.2</v>
      </c>
      <c r="S33" s="131" t="n">
        <f aca="false">((6.5*1.04)-T33)-4.2</f>
        <v>1.28760992</v>
      </c>
      <c r="T33" s="131" t="n">
        <f aca="false">(1.1542*1.06)*1.04</f>
        <v>1.27239008</v>
      </c>
      <c r="U33" s="357" t="n">
        <v>0</v>
      </c>
      <c r="V33" s="134" t="n">
        <v>116</v>
      </c>
      <c r="W33" s="134" t="n">
        <v>75.1</v>
      </c>
      <c r="X33" s="135" t="n">
        <f aca="false">M33-N33-O33-P33-Q33-R33-S33-T33-U33+V33+W33-AT33+AR33</f>
        <v>383.452276731941</v>
      </c>
      <c r="Y33" s="135" t="n">
        <f aca="false">X33-AO33</f>
        <v>383.452276731941</v>
      </c>
      <c r="Z33" s="107" t="n">
        <f aca="false">Z32+AP33</f>
        <v>10601.3367858361</v>
      </c>
      <c r="AA33" s="135" t="n">
        <f aca="false">(-AP33)</f>
        <v>248.43866915818</v>
      </c>
      <c r="AB33" s="107" t="n">
        <f aca="false">AB32+(Y33+AP33)*1.9835</f>
        <v>56432.2276867643</v>
      </c>
      <c r="AC33" s="107" t="n">
        <f aca="false">AC32+AS33-(AQ32/1.9835)</f>
        <v>4777.46422615297</v>
      </c>
      <c r="AD33" s="107"/>
      <c r="AE33" s="134" t="n">
        <v>105</v>
      </c>
      <c r="AF33" s="137" t="n">
        <v>1.7</v>
      </c>
      <c r="AG33" s="138" t="n">
        <v>1.3</v>
      </c>
      <c r="AH33" s="134" t="n">
        <v>15.6</v>
      </c>
      <c r="AI33" s="80" t="n">
        <f aca="false">AI32-AH33</f>
        <v>4862.83684762418</v>
      </c>
      <c r="AJ33" s="80"/>
      <c r="AK33" s="134" t="n">
        <f aca="false">N34+O33+P33+Q33+R33+S33+T33+U33+X33+AE33+AH33-AR33</f>
        <v>520.7</v>
      </c>
      <c r="AL33" s="134" t="n">
        <f aca="false">IF(L33&lt;0,L33*-1,0)</f>
        <v>31.1648853037559</v>
      </c>
      <c r="AM33" s="134" t="n">
        <f aca="false">AK33+AL33</f>
        <v>551.864885303756</v>
      </c>
      <c r="AN33" s="460"/>
      <c r="AO33" s="146"/>
      <c r="AP33" s="146" t="n">
        <f aca="false">I33-Q33-R33-X33-AF33</f>
        <v>-248.43866915818</v>
      </c>
      <c r="AQ33" s="158" t="n">
        <f aca="false">82.426*(Z33*1.9835+AC33*1.9835)/E33</f>
        <v>47.5241085900822</v>
      </c>
      <c r="AR33" s="136" t="n">
        <f aca="false">18/1.9835</f>
        <v>9.07486765817998</v>
      </c>
      <c r="AS33" s="97" t="n">
        <v>8.73</v>
      </c>
      <c r="AT33" s="11"/>
      <c r="AV33" s="102" t="n">
        <v>0</v>
      </c>
      <c r="AW33" s="103" t="n">
        <v>90</v>
      </c>
      <c r="AX33" s="103" t="n">
        <v>48</v>
      </c>
      <c r="AY33" s="294"/>
      <c r="AZ33" s="250" t="n">
        <f aca="false">SUM(N33,P33:U33)</f>
        <v>13.2275909262392</v>
      </c>
      <c r="BA33" s="93" t="n">
        <v>8.73</v>
      </c>
      <c r="BB33" s="464" t="n">
        <v>11437</v>
      </c>
    </row>
    <row r="34" customFormat="false" ht="12.95" hidden="false" customHeight="true" outlineLevel="0" collapsed="false">
      <c r="A34" s="10" t="n">
        <f aca="false">A33+1</f>
        <v>20</v>
      </c>
      <c r="B34" s="359" t="n">
        <v>6875.88</v>
      </c>
      <c r="C34" s="94" t="n">
        <v>204073</v>
      </c>
      <c r="D34" s="103" t="n">
        <f aca="false">C34-C33</f>
        <v>-833</v>
      </c>
      <c r="E34" s="94" t="n">
        <f aca="false">C34-152000</f>
        <v>52073</v>
      </c>
      <c r="F34" s="141" t="n">
        <f aca="false">D34/$D$2</f>
        <v>-419.964708847996</v>
      </c>
      <c r="G34" s="134" t="n">
        <v>130</v>
      </c>
      <c r="H34" s="97" t="n">
        <v>0</v>
      </c>
      <c r="I34" s="134" t="n">
        <f aca="false">G34+H34</f>
        <v>130</v>
      </c>
      <c r="J34" s="368" t="n">
        <f aca="false">IF(L34&gt;0,L34,0)</f>
        <v>0</v>
      </c>
      <c r="K34" s="134" t="n">
        <f aca="false">I34+J34</f>
        <v>130</v>
      </c>
      <c r="L34" s="134" t="n">
        <f aca="false">F34-(I34-AK34)</f>
        <v>-69.8690566740829</v>
      </c>
      <c r="M34" s="137" t="n">
        <v>214</v>
      </c>
      <c r="N34" s="158" t="n">
        <f aca="false">(1.8299*1.03)/2</f>
        <v>0.9423985</v>
      </c>
      <c r="O34" s="97" t="n">
        <f aca="false">13.5*1.05</f>
        <v>14.175</v>
      </c>
      <c r="P34" s="83" t="n">
        <v>0</v>
      </c>
      <c r="Q34" s="338" t="n">
        <f aca="false">1981900/325851/1.9835*1.02</f>
        <v>3.12774001613925</v>
      </c>
      <c r="R34" s="131" t="n">
        <v>4.2</v>
      </c>
      <c r="S34" s="131" t="n">
        <f aca="false">((6.5*1.04)-T34)-4.2</f>
        <v>1.28760992</v>
      </c>
      <c r="T34" s="131" t="n">
        <f aca="false">(1.1542*1.06)*1.04</f>
        <v>1.27239008</v>
      </c>
      <c r="U34" s="357" t="n">
        <v>0</v>
      </c>
      <c r="V34" s="134" t="n">
        <v>109</v>
      </c>
      <c r="W34" s="134" t="n">
        <v>74.4</v>
      </c>
      <c r="X34" s="135" t="n">
        <f aca="false">M34-N34-O34-P34-Q34-R34-S34-T34-U34+V34+W34-AT34+AR34</f>
        <v>381.469729142041</v>
      </c>
      <c r="Y34" s="135" t="n">
        <f aca="false">X34-AO34</f>
        <v>381.469729142041</v>
      </c>
      <c r="Z34" s="107" t="n">
        <f aca="false">Z33+AP34</f>
        <v>10340.8393166779</v>
      </c>
      <c r="AA34" s="135" t="n">
        <f aca="false">(-AP34)</f>
        <v>260.49746915818</v>
      </c>
      <c r="AB34" s="107" t="n">
        <f aca="false">AB33+(Y34+AP34)*1.9835</f>
        <v>56672.1761644423</v>
      </c>
      <c r="AC34" s="107" t="n">
        <f aca="false">AC33+AS34-(AQ33/1.9835)</f>
        <v>4762.07450415142</v>
      </c>
      <c r="AD34" s="107"/>
      <c r="AE34" s="134" t="n">
        <v>67.0956521739131</v>
      </c>
      <c r="AF34" s="137" t="n">
        <v>1.7</v>
      </c>
      <c r="AG34" s="138" t="n">
        <v>1.3</v>
      </c>
      <c r="AH34" s="134" t="n">
        <v>15.6</v>
      </c>
      <c r="AI34" s="80" t="n">
        <f aca="false">AI33-AH34</f>
        <v>4847.23684762418</v>
      </c>
      <c r="AJ34" s="80"/>
      <c r="AK34" s="134" t="n">
        <f aca="false">N35+O34+P34+Q34+R34+S34+T34+U34+X34+AE34+AH34-AR34</f>
        <v>480.095652173913</v>
      </c>
      <c r="AL34" s="134" t="n">
        <f aca="false">IF(L34&lt;0,L34*-1,0)</f>
        <v>69.8690566740829</v>
      </c>
      <c r="AM34" s="134" t="n">
        <f aca="false">AK34+AL34</f>
        <v>549.964708847996</v>
      </c>
      <c r="AN34" s="460"/>
      <c r="AO34" s="146"/>
      <c r="AP34" s="146" t="n">
        <f aca="false">I34-Q34-R34-X34-AF34</f>
        <v>-260.49746915818</v>
      </c>
      <c r="AQ34" s="158" t="n">
        <f aca="false">59.139*(Z34*1.9835+AC34*1.9835)/E34</f>
        <v>34.0215681017538</v>
      </c>
      <c r="AR34" s="136" t="n">
        <f aca="false">18/1.9835</f>
        <v>9.07486765817998</v>
      </c>
      <c r="AS34" s="97" t="n">
        <v>8.57</v>
      </c>
      <c r="AT34" s="11"/>
      <c r="AV34" s="102" t="n">
        <v>0</v>
      </c>
      <c r="AW34" s="103" t="n">
        <v>89</v>
      </c>
      <c r="AX34" s="103" t="n">
        <v>47</v>
      </c>
      <c r="AY34" s="294"/>
      <c r="AZ34" s="250" t="n">
        <f aca="false">SUM(N34,P34:U34)</f>
        <v>10.8301385161393</v>
      </c>
      <c r="BA34" s="93" t="n">
        <v>8.57</v>
      </c>
      <c r="BB34" s="464" t="n">
        <v>11482</v>
      </c>
    </row>
    <row r="35" customFormat="false" ht="12.95" hidden="false" customHeight="true" outlineLevel="0" collapsed="false">
      <c r="A35" s="10" t="n">
        <f aca="false">A34+1</f>
        <v>21</v>
      </c>
      <c r="B35" s="359" t="n">
        <v>6875.59</v>
      </c>
      <c r="C35" s="94" t="n">
        <v>203245</v>
      </c>
      <c r="D35" s="103" t="n">
        <f aca="false">C35-C34</f>
        <v>-828</v>
      </c>
      <c r="E35" s="94" t="n">
        <f aca="false">C35-152000</f>
        <v>51245</v>
      </c>
      <c r="F35" s="141" t="n">
        <f aca="false">D35/$D$2</f>
        <v>-417.443912276279</v>
      </c>
      <c r="G35" s="134" t="n">
        <v>117</v>
      </c>
      <c r="H35" s="97" t="n">
        <v>0</v>
      </c>
      <c r="I35" s="134" t="n">
        <f aca="false">G35+H35</f>
        <v>117</v>
      </c>
      <c r="J35" s="368" t="n">
        <f aca="false">IF(L35&gt;0,L35,0)</f>
        <v>0</v>
      </c>
      <c r="K35" s="134" t="n">
        <f aca="false">I35+J35</f>
        <v>117</v>
      </c>
      <c r="L35" s="134" t="n">
        <f aca="false">F35-(I35-AK35)</f>
        <v>-22.9439122762792</v>
      </c>
      <c r="M35" s="137" t="n">
        <v>232</v>
      </c>
      <c r="N35" s="158" t="n">
        <f aca="false">(1.8299*1.03)/2</f>
        <v>0.9423985</v>
      </c>
      <c r="O35" s="150" t="n">
        <f aca="false">16.4*1.05</f>
        <v>17.22</v>
      </c>
      <c r="P35" s="83" t="n">
        <v>0</v>
      </c>
      <c r="Q35" s="338" t="n">
        <f aca="false">2060500/325851/1.9835*1.02</f>
        <v>3.25178278583931</v>
      </c>
      <c r="R35" s="131" t="n">
        <v>4.2</v>
      </c>
      <c r="S35" s="131" t="n">
        <f aca="false">((7*1.04)-T35)-4.2</f>
        <v>1.73132384</v>
      </c>
      <c r="T35" s="131" t="n">
        <f aca="false">(1.2234*1.06)*1.04</f>
        <v>1.34867616</v>
      </c>
      <c r="U35" s="357" t="n">
        <v>0</v>
      </c>
      <c r="V35" s="134" t="n">
        <v>114</v>
      </c>
      <c r="W35" s="134" t="n">
        <v>73.8</v>
      </c>
      <c r="X35" s="135" t="n">
        <f aca="false">M35-N35-O35-P35-Q35-R35-S35-T35-U35+V35+W35-AT35+AR35</f>
        <v>400.180686372341</v>
      </c>
      <c r="Y35" s="135" t="n">
        <f aca="false">X35-AO35</f>
        <v>400.180686372341</v>
      </c>
      <c r="Z35" s="107" t="n">
        <f aca="false">Z34+AP35</f>
        <v>10048.5068475197</v>
      </c>
      <c r="AA35" s="135" t="n">
        <f aca="false">(-AP35)</f>
        <v>292.33246915818</v>
      </c>
      <c r="AB35" s="107" t="n">
        <f aca="false">AB34+(Y35+AP35)*1.9835</f>
        <v>56886.0931032866</v>
      </c>
      <c r="AC35" s="107" t="n">
        <f aca="false">AC34+AS35-(AQ34/1.9835)</f>
        <v>4753.21221370435</v>
      </c>
      <c r="AD35" s="107"/>
      <c r="AE35" s="134" t="n">
        <v>77.6</v>
      </c>
      <c r="AF35" s="137" t="n">
        <v>1.7</v>
      </c>
      <c r="AG35" s="138" t="n">
        <v>1.3</v>
      </c>
      <c r="AH35" s="134" t="n">
        <v>14.1</v>
      </c>
      <c r="AI35" s="80" t="n">
        <f aca="false">AI34-AH35</f>
        <v>4833.13684762418</v>
      </c>
      <c r="AJ35" s="80"/>
      <c r="AK35" s="134" t="n">
        <f aca="false">N36+O35+P35+Q35+R35+S35+T35+U35+X35+AE35+AH35-AR35</f>
        <v>511.5</v>
      </c>
      <c r="AL35" s="134" t="n">
        <f aca="false">IF(L35&lt;0,L35*-1,0)</f>
        <v>22.9439122762792</v>
      </c>
      <c r="AM35" s="134" t="n">
        <f aca="false">AK35+AL35</f>
        <v>534.443912276279</v>
      </c>
      <c r="AN35" s="460"/>
      <c r="AO35" s="146"/>
      <c r="AP35" s="146" t="n">
        <f aca="false">I35-Q35-R35-X35-AF35</f>
        <v>-292.33246915818</v>
      </c>
      <c r="AQ35" s="158" t="n">
        <f aca="false">57.799*(Z35*1.9835+AC35*1.9835)/E35</f>
        <v>33.1141177636659</v>
      </c>
      <c r="AR35" s="136" t="n">
        <f aca="false">18/1.9835</f>
        <v>9.07486765817998</v>
      </c>
      <c r="AS35" s="97" t="n">
        <v>8.29</v>
      </c>
      <c r="AT35" s="11"/>
      <c r="AV35" s="102" t="n">
        <v>0</v>
      </c>
      <c r="AW35" s="103" t="n">
        <v>88</v>
      </c>
      <c r="AX35" s="103" t="n">
        <v>46</v>
      </c>
      <c r="AY35" s="294"/>
      <c r="AZ35" s="250" t="n">
        <f aca="false">SUM(N35,P35:U35)</f>
        <v>11.4741812858393</v>
      </c>
      <c r="BA35" s="93" t="n">
        <v>8.29</v>
      </c>
      <c r="BB35" s="464" t="n">
        <v>11443</v>
      </c>
    </row>
    <row r="36" customFormat="false" ht="12.95" hidden="false" customHeight="true" outlineLevel="0" collapsed="false">
      <c r="A36" s="10" t="n">
        <f aca="false">A35+1</f>
        <v>22</v>
      </c>
      <c r="B36" s="359" t="n">
        <v>6875.3</v>
      </c>
      <c r="C36" s="94" t="n">
        <v>202417</v>
      </c>
      <c r="D36" s="103" t="n">
        <f aca="false">C36-C35</f>
        <v>-828</v>
      </c>
      <c r="E36" s="94" t="n">
        <f aca="false">C36-152000</f>
        <v>50417</v>
      </c>
      <c r="F36" s="141" t="n">
        <f aca="false">D36/$D$2</f>
        <v>-417.443912276279</v>
      </c>
      <c r="G36" s="134" t="n">
        <v>114</v>
      </c>
      <c r="H36" s="97" t="n">
        <v>0</v>
      </c>
      <c r="I36" s="134" t="n">
        <f aca="false">G36+H36</f>
        <v>114</v>
      </c>
      <c r="J36" s="368" t="n">
        <f aca="false">IF(L36&gt;0,L36,0)</f>
        <v>0</v>
      </c>
      <c r="K36" s="134" t="n">
        <f aca="false">I36+J36</f>
        <v>114</v>
      </c>
      <c r="L36" s="134" t="n">
        <f aca="false">F36-(I36-AK36)</f>
        <v>-21.4439122762793</v>
      </c>
      <c r="M36" s="137" t="n">
        <v>231</v>
      </c>
      <c r="N36" s="158" t="n">
        <f aca="false">(1.8299*1.03)/2</f>
        <v>0.9423985</v>
      </c>
      <c r="O36" s="150" t="n">
        <f aca="false">16.9*1.05</f>
        <v>17.745</v>
      </c>
      <c r="P36" s="83" t="n">
        <v>0</v>
      </c>
      <c r="Q36" s="338" t="n">
        <f aca="false">1947200/325851/1.9835*1.02</f>
        <v>3.07297813180602</v>
      </c>
      <c r="R36" s="131" t="n">
        <v>4.2</v>
      </c>
      <c r="S36" s="131" t="n">
        <f aca="false">((7*1.04)-T36)-4.2</f>
        <v>1.73132384</v>
      </c>
      <c r="T36" s="131" t="n">
        <f aca="false">(1.2234*1.06)*1.04</f>
        <v>1.34867616</v>
      </c>
      <c r="U36" s="357" t="n">
        <v>0</v>
      </c>
      <c r="V36" s="134" t="n">
        <v>119</v>
      </c>
      <c r="W36" s="134" t="n">
        <v>74.7</v>
      </c>
      <c r="X36" s="135" t="n">
        <f aca="false">M36-N36-O36-P36-Q36-R36-S36-T36-U36+V36+W36-AT36+AR36</f>
        <v>404.734491026374</v>
      </c>
      <c r="Y36" s="135" t="n">
        <f aca="false">X36-AO36</f>
        <v>404.734491026374</v>
      </c>
      <c r="Z36" s="107" t="n">
        <f aca="false">Z35+AP36</f>
        <v>9748.79937836155</v>
      </c>
      <c r="AA36" s="135" t="n">
        <f aca="false">(-AP36)</f>
        <v>299.70746915818</v>
      </c>
      <c r="AB36" s="107" t="n">
        <f aca="false">AB35+(Y36+AP36)*1.9835</f>
        <v>57094.4142011621</v>
      </c>
      <c r="AC36" s="107" t="n">
        <f aca="false">AC35+AS36-(AQ35/1.9835)</f>
        <v>4744.83742279754</v>
      </c>
      <c r="AD36" s="107"/>
      <c r="AE36" s="134" t="n">
        <v>74.6</v>
      </c>
      <c r="AF36" s="137" t="n">
        <v>1.7</v>
      </c>
      <c r="AG36" s="138" t="n">
        <v>1.3</v>
      </c>
      <c r="AH36" s="134" t="n">
        <v>10.7</v>
      </c>
      <c r="AI36" s="80" t="n">
        <f aca="false">AI35-AH36</f>
        <v>4822.43684762418</v>
      </c>
      <c r="AJ36" s="80"/>
      <c r="AK36" s="134" t="n">
        <f aca="false">N37+O36+P36+Q36+R36+S36+T36+U36+X36+AE36+AH36-AR36</f>
        <v>510</v>
      </c>
      <c r="AL36" s="134" t="n">
        <f aca="false">IF(L36&lt;0,L36*-1,0)</f>
        <v>21.4439122762793</v>
      </c>
      <c r="AM36" s="134" t="n">
        <f aca="false">AK36+AL36</f>
        <v>531.443912276279</v>
      </c>
      <c r="AN36" s="460"/>
      <c r="AO36" s="146"/>
      <c r="AP36" s="146" t="n">
        <f aca="false">I36-Q36-R36-X36-AF36</f>
        <v>-299.70746915818</v>
      </c>
      <c r="AQ36" s="158" t="n">
        <f aca="false">57.777*(Z36*1.9835+AC36*1.9835)/E36</f>
        <v>32.9448524473697</v>
      </c>
      <c r="AR36" s="136" t="n">
        <f aca="false">18/1.9835</f>
        <v>9.07486765817998</v>
      </c>
      <c r="AS36" s="97" t="n">
        <v>8.32</v>
      </c>
      <c r="AT36" s="11"/>
      <c r="AV36" s="102" t="n">
        <v>0</v>
      </c>
      <c r="AW36" s="103" t="n">
        <v>85</v>
      </c>
      <c r="AX36" s="103" t="n">
        <v>47</v>
      </c>
      <c r="AY36" s="294"/>
      <c r="AZ36" s="250" t="n">
        <f aca="false">SUM(N36,P36:U36)</f>
        <v>11.295376631806</v>
      </c>
      <c r="BA36" s="93" t="n">
        <v>8.32</v>
      </c>
      <c r="BB36" s="464" t="n">
        <v>11362</v>
      </c>
    </row>
    <row r="37" customFormat="false" ht="12.95" hidden="false" customHeight="true" outlineLevel="0" collapsed="false">
      <c r="A37" s="10" t="n">
        <f aca="false">A36+1</f>
        <v>23</v>
      </c>
      <c r="B37" s="359" t="n">
        <v>6875.01</v>
      </c>
      <c r="C37" s="94" t="n">
        <v>201589</v>
      </c>
      <c r="D37" s="103" t="n">
        <f aca="false">C37-C36</f>
        <v>-828</v>
      </c>
      <c r="E37" s="94" t="n">
        <f aca="false">C37-152000</f>
        <v>49589</v>
      </c>
      <c r="F37" s="141" t="n">
        <f aca="false">D37/$D$2</f>
        <v>-417.443912276279</v>
      </c>
      <c r="G37" s="134" t="n">
        <v>101</v>
      </c>
      <c r="H37" s="97" t="n">
        <v>0</v>
      </c>
      <c r="I37" s="134" t="n">
        <f aca="false">G37+H37</f>
        <v>101</v>
      </c>
      <c r="J37" s="368" t="n">
        <f aca="false">IF(L37&gt;0,L37,0)</f>
        <v>0</v>
      </c>
      <c r="K37" s="134" t="n">
        <f aca="false">I37+J37</f>
        <v>101</v>
      </c>
      <c r="L37" s="134" t="n">
        <f aca="false">F37-(I37-AK37)</f>
        <v>-15.3439122762794</v>
      </c>
      <c r="M37" s="137" t="n">
        <v>225</v>
      </c>
      <c r="N37" s="158" t="n">
        <f aca="false">(1.8299*1.03)/2</f>
        <v>0.9423985</v>
      </c>
      <c r="O37" s="150" t="n">
        <f aca="false">17*1.05</f>
        <v>17.85</v>
      </c>
      <c r="P37" s="83" t="n">
        <v>0</v>
      </c>
      <c r="Q37" s="338" t="n">
        <f aca="false">2066400/325851/1.9835*1.02</f>
        <v>3.26109388432825</v>
      </c>
      <c r="R37" s="131" t="n">
        <v>4.2</v>
      </c>
      <c r="S37" s="131" t="n">
        <f aca="false">((7*1.04)-T37)-4.2</f>
        <v>1.73132384</v>
      </c>
      <c r="T37" s="131" t="n">
        <f aca="false">(1.2234*1.06)*1.04</f>
        <v>1.34867616</v>
      </c>
      <c r="U37" s="357" t="n">
        <v>0</v>
      </c>
      <c r="V37" s="134" t="n">
        <v>122</v>
      </c>
      <c r="W37" s="134" t="n">
        <v>74.9</v>
      </c>
      <c r="X37" s="135" t="n">
        <f aca="false">M37-N37-O37-P37-Q37-R37-S37-T37-U37+V37+W37-AT37+AR37</f>
        <v>401.641375273852</v>
      </c>
      <c r="Y37" s="135" t="n">
        <f aca="false">X37-AO37</f>
        <v>401.641375273852</v>
      </c>
      <c r="Z37" s="107" t="n">
        <f aca="false">Z36+AP37</f>
        <v>9438.99690920337</v>
      </c>
      <c r="AA37" s="135" t="n">
        <f aca="false">(-AP37)</f>
        <v>309.80246915818</v>
      </c>
      <c r="AB37" s="107" t="n">
        <f aca="false">AB36+(Y37+AP37)*1.9835</f>
        <v>57276.5766714426</v>
      </c>
      <c r="AC37" s="107" t="n">
        <f aca="false">AC36+AS37-(AQ36/1.9835)</f>
        <v>4736.68796857653</v>
      </c>
      <c r="AD37" s="107"/>
      <c r="AE37" s="134" t="n">
        <v>69.4</v>
      </c>
      <c r="AF37" s="137" t="n">
        <v>1.7</v>
      </c>
      <c r="AG37" s="138" t="n">
        <v>1.3</v>
      </c>
      <c r="AH37" s="134" t="n">
        <v>11.8</v>
      </c>
      <c r="AI37" s="80" t="n">
        <f aca="false">AI36-AH37</f>
        <v>4810.63684762418</v>
      </c>
      <c r="AJ37" s="80"/>
      <c r="AK37" s="134" t="n">
        <f aca="false">N38+O37+P37+Q37+R37+S37+T37+U37+X37+AE37+AH37-AR37</f>
        <v>503.1</v>
      </c>
      <c r="AL37" s="134" t="n">
        <f aca="false">IF(L37&lt;0,L37*-1,0)</f>
        <v>15.3439122762794</v>
      </c>
      <c r="AM37" s="134" t="n">
        <f aca="false">AK37+AL37</f>
        <v>518.443912276279</v>
      </c>
      <c r="AN37" s="460"/>
      <c r="AO37" s="146"/>
      <c r="AP37" s="146" t="n">
        <f aca="false">I37-Q37-R37-X37-AF37</f>
        <v>-309.80246915818</v>
      </c>
      <c r="AQ37" s="158" t="n">
        <f aca="false">57.446*(Z37*1.9835+AC37*1.9835)/E37</f>
        <v>32.5724704366961</v>
      </c>
      <c r="AR37" s="136" t="n">
        <f aca="false">18/1.9835</f>
        <v>9.07486765817998</v>
      </c>
      <c r="AS37" s="97" t="n">
        <v>8.46</v>
      </c>
      <c r="AT37" s="11"/>
      <c r="AV37" s="102" t="n">
        <v>0</v>
      </c>
      <c r="AW37" s="103" t="n">
        <v>89</v>
      </c>
      <c r="AX37" s="103" t="n">
        <v>48</v>
      </c>
      <c r="AY37" s="294"/>
      <c r="AZ37" s="250" t="n">
        <f aca="false">SUM(N37,P37:U37)</f>
        <v>11.4834923843282</v>
      </c>
      <c r="BA37" s="93" t="n">
        <v>8.46</v>
      </c>
      <c r="BB37" s="464" t="n">
        <v>11352</v>
      </c>
    </row>
    <row r="38" customFormat="false" ht="12.95" hidden="false" customHeight="true" outlineLevel="0" collapsed="false">
      <c r="A38" s="10" t="n">
        <f aca="false">A37+1</f>
        <v>24</v>
      </c>
      <c r="B38" s="359" t="n">
        <v>6874.68</v>
      </c>
      <c r="C38" s="94" t="n">
        <v>200658</v>
      </c>
      <c r="D38" s="103" t="n">
        <f aca="false">C38-C37</f>
        <v>-931</v>
      </c>
      <c r="E38" s="94" t="n">
        <f aca="false">C38-152000</f>
        <v>48658</v>
      </c>
      <c r="F38" s="141" t="n">
        <f aca="false">D38/$D$2</f>
        <v>-469.372321653643</v>
      </c>
      <c r="G38" s="134" t="n">
        <v>91</v>
      </c>
      <c r="H38" s="97" t="n">
        <v>0</v>
      </c>
      <c r="I38" s="134" t="n">
        <f aca="false">G38+H38</f>
        <v>91</v>
      </c>
      <c r="J38" s="368" t="n">
        <f aca="false">IF(L38&gt;0,L38,0)</f>
        <v>0</v>
      </c>
      <c r="K38" s="134" t="n">
        <f aca="false">I38+J38</f>
        <v>91</v>
      </c>
      <c r="L38" s="134" t="n">
        <f aca="false">F38-(I38-AK38)</f>
        <v>-77.2723216536425</v>
      </c>
      <c r="M38" s="137" t="n">
        <v>228</v>
      </c>
      <c r="N38" s="158" t="n">
        <f aca="false">(1.8299*1.03)/2</f>
        <v>0.9423985</v>
      </c>
      <c r="O38" s="150" t="n">
        <f aca="false">13.5*1.05</f>
        <v>14.175</v>
      </c>
      <c r="P38" s="83" t="n">
        <v>0</v>
      </c>
      <c r="Q38" s="338" t="n">
        <f aca="false">2184900/325851/1.9835*1.02</f>
        <v>3.44810493025009</v>
      </c>
      <c r="R38" s="131" t="n">
        <v>4.2</v>
      </c>
      <c r="S38" s="131" t="n">
        <f aca="false">((7*1.04)-T38)-4.2</f>
        <v>1.73132384</v>
      </c>
      <c r="T38" s="131" t="n">
        <f aca="false">(1.2234*1.06)*1.04</f>
        <v>1.34867616</v>
      </c>
      <c r="U38" s="357" t="n">
        <v>0</v>
      </c>
      <c r="V38" s="134" t="n">
        <v>118</v>
      </c>
      <c r="W38" s="134" t="n">
        <v>74.5</v>
      </c>
      <c r="X38" s="135" t="n">
        <f aca="false">M38-N38-O38-P38-Q38-R38-S38-T38-U38+V38+W38-AT38+AR38</f>
        <v>403.72936422793</v>
      </c>
      <c r="Y38" s="135" t="n">
        <f aca="false">X38-AO38</f>
        <v>403.72936422793</v>
      </c>
      <c r="Z38" s="107" t="n">
        <f aca="false">Z37+AP38</f>
        <v>9116.91944004519</v>
      </c>
      <c r="AA38" s="135" t="n">
        <f aca="false">(-AP38)</f>
        <v>322.07746915818</v>
      </c>
      <c r="AB38" s="107" t="n">
        <f aca="false">AB37+(Y38+AP38)*1.9835</f>
        <v>57438.5332053134</v>
      </c>
      <c r="AC38" s="107" t="n">
        <f aca="false">AC37+AS38-(AQ37/1.9835)</f>
        <v>4729.2662542147</v>
      </c>
      <c r="AD38" s="107"/>
      <c r="AE38" s="134" t="n">
        <v>50.3</v>
      </c>
      <c r="AF38" s="137" t="n">
        <v>1.7</v>
      </c>
      <c r="AG38" s="138" t="n">
        <v>1.3</v>
      </c>
      <c r="AH38" s="134" t="n">
        <v>12.3</v>
      </c>
      <c r="AI38" s="80" t="n">
        <f aca="false">AI37-AH38</f>
        <v>4798.33684762418</v>
      </c>
      <c r="AJ38" s="80"/>
      <c r="AK38" s="134" t="n">
        <f aca="false">N39+O38+P38+Q38+R38+S38+T38+U38+X38+AE38+AH38-AR38</f>
        <v>483.1</v>
      </c>
      <c r="AL38" s="134" t="n">
        <f aca="false">IF(L38&lt;0,L38*-1,0)</f>
        <v>77.2723216536425</v>
      </c>
      <c r="AM38" s="134" t="n">
        <f aca="false">AK38+AL38</f>
        <v>560.372321653643</v>
      </c>
      <c r="AN38" s="460"/>
      <c r="AO38" s="146"/>
      <c r="AP38" s="146" t="n">
        <f aca="false">I38-Q38-R38-X38-AF38</f>
        <v>-322.07746915818</v>
      </c>
      <c r="AQ38" s="158" t="n">
        <f aca="false">53.638*(Z38*1.9835+AC38*1.9835)/E38</f>
        <v>30.2747578682023</v>
      </c>
      <c r="AR38" s="136" t="n">
        <f aca="false">18/1.9835</f>
        <v>9.07486765817998</v>
      </c>
      <c r="AS38" s="97" t="n">
        <v>9</v>
      </c>
      <c r="AT38" s="11"/>
      <c r="AV38" s="102" t="n">
        <v>0</v>
      </c>
      <c r="AW38" s="103" t="n">
        <v>84</v>
      </c>
      <c r="AX38" s="103" t="n">
        <v>49</v>
      </c>
      <c r="AY38" s="294"/>
      <c r="AZ38" s="250" t="n">
        <f aca="false">SUM(N38,P38:U38)</f>
        <v>11.6705034302501</v>
      </c>
      <c r="BA38" s="93" t="n">
        <v>9</v>
      </c>
      <c r="BB38" s="464" t="n">
        <v>10779</v>
      </c>
    </row>
    <row r="39" customFormat="false" ht="12.95" hidden="false" customHeight="true" outlineLevel="0" collapsed="false">
      <c r="A39" s="10" t="n">
        <f aca="false">A38+1</f>
        <v>25</v>
      </c>
      <c r="B39" s="359" t="n">
        <v>6874.38</v>
      </c>
      <c r="C39" s="94" t="n">
        <v>199811</v>
      </c>
      <c r="D39" s="103" t="n">
        <f aca="false">C39-C38</f>
        <v>-847</v>
      </c>
      <c r="E39" s="94" t="n">
        <f aca="false">C39-152000</f>
        <v>47811</v>
      </c>
      <c r="F39" s="141" t="n">
        <f aca="false">D39/$D$2</f>
        <v>-427.022939248803</v>
      </c>
      <c r="G39" s="134" t="n">
        <v>80</v>
      </c>
      <c r="H39" s="97" t="n">
        <v>0</v>
      </c>
      <c r="I39" s="134" t="n">
        <f aca="false">G39+H39</f>
        <v>80</v>
      </c>
      <c r="J39" s="368" t="n">
        <f aca="false">IF(L39&gt;0,L39,0)</f>
        <v>14.3770607511973</v>
      </c>
      <c r="K39" s="134" t="n">
        <f aca="false">I39+J39</f>
        <v>94.3770607511974</v>
      </c>
      <c r="L39" s="134" t="n">
        <f aca="false">F39-(I39-AK39)</f>
        <v>14.3770607511973</v>
      </c>
      <c r="M39" s="137" t="n">
        <v>240</v>
      </c>
      <c r="N39" s="158" t="n">
        <f aca="false">(1.8299*1.03)/2</f>
        <v>0.9423985</v>
      </c>
      <c r="O39" s="150" t="n">
        <f aca="false">16.8*1.05</f>
        <v>17.64</v>
      </c>
      <c r="P39" s="83" t="n">
        <v>0</v>
      </c>
      <c r="Q39" s="338" t="n">
        <f aca="false">1994600/325851/1.9835*1.02</f>
        <v>3.14778255017476</v>
      </c>
      <c r="R39" s="131" t="n">
        <v>4.2</v>
      </c>
      <c r="S39" s="131" t="n">
        <f aca="false">((6.8*1.04)-T39)-4.2</f>
        <v>1.52332384</v>
      </c>
      <c r="T39" s="131" t="n">
        <f aca="false">(1.2234*1.06)*1.04</f>
        <v>1.34867616</v>
      </c>
      <c r="U39" s="357" t="n">
        <v>0</v>
      </c>
      <c r="V39" s="134" t="n">
        <v>113</v>
      </c>
      <c r="W39" s="134" t="n">
        <v>74.9</v>
      </c>
      <c r="X39" s="135" t="n">
        <f aca="false">M39-N39-O39-P39-Q39-R39-S39-T39-U39+V39+W39-AT39+AR39</f>
        <v>408.172686608005</v>
      </c>
      <c r="Y39" s="135" t="n">
        <f aca="false">X39-AO39</f>
        <v>408.172686608005</v>
      </c>
      <c r="Z39" s="107" t="n">
        <f aca="false">Z38+AP39</f>
        <v>8779.69897088701</v>
      </c>
      <c r="AA39" s="135" t="n">
        <f aca="false">(-AP39)</f>
        <v>337.22046915818</v>
      </c>
      <c r="AB39" s="107" t="n">
        <f aca="false">AB38+(Y39+AP39)*1.9835</f>
        <v>57579.2669286251</v>
      </c>
      <c r="AC39" s="107" t="n">
        <f aca="false">AC38+AS39-(AQ38/1.9835)</f>
        <v>4723.79295304595</v>
      </c>
      <c r="AD39" s="107"/>
      <c r="AE39" s="134" t="n">
        <v>81.2</v>
      </c>
      <c r="AF39" s="137" t="n">
        <v>1.7</v>
      </c>
      <c r="AG39" s="138" t="n">
        <v>1.3</v>
      </c>
      <c r="AH39" s="134" t="n">
        <v>12.3</v>
      </c>
      <c r="AI39" s="80" t="n">
        <f aca="false">AI38-AH39</f>
        <v>4786.03684762418</v>
      </c>
      <c r="AJ39" s="80"/>
      <c r="AK39" s="134" t="n">
        <f aca="false">N40+O39+P39+Q39+R39+S39+T39+U39+X39+AE39+AH39-AR39</f>
        <v>521.4</v>
      </c>
      <c r="AL39" s="134" t="n">
        <f aca="false">IF(L39&lt;0,L39*-1,0)</f>
        <v>0</v>
      </c>
      <c r="AM39" s="134" t="n">
        <f aca="false">AK39+AL39</f>
        <v>521.4</v>
      </c>
      <c r="AN39" s="460"/>
      <c r="AO39" s="146"/>
      <c r="AP39" s="146" t="n">
        <f aca="false">I39-Q39-R39-X39-AF39</f>
        <v>-337.22046915818</v>
      </c>
      <c r="AQ39" s="158" t="n">
        <f aca="false">54.795*(Z39*1.9835+AC39*1.9835)/E39</f>
        <v>30.6966793537947</v>
      </c>
      <c r="AR39" s="136" t="n">
        <f aca="false">18/1.9835</f>
        <v>9.07486765817998</v>
      </c>
      <c r="AS39" s="97" t="n">
        <v>9.79</v>
      </c>
      <c r="AT39" s="11"/>
      <c r="AV39" s="102" t="n">
        <v>0</v>
      </c>
      <c r="AW39" s="103" t="n">
        <v>86</v>
      </c>
      <c r="AX39" s="103" t="n">
        <v>47</v>
      </c>
      <c r="AY39" s="294"/>
      <c r="AZ39" s="250" t="n">
        <f aca="false">SUM(N39,P39:U39)</f>
        <v>11.1621810501748</v>
      </c>
      <c r="BA39" s="93" t="n">
        <v>9.79</v>
      </c>
      <c r="BB39" s="464" t="n">
        <v>10057</v>
      </c>
    </row>
    <row r="40" customFormat="false" ht="12.95" hidden="false" customHeight="true" outlineLevel="0" collapsed="false">
      <c r="A40" s="10" t="n">
        <f aca="false">A39+1</f>
        <v>26</v>
      </c>
      <c r="B40" s="359" t="n">
        <v>6874.06</v>
      </c>
      <c r="C40" s="94" t="n">
        <v>198909</v>
      </c>
      <c r="D40" s="103" t="n">
        <f aca="false">C40-C39</f>
        <v>-902</v>
      </c>
      <c r="E40" s="94" t="n">
        <f aca="false">C40-152000</f>
        <v>46909</v>
      </c>
      <c r="F40" s="141" t="n">
        <f aca="false">D40/$D$2</f>
        <v>-454.751701537686</v>
      </c>
      <c r="G40" s="134" t="n">
        <v>71</v>
      </c>
      <c r="H40" s="97" t="n">
        <v>0</v>
      </c>
      <c r="I40" s="134" t="n">
        <f aca="false">G40+H40</f>
        <v>71</v>
      </c>
      <c r="J40" s="368" t="n">
        <f aca="false">IF(L40&gt;0,L40,0)</f>
        <v>0</v>
      </c>
      <c r="K40" s="134" t="n">
        <f aca="false">I40+J40</f>
        <v>71</v>
      </c>
      <c r="L40" s="134" t="n">
        <f aca="false">F40-(I40-AK40)</f>
        <v>-22.4517015376859</v>
      </c>
      <c r="M40" s="137" t="n">
        <v>239</v>
      </c>
      <c r="N40" s="158" t="n">
        <f aca="false">(1.8299*1.03)/2</f>
        <v>0.9423985</v>
      </c>
      <c r="O40" s="4" t="n">
        <f aca="false">22.4*1.05</f>
        <v>23.52</v>
      </c>
      <c r="P40" s="83" t="n">
        <v>0</v>
      </c>
      <c r="Q40" s="338" t="n">
        <f aca="false">2041000/325851/1.9835*1.02</f>
        <v>3.22100881625724</v>
      </c>
      <c r="R40" s="131" t="n">
        <v>4.2</v>
      </c>
      <c r="S40" s="131" t="n">
        <f aca="false">((6.8*1.04)-T40)-4.2</f>
        <v>1.52332384</v>
      </c>
      <c r="T40" s="131" t="n">
        <f aca="false">(1.2234*1.06)*1.04</f>
        <v>1.34867616</v>
      </c>
      <c r="U40" s="357" t="n">
        <v>0</v>
      </c>
      <c r="V40" s="134" t="n">
        <v>112</v>
      </c>
      <c r="W40" s="134" t="n">
        <v>74.8</v>
      </c>
      <c r="X40" s="135" t="n">
        <f aca="false">M40-N40-O40-P40-Q40-R40-S40-T40-U40+V40+W40-AT40+AR40</f>
        <v>400.119460341923</v>
      </c>
      <c r="Y40" s="135" t="n">
        <f aca="false">X40-AO40</f>
        <v>400.119460341923</v>
      </c>
      <c r="Z40" s="107" t="n">
        <f aca="false">Z39+AP40</f>
        <v>8441.45850172883</v>
      </c>
      <c r="AA40" s="135" t="n">
        <f aca="false">(-AP40)</f>
        <v>338.24046915818</v>
      </c>
      <c r="AB40" s="107" t="n">
        <f aca="false">AB39+(Y40+AP40)*1.9835</f>
        <v>57702.0039076381</v>
      </c>
      <c r="AC40" s="107" t="n">
        <f aca="false">AC39+AS40-(AQ39/1.9835)</f>
        <v>4718.31693623033</v>
      </c>
      <c r="AD40" s="107"/>
      <c r="AE40" s="470" t="n">
        <v>65.2</v>
      </c>
      <c r="AF40" s="137" t="n">
        <v>1.7</v>
      </c>
      <c r="AG40" s="138" t="n">
        <v>1.3</v>
      </c>
      <c r="AH40" s="134" t="n">
        <v>12.3</v>
      </c>
      <c r="AI40" s="80" t="n">
        <f aca="false">AI39-AH40</f>
        <v>4773.73684762418</v>
      </c>
      <c r="AJ40" s="80"/>
      <c r="AK40" s="134" t="n">
        <f aca="false">N41+O40+P40+Q40+R40+S40+T40+U40+X40+AE40+AH40-AR40</f>
        <v>503.3</v>
      </c>
      <c r="AL40" s="134" t="n">
        <f aca="false">IF(L40&lt;0,L40*-1,0)</f>
        <v>22.4517015376859</v>
      </c>
      <c r="AM40" s="134" t="n">
        <f aca="false">AK40+AL40</f>
        <v>525.751701537686</v>
      </c>
      <c r="AN40" s="460"/>
      <c r="AO40" s="146"/>
      <c r="AP40" s="146" t="n">
        <f aca="false">I40-Q40-R40-X40-AF40</f>
        <v>-338.24046915818</v>
      </c>
      <c r="AQ40" s="158" t="n">
        <f aca="false">68.862*(Z40*1.9835+AC40*1.9835)/E40</f>
        <v>38.3181153486547</v>
      </c>
      <c r="AR40" s="136" t="n">
        <f aca="false">18/1.9835</f>
        <v>9.07486765817998</v>
      </c>
      <c r="AS40" s="97" t="n">
        <v>10</v>
      </c>
      <c r="AT40" s="4"/>
      <c r="AV40" s="102" t="n">
        <v>0</v>
      </c>
      <c r="AW40" s="103" t="n">
        <v>92</v>
      </c>
      <c r="AX40" s="103" t="n">
        <v>52</v>
      </c>
      <c r="AY40" s="294"/>
      <c r="AZ40" s="250" t="n">
        <f aca="false">SUM(N40,P40:U40)</f>
        <v>11.2354073162572</v>
      </c>
      <c r="BA40" s="93" t="n">
        <v>10</v>
      </c>
      <c r="BB40" s="464" t="n">
        <v>10038</v>
      </c>
    </row>
    <row r="41" customFormat="false" ht="12.95" hidden="false" customHeight="true" outlineLevel="0" collapsed="false">
      <c r="A41" s="10" t="n">
        <f aca="false">A40+1</f>
        <v>27</v>
      </c>
      <c r="B41" s="359" t="n">
        <v>6873.76</v>
      </c>
      <c r="C41" s="94" t="n">
        <v>198071</v>
      </c>
      <c r="D41" s="103" t="n">
        <f aca="false">C41-C40</f>
        <v>-838</v>
      </c>
      <c r="E41" s="94" t="n">
        <f aca="false">C41-152000</f>
        <v>46071</v>
      </c>
      <c r="F41" s="141" t="n">
        <f aca="false">D41/$D$2</f>
        <v>-422.485505419713</v>
      </c>
      <c r="G41" s="134" t="n">
        <v>68</v>
      </c>
      <c r="H41" s="97" t="n">
        <v>0</v>
      </c>
      <c r="I41" s="134" t="n">
        <f aca="false">G41+H41</f>
        <v>68</v>
      </c>
      <c r="J41" s="368" t="n">
        <f aca="false">IF(L41&gt;0,L41,0)</f>
        <v>9.11449458028733</v>
      </c>
      <c r="K41" s="134" t="n">
        <f aca="false">I41+J41</f>
        <v>77.1144945802873</v>
      </c>
      <c r="L41" s="134" t="n">
        <f aca="false">F41-(I41-AK41)</f>
        <v>9.11449458028733</v>
      </c>
      <c r="M41" s="137" t="n">
        <v>229</v>
      </c>
      <c r="N41" s="158" t="n">
        <f aca="false">(1.8299*1.03)/2</f>
        <v>0.9423985</v>
      </c>
      <c r="O41" s="150" t="n">
        <f aca="false">22.9*1.05</f>
        <v>24.045</v>
      </c>
      <c r="P41" s="83" t="n">
        <v>0</v>
      </c>
      <c r="Q41" s="338" t="n">
        <f aca="false">2137600/325851/1.9835*1.02</f>
        <v>3.37345832710998</v>
      </c>
      <c r="R41" s="131" t="n">
        <v>4.2</v>
      </c>
      <c r="S41" s="131" t="n">
        <f aca="false">((6.8*1.04)-T41)-4.2</f>
        <v>1.52332384</v>
      </c>
      <c r="T41" s="131" t="n">
        <f aca="false">(1.2234*1.06)*1.04</f>
        <v>1.34867616</v>
      </c>
      <c r="U41" s="357" t="n">
        <v>0</v>
      </c>
      <c r="V41" s="134" t="n">
        <v>119</v>
      </c>
      <c r="W41" s="134" t="n">
        <v>75</v>
      </c>
      <c r="X41" s="135" t="n">
        <f aca="false">M41-N41-O41-P41-Q41-R41-S41-T41-U41+V41+W41-AT41+AR41</f>
        <v>396.64201083107</v>
      </c>
      <c r="Y41" s="135" t="n">
        <f aca="false">X41-AO41</f>
        <v>396.64201083107</v>
      </c>
      <c r="Z41" s="107" t="n">
        <f aca="false">Z40+AP41</f>
        <v>8103.54303257065</v>
      </c>
      <c r="AA41" s="135" t="n">
        <f aca="false">(-AP41)</f>
        <v>337.91546915818</v>
      </c>
      <c r="AB41" s="107" t="n">
        <f aca="false">AB40+(Y41+AP41)*1.9835</f>
        <v>57818.4880030463</v>
      </c>
      <c r="AC41" s="107" t="n">
        <f aca="false">AC40+AS41-(AQ40/1.9835)</f>
        <v>4709.09850146922</v>
      </c>
      <c r="AD41" s="107"/>
      <c r="AE41" s="134" t="n">
        <v>64.4</v>
      </c>
      <c r="AF41" s="137" t="n">
        <v>1.7</v>
      </c>
      <c r="AG41" s="138" t="n">
        <v>1.3</v>
      </c>
      <c r="AH41" s="134" t="n">
        <v>12.2</v>
      </c>
      <c r="AI41" s="80" t="n">
        <f aca="false">AI40-AH41</f>
        <v>4761.53684762418</v>
      </c>
      <c r="AJ41" s="80"/>
      <c r="AK41" s="134" t="n">
        <f aca="false">N42+O41+P41+Q41+R41+S41+T41+U41+X41+AE41+AH41-AR41</f>
        <v>499.6</v>
      </c>
      <c r="AL41" s="134" t="n">
        <f aca="false">IF(L41&lt;0,L41*-1,0)</f>
        <v>0</v>
      </c>
      <c r="AM41" s="134" t="n">
        <f aca="false">AK41+AL41</f>
        <v>499.6</v>
      </c>
      <c r="AN41" s="460"/>
      <c r="AO41" s="146"/>
      <c r="AP41" s="146" t="n">
        <f aca="false">I41-Q41-R41-X41-AF41</f>
        <v>-337.91546915818</v>
      </c>
      <c r="AQ41" s="158" t="n">
        <f aca="false">69.843*(Z41*1.9835+AC41*1.9835)/E41</f>
        <v>38.5270828829409</v>
      </c>
      <c r="AR41" s="136" t="n">
        <f aca="false">18/1.9835</f>
        <v>9.07486765817998</v>
      </c>
      <c r="AS41" s="97" t="n">
        <v>10.1</v>
      </c>
      <c r="AT41" s="11"/>
      <c r="AV41" s="102" t="n">
        <v>0</v>
      </c>
      <c r="AW41" s="103" t="n">
        <v>101</v>
      </c>
      <c r="AX41" s="103" t="n">
        <v>55</v>
      </c>
      <c r="AY41" s="294"/>
      <c r="AZ41" s="250" t="n">
        <f aca="false">SUM(N41,P41:U41)</f>
        <v>11.38785682711</v>
      </c>
      <c r="BA41" s="93" t="n">
        <v>10.1</v>
      </c>
      <c r="BB41" s="464" t="n">
        <v>10020</v>
      </c>
    </row>
    <row r="42" customFormat="false" ht="12.95" hidden="false" customHeight="true" outlineLevel="0" collapsed="false">
      <c r="A42" s="10" t="n">
        <f aca="false">A41+1</f>
        <v>28</v>
      </c>
      <c r="B42" s="359" t="n">
        <v>6873.4</v>
      </c>
      <c r="C42" s="94" t="n">
        <v>197067</v>
      </c>
      <c r="D42" s="103" t="n">
        <f aca="false">C42-C41</f>
        <v>-1004</v>
      </c>
      <c r="E42" s="94" t="n">
        <f aca="false">C42-152000</f>
        <v>45067</v>
      </c>
      <c r="F42" s="141" t="n">
        <f aca="false">D42/$D$2</f>
        <v>-506.175951600706</v>
      </c>
      <c r="G42" s="134" t="n">
        <v>72</v>
      </c>
      <c r="H42" s="97" t="n">
        <v>0</v>
      </c>
      <c r="I42" s="134" t="n">
        <f aca="false">G42+H42</f>
        <v>72</v>
      </c>
      <c r="J42" s="368" t="n">
        <f aca="false">IF(L42&gt;0,L42,0)</f>
        <v>0</v>
      </c>
      <c r="K42" s="134" t="n">
        <f aca="false">I42+J42</f>
        <v>72</v>
      </c>
      <c r="L42" s="134" t="n">
        <f aca="false">F42-(I42-AK42)</f>
        <v>-66.4759516007057</v>
      </c>
      <c r="M42" s="137" t="n">
        <v>224</v>
      </c>
      <c r="N42" s="158" t="n">
        <f aca="false">(1.8299*1.03)/2</f>
        <v>0.9423985</v>
      </c>
      <c r="O42" s="150" t="n">
        <f aca="false">19.2*1.05</f>
        <v>20.16</v>
      </c>
      <c r="P42" s="83" t="n">
        <v>0</v>
      </c>
      <c r="Q42" s="338" t="n">
        <f aca="false">2162300/325851/1.9835*1.02</f>
        <v>3.41243868858061</v>
      </c>
      <c r="R42" s="131" t="n">
        <v>4.2</v>
      </c>
      <c r="S42" s="131" t="n">
        <f aca="false">((6.8*1.04)-T42)-4.2</f>
        <v>1.42906864</v>
      </c>
      <c r="T42" s="131" t="n">
        <f aca="false">(1.3089*1.06)*1.04</f>
        <v>1.44293136</v>
      </c>
      <c r="U42" s="357" t="n">
        <v>0</v>
      </c>
      <c r="V42" s="134" t="n">
        <v>129</v>
      </c>
      <c r="W42" s="134" t="n">
        <v>75.1</v>
      </c>
      <c r="X42" s="135" t="n">
        <f aca="false">M42-N42-O42-P42-Q42-R42-S42-T42-U42+V42+W42-AT42+AR42</f>
        <v>405.588030469599</v>
      </c>
      <c r="Y42" s="135" t="n">
        <f aca="false">X42-AO42</f>
        <v>405.588030469599</v>
      </c>
      <c r="Z42" s="107" t="n">
        <f aca="false">Z41+AP42</f>
        <v>7760.64256341247</v>
      </c>
      <c r="AA42" s="135" t="n">
        <f aca="false">(-AP42)</f>
        <v>342.90046915818</v>
      </c>
      <c r="AB42" s="107" t="n">
        <f aca="false">AB41+(Y42+AP42)*1.9835</f>
        <v>57942.8287809075</v>
      </c>
      <c r="AC42" s="107" t="n">
        <f aca="false">AC41+AS42-(AQ41/1.9835)</f>
        <v>4699.87471377931</v>
      </c>
      <c r="AD42" s="107"/>
      <c r="AE42" s="134" t="n">
        <v>71.8</v>
      </c>
      <c r="AF42" s="137" t="n">
        <v>1.7</v>
      </c>
      <c r="AG42" s="138" t="n">
        <v>1.3</v>
      </c>
      <c r="AH42" s="134" t="n">
        <v>11.8</v>
      </c>
      <c r="AI42" s="80" t="n">
        <f aca="false">AI41-AH42</f>
        <v>4749.73684762418</v>
      </c>
      <c r="AJ42" s="80"/>
      <c r="AK42" s="134" t="n">
        <f aca="false">N43+O42+P42+Q42+R42+S42+T42+U42+X42+AE42+AH42-AR42</f>
        <v>511.7</v>
      </c>
      <c r="AL42" s="134" t="n">
        <f aca="false">IF(L42&lt;0,L42*-1,0)</f>
        <v>66.4759516007057</v>
      </c>
      <c r="AM42" s="134" t="n">
        <f aca="false">AK42+AL42</f>
        <v>578.175951600706</v>
      </c>
      <c r="AN42" s="460"/>
      <c r="AO42" s="146"/>
      <c r="AP42" s="146" t="n">
        <f aca="false">I42-Q42-R42-X42-AF42</f>
        <v>-342.90046915818</v>
      </c>
      <c r="AQ42" s="158" t="n">
        <f aca="false">54.272*(Z42*1.9835+AC42*1.9835)/E42</f>
        <v>29.7635996103576</v>
      </c>
      <c r="AR42" s="136" t="n">
        <f aca="false">18/1.9835</f>
        <v>9.07486765817998</v>
      </c>
      <c r="AS42" s="97" t="n">
        <v>10.2</v>
      </c>
      <c r="AT42" s="11"/>
      <c r="AV42" s="102" t="n">
        <v>0.01</v>
      </c>
      <c r="AW42" s="103" t="n">
        <v>98</v>
      </c>
      <c r="AX42" s="103" t="n">
        <v>59</v>
      </c>
      <c r="AY42" s="294"/>
      <c r="AZ42" s="250" t="n">
        <f aca="false">SUM(N42,P42:U42)</f>
        <v>11.4268371885806</v>
      </c>
      <c r="BA42" s="93" t="n">
        <v>10.2</v>
      </c>
      <c r="BB42" s="464" t="n">
        <v>10000</v>
      </c>
    </row>
    <row r="43" customFormat="false" ht="12.95" hidden="false" customHeight="true" outlineLevel="0" collapsed="false">
      <c r="A43" s="10" t="n">
        <f aca="false">A42+1</f>
        <v>29</v>
      </c>
      <c r="B43" s="359" t="n">
        <v>6873.08</v>
      </c>
      <c r="C43" s="94" t="n">
        <v>196176</v>
      </c>
      <c r="D43" s="103" t="n">
        <f aca="false">C43-C42</f>
        <v>-891</v>
      </c>
      <c r="E43" s="94" t="n">
        <f aca="false">C43-152000</f>
        <v>44176</v>
      </c>
      <c r="F43" s="141" t="n">
        <f aca="false">D43/$D$2</f>
        <v>-449.205949079909</v>
      </c>
      <c r="G43" s="134" t="n">
        <v>74</v>
      </c>
      <c r="H43" s="97" t="n">
        <v>0</v>
      </c>
      <c r="I43" s="134" t="n">
        <f aca="false">G43+H43</f>
        <v>74</v>
      </c>
      <c r="J43" s="368" t="n">
        <f aca="false">IF(L43&gt;0,L43,0)</f>
        <v>0</v>
      </c>
      <c r="K43" s="134" t="n">
        <f aca="false">I43+J43</f>
        <v>74</v>
      </c>
      <c r="L43" s="134" t="n">
        <f aca="false">F43-(I43-AK43)</f>
        <v>-40.4059490799092</v>
      </c>
      <c r="M43" s="137" t="n">
        <v>215</v>
      </c>
      <c r="N43" s="158" t="n">
        <f aca="false">(1.8299*1.03)/2</f>
        <v>0.9423985</v>
      </c>
      <c r="O43" s="150" t="n">
        <f aca="false">10*1.05</f>
        <v>10.5</v>
      </c>
      <c r="P43" s="83" t="n">
        <v>0</v>
      </c>
      <c r="Q43" s="338" t="n">
        <f aca="false">1905000/325851/1.9835*1.02</f>
        <v>3.00638010532584</v>
      </c>
      <c r="R43" s="131" t="n">
        <v>4.2</v>
      </c>
      <c r="S43" s="131" t="n">
        <f aca="false">((6.8*1.04)-T43)-4.2</f>
        <v>1.42906864</v>
      </c>
      <c r="T43" s="131" t="n">
        <f aca="false">(1.3089*1.06)*1.04</f>
        <v>1.44293136</v>
      </c>
      <c r="U43" s="357" t="n">
        <v>0</v>
      </c>
      <c r="V43" s="134" t="n">
        <v>137</v>
      </c>
      <c r="W43" s="134" t="n">
        <v>74.8</v>
      </c>
      <c r="X43" s="135" t="n">
        <f aca="false">M43-N43-O43-P43-Q43-R43-S43-T43-U43+V43+W43-AT43+AR43</f>
        <v>414.354089052854</v>
      </c>
      <c r="Y43" s="135" t="n">
        <f aca="false">X43-AO43</f>
        <v>414.354089052854</v>
      </c>
      <c r="Z43" s="107" t="n">
        <f aca="false">Z42+AP43</f>
        <v>7411.38209425429</v>
      </c>
      <c r="AA43" s="135" t="n">
        <f aca="false">(-AP43)</f>
        <v>349.26046915818</v>
      </c>
      <c r="AB43" s="107" t="n">
        <f aca="false">AB42+(Y43+AP43)*1.9835</f>
        <v>58071.9419759686</v>
      </c>
      <c r="AC43" s="107" t="n">
        <f aca="false">AC42+AS43-(AQ42/1.9835)</f>
        <v>4695.46911780736</v>
      </c>
      <c r="AD43" s="107"/>
      <c r="AE43" s="134" t="n">
        <v>44.2</v>
      </c>
      <c r="AF43" s="137" t="n">
        <v>1.7</v>
      </c>
      <c r="AG43" s="138" t="n">
        <v>1.3</v>
      </c>
      <c r="AH43" s="134" t="n">
        <v>11.8</v>
      </c>
      <c r="AI43" s="80" t="n">
        <f aca="false">AI42-AH43</f>
        <v>4737.93684762418</v>
      </c>
      <c r="AJ43" s="80"/>
      <c r="AK43" s="134" t="n">
        <f aca="false">N44+O43+P43+Q43+R43+S43+T43+U43+X43+AE43+AH43-AR43</f>
        <v>482.8</v>
      </c>
      <c r="AL43" s="134" t="n">
        <f aca="false">IF(L43&lt;0,L43*-1,0)</f>
        <v>40.4059490799092</v>
      </c>
      <c r="AM43" s="134" t="n">
        <f aca="false">AK43+AL43</f>
        <v>523.205949079909</v>
      </c>
      <c r="AN43" s="460"/>
      <c r="AO43" s="146"/>
      <c r="AP43" s="146" t="n">
        <f aca="false">I43-Q43-R43-X43-AF43</f>
        <v>-349.26046915818</v>
      </c>
      <c r="AQ43" s="158" t="n">
        <f aca="false">49.588*(Z43*1.9835+AC43*1.9835)/E43</f>
        <v>26.9558861357301</v>
      </c>
      <c r="AR43" s="136" t="n">
        <f aca="false">18/1.9835</f>
        <v>9.07486765817998</v>
      </c>
      <c r="AS43" s="97" t="n">
        <v>10.6</v>
      </c>
      <c r="AT43" s="11"/>
      <c r="AV43" s="102" t="n">
        <v>0</v>
      </c>
      <c r="AW43" s="103" t="n">
        <v>97</v>
      </c>
      <c r="AX43" s="103" t="n">
        <v>60</v>
      </c>
      <c r="AY43" s="294"/>
      <c r="AZ43" s="250" t="n">
        <f aca="false">SUM(N43,P43:U43)</f>
        <v>11.0207786053258</v>
      </c>
      <c r="BA43" s="93" t="n">
        <v>10.6</v>
      </c>
      <c r="BB43" s="464" t="n">
        <v>9982</v>
      </c>
    </row>
    <row r="44" customFormat="false" ht="12.95" hidden="false" customHeight="true" outlineLevel="0" collapsed="false">
      <c r="A44" s="10" t="n">
        <v>30</v>
      </c>
      <c r="B44" s="359" t="n">
        <v>6872.78</v>
      </c>
      <c r="C44" s="94" t="n">
        <v>195347</v>
      </c>
      <c r="D44" s="103" t="n">
        <f aca="false">C44-C43</f>
        <v>-829</v>
      </c>
      <c r="E44" s="94" t="n">
        <f aca="false">C44-152000</f>
        <v>43347</v>
      </c>
      <c r="F44" s="141" t="n">
        <f aca="false">D44/$D$2</f>
        <v>-417.948071590623</v>
      </c>
      <c r="G44" s="134" t="n">
        <v>77</v>
      </c>
      <c r="H44" s="97" t="n">
        <v>0</v>
      </c>
      <c r="I44" s="134" t="n">
        <f aca="false">G44+H44</f>
        <v>77</v>
      </c>
      <c r="J44" s="368" t="n">
        <f aca="false">IF(L44&gt;0,L44,0)</f>
        <v>0</v>
      </c>
      <c r="K44" s="134" t="n">
        <f aca="false">I44+J44</f>
        <v>77</v>
      </c>
      <c r="L44" s="134" t="n">
        <f aca="false">F44-(I44-AK44)</f>
        <v>-17.9904700906226</v>
      </c>
      <c r="M44" s="137" t="n">
        <v>216</v>
      </c>
      <c r="N44" s="158" t="n">
        <f aca="false">(1.8299*1.03)/2</f>
        <v>0.9423985</v>
      </c>
      <c r="O44" s="150" t="n">
        <f aca="false">6.39*1.05</f>
        <v>6.7095</v>
      </c>
      <c r="P44" s="83" t="n">
        <v>0</v>
      </c>
      <c r="Q44" s="338" t="n">
        <f aca="false">2205400/325851/1.9835*1.02</f>
        <v>3.48045705211843</v>
      </c>
      <c r="R44" s="131" t="n">
        <v>4.2</v>
      </c>
      <c r="S44" s="131" t="n">
        <f aca="false">((6.8*1.04)-T44)-4.2</f>
        <v>1.42906864</v>
      </c>
      <c r="T44" s="131" t="n">
        <f aca="false">(1.3089*1.06)*1.04</f>
        <v>1.44293136</v>
      </c>
      <c r="U44" s="357" t="n">
        <v>0</v>
      </c>
      <c r="V44" s="134" t="n">
        <v>139</v>
      </c>
      <c r="W44" s="134" t="n">
        <v>74.6</v>
      </c>
      <c r="X44" s="135" t="n">
        <f aca="false">M44-N44-O44-P44-Q44-R44-S44-T44-U44+V44+W44-AT44+AR44</f>
        <v>420.470512106062</v>
      </c>
      <c r="Y44" s="135" t="n">
        <f aca="false">X44-AO44</f>
        <v>420.470512106062</v>
      </c>
      <c r="Z44" s="107" t="n">
        <f aca="false">Z43+AP44</f>
        <v>7058.53112509611</v>
      </c>
      <c r="AA44" s="135" t="n">
        <f aca="false">(-AP44)</f>
        <v>352.85096915818</v>
      </c>
      <c r="AB44" s="107" t="n">
        <f aca="false">AB43+(Y44+AP44)*1.9835</f>
        <v>58206.0653394057</v>
      </c>
      <c r="AC44" s="107" t="n">
        <f aca="false">AC43+AS44-(AQ43/1.9835)</f>
        <v>4692.47905673565</v>
      </c>
      <c r="AD44" s="107"/>
      <c r="AE44" s="134" t="n">
        <v>36.5</v>
      </c>
      <c r="AF44" s="137" t="n">
        <v>1.7</v>
      </c>
      <c r="AG44" s="138" t="n">
        <v>1.3</v>
      </c>
      <c r="AH44" s="134" t="n">
        <v>11.8</v>
      </c>
      <c r="AI44" s="80" t="n">
        <f aca="false">AI43-AH44</f>
        <v>4726.13684762418</v>
      </c>
      <c r="AJ44" s="80"/>
      <c r="AK44" s="134" t="n">
        <f aca="false">N45+O44+P44+Q44+R44+S44+T44+U44+X44+AE44+AH44-AR44</f>
        <v>476.9576015</v>
      </c>
      <c r="AL44" s="134" t="n">
        <f aca="false">IF(L44&lt;0,L44*-1,0)</f>
        <v>17.9904700906226</v>
      </c>
      <c r="AM44" s="141" t="n">
        <f aca="false">AK44+AL44</f>
        <v>494.948071590623</v>
      </c>
      <c r="AN44" s="103"/>
      <c r="AO44" s="146"/>
      <c r="AP44" s="146" t="n">
        <f aca="false">I44-Q44-R44-X44-AF44</f>
        <v>-352.85096915818</v>
      </c>
      <c r="AQ44" s="158" t="n">
        <f aca="false">36.505*(Z44*1.9835+AC44*1.9835)/E44</f>
        <v>19.6291147723069</v>
      </c>
      <c r="AR44" s="136" t="n">
        <f aca="false">18/1.9835</f>
        <v>9.07486765817998</v>
      </c>
      <c r="AS44" s="97" t="n">
        <v>10.6</v>
      </c>
      <c r="AT44" s="11"/>
      <c r="AV44" s="102" t="n">
        <v>0.02</v>
      </c>
      <c r="AW44" s="103" t="n">
        <v>92</v>
      </c>
      <c r="AX44" s="103" t="n">
        <v>57</v>
      </c>
      <c r="AY44" s="294"/>
      <c r="AZ44" s="250" t="n">
        <f aca="false">SUM(N44,P44:U44)</f>
        <v>11.4948555521184</v>
      </c>
      <c r="BA44" s="93" t="n">
        <v>10.6</v>
      </c>
      <c r="BB44" s="464" t="n">
        <v>9964</v>
      </c>
    </row>
    <row r="45" customFormat="false" ht="3" hidden="false" customHeight="true" outlineLevel="0" collapsed="false">
      <c r="A45" s="109"/>
      <c r="B45" s="371"/>
      <c r="C45" s="119" t="s">
        <v>138</v>
      </c>
      <c r="D45" s="116"/>
      <c r="E45" s="119"/>
      <c r="F45" s="143"/>
      <c r="G45" s="116"/>
      <c r="H45" s="118"/>
      <c r="I45" s="116"/>
      <c r="J45" s="116"/>
      <c r="K45" s="116"/>
      <c r="L45" s="116"/>
      <c r="M45" s="120"/>
      <c r="N45" s="116"/>
      <c r="O45" s="116"/>
      <c r="P45" s="116"/>
      <c r="Q45" s="116"/>
      <c r="R45" s="116"/>
      <c r="S45" s="116"/>
      <c r="T45" s="116"/>
      <c r="U45" s="366"/>
      <c r="V45" s="116"/>
      <c r="W45" s="116"/>
      <c r="X45" s="116"/>
      <c r="Y45" s="116"/>
      <c r="Z45" s="119"/>
      <c r="AA45" s="116"/>
      <c r="AB45" s="233"/>
      <c r="AC45" s="119"/>
      <c r="AD45" s="119"/>
      <c r="AE45" s="116"/>
      <c r="AF45" s="120"/>
      <c r="AG45" s="121"/>
      <c r="AH45" s="116"/>
      <c r="AI45" s="116"/>
      <c r="AJ45" s="116"/>
      <c r="AK45" s="116"/>
      <c r="AL45" s="116"/>
      <c r="AM45" s="143"/>
      <c r="AN45" s="123"/>
      <c r="AO45" s="123"/>
      <c r="AP45" s="123"/>
      <c r="AQ45" s="238"/>
      <c r="AR45" s="240"/>
      <c r="AS45" s="240"/>
      <c r="AT45" s="243"/>
      <c r="AU45" s="240"/>
      <c r="AV45" s="125"/>
      <c r="AW45" s="123"/>
      <c r="AX45" s="123"/>
      <c r="AY45" s="156"/>
      <c r="AZ45" s="469"/>
      <c r="BA45" s="365"/>
      <c r="BB45" s="469"/>
    </row>
    <row r="46" customFormat="false" ht="12.95" hidden="false" customHeight="true" outlineLevel="0" collapsed="false">
      <c r="A46" s="11" t="s">
        <v>101</v>
      </c>
      <c r="B46" s="356"/>
      <c r="C46" s="94"/>
      <c r="D46" s="94"/>
      <c r="E46" s="94"/>
      <c r="F46" s="145" t="n">
        <f aca="false">SUM(F15:F44)</f>
        <v>-10269.7252331737</v>
      </c>
      <c r="G46" s="80" t="n">
        <f aca="false">SUM(G15:G44)</f>
        <v>6982</v>
      </c>
      <c r="H46" s="146" t="n">
        <f aca="false">SUM(H15:H44)</f>
        <v>0</v>
      </c>
      <c r="I46" s="80" t="n">
        <f aca="false">SUM(I15:I44)</f>
        <v>6982</v>
      </c>
      <c r="J46" s="80" t="n">
        <f aca="false">SUM(J15:J44)</f>
        <v>49.653743382909</v>
      </c>
      <c r="K46" s="80" t="n">
        <f aca="false">SUM(K15:K44)</f>
        <v>7031.65374338291</v>
      </c>
      <c r="L46" s="80" t="n">
        <f aca="false">SUM(L15:L44)</f>
        <v>-741.071979499769</v>
      </c>
      <c r="M46" s="98" t="n">
        <f aca="false">SUM(M15:M44)</f>
        <v>6713</v>
      </c>
      <c r="N46" s="94" t="n">
        <f aca="false">SUM(N15:N44)</f>
        <v>28.271955</v>
      </c>
      <c r="O46" s="103" t="n">
        <f aca="false">SUM(O15:O44)</f>
        <v>395.2935</v>
      </c>
      <c r="P46" s="83" t="n">
        <f aca="false">SUM(P15:P44)</f>
        <v>7.0588</v>
      </c>
      <c r="Q46" s="103" t="n">
        <f aca="false">SUM(Q15:Q44)</f>
        <v>94.8067095209433</v>
      </c>
      <c r="R46" s="103" t="n">
        <f aca="false">SUM(R15:R44)</f>
        <v>126</v>
      </c>
      <c r="S46" s="103" t="n">
        <f aca="false">SUM(S15:S44)</f>
        <v>41.73188848</v>
      </c>
      <c r="T46" s="103" t="n">
        <f aca="false">SUM(T15:T44)</f>
        <v>39.54011152</v>
      </c>
      <c r="U46" s="360" t="n">
        <f aca="false">SUM(U15:U44)</f>
        <v>0</v>
      </c>
      <c r="V46" s="80" t="n">
        <f aca="false">SUM(V15:V44)</f>
        <v>3855</v>
      </c>
      <c r="W46" s="80" t="n">
        <f aca="false">SUM(W15:W44)</f>
        <v>2240</v>
      </c>
      <c r="X46" s="80" t="n">
        <f aca="false">SUM(X15:X44)</f>
        <v>12347.5430652245</v>
      </c>
      <c r="Y46" s="80" t="n">
        <f aca="false">SUM(Y15:Y44)</f>
        <v>12347.5430652245</v>
      </c>
      <c r="Z46" s="80"/>
      <c r="AA46" s="80" t="n">
        <f aca="false">SUM(AA15:AA44)</f>
        <v>5830.57836727086</v>
      </c>
      <c r="AB46" s="107"/>
      <c r="AC46" s="80"/>
      <c r="AD46" s="80"/>
      <c r="AE46" s="80" t="n">
        <f aca="false">SUM(AE15:AE44)</f>
        <v>3253.59565217391</v>
      </c>
      <c r="AF46" s="98" t="n">
        <f aca="false">SUM(AF15:AF44)</f>
        <v>51</v>
      </c>
      <c r="AG46" s="99" t="n">
        <f aca="false">SUM(AG15:AG44)</f>
        <v>39</v>
      </c>
      <c r="AH46" s="80" t="n">
        <f aca="false">SUM(AH15:AH44)</f>
        <v>450</v>
      </c>
      <c r="AI46" s="80"/>
      <c r="AJ46" s="80" t="n">
        <f aca="false">SUM(AJ15:AJ44)</f>
        <v>0</v>
      </c>
      <c r="AK46" s="80" t="n">
        <f aca="false">SUM(AK15:AK44)</f>
        <v>16510.6532536739</v>
      </c>
      <c r="AL46" s="80" t="n">
        <f aca="false">SUM(AL15:AL44)</f>
        <v>790.725722882678</v>
      </c>
      <c r="AM46" s="145" t="n">
        <f aca="false">SUM(AM15:AM44)</f>
        <v>17301.3789765566</v>
      </c>
      <c r="AN46" s="80" t="n">
        <f aca="false">SUM(AN15:AN44)</f>
        <v>0</v>
      </c>
      <c r="AO46" s="80" t="n">
        <f aca="false">SUM(AO15:AO44)</f>
        <v>0</v>
      </c>
      <c r="AP46" s="134" t="n">
        <f aca="false">SUM(AP15:AP44)</f>
        <v>-5637.3497747454</v>
      </c>
      <c r="AQ46" s="158"/>
      <c r="AR46" s="80" t="n">
        <f aca="false">SUM(AR15:AR44)</f>
        <v>272.2460297454</v>
      </c>
      <c r="AS46" s="97" t="n">
        <f aca="false">SUM(AS15:AS44)</f>
        <v>169.056</v>
      </c>
      <c r="AT46" s="146" t="n">
        <f aca="false">SUM(AT15:AT44)</f>
        <v>0</v>
      </c>
      <c r="AU46" s="97" t="n">
        <f aca="false">SUM(AU15:AU44)</f>
        <v>0</v>
      </c>
      <c r="AV46" s="102" t="n">
        <f aca="false">SUM(AV15:AV44)</f>
        <v>0.03</v>
      </c>
      <c r="AW46" s="103" t="n">
        <f aca="false">AVERAGE(AW15:AW44)</f>
        <v>89.2333333333333</v>
      </c>
      <c r="AX46" s="103" t="n">
        <f aca="false">AVERAGE(AX15:AX44)</f>
        <v>50.4</v>
      </c>
      <c r="AY46" s="471" t="s">
        <v>126</v>
      </c>
      <c r="AZ46" s="467" t="n">
        <f aca="false">SUM(AZ15:AZ44)</f>
        <v>337.409464520943</v>
      </c>
      <c r="BA46" s="136" t="n">
        <f aca="false">SUM(BA15:BA44)</f>
        <v>174.077</v>
      </c>
      <c r="BB46" s="464"/>
    </row>
    <row r="47" customFormat="false" ht="12.95" hidden="false" customHeight="true" outlineLevel="0" collapsed="false">
      <c r="A47" s="11" t="s">
        <v>103</v>
      </c>
      <c r="B47" s="356"/>
      <c r="C47" s="94"/>
      <c r="D47" s="94" t="n">
        <f aca="false">SUM(D15:D44)</f>
        <v>-20370</v>
      </c>
      <c r="E47" s="94"/>
      <c r="F47" s="145" t="n">
        <f aca="false">F46*$D$2</f>
        <v>-20370</v>
      </c>
      <c r="G47" s="80" t="n">
        <f aca="false">G46*$D$2</f>
        <v>13848.797</v>
      </c>
      <c r="H47" s="146" t="n">
        <f aca="false">H46*$D$2</f>
        <v>0</v>
      </c>
      <c r="I47" s="80" t="n">
        <f aca="false">I46*$D$2</f>
        <v>13848.797</v>
      </c>
      <c r="J47" s="80" t="n">
        <f aca="false">J46*$D$2</f>
        <v>98.4881999999999</v>
      </c>
      <c r="K47" s="80" t="n">
        <f aca="false">K46*$D$2</f>
        <v>13947.2852</v>
      </c>
      <c r="L47" s="80" t="n">
        <f aca="false">L46*$D$2</f>
        <v>-1469.91627133779</v>
      </c>
      <c r="M47" s="98" t="n">
        <f aca="false">M46*$D$2</f>
        <v>13315.2355</v>
      </c>
      <c r="N47" s="94" t="n">
        <f aca="false">N46*$D$2</f>
        <v>56.0774227425</v>
      </c>
      <c r="O47" s="103" t="n">
        <f aca="false">O46*$D$2</f>
        <v>784.06465725</v>
      </c>
      <c r="P47" s="83" t="n">
        <f aca="false">P46*$D$2</f>
        <v>14.0011298</v>
      </c>
      <c r="Q47" s="103" t="n">
        <f aca="false">Q46*$D$2</f>
        <v>188.049108334791</v>
      </c>
      <c r="R47" s="103" t="n">
        <f aca="false">R46*$D$2</f>
        <v>249.921</v>
      </c>
      <c r="S47" s="103" t="n">
        <f aca="false">S46*$D$2</f>
        <v>82.77520080008</v>
      </c>
      <c r="T47" s="103" t="n">
        <f aca="false">T46*$D$2</f>
        <v>78.42781119992</v>
      </c>
      <c r="U47" s="360" t="n">
        <f aca="false">U46*$D$2</f>
        <v>0</v>
      </c>
      <c r="V47" s="80" t="n">
        <f aca="false">V46*$D$2</f>
        <v>7646.3925</v>
      </c>
      <c r="W47" s="80" t="n">
        <f aca="false">W46*$D$2</f>
        <v>4443.04</v>
      </c>
      <c r="X47" s="80" t="n">
        <f aca="false">X46*$D$2</f>
        <v>24491.3516698727</v>
      </c>
      <c r="Y47" s="80" t="n">
        <f aca="false">Y46*$D$2</f>
        <v>24491.3516698727</v>
      </c>
      <c r="Z47" s="80"/>
      <c r="AA47" s="80" t="n">
        <f aca="false">AA46*$D$2</f>
        <v>11564.9521914818</v>
      </c>
      <c r="AB47" s="107"/>
      <c r="AC47" s="80"/>
      <c r="AD47" s="80"/>
      <c r="AE47" s="80" t="n">
        <f aca="false">AE46*$D$2</f>
        <v>6453.50697608696</v>
      </c>
      <c r="AF47" s="98" t="n">
        <f aca="false">AF46*$D$2</f>
        <v>101.1585</v>
      </c>
      <c r="AG47" s="99" t="n">
        <f aca="false">AG46*$D$2</f>
        <v>77.3565</v>
      </c>
      <c r="AH47" s="80" t="n">
        <f aca="false">AH46*$D$2</f>
        <v>892.575</v>
      </c>
      <c r="AI47" s="80"/>
      <c r="AJ47" s="80" t="n">
        <f aca="false">AJ46*$D$2</f>
        <v>0</v>
      </c>
      <c r="AK47" s="80" t="n">
        <f aca="false">AK46*$D$2</f>
        <v>32748.8807286622</v>
      </c>
      <c r="AL47" s="80" t="n">
        <f aca="false">AL46*$D$2</f>
        <v>1568.40447133779</v>
      </c>
      <c r="AM47" s="145" t="n">
        <f aca="false">AM46*$D$2</f>
        <v>34317.2852</v>
      </c>
      <c r="AN47" s="80" t="n">
        <f aca="false">AN46*$D$2</f>
        <v>0</v>
      </c>
      <c r="AO47" s="80" t="n">
        <f aca="false">AO46*$D$2</f>
        <v>0</v>
      </c>
      <c r="AP47" s="134"/>
      <c r="AQ47" s="158" t="n">
        <f aca="false">SUM(AQ15:AQ44)</f>
        <v>1058.95992311138</v>
      </c>
      <c r="AR47" s="80" t="n">
        <f aca="false">AR46*$D$2</f>
        <v>540</v>
      </c>
      <c r="AS47" s="136" t="n">
        <f aca="false">AS46*$D$2</f>
        <v>335.322576</v>
      </c>
      <c r="AT47" s="215" t="n">
        <f aca="false">AT46*$D$2</f>
        <v>0</v>
      </c>
      <c r="AU47" s="136" t="n">
        <f aca="false">AU46*$D$2</f>
        <v>0</v>
      </c>
      <c r="AV47" s="102"/>
      <c r="AW47" s="103" t="n">
        <f aca="false">MAX(AW15:AW44)</f>
        <v>101</v>
      </c>
      <c r="AX47" s="103" t="n">
        <f aca="false">MAX(AX15:AX44)</f>
        <v>60</v>
      </c>
      <c r="AY47" s="471" t="s">
        <v>104</v>
      </c>
      <c r="AZ47" s="467" t="n">
        <f aca="false">AZ46*$D$2</f>
        <v>669.251672877291</v>
      </c>
      <c r="BA47" s="136" t="n">
        <f aca="false">BA46*$D$2</f>
        <v>345.2817295</v>
      </c>
      <c r="BB47" s="464"/>
      <c r="BD47" s="472"/>
    </row>
    <row r="48" customFormat="false" ht="3" hidden="false" customHeight="true" outlineLevel="0" collapsed="false">
      <c r="A48" s="109"/>
      <c r="B48" s="371"/>
      <c r="C48" s="119"/>
      <c r="D48" s="119"/>
      <c r="E48" s="119"/>
      <c r="F48" s="156"/>
      <c r="G48" s="119"/>
      <c r="H48" s="123"/>
      <c r="I48" s="119"/>
      <c r="J48" s="119"/>
      <c r="K48" s="119"/>
      <c r="L48" s="119"/>
      <c r="M48" s="154"/>
      <c r="N48" s="119"/>
      <c r="O48" s="123"/>
      <c r="P48" s="365"/>
      <c r="Q48" s="118"/>
      <c r="R48" s="118"/>
      <c r="S48" s="119"/>
      <c r="T48" s="119"/>
      <c r="U48" s="155"/>
      <c r="V48" s="119"/>
      <c r="W48" s="119"/>
      <c r="X48" s="119"/>
      <c r="Y48" s="119"/>
      <c r="Z48" s="119"/>
      <c r="AA48" s="119"/>
      <c r="AB48" s="233"/>
      <c r="AC48" s="119"/>
      <c r="AD48" s="119"/>
      <c r="AE48" s="119"/>
      <c r="AF48" s="154"/>
      <c r="AG48" s="155"/>
      <c r="AH48" s="119"/>
      <c r="AI48" s="116"/>
      <c r="AJ48" s="119"/>
      <c r="AK48" s="119"/>
      <c r="AL48" s="119"/>
      <c r="AM48" s="156"/>
      <c r="AN48" s="119"/>
      <c r="AO48" s="119"/>
      <c r="AP48" s="119"/>
      <c r="AQ48" s="238"/>
      <c r="AR48" s="119"/>
      <c r="AS48" s="240"/>
      <c r="AT48" s="243"/>
      <c r="AU48" s="240"/>
      <c r="AV48" s="157"/>
      <c r="AW48" s="119"/>
      <c r="AX48" s="119"/>
      <c r="AY48" s="156"/>
      <c r="AZ48" s="469"/>
      <c r="BA48" s="233"/>
      <c r="BB48" s="469"/>
    </row>
    <row r="49" customFormat="false" ht="12.95" hidden="false" customHeight="true" outlineLevel="0" collapsed="false">
      <c r="A49" s="11" t="s">
        <v>105</v>
      </c>
      <c r="B49" s="356"/>
      <c r="C49" s="94"/>
      <c r="D49" s="94"/>
      <c r="E49" s="94"/>
      <c r="F49" s="145" t="n">
        <f aca="false">F12+F46</f>
        <v>3519.5361734308</v>
      </c>
      <c r="G49" s="80" t="n">
        <f aca="false">G12+G46</f>
        <v>39853</v>
      </c>
      <c r="H49" s="146" t="n">
        <f aca="false">H12+H46</f>
        <v>91.66</v>
      </c>
      <c r="I49" s="80" t="n">
        <f aca="false">I12+I46</f>
        <v>39944.66</v>
      </c>
      <c r="J49" s="80" t="n">
        <f aca="false">J12+J46</f>
        <v>999.057985883539</v>
      </c>
      <c r="K49" s="80" t="n">
        <f aca="false">K12+K46</f>
        <v>40943.7079858835</v>
      </c>
      <c r="L49" s="80" t="n">
        <f aca="false">L12+L46</f>
        <v>-1952.18057289528</v>
      </c>
      <c r="M49" s="98" t="n">
        <f aca="false">M12+M46</f>
        <v>14915.62</v>
      </c>
      <c r="N49" s="94" t="n">
        <f aca="false">N12+N46</f>
        <v>57.4863085</v>
      </c>
      <c r="O49" s="103" t="n">
        <f aca="false">O12+O46</f>
        <v>2612.25041875</v>
      </c>
      <c r="P49" s="83" t="n">
        <f aca="false">P12+P46</f>
        <v>14.3788</v>
      </c>
      <c r="Q49" s="150"/>
      <c r="R49" s="150"/>
      <c r="S49" s="94"/>
      <c r="T49" s="94"/>
      <c r="U49" s="99"/>
      <c r="V49" s="80" t="n">
        <f aca="false">V12+V46</f>
        <v>7152.5</v>
      </c>
      <c r="W49" s="80" t="n">
        <f aca="false">W12+W46</f>
        <v>4028.75</v>
      </c>
      <c r="X49" s="80" t="n">
        <f aca="false">X12+X46</f>
        <v>23211.2988670419</v>
      </c>
      <c r="Y49" s="80" t="n">
        <f aca="false">Y12+Y46</f>
        <v>23211.2988670419</v>
      </c>
      <c r="Z49" s="80"/>
      <c r="AA49" s="80" t="n">
        <f aca="false">AA12+AA46</f>
        <v>5830.57836727086</v>
      </c>
      <c r="AB49" s="107"/>
      <c r="AC49" s="473"/>
      <c r="AD49" s="473"/>
      <c r="AE49" s="80" t="n">
        <f aca="false">AE12+AE46</f>
        <v>6709.30565217391</v>
      </c>
      <c r="AF49" s="98" t="n">
        <f aca="false">AF12+AF46</f>
        <v>154.7</v>
      </c>
      <c r="AG49" s="99" t="n">
        <f aca="false">AG12+AG46</f>
        <v>118.3</v>
      </c>
      <c r="AH49" s="80"/>
      <c r="AI49" s="473"/>
      <c r="AJ49" s="80" t="n">
        <f aca="false">AJ12+AJ46</f>
        <v>0</v>
      </c>
      <c r="AK49" s="80" t="n">
        <f aca="false">AK12+AK46</f>
        <v>34472.9332536739</v>
      </c>
      <c r="AL49" s="80" t="n">
        <f aca="false">AL12+AL46</f>
        <v>2951.23855877882</v>
      </c>
      <c r="AM49" s="145" t="n">
        <f aca="false">AM12+AM46</f>
        <v>37424.1718124527</v>
      </c>
      <c r="AN49" s="80"/>
      <c r="AO49" s="80"/>
      <c r="AP49" s="134"/>
      <c r="AQ49" s="158"/>
      <c r="AR49" s="80" t="n">
        <f aca="false">AR12+AR46</f>
        <v>417.443912276279</v>
      </c>
      <c r="AS49" s="136" t="n">
        <f aca="false">AS12+AS46</f>
        <v>169.056</v>
      </c>
      <c r="AT49" s="158" t="n">
        <f aca="false">AT12+AT46</f>
        <v>0</v>
      </c>
      <c r="AU49" s="136" t="n">
        <f aca="false">AU12+AU46</f>
        <v>0</v>
      </c>
      <c r="AV49" s="102" t="s">
        <v>131</v>
      </c>
      <c r="AW49" s="103" t="n">
        <f aca="false">MIN(AW15:AW44)</f>
        <v>80</v>
      </c>
      <c r="AX49" s="103" t="n">
        <f aca="false">MIN(AX15:AX44)</f>
        <v>43</v>
      </c>
      <c r="AY49" s="471" t="s">
        <v>106</v>
      </c>
      <c r="AZ49" s="467" t="n">
        <f aca="false">AZ12+AZ46</f>
        <v>337.409464520943</v>
      </c>
      <c r="BA49" s="136" t="n">
        <f aca="false">BA12+BA46</f>
        <v>174.077</v>
      </c>
      <c r="BB49" s="464"/>
    </row>
    <row r="50" customFormat="false" ht="12.95" hidden="false" customHeight="true" outlineLevel="0" collapsed="false">
      <c r="A50" s="11" t="s">
        <v>107</v>
      </c>
      <c r="B50" s="356"/>
      <c r="C50" s="94"/>
      <c r="D50" s="94"/>
      <c r="E50" s="94"/>
      <c r="F50" s="145" t="n">
        <f aca="false">F49*$D$2</f>
        <v>6981</v>
      </c>
      <c r="G50" s="80" t="n">
        <f aca="false">G49*$D$2</f>
        <v>79048.4255</v>
      </c>
      <c r="H50" s="146" t="n">
        <f aca="false">H49*$D$2</f>
        <v>181.80761</v>
      </c>
      <c r="I50" s="80" t="n">
        <f aca="false">I49*$D$2</f>
        <v>79230.23311</v>
      </c>
      <c r="J50" s="80" t="n">
        <f aca="false">J49*$D$2</f>
        <v>1981.631515</v>
      </c>
      <c r="K50" s="80" t="n">
        <f aca="false">K49*$D$2</f>
        <v>81211.84479</v>
      </c>
      <c r="L50" s="80" t="n">
        <f aca="false">L49*$D$2</f>
        <v>-3872.15016633779</v>
      </c>
      <c r="M50" s="98" t="n">
        <f aca="false">M49*$D$2</f>
        <v>29585.13227</v>
      </c>
      <c r="N50" s="94" t="n">
        <f aca="false">N49*$D$2</f>
        <v>114.02409290975</v>
      </c>
      <c r="O50" s="103" t="n">
        <f aca="false">O49*$D$2</f>
        <v>5181.39870559063</v>
      </c>
      <c r="P50" s="83" t="n">
        <f aca="false">P49*$D$2</f>
        <v>28.5203498</v>
      </c>
      <c r="Q50" s="150"/>
      <c r="R50" s="150"/>
      <c r="S50" s="94"/>
      <c r="T50" s="94"/>
      <c r="U50" s="99"/>
      <c r="V50" s="80" t="n">
        <f aca="false">V49*$D$2</f>
        <v>14186.98375</v>
      </c>
      <c r="W50" s="80" t="n">
        <f aca="false">W49*$D$2</f>
        <v>7991.025625</v>
      </c>
      <c r="X50" s="80" t="n">
        <f aca="false">X49*$D$2</f>
        <v>46039.6113027776</v>
      </c>
      <c r="Y50" s="80" t="n">
        <f aca="false">Y49*$D$2</f>
        <v>46039.6113027776</v>
      </c>
      <c r="Z50" s="80"/>
      <c r="AA50" s="80" t="n">
        <f aca="false">AA49*$D$2</f>
        <v>11564.9521914818</v>
      </c>
      <c r="AB50" s="107"/>
      <c r="AC50" s="80"/>
      <c r="AD50" s="80"/>
      <c r="AE50" s="80" t="n">
        <f aca="false">AE49*$D$2</f>
        <v>13307.907761087</v>
      </c>
      <c r="AF50" s="98" t="n">
        <f aca="false">AF49*$D$2</f>
        <v>306.84745</v>
      </c>
      <c r="AG50" s="99" t="n">
        <f aca="false">AG49*$D$2</f>
        <v>234.64805</v>
      </c>
      <c r="AH50" s="80"/>
      <c r="AI50" s="80"/>
      <c r="AJ50" s="80" t="n">
        <f aca="false">AJ49*$D$2</f>
        <v>0</v>
      </c>
      <c r="AK50" s="80" t="n">
        <f aca="false">AK49*$D$2</f>
        <v>68377.0631086622</v>
      </c>
      <c r="AL50" s="80" t="n">
        <f aca="false">AL49*$D$2</f>
        <v>5853.78168133779</v>
      </c>
      <c r="AM50" s="145" t="n">
        <f aca="false">AM49*$D$2</f>
        <v>74230.84479</v>
      </c>
      <c r="AN50" s="80"/>
      <c r="AO50" s="80"/>
      <c r="AP50" s="134"/>
      <c r="AQ50" s="158" t="n">
        <f aca="false">AQ12+AQ47</f>
        <v>1764.21130226507</v>
      </c>
      <c r="AR50" s="80" t="n">
        <f aca="false">AR49*$D$2</f>
        <v>828</v>
      </c>
      <c r="AS50" s="97" t="n">
        <f aca="false">AS49*$D$2</f>
        <v>335.322576</v>
      </c>
      <c r="AT50" s="146" t="n">
        <f aca="false">AT49*$D$2</f>
        <v>0</v>
      </c>
      <c r="AU50" s="97" t="n">
        <f aca="false">AU49*$D$2</f>
        <v>0</v>
      </c>
      <c r="AV50" s="102" t="n">
        <f aca="false">MAY!AV51+AV46</f>
        <v>0.45</v>
      </c>
      <c r="AW50" s="103"/>
      <c r="AX50" s="103"/>
      <c r="AY50" s="294"/>
      <c r="AZ50" s="467" t="n">
        <f aca="false">AZ49*$D$2</f>
        <v>669.251672877291</v>
      </c>
      <c r="BA50" s="474" t="n">
        <f aca="false">BA49*$D$2</f>
        <v>345.2817295</v>
      </c>
      <c r="BB50" s="464"/>
    </row>
    <row r="51" customFormat="false" ht="3" hidden="false" customHeight="true" outlineLevel="0" collapsed="false">
      <c r="A51" s="109"/>
      <c r="B51" s="371"/>
      <c r="C51" s="119"/>
      <c r="D51" s="119"/>
      <c r="E51" s="119"/>
      <c r="F51" s="156"/>
      <c r="G51" s="119"/>
      <c r="H51" s="123"/>
      <c r="I51" s="119"/>
      <c r="J51" s="119"/>
      <c r="K51" s="119"/>
      <c r="L51" s="119"/>
      <c r="M51" s="154"/>
      <c r="N51" s="119"/>
      <c r="O51" s="123"/>
      <c r="P51" s="365"/>
      <c r="Q51" s="118"/>
      <c r="R51" s="118"/>
      <c r="S51" s="119"/>
      <c r="T51" s="119"/>
      <c r="U51" s="155"/>
      <c r="V51" s="119"/>
      <c r="W51" s="119"/>
      <c r="X51" s="119"/>
      <c r="Y51" s="119"/>
      <c r="Z51" s="119"/>
      <c r="AA51" s="119"/>
      <c r="AB51" s="233"/>
      <c r="AC51" s="119"/>
      <c r="AD51" s="119"/>
      <c r="AE51" s="119"/>
      <c r="AF51" s="154"/>
      <c r="AG51" s="155"/>
      <c r="AH51" s="119"/>
      <c r="AI51" s="119"/>
      <c r="AJ51" s="119"/>
      <c r="AK51" s="119"/>
      <c r="AL51" s="119"/>
      <c r="AM51" s="156"/>
      <c r="AN51" s="119"/>
      <c r="AO51" s="373"/>
      <c r="AP51" s="373"/>
      <c r="AQ51" s="238"/>
      <c r="AR51" s="119"/>
      <c r="AS51" s="240"/>
      <c r="AT51" s="243"/>
      <c r="AU51" s="240"/>
      <c r="AV51" s="125"/>
      <c r="AW51" s="373"/>
      <c r="AX51" s="373"/>
      <c r="AY51" s="156"/>
      <c r="AZ51" s="469"/>
      <c r="BA51" s="233"/>
      <c r="BB51" s="469"/>
    </row>
    <row r="52" customFormat="false" ht="12.95" hidden="false" customHeight="true" outlineLevel="0" collapsed="false">
      <c r="A52" s="11" t="s">
        <v>108</v>
      </c>
      <c r="B52" s="356"/>
      <c r="C52" s="94"/>
      <c r="D52" s="94"/>
      <c r="E52" s="94"/>
      <c r="F52" s="145" t="n">
        <f aca="false">F13+F46</f>
        <v>96.7985883539204</v>
      </c>
      <c r="G52" s="80" t="n">
        <f aca="false">G13+G46</f>
        <v>45006</v>
      </c>
      <c r="H52" s="146" t="n">
        <f aca="false">H13+H46</f>
        <v>146.15</v>
      </c>
      <c r="I52" s="80" t="n">
        <f aca="false">I13+I46</f>
        <v>45151.53</v>
      </c>
      <c r="J52" s="80" t="n">
        <f aca="false">J13+J46</f>
        <v>2724.09520292412</v>
      </c>
      <c r="K52" s="80" t="n">
        <f aca="false">K13+K46</f>
        <v>47875.6152029241</v>
      </c>
      <c r="L52" s="80" t="n">
        <f aca="false">L13+L46</f>
        <v>-999.822657972165</v>
      </c>
      <c r="M52" s="98" t="n">
        <f aca="false">M13+M46</f>
        <v>15817.53</v>
      </c>
      <c r="N52" s="94" t="n">
        <f aca="false">N13+N46</f>
        <v>57.4863085</v>
      </c>
      <c r="O52" s="103" t="n">
        <f aca="false">O13+O46</f>
        <v>2612.25041875</v>
      </c>
      <c r="P52" s="83"/>
      <c r="Q52" s="103" t="n">
        <f aca="false">Q13+Q46</f>
        <v>446.719908991485</v>
      </c>
      <c r="R52" s="103" t="n">
        <f aca="false">R13+R46</f>
        <v>568.24437008</v>
      </c>
      <c r="S52" s="103" t="n">
        <f aca="false">S13+S46</f>
        <v>51.9628976</v>
      </c>
      <c r="T52" s="103" t="n">
        <f aca="false">T13+T46</f>
        <v>177.99273232</v>
      </c>
      <c r="U52" s="360" t="n">
        <f aca="false">U13+U46</f>
        <v>77.8630613803556</v>
      </c>
      <c r="V52" s="80" t="n">
        <f aca="false">V13+V46</f>
        <v>11509.72</v>
      </c>
      <c r="W52" s="80" t="n">
        <f aca="false">W13+W46</f>
        <v>4113.15</v>
      </c>
      <c r="X52" s="80" t="n">
        <f aca="false">X13+X46</f>
        <v>27850.9454146544</v>
      </c>
      <c r="Y52" s="80" t="n">
        <f aca="false">Y13+Y46</f>
        <v>27526.9829742258</v>
      </c>
      <c r="Z52" s="80"/>
      <c r="AA52" s="80"/>
      <c r="AB52" s="107"/>
      <c r="AC52" s="80"/>
      <c r="AD52" s="80"/>
      <c r="AE52" s="80"/>
      <c r="AF52" s="98" t="n">
        <f aca="false">AF13+AF46</f>
        <v>154.7</v>
      </c>
      <c r="AG52" s="99" t="n">
        <f aca="false">AG13+AG46</f>
        <v>118.3</v>
      </c>
      <c r="AH52" s="80" t="n">
        <f aca="false">AH13+AH46</f>
        <v>5897.2</v>
      </c>
      <c r="AI52" s="80" t="n">
        <f aca="false">AI44</f>
        <v>4726.13684762418</v>
      </c>
      <c r="AJ52" s="80" t="n">
        <f aca="false">AJ13+AJ46</f>
        <v>0</v>
      </c>
      <c r="AK52" s="80" t="n">
        <f aca="false">AK13+AK46</f>
        <v>44054.8987536739</v>
      </c>
      <c r="AL52" s="80" t="n">
        <f aca="false">AL13+AL46</f>
        <v>3723.91786089629</v>
      </c>
      <c r="AM52" s="145" t="n">
        <f aca="false">AM13+AM46</f>
        <v>47778.8166145702</v>
      </c>
      <c r="AN52" s="80" t="n">
        <f aca="false">AN13+AN46</f>
        <v>8903.4116944076</v>
      </c>
      <c r="AO52" s="80" t="n">
        <f aca="false">AO13+AO46</f>
        <v>323.962440428619</v>
      </c>
      <c r="AP52" s="134"/>
      <c r="AQ52" s="158"/>
      <c r="AR52" s="80" t="n">
        <f aca="false">AR13+AR46</f>
        <v>417.443912276279</v>
      </c>
      <c r="AS52" s="97" t="n">
        <f aca="false">AS13+AS46</f>
        <v>169.056</v>
      </c>
      <c r="AT52" s="146"/>
      <c r="AV52" s="102" t="n">
        <f aca="false">AV13+AV46</f>
        <v>5.223</v>
      </c>
      <c r="AW52" s="103"/>
      <c r="AX52" s="103"/>
      <c r="AY52" s="294"/>
      <c r="AZ52" s="467" t="n">
        <f aca="false">AZ13+AZ46</f>
        <v>1394.64807887184</v>
      </c>
      <c r="BA52" s="135" t="n">
        <f aca="false">BA13+BA46</f>
        <v>174.077</v>
      </c>
      <c r="BB52" s="464"/>
    </row>
    <row r="53" customFormat="false" ht="12.95" hidden="false" customHeight="true" outlineLevel="0" collapsed="false">
      <c r="A53" s="11" t="s">
        <v>109</v>
      </c>
      <c r="B53" s="356"/>
      <c r="C53" s="94"/>
      <c r="D53" s="94" t="n">
        <f aca="false">D13+D47</f>
        <v>192</v>
      </c>
      <c r="E53" s="94" t="n">
        <f aca="false">E44</f>
        <v>43347</v>
      </c>
      <c r="F53" s="145" t="n">
        <f aca="false">F52*$D$2</f>
        <v>192.000000000001</v>
      </c>
      <c r="G53" s="80" t="n">
        <f aca="false">G52*$D$2</f>
        <v>89269.401</v>
      </c>
      <c r="H53" s="146" t="n">
        <f aca="false">H52*$D$2</f>
        <v>289.888525</v>
      </c>
      <c r="I53" s="80" t="n">
        <f aca="false">I52*$D$2</f>
        <v>89558.059755</v>
      </c>
      <c r="J53" s="80" t="n">
        <f aca="false">J52*$D$2</f>
        <v>5403.242835</v>
      </c>
      <c r="K53" s="80" t="n">
        <f aca="false">K52*$D$2</f>
        <v>94961.282755</v>
      </c>
      <c r="L53" s="80" t="n">
        <f aca="false">L52*$D$2</f>
        <v>-1983.14824208779</v>
      </c>
      <c r="M53" s="98" t="n">
        <f aca="false">M52*$D$2</f>
        <v>31374.070755</v>
      </c>
      <c r="N53" s="94" t="n">
        <f aca="false">N52*$D$2</f>
        <v>114.02409290975</v>
      </c>
      <c r="O53" s="103" t="n">
        <f aca="false">O52*$D$2</f>
        <v>5181.39870559063</v>
      </c>
      <c r="P53" s="83"/>
      <c r="Q53" s="103" t="n">
        <f aca="false">Q52*$D$2</f>
        <v>886.068939484611</v>
      </c>
      <c r="R53" s="103" t="n">
        <f aca="false">R52*$D$2</f>
        <v>1127.11270805368</v>
      </c>
      <c r="S53" s="103" t="n">
        <f aca="false">S52*$D$2</f>
        <v>103.0684073896</v>
      </c>
      <c r="T53" s="103" t="n">
        <f aca="false">T52*$D$2</f>
        <v>353.04858455672</v>
      </c>
      <c r="U53" s="360" t="n">
        <f aca="false">U52*$D$2</f>
        <v>154.441382247935</v>
      </c>
      <c r="V53" s="80" t="n">
        <f aca="false">V52*$D$2</f>
        <v>22829.52962</v>
      </c>
      <c r="W53" s="80" t="n">
        <f aca="false">W52*$D$2</f>
        <v>8158.433025</v>
      </c>
      <c r="X53" s="80" t="n">
        <f aca="false">X52*$D$2</f>
        <v>55242.3502299671</v>
      </c>
      <c r="Y53" s="80" t="n">
        <f aca="false">Y52*$D$2</f>
        <v>54599.7707293769</v>
      </c>
      <c r="Z53" s="80"/>
      <c r="AA53" s="80"/>
      <c r="AB53" s="107"/>
      <c r="AC53" s="80"/>
      <c r="AD53" s="80"/>
      <c r="AE53" s="80"/>
      <c r="AF53" s="362" t="n">
        <f aca="false">AF52*$D$2</f>
        <v>306.84745</v>
      </c>
      <c r="AG53" s="361" t="n">
        <f aca="false">AG52*$D$2</f>
        <v>234.64805</v>
      </c>
      <c r="AH53" s="80" t="n">
        <f aca="false">AH52*$D$2</f>
        <v>11697.0962</v>
      </c>
      <c r="AI53" s="80" t="n">
        <f aca="false">AI52*$D$2</f>
        <v>9374.29243726257</v>
      </c>
      <c r="AJ53" s="80" t="n">
        <f aca="false">AJ52*$D$2</f>
        <v>0</v>
      </c>
      <c r="AK53" s="80" t="n">
        <f aca="false">AK52*$D$2</f>
        <v>87382.8916779122</v>
      </c>
      <c r="AL53" s="80" t="n">
        <f aca="false">AL52*$D$2</f>
        <v>7386.39107708779</v>
      </c>
      <c r="AM53" s="161" t="n">
        <f aca="false">AM52*$D$2</f>
        <v>94769.282755</v>
      </c>
      <c r="AN53" s="80" t="n">
        <f aca="false">AN52*$D$2</f>
        <v>17659.9170958575</v>
      </c>
      <c r="AO53" s="80" t="n">
        <f aca="false">AO52*$D$2</f>
        <v>642.579500590166</v>
      </c>
      <c r="AP53" s="134"/>
      <c r="AQ53" s="158" t="n">
        <f aca="false">AQ13+AQ47</f>
        <v>1764.21130226507</v>
      </c>
      <c r="AR53" s="80" t="n">
        <f aca="false">AR52*$D$2</f>
        <v>828</v>
      </c>
      <c r="AS53" s="97" t="n">
        <f aca="false">AS52*$D$2</f>
        <v>335.322576</v>
      </c>
      <c r="AT53" s="146"/>
      <c r="AV53" s="102"/>
      <c r="AW53" s="103"/>
      <c r="AX53" s="103"/>
      <c r="AY53" s="294"/>
      <c r="AZ53" s="475" t="n">
        <f aca="false">AZ52*$D$2</f>
        <v>2766.2844644423</v>
      </c>
      <c r="BA53" s="476" t="n">
        <f aca="false">BA52*$D$2</f>
        <v>345.2817295</v>
      </c>
      <c r="BB53" s="464"/>
    </row>
    <row r="54" customFormat="false" ht="3" hidden="false" customHeight="true" outlineLevel="0" collapsed="false">
      <c r="A54" s="109"/>
      <c r="B54" s="371"/>
      <c r="C54" s="119"/>
      <c r="D54" s="116"/>
      <c r="E54" s="119"/>
      <c r="F54" s="143"/>
      <c r="G54" s="116"/>
      <c r="H54" s="118"/>
      <c r="I54" s="116"/>
      <c r="J54" s="116"/>
      <c r="K54" s="477"/>
      <c r="L54" s="116"/>
      <c r="M54" s="120"/>
      <c r="N54" s="116"/>
      <c r="O54" s="118"/>
      <c r="P54" s="365"/>
      <c r="Q54" s="118"/>
      <c r="R54" s="118"/>
      <c r="S54" s="116"/>
      <c r="T54" s="116"/>
      <c r="U54" s="366"/>
      <c r="V54" s="116"/>
      <c r="W54" s="116"/>
      <c r="X54" s="116"/>
      <c r="Y54" s="116"/>
      <c r="Z54" s="119"/>
      <c r="AA54" s="116"/>
      <c r="AB54" s="233"/>
      <c r="AC54" s="119"/>
      <c r="AD54" s="119"/>
      <c r="AE54" s="116"/>
      <c r="AF54" s="114"/>
      <c r="AG54" s="165"/>
      <c r="AH54" s="116"/>
      <c r="AI54" s="119"/>
      <c r="AJ54" s="478"/>
      <c r="AK54" s="116"/>
      <c r="AL54" s="116"/>
      <c r="AM54" s="116"/>
      <c r="AN54" s="371"/>
      <c r="AO54" s="116"/>
      <c r="AP54" s="116"/>
      <c r="AQ54" s="238"/>
      <c r="AR54" s="240"/>
      <c r="AS54" s="240"/>
      <c r="AT54" s="238"/>
      <c r="AU54" s="240"/>
      <c r="AV54" s="371"/>
      <c r="AW54" s="116"/>
      <c r="AX54" s="116"/>
      <c r="AY54" s="116"/>
      <c r="AZ54" s="116"/>
      <c r="BA54" s="116"/>
      <c r="BB54" s="116"/>
    </row>
    <row r="55" customFormat="false" ht="14.1" hidden="false" customHeight="true" outlineLevel="0" collapsed="false">
      <c r="A55" s="170"/>
      <c r="B55" s="173"/>
      <c r="D55" s="11"/>
      <c r="E55" s="479"/>
      <c r="I55" s="11"/>
      <c r="J55" s="11"/>
      <c r="K55" s="480"/>
      <c r="L55" s="177"/>
      <c r="M55" s="11"/>
      <c r="N55" s="11"/>
      <c r="Q55" s="481"/>
      <c r="S55" s="11"/>
      <c r="T55" s="11"/>
      <c r="V55" s="11"/>
      <c r="W55" s="11"/>
      <c r="X55" s="11"/>
      <c r="Y55" s="11"/>
      <c r="AA55" s="11"/>
      <c r="AB55" s="177"/>
      <c r="AE55" s="11"/>
      <c r="AF55" s="11"/>
      <c r="AG55" s="11"/>
      <c r="AH55" s="11"/>
      <c r="AI55" s="479"/>
      <c r="AJ55" s="482"/>
      <c r="AK55" s="11"/>
      <c r="AL55" s="11"/>
      <c r="AM55" s="11"/>
      <c r="AN55" s="10"/>
      <c r="AO55" s="10"/>
      <c r="AP55" s="14"/>
      <c r="AQ55" s="69"/>
      <c r="AR55" s="408"/>
      <c r="AX55" s="9"/>
      <c r="BA55" s="5"/>
      <c r="BB55" s="1"/>
    </row>
    <row r="56" customFormat="false" ht="11.1" hidden="false" customHeight="true" outlineLevel="0" collapsed="false">
      <c r="A56" s="11"/>
      <c r="B56" s="173"/>
      <c r="E56" s="383"/>
      <c r="F56" s="188"/>
      <c r="I56" s="12"/>
      <c r="J56" s="11"/>
      <c r="K56" s="174"/>
      <c r="L56" s="179"/>
      <c r="M56" s="11"/>
      <c r="N56" s="11"/>
      <c r="S56" s="130"/>
      <c r="T56" s="130"/>
      <c r="U56" s="93"/>
      <c r="V56" s="26"/>
      <c r="W56" s="130"/>
      <c r="X56" s="483"/>
      <c r="Y56" s="483"/>
      <c r="Z56" s="177"/>
      <c r="AA56" s="483"/>
      <c r="AB56" s="177"/>
      <c r="AC56" s="177"/>
      <c r="AD56" s="177"/>
      <c r="AE56" s="26"/>
      <c r="AF56" s="26"/>
      <c r="AG56" s="26"/>
      <c r="AH56" s="11"/>
      <c r="AI56" s="2"/>
      <c r="AJ56" s="105"/>
      <c r="AK56" s="11"/>
      <c r="AL56" s="11"/>
      <c r="AM56" s="11"/>
      <c r="AN56" s="10"/>
      <c r="AO56" s="10"/>
      <c r="AP56" s="14"/>
      <c r="AX56" s="9"/>
    </row>
    <row r="57" customFormat="false" ht="11.1" hidden="false" customHeight="true" outlineLevel="0" collapsed="false">
      <c r="B57" s="177"/>
      <c r="C57" s="177"/>
      <c r="D57" s="176"/>
      <c r="E57" s="383"/>
      <c r="F57" s="225"/>
      <c r="K57" s="384"/>
      <c r="L57" s="443"/>
      <c r="M57" s="484"/>
      <c r="N57" s="484"/>
      <c r="O57" s="485"/>
      <c r="P57" s="486"/>
      <c r="Q57" s="485"/>
      <c r="R57" s="485"/>
      <c r="S57" s="26"/>
      <c r="T57" s="26"/>
      <c r="U57" s="93"/>
      <c r="V57" s="26"/>
      <c r="W57" s="130"/>
      <c r="X57" s="90"/>
      <c r="Y57" s="90"/>
      <c r="Z57" s="177"/>
      <c r="AA57" s="90"/>
      <c r="AC57" s="177"/>
      <c r="AD57" s="177"/>
      <c r="AE57" s="177"/>
      <c r="AF57" s="177"/>
      <c r="AG57" s="177"/>
      <c r="AI57" s="26"/>
      <c r="AJ57" s="487"/>
      <c r="AN57" s="87"/>
      <c r="AO57" s="87"/>
      <c r="AP57" s="87"/>
    </row>
    <row r="58" customFormat="false" ht="11.1" hidden="false" customHeight="true" outlineLevel="0" collapsed="false">
      <c r="B58" s="176"/>
      <c r="C58" s="177"/>
      <c r="D58" s="177"/>
      <c r="E58" s="383"/>
      <c r="H58" s="179"/>
      <c r="K58" s="384"/>
      <c r="L58" s="179"/>
      <c r="O58" s="179"/>
      <c r="P58" s="8"/>
      <c r="Q58" s="179"/>
      <c r="R58" s="179"/>
      <c r="S58" s="26"/>
      <c r="T58" s="26"/>
      <c r="U58" s="93"/>
      <c r="V58" s="26"/>
      <c r="W58" s="26"/>
      <c r="X58" s="90"/>
      <c r="Y58" s="90"/>
      <c r="Z58" s="182"/>
      <c r="AA58" s="90"/>
      <c r="AC58" s="182"/>
      <c r="AD58" s="182"/>
      <c r="AE58" s="177"/>
      <c r="AF58" s="177"/>
      <c r="AG58" s="177"/>
      <c r="AI58" s="177"/>
      <c r="AJ58" s="225"/>
      <c r="AN58" s="87"/>
      <c r="AO58" s="87"/>
      <c r="AP58" s="87"/>
    </row>
    <row r="59" customFormat="false" ht="11.1" hidden="false" customHeight="true" outlineLevel="0" collapsed="false">
      <c r="B59" s="8"/>
      <c r="C59" s="177"/>
      <c r="D59" s="177"/>
      <c r="E59" s="383"/>
      <c r="F59" s="385"/>
      <c r="G59" s="176"/>
      <c r="K59" s="174"/>
      <c r="Z59" s="2"/>
      <c r="AC59" s="2"/>
      <c r="AD59" s="2"/>
      <c r="AN59" s="87"/>
      <c r="AO59" s="87"/>
      <c r="AP59" s="87"/>
    </row>
    <row r="61" customFormat="false" ht="11.1" hidden="false" customHeight="true" outlineLevel="0" collapsed="false">
      <c r="B61" s="171"/>
    </row>
  </sheetData>
  <mergeCells count="2">
    <mergeCell ref="K2:V2"/>
    <mergeCell ref="M5:U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89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5" activeCellId="0" sqref="A15"/>
    </sheetView>
  </sheetViews>
  <sheetFormatPr defaultColWidth="9.328125" defaultRowHeight="11.1" zeroHeight="false" outlineLevelRow="0" outlineLevelCol="0"/>
  <cols>
    <col collapsed="false" customWidth="true" hidden="false" outlineLevel="0" max="1" min="1" style="176" width="4.66"/>
    <col collapsed="false" customWidth="true" hidden="false" outlineLevel="0" max="2" min="2" style="176" width="6.99"/>
    <col collapsed="false" customWidth="true" hidden="false" outlineLevel="0" max="3" min="3" style="177" width="6.32"/>
    <col collapsed="false" customWidth="true" hidden="false" outlineLevel="0" max="4" min="4" style="176" width="11.15"/>
    <col collapsed="false" customWidth="true" hidden="false" outlineLevel="0" max="5" min="5" style="177" width="6.99"/>
    <col collapsed="false" customWidth="true" hidden="false" outlineLevel="0" max="6" min="6" style="176" width="12.32"/>
    <col collapsed="false" customWidth="true" hidden="false" outlineLevel="0" max="7" min="7" style="176" width="6.82"/>
    <col collapsed="false" customWidth="true" hidden="false" outlineLevel="0" max="8" min="8" style="179" width="5.66"/>
    <col collapsed="false" customWidth="true" hidden="false" outlineLevel="0" max="9" min="9" style="176" width="6.32"/>
    <col collapsed="false" customWidth="true" hidden="false" outlineLevel="0" max="10" min="10" style="176" width="9.65"/>
    <col collapsed="false" customWidth="true" hidden="false" outlineLevel="0" max="11" min="11" style="176" width="10.32"/>
    <col collapsed="false" customWidth="true" hidden="false" outlineLevel="0" max="12" min="12" style="176" width="11.48"/>
    <col collapsed="false" customWidth="true" hidden="false" outlineLevel="0" max="13" min="13" style="179" width="5.49"/>
    <col collapsed="false" customWidth="true" hidden="false" outlineLevel="0" max="14" min="14" style="179" width="4.49"/>
    <col collapsed="false" customWidth="true" hidden="false" outlineLevel="0" max="15" min="15" style="179" width="5.49"/>
    <col collapsed="false" customWidth="true" hidden="false" outlineLevel="0" max="16" min="16" style="8" width="4.82"/>
    <col collapsed="false" customWidth="true" hidden="false" outlineLevel="0" max="18" min="17" style="179" width="4.32"/>
    <col collapsed="false" customWidth="true" hidden="false" outlineLevel="0" max="20" min="19" style="176" width="4.32"/>
    <col collapsed="false" customWidth="true" hidden="false" outlineLevel="0" max="21" min="21" style="8" width="5.16"/>
    <col collapsed="false" customWidth="true" hidden="false" outlineLevel="0" max="23" min="22" style="176" width="5.49"/>
    <col collapsed="false" customWidth="true" hidden="false" outlineLevel="0" max="25" min="24" style="177" width="6.32"/>
    <col collapsed="false" customWidth="true" hidden="false" outlineLevel="0" max="26" min="26" style="176" width="5.49"/>
    <col collapsed="false" customWidth="true" hidden="false" outlineLevel="0" max="27" min="27" style="177" width="6.32"/>
    <col collapsed="false" customWidth="true" hidden="false" outlineLevel="0" max="28" min="28" style="176" width="5.49"/>
    <col collapsed="false" customWidth="true" hidden="false" outlineLevel="0" max="29" min="29" style="176" width="5.82"/>
    <col collapsed="false" customWidth="true" hidden="false" outlineLevel="0" max="30" min="30" style="182" width="5.49"/>
    <col collapsed="false" customWidth="true" hidden="false" outlineLevel="0" max="33" min="31" style="176" width="5.49"/>
    <col collapsed="false" customWidth="true" hidden="false" outlineLevel="0" max="34" min="34" style="177" width="5.82"/>
    <col collapsed="false" customWidth="true" hidden="false" outlineLevel="0" max="35" min="35" style="176" width="5.49"/>
    <col collapsed="false" customWidth="true" hidden="false" outlineLevel="0" max="36" min="36" style="180" width="6.32"/>
    <col collapsed="false" customWidth="true" hidden="false" outlineLevel="0" max="37" min="37" style="176" width="6.32"/>
    <col collapsed="false" customWidth="true" hidden="false" outlineLevel="0" max="38" min="38" style="176" width="6.82"/>
    <col collapsed="false" customWidth="true" hidden="false" outlineLevel="0" max="39" min="39" style="8" width="6.82"/>
    <col collapsed="false" customWidth="true" hidden="false" outlineLevel="0" max="41" min="40" style="176" width="5.49"/>
    <col collapsed="false" customWidth="true" hidden="false" outlineLevel="0" max="42" min="42" style="179" width="6.32"/>
    <col collapsed="false" customWidth="true" hidden="false" outlineLevel="0" max="43" min="43" style="193" width="6.32"/>
    <col collapsed="false" customWidth="true" hidden="false" outlineLevel="0" max="44" min="44" style="193" width="5.49"/>
    <col collapsed="false" customWidth="true" hidden="false" outlineLevel="0" max="45" min="45" style="193" width="5.99"/>
    <col collapsed="false" customWidth="true" hidden="false" outlineLevel="0" max="46" min="46" style="385" width="5.82"/>
    <col collapsed="false" customWidth="true" hidden="false" outlineLevel="0" max="47" min="47" style="179" width="4.99"/>
    <col collapsed="false" customWidth="true" hidden="false" outlineLevel="0" max="48" min="48" style="182" width="5.32"/>
    <col collapsed="false" customWidth="true" hidden="false" outlineLevel="0" max="49" min="49" style="182" width="3.82"/>
    <col collapsed="false" customWidth="true" hidden="false" outlineLevel="0" max="50" min="50" style="183" width="3.82"/>
    <col collapsed="false" customWidth="true" hidden="false" outlineLevel="0" max="51" min="51" style="184" width="3.82"/>
    <col collapsed="false" customWidth="true" hidden="false" outlineLevel="0" max="52" min="52" style="184" width="5.49"/>
    <col collapsed="false" customWidth="false" hidden="false" outlineLevel="0" max="54" min="53" style="176" width="9.32"/>
    <col collapsed="false" customWidth="false" hidden="false" outlineLevel="0" max="257" min="55" style="184" width="9.32"/>
  </cols>
  <sheetData>
    <row r="1" customFormat="false" ht="14.1" hidden="false" customHeight="true" outlineLevel="0" collapsed="false">
      <c r="A1" s="11"/>
      <c r="B1" s="11"/>
      <c r="C1" s="2"/>
      <c r="D1" s="11"/>
      <c r="E1" s="2"/>
      <c r="F1" s="11"/>
      <c r="G1" s="11"/>
      <c r="H1" s="4"/>
      <c r="I1" s="11"/>
      <c r="J1" s="11"/>
      <c r="K1" s="13" t="s">
        <v>0</v>
      </c>
      <c r="L1" s="11"/>
      <c r="M1" s="11"/>
      <c r="N1" s="11"/>
      <c r="O1" s="11"/>
      <c r="P1" s="5"/>
      <c r="Q1" s="11"/>
      <c r="R1" s="11"/>
      <c r="S1" s="11"/>
      <c r="T1" s="11"/>
      <c r="U1" s="5"/>
      <c r="V1" s="11"/>
      <c r="W1" s="11"/>
      <c r="X1" s="2"/>
      <c r="Y1" s="2"/>
      <c r="Z1" s="11"/>
      <c r="AA1" s="2"/>
      <c r="AB1" s="11"/>
      <c r="AC1" s="11"/>
      <c r="AD1" s="9"/>
      <c r="AE1" s="11"/>
      <c r="AF1" s="11"/>
      <c r="AG1" s="11"/>
      <c r="AH1" s="2"/>
      <c r="AI1" s="11"/>
      <c r="AJ1" s="14"/>
      <c r="AK1" s="11"/>
      <c r="AL1" s="11"/>
      <c r="AM1" s="5"/>
      <c r="AN1" s="14"/>
      <c r="AO1" s="14"/>
      <c r="AP1" s="346"/>
      <c r="AS1" s="6"/>
      <c r="AT1" s="88"/>
      <c r="AU1" s="4"/>
      <c r="AV1" s="3"/>
      <c r="AW1" s="9"/>
      <c r="AX1" s="10"/>
      <c r="AY1" s="0"/>
      <c r="AZ1" s="0"/>
      <c r="BA1" s="1"/>
      <c r="BB1" s="1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</row>
    <row r="2" customFormat="false" ht="14.1" hidden="false" customHeight="true" outlineLevel="0" collapsed="false">
      <c r="A2" s="14" t="s">
        <v>1</v>
      </c>
      <c r="B2" s="11"/>
      <c r="C2" s="2"/>
      <c r="D2" s="15" t="n">
        <v>1.9835</v>
      </c>
      <c r="E2" s="2"/>
      <c r="F2" s="11"/>
      <c r="G2" s="11"/>
      <c r="H2" s="4"/>
      <c r="I2" s="11"/>
      <c r="J2" s="11"/>
      <c r="K2" s="348" t="s">
        <v>139</v>
      </c>
      <c r="L2" s="348"/>
      <c r="M2" s="348"/>
      <c r="N2" s="348"/>
      <c r="O2" s="348"/>
      <c r="P2" s="348"/>
      <c r="Q2" s="348"/>
      <c r="R2" s="348"/>
      <c r="S2" s="348"/>
      <c r="T2" s="348"/>
      <c r="U2" s="6"/>
      <c r="V2" s="349"/>
      <c r="W2" s="349"/>
      <c r="X2" s="350"/>
      <c r="Y2" s="350"/>
      <c r="Z2" s="349"/>
      <c r="AA2" s="350"/>
      <c r="AB2" s="349"/>
      <c r="AC2" s="349"/>
      <c r="AD2" s="10"/>
      <c r="AE2" s="349"/>
      <c r="AF2" s="349"/>
      <c r="AG2" s="349"/>
      <c r="AH2" s="350"/>
      <c r="AI2" s="11"/>
      <c r="AJ2" s="14"/>
      <c r="AK2" s="11"/>
      <c r="AL2" s="11"/>
      <c r="AM2" s="5"/>
      <c r="AN2" s="14"/>
      <c r="AO2" s="14"/>
      <c r="AP2" s="346"/>
      <c r="AS2" s="6"/>
      <c r="AT2" s="88"/>
      <c r="AU2" s="4"/>
      <c r="AV2" s="3"/>
      <c r="AW2" s="9"/>
      <c r="AX2" s="10"/>
      <c r="AY2" s="0"/>
      <c r="AZ2" s="0"/>
      <c r="BA2" s="1"/>
      <c r="BB2" s="1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</row>
    <row r="3" customFormat="false" ht="14.1" hidden="false" customHeight="true" outlineLevel="0" collapsed="false">
      <c r="A3" s="16"/>
      <c r="B3" s="16"/>
      <c r="C3" s="17"/>
      <c r="D3" s="18"/>
      <c r="E3" s="17"/>
      <c r="F3" s="16"/>
      <c r="G3" s="16"/>
      <c r="H3" s="22"/>
      <c r="I3" s="16"/>
      <c r="J3" s="16"/>
      <c r="K3" s="16"/>
      <c r="L3" s="16"/>
      <c r="M3" s="16"/>
      <c r="N3" s="16"/>
      <c r="O3" s="16"/>
      <c r="P3" s="20"/>
      <c r="Q3" s="16"/>
      <c r="R3" s="16"/>
      <c r="S3" s="16"/>
      <c r="T3" s="16"/>
      <c r="U3" s="20"/>
      <c r="V3" s="16"/>
      <c r="W3" s="16"/>
      <c r="X3" s="17"/>
      <c r="Y3" s="17"/>
      <c r="Z3" s="16"/>
      <c r="AA3" s="17"/>
      <c r="AB3" s="16"/>
      <c r="AC3" s="16"/>
      <c r="AD3" s="28"/>
      <c r="AE3" s="16"/>
      <c r="AF3" s="16"/>
      <c r="AG3" s="16"/>
      <c r="AH3" s="17"/>
      <c r="AI3" s="16"/>
      <c r="AJ3" s="352"/>
      <c r="AK3" s="16"/>
      <c r="AL3" s="16"/>
      <c r="AM3" s="20"/>
      <c r="AN3" s="352"/>
      <c r="AO3" s="352"/>
      <c r="AP3" s="351"/>
      <c r="AS3" s="6"/>
      <c r="AT3" s="88"/>
      <c r="AU3" s="4"/>
      <c r="AV3" s="27"/>
      <c r="AW3" s="28"/>
      <c r="AX3" s="29"/>
      <c r="AY3" s="0"/>
      <c r="AZ3" s="0"/>
      <c r="BA3" s="23"/>
      <c r="BB3" s="1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</row>
    <row r="4" s="1" customFormat="true" ht="14.1" hidden="false" customHeight="true" outlineLevel="0" collapsed="false">
      <c r="A4" s="11"/>
      <c r="B4" s="488" t="s">
        <v>3</v>
      </c>
      <c r="C4" s="488"/>
      <c r="D4" s="488"/>
      <c r="E4" s="488"/>
      <c r="F4" s="488"/>
      <c r="G4" s="489" t="s">
        <v>140</v>
      </c>
      <c r="H4" s="489"/>
      <c r="I4" s="489"/>
      <c r="J4" s="489"/>
      <c r="K4" s="489"/>
      <c r="L4" s="489"/>
      <c r="M4" s="490" t="s">
        <v>5</v>
      </c>
      <c r="N4" s="490"/>
      <c r="O4" s="490"/>
      <c r="P4" s="490"/>
      <c r="Q4" s="490"/>
      <c r="R4" s="490"/>
      <c r="S4" s="490"/>
      <c r="T4" s="490"/>
      <c r="U4" s="490"/>
      <c r="V4" s="490"/>
      <c r="W4" s="490"/>
      <c r="X4" s="490"/>
      <c r="Y4" s="490"/>
      <c r="Z4" s="490"/>
      <c r="AA4" s="490"/>
      <c r="AB4" s="490"/>
      <c r="AC4" s="490"/>
      <c r="AD4" s="490"/>
      <c r="AE4" s="490"/>
      <c r="AF4" s="490"/>
      <c r="AG4" s="490"/>
      <c r="AH4" s="490"/>
      <c r="AI4" s="490"/>
      <c r="AJ4" s="490"/>
      <c r="AK4" s="490"/>
      <c r="AL4" s="490"/>
      <c r="AM4" s="490"/>
      <c r="AN4" s="491" t="s">
        <v>6</v>
      </c>
      <c r="AO4" s="491"/>
      <c r="AP4" s="491"/>
      <c r="AQ4" s="491"/>
      <c r="AR4" s="491"/>
      <c r="AS4" s="491"/>
      <c r="AT4" s="491"/>
      <c r="AU4" s="491"/>
      <c r="AV4" s="492" t="s">
        <v>7</v>
      </c>
      <c r="AW4" s="492"/>
      <c r="AX4" s="492"/>
      <c r="AY4" s="492"/>
      <c r="AZ4" s="330"/>
      <c r="BA4" s="453"/>
      <c r="BB4" s="454"/>
    </row>
    <row r="5" customFormat="false" ht="12.95" hidden="false" customHeight="true" outlineLevel="0" collapsed="false">
      <c r="A5" s="325" t="s">
        <v>8</v>
      </c>
      <c r="B5" s="406" t="s">
        <v>9</v>
      </c>
      <c r="C5" s="407" t="s">
        <v>9</v>
      </c>
      <c r="D5" s="325" t="s">
        <v>10</v>
      </c>
      <c r="E5" s="407" t="s">
        <v>11</v>
      </c>
      <c r="F5" s="325" t="s">
        <v>12</v>
      </c>
      <c r="G5" s="406" t="s">
        <v>13</v>
      </c>
      <c r="H5" s="408" t="s">
        <v>14</v>
      </c>
      <c r="I5" s="325" t="s">
        <v>15</v>
      </c>
      <c r="J5" s="325" t="s">
        <v>16</v>
      </c>
      <c r="K5" s="325" t="s">
        <v>17</v>
      </c>
      <c r="L5" s="325" t="s">
        <v>16</v>
      </c>
      <c r="M5" s="409" t="s">
        <v>18</v>
      </c>
      <c r="N5" s="409"/>
      <c r="O5" s="409"/>
      <c r="P5" s="409"/>
      <c r="Q5" s="409"/>
      <c r="R5" s="409"/>
      <c r="S5" s="409"/>
      <c r="T5" s="409"/>
      <c r="U5" s="409"/>
      <c r="V5" s="325" t="s">
        <v>19</v>
      </c>
      <c r="W5" s="32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407" t="s">
        <v>22</v>
      </c>
      <c r="AD5" s="412" t="s">
        <v>21</v>
      </c>
      <c r="AE5" s="325" t="s">
        <v>23</v>
      </c>
      <c r="AF5" s="410" t="s">
        <v>128</v>
      </c>
      <c r="AG5" s="411"/>
      <c r="AH5" s="412" t="s">
        <v>25</v>
      </c>
      <c r="AI5" s="407" t="s">
        <v>129</v>
      </c>
      <c r="AJ5" s="407" t="s">
        <v>27</v>
      </c>
      <c r="AK5" s="325" t="s">
        <v>15</v>
      </c>
      <c r="AL5" s="325" t="s">
        <v>16</v>
      </c>
      <c r="AM5" s="325" t="s">
        <v>17</v>
      </c>
      <c r="AN5" s="456" t="s">
        <v>28</v>
      </c>
      <c r="AO5" s="61" t="s">
        <v>21</v>
      </c>
      <c r="AP5" s="67" t="s">
        <v>29</v>
      </c>
      <c r="AQ5" s="67" t="s">
        <v>29</v>
      </c>
      <c r="AR5" s="62" t="s">
        <v>30</v>
      </c>
      <c r="AS5" s="68" t="s">
        <v>31</v>
      </c>
      <c r="AT5" s="408" t="s">
        <v>32</v>
      </c>
      <c r="AU5" s="210" t="s">
        <v>33</v>
      </c>
      <c r="AV5" s="413" t="s">
        <v>34</v>
      </c>
      <c r="AW5" s="412" t="s">
        <v>35</v>
      </c>
      <c r="AX5" s="412" t="s">
        <v>36</v>
      </c>
      <c r="AY5" s="299"/>
      <c r="AZ5" s="295" t="s">
        <v>17</v>
      </c>
      <c r="BA5" s="69" t="s">
        <v>133</v>
      </c>
      <c r="BB5" s="458" t="s">
        <v>133</v>
      </c>
    </row>
    <row r="6" customFormat="false" ht="12.95" hidden="false" customHeight="true" outlineLevel="0" collapsed="false">
      <c r="A6" s="414" t="s">
        <v>141</v>
      </c>
      <c r="B6" s="406" t="s">
        <v>38</v>
      </c>
      <c r="C6" s="407"/>
      <c r="D6" s="325" t="s">
        <v>39</v>
      </c>
      <c r="E6" s="407" t="s">
        <v>40</v>
      </c>
      <c r="F6" s="325" t="s">
        <v>41</v>
      </c>
      <c r="G6" s="406" t="s">
        <v>42</v>
      </c>
      <c r="H6" s="408" t="s">
        <v>43</v>
      </c>
      <c r="I6" s="325" t="s">
        <v>44</v>
      </c>
      <c r="J6" s="325" t="s">
        <v>44</v>
      </c>
      <c r="K6" s="325" t="s">
        <v>44</v>
      </c>
      <c r="L6" s="325" t="s">
        <v>45</v>
      </c>
      <c r="M6" s="415" t="s">
        <v>46</v>
      </c>
      <c r="N6" s="69" t="s">
        <v>47</v>
      </c>
      <c r="O6" s="325" t="s">
        <v>48</v>
      </c>
      <c r="P6" s="69" t="s">
        <v>49</v>
      </c>
      <c r="Q6" s="58" t="s">
        <v>50</v>
      </c>
      <c r="R6" s="58" t="s">
        <v>51</v>
      </c>
      <c r="S6" s="58"/>
      <c r="T6" s="58" t="s">
        <v>48</v>
      </c>
      <c r="U6" s="416" t="s">
        <v>52</v>
      </c>
      <c r="V6" s="325" t="s">
        <v>53</v>
      </c>
      <c r="W6" s="32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407" t="s">
        <v>57</v>
      </c>
      <c r="AD6" s="412" t="s">
        <v>58</v>
      </c>
      <c r="AE6" s="325" t="s">
        <v>59</v>
      </c>
      <c r="AF6" s="74" t="s">
        <v>60</v>
      </c>
      <c r="AG6" s="77" t="s">
        <v>61</v>
      </c>
      <c r="AH6" s="412" t="s">
        <v>62</v>
      </c>
      <c r="AI6" s="407" t="s">
        <v>63</v>
      </c>
      <c r="AJ6" s="407"/>
      <c r="AK6" s="325" t="s">
        <v>64</v>
      </c>
      <c r="AL6" s="325" t="s">
        <v>64</v>
      </c>
      <c r="AM6" s="325" t="s">
        <v>64</v>
      </c>
      <c r="AN6" s="456" t="s">
        <v>65</v>
      </c>
      <c r="AO6" s="61" t="s">
        <v>66</v>
      </c>
      <c r="AP6" s="67" t="s">
        <v>67</v>
      </c>
      <c r="AQ6" s="67" t="s">
        <v>67</v>
      </c>
      <c r="AR6" s="62" t="s">
        <v>68</v>
      </c>
      <c r="AS6" s="68" t="s">
        <v>69</v>
      </c>
      <c r="AT6" s="408" t="s">
        <v>70</v>
      </c>
      <c r="AU6" s="210" t="s">
        <v>71</v>
      </c>
      <c r="AV6" s="417"/>
      <c r="AW6" s="412" t="s">
        <v>72</v>
      </c>
      <c r="AX6" s="412" t="s">
        <v>72</v>
      </c>
      <c r="AY6" s="299"/>
      <c r="AZ6" s="295" t="s">
        <v>73</v>
      </c>
      <c r="BA6" s="69" t="s">
        <v>135</v>
      </c>
      <c r="BB6" s="458" t="s">
        <v>136</v>
      </c>
    </row>
    <row r="7" customFormat="false" ht="12.95" hidden="false" customHeight="true" outlineLevel="0" collapsed="false">
      <c r="A7" s="325"/>
      <c r="B7" s="406"/>
      <c r="C7" s="407"/>
      <c r="D7" s="325"/>
      <c r="E7" s="407"/>
      <c r="F7" s="325"/>
      <c r="G7" s="406"/>
      <c r="H7" s="408"/>
      <c r="I7" s="325"/>
      <c r="J7" s="325"/>
      <c r="K7" s="325"/>
      <c r="L7" s="325"/>
      <c r="M7" s="415"/>
      <c r="N7" s="69" t="s">
        <v>74</v>
      </c>
      <c r="O7" s="325" t="s">
        <v>75</v>
      </c>
      <c r="P7" s="69"/>
      <c r="Q7" s="58" t="s">
        <v>76</v>
      </c>
      <c r="R7" s="58" t="s">
        <v>76</v>
      </c>
      <c r="S7" s="58" t="s">
        <v>61</v>
      </c>
      <c r="T7" s="58" t="s">
        <v>61</v>
      </c>
      <c r="U7" s="416" t="s">
        <v>77</v>
      </c>
      <c r="V7" s="325"/>
      <c r="W7" s="32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407"/>
      <c r="AD7" s="412"/>
      <c r="AE7" s="325"/>
      <c r="AF7" s="493" t="n">
        <v>1.7</v>
      </c>
      <c r="AG7" s="494" t="n">
        <v>1.3</v>
      </c>
      <c r="AH7" s="412"/>
      <c r="AI7" s="407"/>
      <c r="AJ7" s="407"/>
      <c r="AK7" s="325"/>
      <c r="AL7" s="325"/>
      <c r="AM7" s="325"/>
      <c r="AN7" s="456"/>
      <c r="AO7" s="61" t="s">
        <v>41</v>
      </c>
      <c r="AP7" s="67" t="s">
        <v>83</v>
      </c>
      <c r="AQ7" s="67" t="s">
        <v>84</v>
      </c>
      <c r="AR7" s="62" t="s">
        <v>85</v>
      </c>
      <c r="AS7" s="68" t="s">
        <v>86</v>
      </c>
      <c r="AT7" s="408" t="s">
        <v>87</v>
      </c>
      <c r="AU7" s="210" t="s">
        <v>88</v>
      </c>
      <c r="AV7" s="417"/>
      <c r="AW7" s="412"/>
      <c r="AX7" s="412"/>
      <c r="AY7" s="299"/>
      <c r="AZ7" s="295" t="s">
        <v>89</v>
      </c>
      <c r="BA7" s="8"/>
      <c r="BB7" s="274"/>
    </row>
    <row r="8" customFormat="false" ht="12.95" hidden="false" customHeight="true" outlineLevel="0" collapsed="false">
      <c r="A8" s="325"/>
      <c r="B8" s="406"/>
      <c r="C8" s="407"/>
      <c r="D8" s="325"/>
      <c r="E8" s="407"/>
      <c r="F8" s="325"/>
      <c r="G8" s="406"/>
      <c r="H8" s="408"/>
      <c r="I8" s="325"/>
      <c r="J8" s="325"/>
      <c r="K8" s="325"/>
      <c r="L8" s="325"/>
      <c r="M8" s="415"/>
      <c r="N8" s="69"/>
      <c r="O8" s="325"/>
      <c r="P8" s="69"/>
      <c r="Q8" s="58" t="s">
        <v>61</v>
      </c>
      <c r="R8" s="58" t="s">
        <v>61</v>
      </c>
      <c r="S8" s="58"/>
      <c r="T8" s="58"/>
      <c r="U8" s="416"/>
      <c r="V8" s="325"/>
      <c r="W8" s="32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407"/>
      <c r="AD8" s="412"/>
      <c r="AE8" s="325"/>
      <c r="AF8" s="419"/>
      <c r="AG8" s="420"/>
      <c r="AH8" s="412"/>
      <c r="AI8" s="407"/>
      <c r="AJ8" s="407"/>
      <c r="AK8" s="325"/>
      <c r="AL8" s="325"/>
      <c r="AM8" s="325"/>
      <c r="AN8" s="456"/>
      <c r="AO8" s="61"/>
      <c r="AP8" s="67"/>
      <c r="AQ8" s="67"/>
      <c r="AR8" s="62"/>
      <c r="AS8" s="68"/>
      <c r="AT8" s="408"/>
      <c r="AU8" s="210"/>
      <c r="AV8" s="417"/>
      <c r="AW8" s="412"/>
      <c r="AX8" s="412"/>
      <c r="AY8" s="299"/>
      <c r="AZ8" s="295"/>
      <c r="BA8" s="8"/>
      <c r="BB8" s="274"/>
    </row>
    <row r="9" customFormat="false" ht="12.95" hidden="false" customHeight="true" outlineLevel="0" collapsed="false">
      <c r="A9" s="325"/>
      <c r="B9" s="406"/>
      <c r="C9" s="407"/>
      <c r="D9" s="325"/>
      <c r="E9" s="407"/>
      <c r="F9" s="325"/>
      <c r="G9" s="406"/>
      <c r="H9" s="408"/>
      <c r="I9" s="325"/>
      <c r="J9" s="325"/>
      <c r="K9" s="325"/>
      <c r="L9" s="325"/>
      <c r="M9" s="415"/>
      <c r="N9" s="69"/>
      <c r="O9" s="325"/>
      <c r="P9" s="69"/>
      <c r="Q9" s="58"/>
      <c r="R9" s="81" t="n">
        <v>4.2</v>
      </c>
      <c r="S9" s="58"/>
      <c r="T9" s="58"/>
      <c r="U9" s="416"/>
      <c r="V9" s="325"/>
      <c r="W9" s="325"/>
      <c r="X9" s="65"/>
      <c r="Y9" s="57" t="s">
        <v>90</v>
      </c>
      <c r="Z9" s="61"/>
      <c r="AA9" s="57" t="s">
        <v>90</v>
      </c>
      <c r="AB9" s="61" t="s">
        <v>93</v>
      </c>
      <c r="AC9" s="407"/>
      <c r="AD9" s="412"/>
      <c r="AE9" s="325"/>
      <c r="AF9" s="419"/>
      <c r="AG9" s="420"/>
      <c r="AH9" s="412"/>
      <c r="AI9" s="407"/>
      <c r="AJ9" s="407"/>
      <c r="AK9" s="325"/>
      <c r="AL9" s="325"/>
      <c r="AM9" s="325"/>
      <c r="AN9" s="456"/>
      <c r="AO9" s="61"/>
      <c r="AP9" s="67"/>
      <c r="AQ9" s="67"/>
      <c r="AR9" s="62"/>
      <c r="AS9" s="68"/>
      <c r="AT9" s="408"/>
      <c r="AU9" s="210"/>
      <c r="AV9" s="417"/>
      <c r="AW9" s="412"/>
      <c r="AX9" s="412"/>
      <c r="AY9" s="299"/>
      <c r="AZ9" s="295"/>
      <c r="BA9" s="8"/>
      <c r="BB9" s="458" t="s">
        <v>137</v>
      </c>
    </row>
    <row r="10" customFormat="false" ht="12.95" hidden="false" customHeight="true" outlineLevel="0" collapsed="false">
      <c r="A10" s="325"/>
      <c r="B10" s="406"/>
      <c r="C10" s="407" t="s">
        <v>10</v>
      </c>
      <c r="D10" s="325"/>
      <c r="E10" s="407" t="s">
        <v>95</v>
      </c>
      <c r="F10" s="325"/>
      <c r="G10" s="406" t="s">
        <v>41</v>
      </c>
      <c r="H10" s="408" t="s">
        <v>41</v>
      </c>
      <c r="I10" s="408" t="s">
        <v>41</v>
      </c>
      <c r="J10" s="408" t="s">
        <v>41</v>
      </c>
      <c r="K10" s="408" t="s">
        <v>41</v>
      </c>
      <c r="L10" s="408" t="s">
        <v>41</v>
      </c>
      <c r="M10" s="422" t="s">
        <v>41</v>
      </c>
      <c r="N10" s="408" t="s">
        <v>41</v>
      </c>
      <c r="O10" s="408" t="s">
        <v>41</v>
      </c>
      <c r="P10" s="40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421" t="s">
        <v>41</v>
      </c>
      <c r="V10" s="408" t="s">
        <v>41</v>
      </c>
      <c r="W10" s="408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408" t="s">
        <v>41</v>
      </c>
      <c r="AD10" s="412" t="s">
        <v>41</v>
      </c>
      <c r="AE10" s="408" t="s">
        <v>41</v>
      </c>
      <c r="AF10" s="422" t="s">
        <v>41</v>
      </c>
      <c r="AG10" s="421" t="s">
        <v>41</v>
      </c>
      <c r="AH10" s="408" t="s">
        <v>41</v>
      </c>
      <c r="AI10" s="408" t="s">
        <v>41</v>
      </c>
      <c r="AJ10" s="408" t="s">
        <v>41</v>
      </c>
      <c r="AK10" s="408" t="s">
        <v>41</v>
      </c>
      <c r="AL10" s="408" t="s">
        <v>41</v>
      </c>
      <c r="AM10" s="408" t="s">
        <v>41</v>
      </c>
      <c r="AN10" s="456" t="s">
        <v>41</v>
      </c>
      <c r="AO10" s="61" t="s">
        <v>41</v>
      </c>
      <c r="AP10" s="61" t="s">
        <v>41</v>
      </c>
      <c r="AQ10" s="67" t="s">
        <v>96</v>
      </c>
      <c r="AR10" s="62" t="s">
        <v>41</v>
      </c>
      <c r="AS10" s="61" t="s">
        <v>41</v>
      </c>
      <c r="AT10" s="61" t="s">
        <v>41</v>
      </c>
      <c r="AU10" s="61" t="s">
        <v>41</v>
      </c>
      <c r="AV10" s="417"/>
      <c r="AW10" s="412"/>
      <c r="AX10" s="412"/>
      <c r="AY10" s="299"/>
      <c r="AZ10" s="295" t="s">
        <v>97</v>
      </c>
      <c r="BA10" s="69" t="s">
        <v>41</v>
      </c>
      <c r="BB10" s="458" t="s">
        <v>95</v>
      </c>
    </row>
    <row r="11" customFormat="false" ht="12.95" hidden="false" customHeight="true" outlineLevel="0" collapsed="false">
      <c r="A11" s="459"/>
      <c r="B11" s="325"/>
      <c r="C11" s="407"/>
      <c r="D11" s="325"/>
      <c r="E11" s="407"/>
      <c r="F11" s="459"/>
      <c r="G11" s="325"/>
      <c r="H11" s="408"/>
      <c r="I11" s="325"/>
      <c r="J11" s="325"/>
      <c r="K11" s="325"/>
      <c r="L11" s="418"/>
      <c r="M11" s="325"/>
      <c r="N11" s="69" t="n">
        <v>1.03</v>
      </c>
      <c r="O11" s="424" t="n">
        <v>1.05</v>
      </c>
      <c r="P11" s="69" t="n">
        <v>1.02</v>
      </c>
      <c r="Q11" s="82" t="n">
        <v>1.02</v>
      </c>
      <c r="R11" s="83" t="n">
        <v>1.04</v>
      </c>
      <c r="S11" s="58"/>
      <c r="T11" s="82" t="n">
        <v>1.04</v>
      </c>
      <c r="U11" s="416"/>
      <c r="V11" s="325"/>
      <c r="W11" s="32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407"/>
      <c r="AD11" s="215" t="n">
        <v>6905</v>
      </c>
      <c r="AE11" s="325"/>
      <c r="AF11" s="419"/>
      <c r="AG11" s="420"/>
      <c r="AH11" s="412"/>
      <c r="AI11" s="407"/>
      <c r="AJ11" s="407"/>
      <c r="AK11" s="325"/>
      <c r="AL11" s="325"/>
      <c r="AM11" s="325"/>
      <c r="AN11" s="456"/>
      <c r="AO11" s="61"/>
      <c r="AP11" s="67"/>
      <c r="AQ11" s="67"/>
      <c r="AR11" s="62"/>
      <c r="AS11" s="87"/>
      <c r="AT11" s="327"/>
      <c r="AU11" s="495"/>
      <c r="AV11" s="496"/>
      <c r="AW11" s="412"/>
      <c r="AX11" s="412"/>
      <c r="AY11" s="299"/>
      <c r="AZ11" s="295" t="s">
        <v>41</v>
      </c>
      <c r="BA11" s="8"/>
      <c r="BB11" s="274"/>
    </row>
    <row r="12" s="230" customFormat="true" ht="12.95" hidden="false" customHeight="true" outlineLevel="0" collapsed="false">
      <c r="A12" s="497" t="s">
        <v>99</v>
      </c>
      <c r="B12" s="135"/>
      <c r="C12" s="107"/>
      <c r="D12" s="107"/>
      <c r="E12" s="107"/>
      <c r="F12" s="214" t="n">
        <f aca="false">JUN!F49</f>
        <v>3519.5361734308</v>
      </c>
      <c r="G12" s="107" t="n">
        <f aca="false">JUN!G49</f>
        <v>39853</v>
      </c>
      <c r="H12" s="107" t="n">
        <f aca="false">JUN!H49</f>
        <v>91.66</v>
      </c>
      <c r="I12" s="107" t="n">
        <f aca="false">JUN!I49</f>
        <v>39944.66</v>
      </c>
      <c r="J12" s="107" t="n">
        <f aca="false">JUN!J49</f>
        <v>999.057985883539</v>
      </c>
      <c r="K12" s="107" t="n">
        <f aca="false">JUN!K49</f>
        <v>40943.7079858835</v>
      </c>
      <c r="L12" s="218" t="n">
        <f aca="false">JUN!L49</f>
        <v>-1952.18057289528</v>
      </c>
      <c r="M12" s="107" t="n">
        <f aca="false">JUN!M49</f>
        <v>14915.62</v>
      </c>
      <c r="N12" s="107" t="n">
        <f aca="false">JUN!N49</f>
        <v>57.4863085</v>
      </c>
      <c r="O12" s="107" t="n">
        <f aca="false">JUN!O49</f>
        <v>2612.25041875</v>
      </c>
      <c r="P12" s="338" t="n">
        <f aca="false">JUN!P49</f>
        <v>14.3788</v>
      </c>
      <c r="Q12" s="107"/>
      <c r="R12" s="107"/>
      <c r="S12" s="107"/>
      <c r="T12" s="107"/>
      <c r="U12" s="217"/>
      <c r="V12" s="107" t="n">
        <f aca="false">JUN!V49</f>
        <v>7152.5</v>
      </c>
      <c r="W12" s="107" t="n">
        <f aca="false">JUN!W49</f>
        <v>4028.75</v>
      </c>
      <c r="X12" s="107" t="n">
        <f aca="false">JUN!X49</f>
        <v>23211.2988670419</v>
      </c>
      <c r="Y12" s="107" t="n">
        <f aca="false">JUN!Y49</f>
        <v>23211.2988670419</v>
      </c>
      <c r="Z12" s="107" t="n">
        <f aca="false">JUN!Z44</f>
        <v>7058.53112509611</v>
      </c>
      <c r="AA12" s="107" t="n">
        <v>375.594650529493</v>
      </c>
      <c r="AB12" s="107" t="n">
        <f aca="false">JUN!AB44</f>
        <v>58206.0653394057</v>
      </c>
      <c r="AC12" s="107" t="n">
        <f aca="false">JUN!AC44</f>
        <v>4692.47905673565</v>
      </c>
      <c r="AD12" s="215" t="n">
        <f aca="false">AD11/D2</f>
        <v>3481.22006554071</v>
      </c>
      <c r="AE12" s="107" t="n">
        <f aca="false">JUN!AE49</f>
        <v>6709.30565217391</v>
      </c>
      <c r="AF12" s="216" t="n">
        <f aca="false">JUN!AF49</f>
        <v>154.7</v>
      </c>
      <c r="AG12" s="218" t="n">
        <f aca="false">JUN!AG49</f>
        <v>118.3</v>
      </c>
      <c r="AH12" s="107"/>
      <c r="AI12" s="107"/>
      <c r="AJ12" s="107" t="n">
        <f aca="false">JUN!AJ49</f>
        <v>0</v>
      </c>
      <c r="AK12" s="107" t="n">
        <f aca="false">JUN!AK49</f>
        <v>34472.9332536739</v>
      </c>
      <c r="AL12" s="107" t="n">
        <f aca="false">JUN!AL49</f>
        <v>2951.23855877882</v>
      </c>
      <c r="AM12" s="214" t="n">
        <f aca="false">JUN!AM49</f>
        <v>37424.1718124527</v>
      </c>
      <c r="AN12" s="215"/>
      <c r="AO12" s="215"/>
      <c r="AP12" s="136"/>
      <c r="AQ12" s="107" t="n">
        <f aca="false">JUN!AQ50</f>
        <v>1764.21130226507</v>
      </c>
      <c r="AR12" s="107" t="n">
        <f aca="false">JUN!AR49</f>
        <v>417.443912276279</v>
      </c>
      <c r="AS12" s="107" t="n">
        <f aca="false">JUN!AS49</f>
        <v>169.056</v>
      </c>
      <c r="AT12" s="107" t="n">
        <f aca="false">JUN!AT49</f>
        <v>0</v>
      </c>
      <c r="AU12" s="214"/>
      <c r="AV12" s="158"/>
      <c r="AW12" s="215"/>
      <c r="AX12" s="215"/>
      <c r="AY12" s="299"/>
      <c r="AZ12" s="333"/>
      <c r="BA12" s="484" t="n">
        <f aca="false">JUN!BA49</f>
        <v>174.077</v>
      </c>
      <c r="BB12" s="464"/>
    </row>
    <row r="13" customFormat="false" ht="12.95" hidden="false" customHeight="true" outlineLevel="0" collapsed="false">
      <c r="A13" s="498" t="s">
        <v>100</v>
      </c>
      <c r="B13" s="338" t="n">
        <f aca="false">JUN!B44</f>
        <v>6872.78</v>
      </c>
      <c r="C13" s="107" t="n">
        <f aca="false">JUN!C44</f>
        <v>195347</v>
      </c>
      <c r="D13" s="107" t="n">
        <f aca="false">JUN!D53</f>
        <v>192</v>
      </c>
      <c r="E13" s="107" t="n">
        <f aca="false">JUN!E53</f>
        <v>43347</v>
      </c>
      <c r="F13" s="214" t="n">
        <f aca="false">JUN!F52</f>
        <v>96.7985883539204</v>
      </c>
      <c r="G13" s="107" t="n">
        <f aca="false">JUN!G52</f>
        <v>45006</v>
      </c>
      <c r="H13" s="107" t="n">
        <f aca="false">JUN!H52</f>
        <v>146.15</v>
      </c>
      <c r="I13" s="107" t="n">
        <f aca="false">JUN!I52</f>
        <v>45151.53</v>
      </c>
      <c r="J13" s="107" t="n">
        <f aca="false">JUN!J52</f>
        <v>2724.09520292412</v>
      </c>
      <c r="K13" s="107" t="n">
        <f aca="false">JUN!K52</f>
        <v>47875.6152029241</v>
      </c>
      <c r="L13" s="218" t="n">
        <f aca="false">JUN!L52</f>
        <v>-999.822657972165</v>
      </c>
      <c r="M13" s="107" t="n">
        <f aca="false">JUN!M52</f>
        <v>15817.53</v>
      </c>
      <c r="N13" s="107" t="n">
        <f aca="false">JUN!N52</f>
        <v>57.4863085</v>
      </c>
      <c r="O13" s="107" t="n">
        <f aca="false">JUN!O52</f>
        <v>2612.25041875</v>
      </c>
      <c r="P13" s="107" t="n">
        <f aca="false">JUN!P52</f>
        <v>0</v>
      </c>
      <c r="Q13" s="107" t="n">
        <f aca="false">JUN!Q52</f>
        <v>446.719908991485</v>
      </c>
      <c r="R13" s="107" t="n">
        <f aca="false">JUN!R52</f>
        <v>568.24437008</v>
      </c>
      <c r="S13" s="107" t="n">
        <f aca="false">JUN!S52</f>
        <v>51.9628976</v>
      </c>
      <c r="T13" s="107" t="n">
        <f aca="false">JUN!T52</f>
        <v>177.99273232</v>
      </c>
      <c r="U13" s="318" t="n">
        <f aca="false">JUN!U52</f>
        <v>77.8630613803556</v>
      </c>
      <c r="V13" s="107" t="n">
        <f aca="false">JUN!V52</f>
        <v>11509.72</v>
      </c>
      <c r="W13" s="107" t="n">
        <f aca="false">JUN!W52</f>
        <v>4113.15</v>
      </c>
      <c r="X13" s="107" t="n">
        <f aca="false">JUN!X52</f>
        <v>27850.9454146544</v>
      </c>
      <c r="Y13" s="107" t="n">
        <f aca="false">JUN!Y52</f>
        <v>27526.9829742258</v>
      </c>
      <c r="Z13" s="107"/>
      <c r="AA13" s="107"/>
      <c r="AB13" s="107"/>
      <c r="AC13" s="107"/>
      <c r="AD13" s="215"/>
      <c r="AE13" s="107" t="n">
        <f aca="false">JUN!AE50</f>
        <v>13307.907761087</v>
      </c>
      <c r="AF13" s="266" t="n">
        <f aca="false">AF12</f>
        <v>154.7</v>
      </c>
      <c r="AG13" s="267" t="n">
        <f aca="false">AG12</f>
        <v>118.3</v>
      </c>
      <c r="AH13" s="107" t="n">
        <f aca="false">JUN!AH52</f>
        <v>5897.2</v>
      </c>
      <c r="AI13" s="107" t="n">
        <f aca="false">JUN!AI52</f>
        <v>4726.13684762418</v>
      </c>
      <c r="AJ13" s="107" t="n">
        <f aca="false">JUN!AJ52</f>
        <v>0</v>
      </c>
      <c r="AK13" s="107" t="n">
        <f aca="false">JUN!AK52</f>
        <v>44054.8987536739</v>
      </c>
      <c r="AL13" s="107" t="n">
        <f aca="false">JUN!AL52</f>
        <v>3723.91786089629</v>
      </c>
      <c r="AM13" s="214" t="n">
        <f aca="false">JUN!AM52</f>
        <v>47778.8166145702</v>
      </c>
      <c r="AN13" s="107" t="n">
        <f aca="false">JUN!AN52</f>
        <v>8903.4116944076</v>
      </c>
      <c r="AO13" s="107" t="n">
        <f aca="false">JUN!AO52</f>
        <v>323.962440428619</v>
      </c>
      <c r="AP13" s="136"/>
      <c r="AQ13" s="107" t="n">
        <f aca="false">JUN!AQ53</f>
        <v>1764.21130226507</v>
      </c>
      <c r="AR13" s="107" t="n">
        <f aca="false">JUN!AR52</f>
        <v>417.443912276279</v>
      </c>
      <c r="AS13" s="107" t="n">
        <f aca="false">JUN!AS52</f>
        <v>169.056</v>
      </c>
      <c r="AT13" s="158" t="n">
        <v>0</v>
      </c>
      <c r="AU13" s="499"/>
      <c r="AV13" s="338" t="n">
        <f aca="false">JUN!AV52</f>
        <v>5.223</v>
      </c>
      <c r="AW13" s="215"/>
      <c r="AX13" s="215"/>
      <c r="AY13" s="302"/>
      <c r="AZ13" s="340" t="n">
        <f aca="false">JUN!AZ52</f>
        <v>1394.64807887184</v>
      </c>
      <c r="BA13" s="484" t="n">
        <f aca="false">JUN!BA52</f>
        <v>174.077</v>
      </c>
      <c r="BB13" s="91"/>
    </row>
    <row r="14" customFormat="false" ht="3" hidden="false" customHeight="true" outlineLevel="0" collapsed="false">
      <c r="A14" s="231"/>
      <c r="B14" s="232"/>
      <c r="C14" s="233"/>
      <c r="D14" s="234"/>
      <c r="E14" s="233"/>
      <c r="F14" s="235"/>
      <c r="G14" s="234"/>
      <c r="H14" s="240"/>
      <c r="I14" s="234"/>
      <c r="J14" s="234"/>
      <c r="K14" s="234"/>
      <c r="L14" s="241"/>
      <c r="M14" s="234"/>
      <c r="N14" s="234"/>
      <c r="O14" s="234"/>
      <c r="P14" s="238"/>
      <c r="Q14" s="234"/>
      <c r="R14" s="234"/>
      <c r="S14" s="234"/>
      <c r="T14" s="234"/>
      <c r="U14" s="239"/>
      <c r="V14" s="234"/>
      <c r="W14" s="234"/>
      <c r="X14" s="234"/>
      <c r="Y14" s="234"/>
      <c r="Z14" s="233"/>
      <c r="AA14" s="234"/>
      <c r="AB14" s="233"/>
      <c r="AC14" s="233"/>
      <c r="AD14" s="243"/>
      <c r="AE14" s="234"/>
      <c r="AF14" s="237"/>
      <c r="AG14" s="241"/>
      <c r="AH14" s="234"/>
      <c r="AI14" s="233"/>
      <c r="AJ14" s="233"/>
      <c r="AK14" s="234"/>
      <c r="AL14" s="234"/>
      <c r="AM14" s="235"/>
      <c r="AN14" s="243"/>
      <c r="AO14" s="243"/>
      <c r="AP14" s="240"/>
      <c r="AQ14" s="238"/>
      <c r="AR14" s="238"/>
      <c r="AS14" s="238"/>
      <c r="AT14" s="238"/>
      <c r="AU14" s="240"/>
      <c r="AV14" s="500"/>
      <c r="AW14" s="243"/>
      <c r="AX14" s="243"/>
      <c r="AY14" s="243"/>
      <c r="AZ14" s="243"/>
      <c r="BA14" s="243"/>
      <c r="BB14" s="243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2.95" hidden="false" customHeight="true" outlineLevel="0" collapsed="false">
      <c r="A15" s="183" t="n">
        <v>1</v>
      </c>
      <c r="B15" s="106" t="n">
        <v>6872.47</v>
      </c>
      <c r="C15" s="107" t="n">
        <v>194494</v>
      </c>
      <c r="D15" s="103" t="n">
        <f aca="false">C15-C13</f>
        <v>-853</v>
      </c>
      <c r="E15" s="107" t="n">
        <f aca="false">C15-152000</f>
        <v>42494</v>
      </c>
      <c r="F15" s="246" t="n">
        <f aca="false">D15/$D$2</f>
        <v>-430.047895134863</v>
      </c>
      <c r="G15" s="135" t="n">
        <v>69</v>
      </c>
      <c r="H15" s="136" t="n">
        <v>0</v>
      </c>
      <c r="I15" s="135" t="n">
        <f aca="false">G15+H15</f>
        <v>69</v>
      </c>
      <c r="J15" s="136" t="n">
        <f aca="false">IF(L15&gt;0,L15,0)</f>
        <v>0</v>
      </c>
      <c r="K15" s="135" t="n">
        <f aca="false">I15+J15</f>
        <v>69</v>
      </c>
      <c r="L15" s="249" t="n">
        <f aca="false">F15-(I15-AK15)</f>
        <v>-11.9478951348625</v>
      </c>
      <c r="M15" s="135" t="n">
        <v>213</v>
      </c>
      <c r="N15" s="158" t="n">
        <f aca="false">(1.8299*1.03)/2</f>
        <v>0.9423985</v>
      </c>
      <c r="O15" s="135" t="n">
        <f aca="false">5.68*1.05</f>
        <v>5.964</v>
      </c>
      <c r="P15" s="158" t="n">
        <v>0</v>
      </c>
      <c r="Q15" s="338" t="n">
        <f aca="false">2125600/325851/1.9835*1.02</f>
        <v>3.35452049967486</v>
      </c>
      <c r="R15" s="131" t="n">
        <v>4.2</v>
      </c>
      <c r="S15" s="131" t="n">
        <f aca="false">((6.8*1.04)-T15)-4.2</f>
        <v>2.12578544</v>
      </c>
      <c r="T15" s="131" t="n">
        <f aca="false">(0.6769*1.06)*1.04</f>
        <v>0.74621456</v>
      </c>
      <c r="U15" s="357" t="n">
        <v>0</v>
      </c>
      <c r="V15" s="135" t="n">
        <v>139</v>
      </c>
      <c r="W15" s="135" t="n">
        <v>74.3</v>
      </c>
      <c r="X15" s="135" t="n">
        <f aca="false">M15-N15-O15-P15-Q15-R15-S15-T15-U15+V15+W15-AT15+AR15</f>
        <v>418.041948658505</v>
      </c>
      <c r="Y15" s="135" t="n">
        <f aca="false">X15-AO15</f>
        <v>418.041948658505</v>
      </c>
      <c r="Z15" s="107" t="n">
        <f aca="false">Z12+AP15</f>
        <v>6700.23465593793</v>
      </c>
      <c r="AA15" s="135" t="n">
        <f aca="false">(-AP15)</f>
        <v>358.29646915818</v>
      </c>
      <c r="AB15" s="107"/>
      <c r="AC15" s="107" t="n">
        <f aca="false">AC12-(JUN!AQ44/1.9835)+AS15</f>
        <v>4693.18285569088</v>
      </c>
      <c r="AD15" s="215" t="n">
        <f aca="false">AD12</f>
        <v>3481.22006554071</v>
      </c>
      <c r="AE15" s="135" t="n">
        <v>49</v>
      </c>
      <c r="AF15" s="248" t="n">
        <v>1.7</v>
      </c>
      <c r="AG15" s="249" t="n">
        <v>1.3</v>
      </c>
      <c r="AH15" s="135" t="n">
        <v>11.8</v>
      </c>
      <c r="AI15" s="107" t="n">
        <f aca="false">AI13-AH15</f>
        <v>4714.33684762418</v>
      </c>
      <c r="AJ15" s="107"/>
      <c r="AK15" s="134" t="n">
        <f aca="false">N15+O15+P15+Q15+R15+S15+T15+U15+X15+AE15+AH15-AR15</f>
        <v>487.1</v>
      </c>
      <c r="AL15" s="135" t="n">
        <f aca="false">IF(L15&lt;0,L15*-1,0)</f>
        <v>11.9478951348625</v>
      </c>
      <c r="AM15" s="246" t="n">
        <f aca="false">AK15+AL15</f>
        <v>499.047895134863</v>
      </c>
      <c r="AN15" s="215"/>
      <c r="AO15" s="215"/>
      <c r="AP15" s="146" t="n">
        <f aca="false">I15-Q15-R15-X15-AF15</f>
        <v>-358.29646915818</v>
      </c>
      <c r="AQ15" s="158" t="n">
        <f aca="false">48.164*(Z15*1.9835+AC15*1.9835)/E15</f>
        <v>25.6142209442082</v>
      </c>
      <c r="AR15" s="136" t="n">
        <f aca="false">18/1.9835</f>
        <v>9.07486765817998</v>
      </c>
      <c r="AS15" s="147" t="n">
        <v>10.6</v>
      </c>
      <c r="AT15" s="5"/>
      <c r="AU15" s="4"/>
      <c r="AV15" s="322" t="n">
        <v>0</v>
      </c>
      <c r="AW15" s="501" t="n">
        <v>96</v>
      </c>
      <c r="AX15" s="501" t="n">
        <v>56</v>
      </c>
      <c r="AY15" s="294"/>
      <c r="AZ15" s="250" t="n">
        <f aca="false">SUM(N15,P15:U15)</f>
        <v>11.3689189996749</v>
      </c>
      <c r="BA15" s="1" t="n">
        <v>10.6</v>
      </c>
      <c r="BB15" s="464" t="n">
        <v>9944</v>
      </c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2.95" hidden="false" customHeight="true" outlineLevel="0" collapsed="false">
      <c r="A16" s="183" t="n">
        <f aca="false">A15+1</f>
        <v>2</v>
      </c>
      <c r="B16" s="106" t="n">
        <v>6872.12</v>
      </c>
      <c r="C16" s="107" t="n">
        <v>193531</v>
      </c>
      <c r="D16" s="215" t="n">
        <f aca="false">C16-C15</f>
        <v>-963</v>
      </c>
      <c r="E16" s="107" t="n">
        <f aca="false">C16-152000</f>
        <v>41531</v>
      </c>
      <c r="F16" s="246" t="n">
        <f aca="false">D16/$D$2</f>
        <v>-485.505419712629</v>
      </c>
      <c r="G16" s="135" t="n">
        <v>66</v>
      </c>
      <c r="H16" s="136" t="n">
        <v>0</v>
      </c>
      <c r="I16" s="135" t="n">
        <f aca="false">G16+H16</f>
        <v>66</v>
      </c>
      <c r="J16" s="136" t="n">
        <f aca="false">IF(L16&gt;0,L16,0)</f>
        <v>0</v>
      </c>
      <c r="K16" s="135" t="n">
        <f aca="false">I16+J16</f>
        <v>66</v>
      </c>
      <c r="L16" s="135" t="n">
        <f aca="false">F16-(I16-AK16)</f>
        <v>-12.2054197126292</v>
      </c>
      <c r="M16" s="248" t="n">
        <v>219</v>
      </c>
      <c r="N16" s="158" t="n">
        <f aca="false">(1.8299*1.03)/2</f>
        <v>0.9423985</v>
      </c>
      <c r="O16" s="135" t="n">
        <f aca="false">3.03*1.05</f>
        <v>3.1815</v>
      </c>
      <c r="P16" s="158" t="n">
        <v>0</v>
      </c>
      <c r="Q16" s="338" t="n">
        <f aca="false">2111400/325851/1.9835*1.02</f>
        <v>3.33211073720996</v>
      </c>
      <c r="R16" s="131" t="n">
        <v>4.2</v>
      </c>
      <c r="S16" s="131" t="n">
        <f aca="false">((6.8*1.04)-T16)-4.2</f>
        <v>2.12578544</v>
      </c>
      <c r="T16" s="131" t="n">
        <f aca="false">(0.6769*1.06)*1.04</f>
        <v>0.74621456</v>
      </c>
      <c r="U16" s="357" t="n">
        <v>0</v>
      </c>
      <c r="V16" s="135" t="n">
        <v>138</v>
      </c>
      <c r="W16" s="135" t="n">
        <v>75.3</v>
      </c>
      <c r="X16" s="135" t="n">
        <f aca="false">M16-N16-O16-P16-Q16-R16-S16-T16-U16+V16+W16-AT16+AR16</f>
        <v>426.84685842097</v>
      </c>
      <c r="Y16" s="135" t="n">
        <f aca="false">X16-AO16</f>
        <v>426.84685842097</v>
      </c>
      <c r="Z16" s="107" t="n">
        <f aca="false">Z15+AP16</f>
        <v>6330.15568677975</v>
      </c>
      <c r="AA16" s="135" t="n">
        <f aca="false">(-AP16)</f>
        <v>370.07896915818</v>
      </c>
      <c r="AB16" s="107"/>
      <c r="AC16" s="107" t="n">
        <f aca="false">AC15-(AQ15/1.9835)+AS16</f>
        <v>4690.86920762221</v>
      </c>
      <c r="AD16" s="215" t="n">
        <f aca="false">AD15</f>
        <v>3481.22006554071</v>
      </c>
      <c r="AE16" s="135" t="n">
        <v>95.2</v>
      </c>
      <c r="AF16" s="248" t="n">
        <v>1.7</v>
      </c>
      <c r="AG16" s="249" t="n">
        <v>1.3</v>
      </c>
      <c r="AH16" s="135" t="n">
        <v>11.8</v>
      </c>
      <c r="AI16" s="107" t="n">
        <f aca="false">AI15-AH16</f>
        <v>4702.53684762418</v>
      </c>
      <c r="AJ16" s="107"/>
      <c r="AK16" s="134" t="n">
        <f aca="false">N16+O16+P16+Q16+R16+S16+T16+U16+X16+AE16+AH16-AR16</f>
        <v>539.3</v>
      </c>
      <c r="AL16" s="135" t="n">
        <f aca="false">IF(L16&lt;0,L16*-1,0)</f>
        <v>12.2054197126292</v>
      </c>
      <c r="AM16" s="135" t="n">
        <f aca="false">AK16+AL16</f>
        <v>551.505419712629</v>
      </c>
      <c r="AN16" s="220"/>
      <c r="AO16" s="215"/>
      <c r="AP16" s="146" t="n">
        <f aca="false">I16-Q16-R16-X16-AF16</f>
        <v>-370.07896915818</v>
      </c>
      <c r="AQ16" s="158" t="n">
        <f aca="false">61.242*(Z16*1.9835+AC16*1.9835)/E16</f>
        <v>32.2352590753247</v>
      </c>
      <c r="AR16" s="136" t="n">
        <f aca="false">18/1.9835</f>
        <v>9.07486765817998</v>
      </c>
      <c r="AS16" s="147" t="n">
        <v>10.6</v>
      </c>
      <c r="AT16" s="5"/>
      <c r="AU16" s="4"/>
      <c r="AV16" s="322" t="n">
        <v>0</v>
      </c>
      <c r="AW16" s="215" t="n">
        <v>92</v>
      </c>
      <c r="AX16" s="215" t="n">
        <v>60</v>
      </c>
      <c r="AY16" s="294"/>
      <c r="AZ16" s="250" t="n">
        <f aca="false">SUM(N16,P16:U16)</f>
        <v>11.34650923721</v>
      </c>
      <c r="BA16" s="1" t="n">
        <v>10.6</v>
      </c>
      <c r="BB16" s="464" t="n">
        <v>9922</v>
      </c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2.95" hidden="false" customHeight="true" outlineLevel="0" collapsed="false">
      <c r="A17" s="183" t="n">
        <f aca="false">A16+1</f>
        <v>3</v>
      </c>
      <c r="B17" s="106" t="n">
        <v>6871.78</v>
      </c>
      <c r="C17" s="107" t="n">
        <v>192603</v>
      </c>
      <c r="D17" s="215" t="n">
        <f aca="false">C17-C16</f>
        <v>-928</v>
      </c>
      <c r="E17" s="107" t="n">
        <f aca="false">C17-152000</f>
        <v>40603</v>
      </c>
      <c r="F17" s="246" t="n">
        <f aca="false">D17/$D$2</f>
        <v>-467.859843710613</v>
      </c>
      <c r="G17" s="135" t="n">
        <v>63</v>
      </c>
      <c r="H17" s="136" t="n">
        <v>0</v>
      </c>
      <c r="I17" s="135" t="n">
        <f aca="false">G17+H17</f>
        <v>63</v>
      </c>
      <c r="J17" s="136" t="n">
        <f aca="false">IF(L17&gt;0,L17,0)</f>
        <v>0</v>
      </c>
      <c r="K17" s="135" t="n">
        <f aca="false">I17+J17</f>
        <v>63</v>
      </c>
      <c r="L17" s="135" t="n">
        <f aca="false">F17-(I17-AK17)</f>
        <v>-16.5598437106126</v>
      </c>
      <c r="M17" s="248" t="n">
        <v>231</v>
      </c>
      <c r="N17" s="158" t="n">
        <f aca="false">(1.8299*1.03)/2</f>
        <v>0.9423985</v>
      </c>
      <c r="O17" s="135" t="n">
        <f aca="false">6.74*1.05</f>
        <v>7.077</v>
      </c>
      <c r="P17" s="158" t="n">
        <v>0</v>
      </c>
      <c r="Q17" s="338" t="n">
        <f aca="false">1877500/325851/1.9835*1.02</f>
        <v>2.96298091745368</v>
      </c>
      <c r="R17" s="131" t="n">
        <v>4.2</v>
      </c>
      <c r="S17" s="131" t="n">
        <f aca="false">((6.8*1.04)-T17)-4.2</f>
        <v>2.12578544</v>
      </c>
      <c r="T17" s="131" t="n">
        <f aca="false">(0.6769*1.06)*1.04</f>
        <v>0.74621456</v>
      </c>
      <c r="U17" s="357" t="n">
        <v>0</v>
      </c>
      <c r="V17" s="135" t="n">
        <v>136</v>
      </c>
      <c r="W17" s="135" t="n">
        <v>75.3</v>
      </c>
      <c r="X17" s="135" t="n">
        <f aca="false">M17-N17-O17-P17-Q17-R17-S17-T17-U17+V17+W17-AT17+AR17</f>
        <v>433.320488240726</v>
      </c>
      <c r="Y17" s="135" t="n">
        <f aca="false">X17-AO17</f>
        <v>433.320488240726</v>
      </c>
      <c r="Z17" s="107" t="n">
        <f aca="false">Z16+AP17</f>
        <v>5950.97221762157</v>
      </c>
      <c r="AA17" s="135" t="n">
        <f aca="false">(-AP17)</f>
        <v>379.18346915818</v>
      </c>
      <c r="AB17" s="107"/>
      <c r="AC17" s="107" t="n">
        <f aca="false">AC16-(AQ16/1.9835)+AS17</f>
        <v>4685.21750150912</v>
      </c>
      <c r="AD17" s="215" t="n">
        <f aca="false">AD16</f>
        <v>3481.22006554071</v>
      </c>
      <c r="AE17" s="135" t="n">
        <v>60.2</v>
      </c>
      <c r="AF17" s="248" t="n">
        <v>1.7</v>
      </c>
      <c r="AG17" s="249" t="n">
        <v>1.3</v>
      </c>
      <c r="AH17" s="135" t="n">
        <v>11.8</v>
      </c>
      <c r="AI17" s="107" t="n">
        <f aca="false">AI16-AH17</f>
        <v>4690.73684762418</v>
      </c>
      <c r="AJ17" s="107"/>
      <c r="AK17" s="134" t="n">
        <f aca="false">N17+O17+P17+Q17+R17+S17+T17+U17+X17+AE17+AH17-AR17</f>
        <v>514.3</v>
      </c>
      <c r="AL17" s="135" t="n">
        <f aca="false">IF(L17&lt;0,L17*-1,0)</f>
        <v>16.5598437106126</v>
      </c>
      <c r="AM17" s="135" t="n">
        <f aca="false">AK17+AL17</f>
        <v>530.859843710612</v>
      </c>
      <c r="AN17" s="220"/>
      <c r="AO17" s="215"/>
      <c r="AP17" s="146" t="n">
        <f aca="false">I17-Q17-R17-X17-AF17</f>
        <v>-379.18346915818</v>
      </c>
      <c r="AQ17" s="158" t="n">
        <f aca="false">72.565*(Z17*1.9835+AC17*1.9835)/E17</f>
        <v>37.7039939086386</v>
      </c>
      <c r="AR17" s="136" t="n">
        <f aca="false">18/1.9835</f>
        <v>9.07486765817998</v>
      </c>
      <c r="AS17" s="158" t="n">
        <v>10.6</v>
      </c>
      <c r="AT17" s="5"/>
      <c r="AU17" s="4" t="n">
        <f aca="false">O17</f>
        <v>7.077</v>
      </c>
      <c r="AV17" s="322" t="n">
        <v>0</v>
      </c>
      <c r="AW17" s="215" t="n">
        <v>95</v>
      </c>
      <c r="AX17" s="215" t="n">
        <v>53</v>
      </c>
      <c r="AY17" s="294"/>
      <c r="AZ17" s="250" t="n">
        <f aca="false">SUM(N17,P17:U17)</f>
        <v>10.9773794174537</v>
      </c>
      <c r="BA17" s="1" t="n">
        <v>10.6</v>
      </c>
      <c r="BB17" s="464" t="n">
        <v>9901</v>
      </c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2.95" hidden="false" customHeight="true" outlineLevel="0" collapsed="false">
      <c r="A18" s="183" t="n">
        <f aca="false">A17+1</f>
        <v>4</v>
      </c>
      <c r="B18" s="106" t="n">
        <v>6871.41</v>
      </c>
      <c r="C18" s="107" t="n">
        <v>191598</v>
      </c>
      <c r="D18" s="215" t="n">
        <f aca="false">C18-C17</f>
        <v>-1005</v>
      </c>
      <c r="E18" s="107" t="n">
        <f aca="false">C18-152000</f>
        <v>39598</v>
      </c>
      <c r="F18" s="246" t="n">
        <f aca="false">D18/$D$2</f>
        <v>-506.680110915049</v>
      </c>
      <c r="G18" s="135" t="n">
        <v>54</v>
      </c>
      <c r="H18" s="136" t="n">
        <v>0</v>
      </c>
      <c r="I18" s="135" t="n">
        <f aca="false">G18+H18</f>
        <v>54</v>
      </c>
      <c r="J18" s="136" t="n">
        <f aca="false">IF(L18&gt;0,L18,0)</f>
        <v>0</v>
      </c>
      <c r="K18" s="135" t="n">
        <f aca="false">I18+J18</f>
        <v>54</v>
      </c>
      <c r="L18" s="135" t="n">
        <f aca="false">F18-(I18-AK18)</f>
        <v>-46.7801109150492</v>
      </c>
      <c r="M18" s="248" t="n">
        <v>228</v>
      </c>
      <c r="N18" s="158" t="n">
        <f aca="false">(1.8299*1.03)/2</f>
        <v>0.9423985</v>
      </c>
      <c r="O18" s="135" t="n">
        <f aca="false">4.8*1.05</f>
        <v>5.04</v>
      </c>
      <c r="P18" s="158" t="n">
        <v>0</v>
      </c>
      <c r="Q18" s="338" t="n">
        <f aca="false">2106300/325851/1.9835*1.02</f>
        <v>3.32406216055003</v>
      </c>
      <c r="R18" s="131" t="n">
        <v>4.2</v>
      </c>
      <c r="S18" s="131" t="n">
        <f aca="false">((6.8*1.04)-T18)-4.2</f>
        <v>2.12578544</v>
      </c>
      <c r="T18" s="131" t="n">
        <f aca="false">(0.6769*1.06)*1.04</f>
        <v>0.74621456</v>
      </c>
      <c r="U18" s="357" t="n">
        <v>0</v>
      </c>
      <c r="V18" s="135" t="n">
        <v>135</v>
      </c>
      <c r="W18" s="135" t="n">
        <v>75.9</v>
      </c>
      <c r="X18" s="135" t="n">
        <f aca="false">M18-N18-O18-P18-Q18-R18-S18-T18-U18+V18+W18-AT18+AR18</f>
        <v>431.59640699763</v>
      </c>
      <c r="Y18" s="135" t="n">
        <f aca="false">X18-AO18</f>
        <v>431.59640699763</v>
      </c>
      <c r="Z18" s="107" t="n">
        <f aca="false">Z17+AP18</f>
        <v>5564.15174846339</v>
      </c>
      <c r="AA18" s="135" t="n">
        <f aca="false">(-AP18)</f>
        <v>386.82046915818</v>
      </c>
      <c r="AB18" s="107"/>
      <c r="AC18" s="107" t="n">
        <f aca="false">AC17-(AQ17/1.9835)+AS18</f>
        <v>4676.80868179213</v>
      </c>
      <c r="AD18" s="215" t="n">
        <f aca="false">AD17</f>
        <v>3481.22006554071</v>
      </c>
      <c r="AE18" s="135" t="n">
        <v>63.2</v>
      </c>
      <c r="AF18" s="248" t="n">
        <v>1.7</v>
      </c>
      <c r="AG18" s="249" t="n">
        <v>1.3</v>
      </c>
      <c r="AH18" s="135" t="n">
        <v>11.8</v>
      </c>
      <c r="AI18" s="107" t="n">
        <f aca="false">AI17-AH18</f>
        <v>4678.93684762418</v>
      </c>
      <c r="AJ18" s="107"/>
      <c r="AK18" s="134" t="n">
        <f aca="false">N18+O18+P18+Q18+R18+S18+T18+U18+X18+AE18+AH18-AR18</f>
        <v>513.9</v>
      </c>
      <c r="AL18" s="135" t="n">
        <f aca="false">IF(L18&lt;0,L18*-1,0)</f>
        <v>46.7801109150492</v>
      </c>
      <c r="AM18" s="135" t="n">
        <f aca="false">AK18+AL18</f>
        <v>560.680110915049</v>
      </c>
      <c r="AN18" s="220"/>
      <c r="AO18" s="215"/>
      <c r="AP18" s="146" t="n">
        <f aca="false">I18-Q18-R18-X18-AF18</f>
        <v>-386.82046915818</v>
      </c>
      <c r="AQ18" s="158" t="n">
        <f aca="false">39.046*(Z18*1.9835+AC18*1.9835)/E18</f>
        <v>20.0297805695661</v>
      </c>
      <c r="AR18" s="136" t="n">
        <f aca="false">18/1.9835</f>
        <v>9.07486765817998</v>
      </c>
      <c r="AS18" s="147" t="n">
        <v>10.6</v>
      </c>
      <c r="AT18" s="5"/>
      <c r="AU18" s="4" t="n">
        <f aca="false">O18</f>
        <v>5.04</v>
      </c>
      <c r="AV18" s="322" t="n">
        <v>0</v>
      </c>
      <c r="AW18" s="215" t="n">
        <v>93</v>
      </c>
      <c r="AX18" s="215" t="n">
        <v>59</v>
      </c>
      <c r="AY18" s="294"/>
      <c r="AZ18" s="250" t="n">
        <f aca="false">SUM(N18,P18:U18)</f>
        <v>11.33846066055</v>
      </c>
      <c r="BA18" s="1" t="n">
        <v>10.6</v>
      </c>
      <c r="BB18" s="464" t="n">
        <v>9879</v>
      </c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2.95" hidden="false" customHeight="true" outlineLevel="0" collapsed="false">
      <c r="A19" s="183" t="n">
        <f aca="false">A18+1</f>
        <v>5</v>
      </c>
      <c r="B19" s="106" t="n">
        <v>6871.09</v>
      </c>
      <c r="C19" s="107" t="n">
        <v>190729</v>
      </c>
      <c r="D19" s="215" t="n">
        <f aca="false">C19-C18</f>
        <v>-869</v>
      </c>
      <c r="E19" s="107" t="n">
        <f aca="false">C19-152000</f>
        <v>38729</v>
      </c>
      <c r="F19" s="246" t="n">
        <f aca="false">D19/$D$2</f>
        <v>-438.114444164356</v>
      </c>
      <c r="G19" s="135" t="n">
        <v>53</v>
      </c>
      <c r="H19" s="136" t="n">
        <v>0</v>
      </c>
      <c r="I19" s="135" t="n">
        <f aca="false">G19+H19</f>
        <v>53</v>
      </c>
      <c r="J19" s="136" t="n">
        <f aca="false">IF(L19&gt;0,L19,0)</f>
        <v>12.185555835644</v>
      </c>
      <c r="K19" s="135" t="n">
        <f aca="false">I19+J19</f>
        <v>65.185555835644</v>
      </c>
      <c r="L19" s="135" t="n">
        <f aca="false">F19-(I19-AK19)</f>
        <v>12.185555835644</v>
      </c>
      <c r="M19" s="248" t="n">
        <v>217</v>
      </c>
      <c r="N19" s="158" t="n">
        <f aca="false">(1.8299*1.03)/2</f>
        <v>0.9423985</v>
      </c>
      <c r="O19" s="135" t="n">
        <f aca="false">2.49*1.05</f>
        <v>2.6145</v>
      </c>
      <c r="P19" s="158" t="n">
        <v>0</v>
      </c>
      <c r="Q19" s="338" t="n">
        <f aca="false">1957100/325851/1.9835*1.02</f>
        <v>3.08860183944</v>
      </c>
      <c r="R19" s="131" t="n">
        <v>4.2</v>
      </c>
      <c r="S19" s="131" t="n">
        <f aca="false">((6.8*1.04)-T19)-4.2</f>
        <v>1.21432112</v>
      </c>
      <c r="T19" s="131" t="n">
        <f aca="false">(1.5037*1.06)*1.04</f>
        <v>1.65767888</v>
      </c>
      <c r="U19" s="357" t="n">
        <v>0</v>
      </c>
      <c r="V19" s="135" t="n">
        <v>137</v>
      </c>
      <c r="W19" s="135" t="n">
        <v>76.5</v>
      </c>
      <c r="X19" s="135" t="n">
        <f aca="false">M19-N19-O19-P19-Q19-R19-S19-T19-U19+V19+W19-AT19+AR19</f>
        <v>425.85736731874</v>
      </c>
      <c r="Y19" s="135" t="n">
        <f aca="false">X19-AO19</f>
        <v>425.85736731874</v>
      </c>
      <c r="Z19" s="107" t="n">
        <f aca="false">Z18+AP19</f>
        <v>5182.30577930521</v>
      </c>
      <c r="AA19" s="135" t="n">
        <f aca="false">(-AP19)</f>
        <v>381.84596915818</v>
      </c>
      <c r="AB19" s="107"/>
      <c r="AC19" s="107" t="n">
        <f aca="false">AC18-(AQ18/1.9835)+AS19</f>
        <v>4677.31048135373</v>
      </c>
      <c r="AD19" s="215" t="n">
        <f aca="false">AD18</f>
        <v>3481.22006554071</v>
      </c>
      <c r="AE19" s="135" t="n">
        <v>61</v>
      </c>
      <c r="AF19" s="248" t="n">
        <v>1.7</v>
      </c>
      <c r="AG19" s="249" t="n">
        <v>1.3</v>
      </c>
      <c r="AH19" s="135" t="n">
        <v>11.8</v>
      </c>
      <c r="AI19" s="107" t="n">
        <f aca="false">AI18-AH19</f>
        <v>4667.13684762418</v>
      </c>
      <c r="AJ19" s="107"/>
      <c r="AK19" s="134" t="n">
        <f aca="false">N19+O19+P19+Q19+R19+S19+T19+U19+X19+AE19+AH19-AR19</f>
        <v>503.3</v>
      </c>
      <c r="AL19" s="135" t="n">
        <f aca="false">IF(L19&lt;0,L19*-1,0)</f>
        <v>0</v>
      </c>
      <c r="AM19" s="135" t="n">
        <f aca="false">AK19+AL19</f>
        <v>503.3</v>
      </c>
      <c r="AN19" s="220"/>
      <c r="AO19" s="215"/>
      <c r="AP19" s="146" t="n">
        <f aca="false">I19-Q19-R19-X19-AF19</f>
        <v>-381.84596915818</v>
      </c>
      <c r="AQ19" s="158" t="n">
        <f aca="false">48.649*(Z19*1.9835+AC19*1.9835)/E19</f>
        <v>24.5657400178271</v>
      </c>
      <c r="AR19" s="136" t="n">
        <f aca="false">18/1.9835</f>
        <v>9.07486765817998</v>
      </c>
      <c r="AS19" s="147" t="n">
        <v>10.6</v>
      </c>
      <c r="AT19" s="5"/>
      <c r="AU19" s="4" t="n">
        <f aca="false">O19</f>
        <v>2.6145</v>
      </c>
      <c r="AV19" s="322" t="n">
        <v>0</v>
      </c>
      <c r="AW19" s="215" t="n">
        <v>93</v>
      </c>
      <c r="AX19" s="215" t="n">
        <v>61</v>
      </c>
      <c r="AY19" s="294"/>
      <c r="AZ19" s="250" t="n">
        <f aca="false">SUM(N19,P19:U19)</f>
        <v>11.10300033944</v>
      </c>
      <c r="BA19" s="1" t="n">
        <v>10.6</v>
      </c>
      <c r="BB19" s="464" t="n">
        <v>9859</v>
      </c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2.95" hidden="false" customHeight="true" outlineLevel="0" collapsed="false">
      <c r="A20" s="183" t="n">
        <f aca="false">A19+1</f>
        <v>6</v>
      </c>
      <c r="B20" s="106" t="n">
        <v>6870.76</v>
      </c>
      <c r="C20" s="107" t="n">
        <v>189841</v>
      </c>
      <c r="D20" s="215" t="n">
        <f aca="false">C20-C19</f>
        <v>-888</v>
      </c>
      <c r="E20" s="107" t="n">
        <f aca="false">C20-152000</f>
        <v>37841</v>
      </c>
      <c r="F20" s="246" t="n">
        <f aca="false">D20/$D$2</f>
        <v>-447.693471136879</v>
      </c>
      <c r="G20" s="135" t="n">
        <v>52</v>
      </c>
      <c r="H20" s="136" t="n">
        <v>0</v>
      </c>
      <c r="I20" s="135" t="n">
        <f aca="false">G20+H20</f>
        <v>52</v>
      </c>
      <c r="J20" s="136" t="n">
        <f aca="false">IF(L20&gt;0,L20,0)</f>
        <v>0</v>
      </c>
      <c r="K20" s="135" t="n">
        <f aca="false">I20+J20</f>
        <v>52</v>
      </c>
      <c r="L20" s="135" t="n">
        <f aca="false">F20-(I20-AK20)</f>
        <v>-10.0934711368792</v>
      </c>
      <c r="M20" s="248" t="n">
        <v>214</v>
      </c>
      <c r="N20" s="158" t="n">
        <f aca="false">(1.8299*1.03)/2</f>
        <v>0.9423985</v>
      </c>
      <c r="O20" s="135" t="n">
        <f aca="false">3.26*1.05</f>
        <v>3.423</v>
      </c>
      <c r="P20" s="158" t="n">
        <v>0</v>
      </c>
      <c r="Q20" s="338" t="n">
        <f aca="false">2028500/325851/1.9835*1.02</f>
        <v>3.20128191267898</v>
      </c>
      <c r="R20" s="131" t="n">
        <v>4.2</v>
      </c>
      <c r="S20" s="131" t="n">
        <f aca="false">((7.5*1.04)-T20)-4.2</f>
        <v>1.94232112</v>
      </c>
      <c r="T20" s="131" t="n">
        <f aca="false">(1.5037*1.06)*1.04</f>
        <v>1.65767888</v>
      </c>
      <c r="U20" s="357" t="n">
        <v>0</v>
      </c>
      <c r="V20" s="135" t="n">
        <v>134</v>
      </c>
      <c r="W20" s="135" t="n">
        <v>76.7</v>
      </c>
      <c r="X20" s="135" t="n">
        <f aca="false">M20-N20-O20-P20-Q20-R20-S20-T20-U20+V20+W20-AT20+AR20</f>
        <v>418.408187245501</v>
      </c>
      <c r="Y20" s="135" t="n">
        <f aca="false">X20-AO20</f>
        <v>418.408187245501</v>
      </c>
      <c r="Z20" s="107" t="n">
        <f aca="false">Z19+AP20</f>
        <v>4806.79631014703</v>
      </c>
      <c r="AA20" s="135" t="n">
        <f aca="false">(-AP20)</f>
        <v>375.50946915818</v>
      </c>
      <c r="AB20" s="107"/>
      <c r="AC20" s="107" t="n">
        <f aca="false">AC19-(AQ19/1.9835)+AS20</f>
        <v>4675.52543471001</v>
      </c>
      <c r="AD20" s="215" t="n">
        <f aca="false">AD19</f>
        <v>3481.22006554071</v>
      </c>
      <c r="AE20" s="135" t="n">
        <v>53.1</v>
      </c>
      <c r="AF20" s="248" t="n">
        <v>1.7</v>
      </c>
      <c r="AG20" s="249" t="n">
        <v>1.3</v>
      </c>
      <c r="AH20" s="135" t="n">
        <v>11.8</v>
      </c>
      <c r="AI20" s="107" t="n">
        <f aca="false">AI19-AH20</f>
        <v>4655.33684762418</v>
      </c>
      <c r="AJ20" s="107"/>
      <c r="AK20" s="134" t="n">
        <f aca="false">N20+O20+P20+Q20+R20+S20+T20+U20+X20+AE20+AH20-AR20</f>
        <v>489.6</v>
      </c>
      <c r="AL20" s="135" t="n">
        <f aca="false">IF(L20&lt;0,L20*-1,0)</f>
        <v>10.0934711368792</v>
      </c>
      <c r="AM20" s="135" t="n">
        <f aca="false">AK20+AL20</f>
        <v>499.693471136879</v>
      </c>
      <c r="AN20" s="220"/>
      <c r="AO20" s="215"/>
      <c r="AP20" s="146" t="n">
        <f aca="false">I20-Q20-R20-X20-AF20</f>
        <v>-375.50946915818</v>
      </c>
      <c r="AQ20" s="158" t="n">
        <f aca="false">49.752*(Z20*1.9835+AC20*1.9835)/E20</f>
        <v>24.7283324732784</v>
      </c>
      <c r="AR20" s="136" t="n">
        <f aca="false">18/1.9835</f>
        <v>9.07486765817998</v>
      </c>
      <c r="AS20" s="147" t="n">
        <v>10.6</v>
      </c>
      <c r="AT20" s="5"/>
      <c r="AU20" s="4" t="n">
        <f aca="false">O20</f>
        <v>3.423</v>
      </c>
      <c r="AV20" s="322" t="n">
        <v>0</v>
      </c>
      <c r="AW20" s="215" t="n">
        <v>91</v>
      </c>
      <c r="AX20" s="215" t="n">
        <v>60</v>
      </c>
      <c r="AY20" s="294"/>
      <c r="AZ20" s="250" t="n">
        <f aca="false">SUM(N20,P20:U20)</f>
        <v>11.943680412679</v>
      </c>
      <c r="BA20" s="1" t="n">
        <v>10.6</v>
      </c>
      <c r="BB20" s="464" t="n">
        <v>9841</v>
      </c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2.95" hidden="false" customHeight="true" outlineLevel="0" collapsed="false">
      <c r="A21" s="183" t="n">
        <f aca="false">A20+1</f>
        <v>7</v>
      </c>
      <c r="B21" s="106" t="n">
        <v>6870.41</v>
      </c>
      <c r="C21" s="107" t="n">
        <v>188902</v>
      </c>
      <c r="D21" s="215" t="n">
        <f aca="false">C21-C20</f>
        <v>-939</v>
      </c>
      <c r="E21" s="107" t="n">
        <f aca="false">C21-152000</f>
        <v>36902</v>
      </c>
      <c r="F21" s="246" t="n">
        <f aca="false">D21/$D$2</f>
        <v>-473.405596168389</v>
      </c>
      <c r="G21" s="135" t="n">
        <v>50</v>
      </c>
      <c r="H21" s="136" t="n">
        <v>0</v>
      </c>
      <c r="I21" s="135" t="n">
        <f aca="false">G21+H21</f>
        <v>50</v>
      </c>
      <c r="J21" s="136" t="n">
        <f aca="false">IF(L21&gt;0,L21,0)</f>
        <v>0</v>
      </c>
      <c r="K21" s="135" t="n">
        <f aca="false">I21+J21</f>
        <v>50</v>
      </c>
      <c r="L21" s="135" t="n">
        <f aca="false">F21-(I21-AK21)</f>
        <v>-28.8055961683892</v>
      </c>
      <c r="M21" s="248" t="n">
        <v>225</v>
      </c>
      <c r="N21" s="158" t="n">
        <f aca="false">(1.8299*1.03)/2</f>
        <v>0.9423985</v>
      </c>
      <c r="O21" s="135" t="n">
        <f aca="false">2.76*1.05</f>
        <v>2.898</v>
      </c>
      <c r="P21" s="158" t="n">
        <v>0</v>
      </c>
      <c r="Q21" s="338" t="n">
        <f aca="false">2170300/325851/1.9835*1.02</f>
        <v>3.42506390687069</v>
      </c>
      <c r="R21" s="131" t="n">
        <v>4.2</v>
      </c>
      <c r="S21" s="131" t="n">
        <f aca="false">((7.5*1.04)-T21)-4.2</f>
        <v>1.94232112</v>
      </c>
      <c r="T21" s="131" t="n">
        <f aca="false">(1.5037*1.06)*1.04</f>
        <v>1.65767888</v>
      </c>
      <c r="U21" s="357" t="n">
        <v>0</v>
      </c>
      <c r="V21" s="135" t="n">
        <v>133</v>
      </c>
      <c r="W21" s="135" t="n">
        <v>76.5</v>
      </c>
      <c r="X21" s="135" t="n">
        <f aca="false">M21-N21-O21-P21-Q21-R21-S21-T21-U21+V21+W21-AT21+AR21</f>
        <v>428.509405251309</v>
      </c>
      <c r="Y21" s="135" t="n">
        <f aca="false">X21-AO21</f>
        <v>428.509405251309</v>
      </c>
      <c r="Z21" s="107" t="n">
        <f aca="false">Z20+AP21</f>
        <v>4418.96184098885</v>
      </c>
      <c r="AA21" s="135" t="n">
        <f aca="false">(-AP21)</f>
        <v>387.83446915818</v>
      </c>
      <c r="AB21" s="107"/>
      <c r="AC21" s="107" t="n">
        <f aca="false">AC20-(AQ20/1.9835)+AS21</f>
        <v>4673.65841556543</v>
      </c>
      <c r="AD21" s="215" t="n">
        <f aca="false">AD20</f>
        <v>3481.22006554071</v>
      </c>
      <c r="AE21" s="135" t="n">
        <v>48.3</v>
      </c>
      <c r="AF21" s="248" t="n">
        <v>1.7</v>
      </c>
      <c r="AG21" s="249" t="n">
        <v>1.3</v>
      </c>
      <c r="AH21" s="135" t="n">
        <v>11.8</v>
      </c>
      <c r="AI21" s="107" t="n">
        <f aca="false">AI20-AH21</f>
        <v>4643.53684762418</v>
      </c>
      <c r="AJ21" s="107"/>
      <c r="AK21" s="134" t="n">
        <f aca="false">N21+O21+P21+Q21+R21+S21+T21+U21+X21+AE21+AH21-AR21</f>
        <v>494.6</v>
      </c>
      <c r="AL21" s="135" t="n">
        <f aca="false">IF(L21&lt;0,L21*-1,0)</f>
        <v>28.8055961683892</v>
      </c>
      <c r="AM21" s="135" t="n">
        <f aca="false">AK21+AL21</f>
        <v>523.405596168389</v>
      </c>
      <c r="AN21" s="220"/>
      <c r="AO21" s="215"/>
      <c r="AP21" s="146" t="n">
        <f aca="false">I21-Q21-R21-X21-AF21</f>
        <v>-387.83446915818</v>
      </c>
      <c r="AQ21" s="158" t="n">
        <f aca="false">57.787*(Z21*1.9835+AC21*1.9835)/E21</f>
        <v>28.2423936902979</v>
      </c>
      <c r="AR21" s="136" t="n">
        <f aca="false">18/1.9835</f>
        <v>9.07486765817998</v>
      </c>
      <c r="AS21" s="147" t="n">
        <v>10.6</v>
      </c>
      <c r="AT21" s="5"/>
      <c r="AU21" s="4" t="n">
        <f aca="false">O21</f>
        <v>2.898</v>
      </c>
      <c r="AV21" s="322" t="n">
        <v>0</v>
      </c>
      <c r="AW21" s="501" t="n">
        <v>93</v>
      </c>
      <c r="AX21" s="501" t="n">
        <v>57</v>
      </c>
      <c r="AY21" s="294"/>
      <c r="AZ21" s="250" t="n">
        <f aca="false">SUM(N21,P21:U21)</f>
        <v>12.1674624068707</v>
      </c>
      <c r="BA21" s="1" t="n">
        <v>10.6</v>
      </c>
      <c r="BB21" s="464" t="n">
        <v>9822</v>
      </c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2.95" hidden="false" customHeight="true" outlineLevel="0" collapsed="false">
      <c r="A22" s="183" t="n">
        <f aca="false">A21+1</f>
        <v>8</v>
      </c>
      <c r="B22" s="106" t="n">
        <v>6870.07</v>
      </c>
      <c r="C22" s="107" t="n">
        <v>187991</v>
      </c>
      <c r="D22" s="215" t="n">
        <f aca="false">C22-C21</f>
        <v>-911</v>
      </c>
      <c r="E22" s="107" t="n">
        <f aca="false">C22-152000</f>
        <v>35991</v>
      </c>
      <c r="F22" s="246" t="n">
        <f aca="false">D22/$D$2</f>
        <v>-459.289135366776</v>
      </c>
      <c r="G22" s="135" t="n">
        <v>44</v>
      </c>
      <c r="H22" s="136" t="n">
        <v>0</v>
      </c>
      <c r="I22" s="135" t="n">
        <f aca="false">G22+H22</f>
        <v>44</v>
      </c>
      <c r="J22" s="136" t="n">
        <f aca="false">IF(L22&gt;0,L22,0)</f>
        <v>0</v>
      </c>
      <c r="K22" s="135" t="n">
        <f aca="false">I22+J22</f>
        <v>44</v>
      </c>
      <c r="L22" s="135" t="n">
        <f aca="false">F22-(I22-AK22)</f>
        <v>-11.7891353667758</v>
      </c>
      <c r="M22" s="248" t="n">
        <v>226</v>
      </c>
      <c r="N22" s="158" t="n">
        <f aca="false">(1.8299*1.03)/2</f>
        <v>0.9423985</v>
      </c>
      <c r="O22" s="135" t="n">
        <f aca="false">5.24*1.05</f>
        <v>5.502</v>
      </c>
      <c r="P22" s="158" t="n">
        <v>0</v>
      </c>
      <c r="Q22" s="338" t="n">
        <f aca="false">2186300/325851/1.9835*1.02</f>
        <v>3.45031434345085</v>
      </c>
      <c r="R22" s="131" t="n">
        <v>4.2</v>
      </c>
      <c r="S22" s="131" t="n">
        <f aca="false">((7.5*1.04)-T22)-4.2</f>
        <v>1.94232112</v>
      </c>
      <c r="T22" s="131" t="n">
        <f aca="false">(1.5037*1.06)*1.04</f>
        <v>1.65767888</v>
      </c>
      <c r="U22" s="357" t="n">
        <v>0</v>
      </c>
      <c r="V22" s="135" t="n">
        <v>133</v>
      </c>
      <c r="W22" s="135" t="n">
        <v>77.1</v>
      </c>
      <c r="X22" s="135" t="n">
        <f aca="false">M22-N22-O22-P22-Q22-R22-S22-T22-U22+V22+W22-AT22+AR22</f>
        <v>427.480154814729</v>
      </c>
      <c r="Y22" s="135" t="n">
        <f aca="false">X22-AO22</f>
        <v>427.480154814729</v>
      </c>
      <c r="Z22" s="107" t="n">
        <f aca="false">Z21+AP22</f>
        <v>4026.13137183067</v>
      </c>
      <c r="AA22" s="135" t="n">
        <f aca="false">(-AP22)</f>
        <v>392.83046915818</v>
      </c>
      <c r="AB22" s="107"/>
      <c r="AC22" s="107" t="n">
        <f aca="false">AC21-(AQ21/1.9835)+AS22</f>
        <v>4670.01974972711</v>
      </c>
      <c r="AD22" s="215" t="n">
        <f aca="false">AD21</f>
        <v>3481.22006554071</v>
      </c>
      <c r="AE22" s="135" t="n">
        <v>43.6</v>
      </c>
      <c r="AF22" s="248" t="n">
        <v>1.7</v>
      </c>
      <c r="AG22" s="249" t="n">
        <v>1.3</v>
      </c>
      <c r="AH22" s="135" t="n">
        <v>11.8</v>
      </c>
      <c r="AI22" s="107" t="n">
        <f aca="false">AI21-AH22</f>
        <v>4631.73684762418</v>
      </c>
      <c r="AJ22" s="107"/>
      <c r="AK22" s="134" t="n">
        <f aca="false">N22+O22+P22+Q22+R22+S22+T22+U22+X22+AE22+AH22-AR22</f>
        <v>491.5</v>
      </c>
      <c r="AL22" s="135" t="n">
        <f aca="false">IF(L22&lt;0,L22*-1,0)</f>
        <v>11.7891353667758</v>
      </c>
      <c r="AM22" s="135" t="n">
        <f aca="false">AK22+AL22</f>
        <v>503.289135366776</v>
      </c>
      <c r="AN22" s="220"/>
      <c r="AO22" s="215"/>
      <c r="AP22" s="146" t="n">
        <f aca="false">I22-Q22-R22-X22-AF22</f>
        <v>-392.83046915818</v>
      </c>
      <c r="AQ22" s="158" t="n">
        <f aca="false">54.37*(Z22*1.9835+AC22*1.9835)/E22</f>
        <v>26.0570173739626</v>
      </c>
      <c r="AR22" s="136" t="n">
        <f aca="false">18/1.9835</f>
        <v>9.07486765817998</v>
      </c>
      <c r="AS22" s="147" t="n">
        <v>10.6</v>
      </c>
      <c r="AT22" s="5"/>
      <c r="AU22" s="4" t="n">
        <f aca="false">O22</f>
        <v>5.502</v>
      </c>
      <c r="AV22" s="322" t="n">
        <v>0</v>
      </c>
      <c r="AW22" s="215" t="n">
        <v>94</v>
      </c>
      <c r="AX22" s="215" t="n">
        <v>63</v>
      </c>
      <c r="AY22" s="294"/>
      <c r="AZ22" s="250" t="n">
        <f aca="false">SUM(N22,P22:U22)</f>
        <v>12.1927128434509</v>
      </c>
      <c r="BA22" s="1" t="n">
        <v>10.6</v>
      </c>
      <c r="BB22" s="464" t="n">
        <v>9800</v>
      </c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2.95" hidden="false" customHeight="true" outlineLevel="0" collapsed="false">
      <c r="A23" s="183" t="n">
        <f aca="false">A22+1</f>
        <v>9</v>
      </c>
      <c r="B23" s="106" t="n">
        <v>6869.72</v>
      </c>
      <c r="C23" s="107" t="n">
        <v>187063</v>
      </c>
      <c r="D23" s="215" t="n">
        <f aca="false">C23-C22</f>
        <v>-928</v>
      </c>
      <c r="E23" s="107" t="n">
        <f aca="false">C23-152000</f>
        <v>35063</v>
      </c>
      <c r="F23" s="246" t="n">
        <f aca="false">D23/$D$2</f>
        <v>-467.859843710613</v>
      </c>
      <c r="G23" s="135" t="n">
        <v>42</v>
      </c>
      <c r="H23" s="136" t="n">
        <v>0</v>
      </c>
      <c r="I23" s="135" t="n">
        <f aca="false">G23+H23</f>
        <v>42</v>
      </c>
      <c r="J23" s="136" t="n">
        <f aca="false">IF(L23&gt;0,L23,0)</f>
        <v>14.5401562893874</v>
      </c>
      <c r="K23" s="135" t="n">
        <f aca="false">I23+J23</f>
        <v>56.5401562893874</v>
      </c>
      <c r="L23" s="135" t="n">
        <f aca="false">F23-(I23-AK23)</f>
        <v>14.5401562893874</v>
      </c>
      <c r="M23" s="248" t="n">
        <v>228</v>
      </c>
      <c r="N23" s="158" t="n">
        <f aca="false">(1.8299*1.03)/2</f>
        <v>0.9423985</v>
      </c>
      <c r="O23" s="135" t="n">
        <f aca="false">9.93*1.05</f>
        <v>10.4265</v>
      </c>
      <c r="P23" s="158" t="n">
        <v>0</v>
      </c>
      <c r="Q23" s="338" t="n">
        <f aca="false">2136000/325851/1.9835*1.02</f>
        <v>3.37093328345196</v>
      </c>
      <c r="R23" s="131" t="n">
        <v>4.2</v>
      </c>
      <c r="S23" s="131" t="n">
        <f aca="false">((7*1.04)-T23)-4.2</f>
        <v>1.42232112</v>
      </c>
      <c r="T23" s="131" t="n">
        <f aca="false">(1.5037*1.06)*1.04</f>
        <v>1.65767888</v>
      </c>
      <c r="U23" s="357" t="n">
        <v>0</v>
      </c>
      <c r="V23" s="135" t="n">
        <v>135</v>
      </c>
      <c r="W23" s="135" t="n">
        <v>79.4</v>
      </c>
      <c r="X23" s="135" t="n">
        <f aca="false">M23-N23-O23-P23-Q23-R23-S23-T23-U23+V23+W23-AT23+AR23</f>
        <v>429.455035874728</v>
      </c>
      <c r="Y23" s="135" t="n">
        <f aca="false">X23-AO23</f>
        <v>429.455035874728</v>
      </c>
      <c r="Z23" s="107" t="n">
        <f aca="false">Z22+AP23</f>
        <v>3629.40540267249</v>
      </c>
      <c r="AA23" s="135" t="n">
        <f aca="false">(-AP23)</f>
        <v>396.72596915818</v>
      </c>
      <c r="AB23" s="107"/>
      <c r="AC23" s="107" t="n">
        <f aca="false">AC22-(AQ22/1.9835)+AS23</f>
        <v>4667.48286171402</v>
      </c>
      <c r="AD23" s="215" t="n">
        <f aca="false">AD22</f>
        <v>3481.22006554071</v>
      </c>
      <c r="AE23" s="135" t="n">
        <v>70.2</v>
      </c>
      <c r="AF23" s="248" t="n">
        <v>1.7</v>
      </c>
      <c r="AG23" s="249" t="n">
        <v>1.3</v>
      </c>
      <c r="AH23" s="135" t="n">
        <v>11.8</v>
      </c>
      <c r="AI23" s="107" t="n">
        <f aca="false">AI22-AH23</f>
        <v>4619.93684762418</v>
      </c>
      <c r="AJ23" s="107"/>
      <c r="AK23" s="134" t="n">
        <f aca="false">N23+O23+P23+Q23+R23+S23+T23+U23+X23+AE23+AH23-AR23</f>
        <v>524.4</v>
      </c>
      <c r="AL23" s="135" t="n">
        <f aca="false">IF(L23&lt;0,L23*-1,0)</f>
        <v>0</v>
      </c>
      <c r="AM23" s="135" t="n">
        <f aca="false">AK23+AL23</f>
        <v>524.4</v>
      </c>
      <c r="AN23" s="220"/>
      <c r="AO23" s="215"/>
      <c r="AP23" s="146" t="n">
        <f aca="false">I23-Q23-R23-X23-AF23</f>
        <v>-396.72596915818</v>
      </c>
      <c r="AQ23" s="158" t="n">
        <f aca="false">60.273*(Z23*1.9835+AC23*1.9835)/E23</f>
        <v>28.2892336652257</v>
      </c>
      <c r="AR23" s="136" t="n">
        <f aca="false">18/1.9835</f>
        <v>9.07486765817998</v>
      </c>
      <c r="AS23" s="147" t="n">
        <v>10.6</v>
      </c>
      <c r="AT23" s="5"/>
      <c r="AU23" s="4" t="n">
        <f aca="false">O23</f>
        <v>10.4265</v>
      </c>
      <c r="AV23" s="322" t="n">
        <v>0</v>
      </c>
      <c r="AW23" s="221" t="n">
        <v>96</v>
      </c>
      <c r="AX23" s="215" t="n">
        <v>59</v>
      </c>
      <c r="AY23" s="294"/>
      <c r="AZ23" s="250" t="n">
        <f aca="false">SUM(N23,P23:U23)</f>
        <v>11.593331783452</v>
      </c>
      <c r="BA23" s="1" t="n">
        <v>10.6</v>
      </c>
      <c r="BB23" s="464" t="n">
        <v>9780</v>
      </c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2.95" hidden="false" customHeight="true" outlineLevel="0" collapsed="false">
      <c r="A24" s="183" t="n">
        <f aca="false">A23+1</f>
        <v>10</v>
      </c>
      <c r="B24" s="106" t="n">
        <v>6869.37</v>
      </c>
      <c r="C24" s="107" t="n">
        <v>186137</v>
      </c>
      <c r="D24" s="215" t="n">
        <f aca="false">C24-C23</f>
        <v>-926</v>
      </c>
      <c r="E24" s="107" t="n">
        <f aca="false">C24-152000</f>
        <v>34137</v>
      </c>
      <c r="F24" s="246" t="n">
        <f aca="false">D24/$D$2</f>
        <v>-466.851525081926</v>
      </c>
      <c r="G24" s="135" t="n">
        <v>39</v>
      </c>
      <c r="H24" s="136" t="n">
        <v>0</v>
      </c>
      <c r="I24" s="135" t="n">
        <f aca="false">G24+H24</f>
        <v>39</v>
      </c>
      <c r="J24" s="136" t="n">
        <f aca="false">IF(L24&gt;0,L24,0)</f>
        <v>9.24847491807412</v>
      </c>
      <c r="K24" s="135" t="n">
        <f aca="false">I24+J24</f>
        <v>48.2484749180741</v>
      </c>
      <c r="L24" s="135" t="n">
        <f aca="false">F24-(I24-AK24)</f>
        <v>9.24847491807412</v>
      </c>
      <c r="M24" s="248" t="n">
        <v>233</v>
      </c>
      <c r="N24" s="158" t="n">
        <f aca="false">(1.8299*1.03)/2</f>
        <v>0.9423985</v>
      </c>
      <c r="O24" s="135" t="n">
        <f aca="false">16.5*1.05</f>
        <v>17.325</v>
      </c>
      <c r="P24" s="158" t="n">
        <v>0</v>
      </c>
      <c r="Q24" s="338" t="n">
        <f aca="false">2143600/325851/1.9835*1.02</f>
        <v>3.38292724082754</v>
      </c>
      <c r="R24" s="131" t="n">
        <v>4.2</v>
      </c>
      <c r="S24" s="131" t="n">
        <f aca="false">((7*1.04)-T24)-4.2</f>
        <v>1.42232112</v>
      </c>
      <c r="T24" s="131" t="n">
        <f aca="false">(1.5037*1.06)*1.04</f>
        <v>1.65767888</v>
      </c>
      <c r="U24" s="357" t="n">
        <v>0</v>
      </c>
      <c r="V24" s="135" t="n">
        <v>130</v>
      </c>
      <c r="W24" s="135" t="n">
        <v>81.4</v>
      </c>
      <c r="X24" s="135" t="n">
        <f aca="false">M24-N24-O24-P24-Q24-R24-S24-T24-U24+V24+W24-AT24+AR24</f>
        <v>424.544541917352</v>
      </c>
      <c r="Y24" s="135" t="n">
        <f aca="false">X24-AO24</f>
        <v>424.544541917352</v>
      </c>
      <c r="Z24" s="107" t="n">
        <f aca="false">Z23+AP24</f>
        <v>3234.57793351431</v>
      </c>
      <c r="AA24" s="135" t="n">
        <f aca="false">(-AP24)</f>
        <v>394.82746915818</v>
      </c>
      <c r="AB24" s="107"/>
      <c r="AC24" s="107" t="n">
        <f aca="false">AC23-(AQ23/1.9835)+AS24</f>
        <v>4663.82058106607</v>
      </c>
      <c r="AD24" s="215" t="n">
        <f aca="false">AD23</f>
        <v>3481.22006554071</v>
      </c>
      <c r="AE24" s="135" t="n">
        <v>58.9</v>
      </c>
      <c r="AF24" s="248" t="n">
        <v>1.7</v>
      </c>
      <c r="AG24" s="249" t="n">
        <v>1.3</v>
      </c>
      <c r="AH24" s="135" t="n">
        <v>11.8</v>
      </c>
      <c r="AI24" s="107" t="n">
        <f aca="false">AI23-AH24</f>
        <v>4608.13684762418</v>
      </c>
      <c r="AJ24" s="107"/>
      <c r="AK24" s="134" t="n">
        <f aca="false">N24+O24+P24+Q24+R24+S24+T24+U24+X24+AE24+AH24-AR24</f>
        <v>515.1</v>
      </c>
      <c r="AL24" s="135" t="n">
        <f aca="false">IF(L24&lt;0,L24*-1,0)</f>
        <v>0</v>
      </c>
      <c r="AM24" s="135" t="n">
        <f aca="false">AK24+AL24</f>
        <v>515.1</v>
      </c>
      <c r="AN24" s="220"/>
      <c r="AO24" s="215"/>
      <c r="AP24" s="146" t="n">
        <f aca="false">I24-Q24-R24-X24-AF24</f>
        <v>-394.82746915818</v>
      </c>
      <c r="AQ24" s="158" t="n">
        <f aca="false">70.951*(Z24*1.9835+AC24*1.9835)/E24</f>
        <v>32.5615009523787</v>
      </c>
      <c r="AR24" s="136" t="n">
        <f aca="false">18/1.9835</f>
        <v>9.07486765817998</v>
      </c>
      <c r="AS24" s="147" t="n">
        <v>10.6</v>
      </c>
      <c r="AT24" s="5"/>
      <c r="AU24" s="4" t="n">
        <f aca="false">O24</f>
        <v>17.325</v>
      </c>
      <c r="AV24" s="322" t="n">
        <v>0</v>
      </c>
      <c r="AW24" s="215" t="n">
        <v>97</v>
      </c>
      <c r="AX24" s="215" t="n">
        <v>58</v>
      </c>
      <c r="AY24" s="294"/>
      <c r="AZ24" s="250" t="n">
        <f aca="false">SUM(N24,P24:U24)</f>
        <v>11.6053257408275</v>
      </c>
      <c r="BA24" s="1" t="n">
        <v>10.6</v>
      </c>
      <c r="BB24" s="464" t="n">
        <v>9758</v>
      </c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2.95" hidden="false" customHeight="true" outlineLevel="0" collapsed="false">
      <c r="A25" s="183" t="n">
        <f aca="false">A24+1</f>
        <v>11</v>
      </c>
      <c r="B25" s="106" t="n">
        <v>6868.97</v>
      </c>
      <c r="C25" s="107" t="n">
        <v>185080</v>
      </c>
      <c r="D25" s="215" t="n">
        <f aca="false">C25-C24</f>
        <v>-1057</v>
      </c>
      <c r="E25" s="107" t="n">
        <f aca="false">C25-152000</f>
        <v>33080</v>
      </c>
      <c r="F25" s="246" t="n">
        <f aca="false">D25/$D$2</f>
        <v>-532.896395260902</v>
      </c>
      <c r="G25" s="135" t="n">
        <v>38</v>
      </c>
      <c r="H25" s="136" t="n">
        <v>0</v>
      </c>
      <c r="I25" s="135" t="n">
        <f aca="false">G25+H25</f>
        <v>38</v>
      </c>
      <c r="J25" s="136" t="n">
        <f aca="false">IF(L25&gt;0,L25,0)</f>
        <v>0</v>
      </c>
      <c r="K25" s="135" t="n">
        <f aca="false">I25+J25</f>
        <v>38</v>
      </c>
      <c r="L25" s="135" t="n">
        <f aca="false">F25-(I25-AK25)</f>
        <v>-61.8963952609023</v>
      </c>
      <c r="M25" s="248" t="n">
        <v>229</v>
      </c>
      <c r="N25" s="158" t="n">
        <v>0.25</v>
      </c>
      <c r="O25" s="135" t="n">
        <f aca="false">20.8*1.05</f>
        <v>21.84</v>
      </c>
      <c r="P25" s="158" t="n">
        <v>0</v>
      </c>
      <c r="Q25" s="338" t="n">
        <f aca="false">2035200/325851/1.9835*1.02</f>
        <v>3.21185553299693</v>
      </c>
      <c r="R25" s="131" t="n">
        <v>4.2</v>
      </c>
      <c r="S25" s="131" t="n">
        <f aca="false">((7*1.04)-T25)-4.2</f>
        <v>1.42232112</v>
      </c>
      <c r="T25" s="131" t="n">
        <f aca="false">(1.5037*1.06)*1.04</f>
        <v>1.65767888</v>
      </c>
      <c r="U25" s="357" t="n">
        <v>0</v>
      </c>
      <c r="V25" s="135" t="n">
        <v>128</v>
      </c>
      <c r="W25" s="135" t="n">
        <v>80.1</v>
      </c>
      <c r="X25" s="135" t="n">
        <f aca="false">M25-N25-O25-P25-Q25-R25-S25-T25-U25+V25+W25-AT25+AR25</f>
        <v>413.593012125183</v>
      </c>
      <c r="Y25" s="135" t="n">
        <f aca="false">X25-AO25</f>
        <v>413.593012125183</v>
      </c>
      <c r="Z25" s="107" t="n">
        <f aca="false">Z24+AP25</f>
        <v>2849.87306585613</v>
      </c>
      <c r="AA25" s="135" t="n">
        <f aca="false">(-AP25)</f>
        <v>384.70486765818</v>
      </c>
      <c r="AB25" s="107"/>
      <c r="AC25" s="107" t="n">
        <f aca="false">AC24-(AQ24/1.9835)+AS25</f>
        <v>4658.00439707193</v>
      </c>
      <c r="AD25" s="215" t="n">
        <f aca="false">AD24</f>
        <v>3481.22006554071</v>
      </c>
      <c r="AE25" s="135" t="n">
        <v>60.1</v>
      </c>
      <c r="AF25" s="248" t="n">
        <v>1.7</v>
      </c>
      <c r="AG25" s="249" t="n">
        <v>1.3</v>
      </c>
      <c r="AH25" s="135" t="n">
        <v>11.8</v>
      </c>
      <c r="AI25" s="107" t="n">
        <f aca="false">AI24-AH25</f>
        <v>4596.33684762418</v>
      </c>
      <c r="AJ25" s="107"/>
      <c r="AK25" s="134" t="n">
        <f aca="false">N25+O25+P25+Q25+R25+S25+T25+U25+X25+AE25+AH25-AR25</f>
        <v>509</v>
      </c>
      <c r="AL25" s="135" t="n">
        <f aca="false">IF(L25&lt;0,L25*-1,0)</f>
        <v>61.8963952609023</v>
      </c>
      <c r="AM25" s="135" t="n">
        <f aca="false">AK25+AL25</f>
        <v>570.896395260902</v>
      </c>
      <c r="AN25" s="220"/>
      <c r="AO25" s="215"/>
      <c r="AP25" s="146" t="n">
        <f aca="false">I25-Q25-R25-X25-AF25</f>
        <v>-384.70486765818</v>
      </c>
      <c r="AQ25" s="158" t="n">
        <f aca="false">48.271*(Z25*1.9835+AC25*1.9835)/E25</f>
        <v>21.730522841635</v>
      </c>
      <c r="AR25" s="136" t="n">
        <f aca="false">18/1.9835</f>
        <v>9.07486765817998</v>
      </c>
      <c r="AS25" s="147" t="n">
        <v>10.6</v>
      </c>
      <c r="AT25" s="5"/>
      <c r="AU25" s="4" t="n">
        <f aca="false">O25</f>
        <v>21.84</v>
      </c>
      <c r="AV25" s="322" t="n">
        <v>0</v>
      </c>
      <c r="AW25" s="215" t="n">
        <v>91</v>
      </c>
      <c r="AX25" s="215" t="n">
        <v>58</v>
      </c>
      <c r="AY25" s="294"/>
      <c r="AZ25" s="250" t="n">
        <f aca="false">SUM(N25,P25:U25)</f>
        <v>10.7418555329969</v>
      </c>
      <c r="BA25" s="1" t="n">
        <v>34.2</v>
      </c>
      <c r="BB25" s="464" t="n">
        <v>9722</v>
      </c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2.95" hidden="false" customHeight="true" outlineLevel="0" collapsed="false">
      <c r="A26" s="183" t="n">
        <f aca="false">A25+1</f>
        <v>12</v>
      </c>
      <c r="B26" s="106" t="n">
        <v>6868.66</v>
      </c>
      <c r="C26" s="107" t="n">
        <v>184271</v>
      </c>
      <c r="D26" s="215" t="n">
        <f aca="false">C26-C25</f>
        <v>-809</v>
      </c>
      <c r="E26" s="107" t="n">
        <f aca="false">C26-152000</f>
        <v>32271</v>
      </c>
      <c r="F26" s="246" t="n">
        <f aca="false">D26/$D$2</f>
        <v>-407.864885303756</v>
      </c>
      <c r="G26" s="135" t="n">
        <v>67</v>
      </c>
      <c r="H26" s="136" t="n">
        <v>0</v>
      </c>
      <c r="I26" s="135" t="n">
        <f aca="false">G26+H26</f>
        <v>67</v>
      </c>
      <c r="J26" s="136" t="n">
        <f aca="false">IF(L26&gt;0,L26,0)</f>
        <v>7.23511469624413</v>
      </c>
      <c r="K26" s="135" t="n">
        <f aca="false">I26+J26</f>
        <v>74.2351146962441</v>
      </c>
      <c r="L26" s="135" t="n">
        <f aca="false">F26-(I26-AK26)</f>
        <v>7.23511469624413</v>
      </c>
      <c r="M26" s="248" t="n">
        <v>232</v>
      </c>
      <c r="N26" s="158" t="n">
        <v>0.25</v>
      </c>
      <c r="O26" s="135" t="n">
        <f aca="false">17.8*1.05</f>
        <v>18.69</v>
      </c>
      <c r="P26" s="158" t="n">
        <v>0</v>
      </c>
      <c r="Q26" s="338" t="n">
        <f aca="false">1909600/325851/1.9835*1.02</f>
        <v>3.01363960584263</v>
      </c>
      <c r="R26" s="131" t="n">
        <v>4.2</v>
      </c>
      <c r="S26" s="131" t="n">
        <f aca="false">((7*1.04)-T26)-4.2</f>
        <v>1.89315616</v>
      </c>
      <c r="T26" s="131" t="n">
        <f aca="false">(1.0766*1.06)*1.04</f>
        <v>1.18684384</v>
      </c>
      <c r="U26" s="357" t="n">
        <v>0</v>
      </c>
      <c r="V26" s="135" t="n">
        <v>124</v>
      </c>
      <c r="W26" s="135" t="n">
        <v>79</v>
      </c>
      <c r="X26" s="135" t="n">
        <f aca="false">M26-N26-O26-P26-Q26-R26-S26-T26-U26+V26+W26-AT26+AR26</f>
        <v>414.841228052337</v>
      </c>
      <c r="Y26" s="135" t="n">
        <f aca="false">X26-AO26</f>
        <v>414.841228052337</v>
      </c>
      <c r="Z26" s="107" t="n">
        <f aca="false">Z25+AP26</f>
        <v>2493.11819819795</v>
      </c>
      <c r="AA26" s="135" t="n">
        <f aca="false">(-AP26)</f>
        <v>356.75486765818</v>
      </c>
      <c r="AB26" s="107"/>
      <c r="AC26" s="107" t="n">
        <f aca="false">AC25-(AQ25/1.9835)+AS26</f>
        <v>4657.64875157576</v>
      </c>
      <c r="AD26" s="215" t="n">
        <f aca="false">AD25</f>
        <v>3481.22006554071</v>
      </c>
      <c r="AE26" s="135" t="n">
        <v>35.3</v>
      </c>
      <c r="AF26" s="248" t="n">
        <v>1.7</v>
      </c>
      <c r="AG26" s="249" t="n">
        <v>1.3</v>
      </c>
      <c r="AH26" s="135" t="n">
        <v>11.8</v>
      </c>
      <c r="AI26" s="107" t="n">
        <f aca="false">AI25-AH26</f>
        <v>4584.53684762418</v>
      </c>
      <c r="AJ26" s="107"/>
      <c r="AK26" s="134" t="n">
        <f aca="false">N26+O26+P26+Q26+R26+S26+T26+U26+X26+AE26+AH26-AR26</f>
        <v>482.1</v>
      </c>
      <c r="AL26" s="135" t="n">
        <f aca="false">IF(L26&lt;0,L26*-1,0)</f>
        <v>0</v>
      </c>
      <c r="AM26" s="135" t="n">
        <f aca="false">AK26+AL26</f>
        <v>482.1</v>
      </c>
      <c r="AN26" s="220"/>
      <c r="AO26" s="215"/>
      <c r="AP26" s="146" t="n">
        <f aca="false">I26-Q26-R26-X26-AF26</f>
        <v>-356.75486765818</v>
      </c>
      <c r="AQ26" s="158" t="n">
        <f aca="false">41.528*(Z26*1.9835+AC26*1.9835)/E26</f>
        <v>18.2521244602652</v>
      </c>
      <c r="AR26" s="136" t="n">
        <f aca="false">18/1.9835</f>
        <v>9.07486765817998</v>
      </c>
      <c r="AS26" s="147" t="n">
        <v>10.6</v>
      </c>
      <c r="AT26" s="5"/>
      <c r="AU26" s="4" t="n">
        <f aca="false">O26</f>
        <v>18.69</v>
      </c>
      <c r="AV26" s="322" t="n">
        <v>0</v>
      </c>
      <c r="AW26" s="215" t="n">
        <v>89</v>
      </c>
      <c r="AX26" s="215" t="n">
        <v>59</v>
      </c>
      <c r="AY26" s="294"/>
      <c r="AZ26" s="250" t="n">
        <f aca="false">SUM(N26,P26:U26)</f>
        <v>10.5436396058426</v>
      </c>
      <c r="BA26" s="1" t="n">
        <v>49.5</v>
      </c>
      <c r="BB26" s="464" t="n">
        <v>9636</v>
      </c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2.95" hidden="false" customHeight="true" outlineLevel="0" collapsed="false">
      <c r="A27" s="183" t="n">
        <f aca="false">A26+1</f>
        <v>13</v>
      </c>
      <c r="B27" s="106" t="n">
        <v>6868.36</v>
      </c>
      <c r="C27" s="107" t="n">
        <v>183489</v>
      </c>
      <c r="D27" s="215" t="n">
        <f aca="false">C27-C26</f>
        <v>-782</v>
      </c>
      <c r="E27" s="107" t="n">
        <f aca="false">C27-152000</f>
        <v>31489</v>
      </c>
      <c r="F27" s="246" t="n">
        <f aca="false">D27/$D$2</f>
        <v>-394.252583816486</v>
      </c>
      <c r="G27" s="135" t="n">
        <v>83</v>
      </c>
      <c r="H27" s="136" t="n">
        <v>0</v>
      </c>
      <c r="I27" s="135" t="n">
        <f aca="false">G27+H27</f>
        <v>83</v>
      </c>
      <c r="J27" s="136" t="n">
        <f aca="false">IF(L27&gt;0,L27,0)</f>
        <v>10.9474161835141</v>
      </c>
      <c r="K27" s="135" t="n">
        <f aca="false">I27+J27</f>
        <v>93.9474161835141</v>
      </c>
      <c r="L27" s="135" t="n">
        <f aca="false">F27-(I27-AK27)</f>
        <v>10.9474161835141</v>
      </c>
      <c r="M27" s="248" t="n">
        <v>228</v>
      </c>
      <c r="N27" s="158" t="n">
        <v>0.25</v>
      </c>
      <c r="O27" s="135" t="n">
        <f aca="false">14.2*1.05</f>
        <v>14.91</v>
      </c>
      <c r="P27" s="158" t="n">
        <v>0</v>
      </c>
      <c r="Q27" s="338" t="n">
        <f aca="false">1993500/325851/1.9835*1.02</f>
        <v>3.14604658265987</v>
      </c>
      <c r="R27" s="131" t="n">
        <v>4.2</v>
      </c>
      <c r="S27" s="131" t="n">
        <f aca="false">((7.2*1.04)-T27)-4.2</f>
        <v>2.10115616</v>
      </c>
      <c r="T27" s="131" t="n">
        <f aca="false">(1.0766*1.06)*1.04</f>
        <v>1.18684384</v>
      </c>
      <c r="U27" s="357" t="n">
        <v>0</v>
      </c>
      <c r="V27" s="135" t="n">
        <v>128</v>
      </c>
      <c r="W27" s="135" t="n">
        <v>80.4</v>
      </c>
      <c r="X27" s="135" t="n">
        <f aca="false">M27-N27-O27-P27-Q27-R27-S27-T27-U27+V27+W27-AT27+AR27</f>
        <v>419.68082107552</v>
      </c>
      <c r="Y27" s="135" t="n">
        <f aca="false">X27-AO27</f>
        <v>419.68082107552</v>
      </c>
      <c r="Z27" s="107" t="n">
        <f aca="false">Z26+AP27</f>
        <v>2147.39133053977</v>
      </c>
      <c r="AA27" s="135" t="n">
        <f aca="false">(-AP27)</f>
        <v>345.72686765818</v>
      </c>
      <c r="AB27" s="107"/>
      <c r="AC27" s="107" t="n">
        <f aca="false">AC26-(AQ26/1.9835)+AS27</f>
        <v>4659.04677302257</v>
      </c>
      <c r="AD27" s="215" t="n">
        <f aca="false">AD26</f>
        <v>3481.22006554071</v>
      </c>
      <c r="AE27" s="135" t="n">
        <v>40</v>
      </c>
      <c r="AF27" s="248" t="n">
        <v>1.7</v>
      </c>
      <c r="AG27" s="249" t="n">
        <v>1.3</v>
      </c>
      <c r="AH27" s="135" t="n">
        <v>11.8</v>
      </c>
      <c r="AI27" s="107" t="n">
        <f aca="false">AI26-AH27</f>
        <v>4572.73684762418</v>
      </c>
      <c r="AJ27" s="107"/>
      <c r="AK27" s="134" t="n">
        <f aca="false">N27+O27+P27+Q27+R27+S27+T27+U27+X27+AE27+AH27-AR27</f>
        <v>488.2</v>
      </c>
      <c r="AL27" s="135" t="n">
        <f aca="false">IF(L27&lt;0,L27*-1,0)</f>
        <v>0</v>
      </c>
      <c r="AM27" s="135" t="n">
        <f aca="false">AK27+AL27</f>
        <v>488.2</v>
      </c>
      <c r="AN27" s="220"/>
      <c r="AO27" s="215"/>
      <c r="AP27" s="146" t="n">
        <f aca="false">I27-Q27-R27-X27-AF27</f>
        <v>-345.72686765818</v>
      </c>
      <c r="AQ27" s="158" t="n">
        <f aca="false">39.282*(Z27*1.9835+AC27*1.9835)/E27</f>
        <v>16.8417348881239</v>
      </c>
      <c r="AR27" s="136" t="n">
        <f aca="false">18/1.9835</f>
        <v>9.07486765817998</v>
      </c>
      <c r="AS27" s="147" t="n">
        <v>10.6</v>
      </c>
      <c r="AT27" s="5"/>
      <c r="AU27" s="4" t="n">
        <f aca="false">O27</f>
        <v>14.91</v>
      </c>
      <c r="AV27" s="322" t="n">
        <v>0</v>
      </c>
      <c r="AW27" s="215" t="n">
        <v>90</v>
      </c>
      <c r="AX27" s="215" t="n">
        <v>59</v>
      </c>
      <c r="AY27" s="294"/>
      <c r="AZ27" s="250" t="n">
        <f aca="false">SUM(N27,P27:U27)</f>
        <v>10.8840465826599</v>
      </c>
      <c r="BA27" s="1" t="n">
        <v>49.4</v>
      </c>
      <c r="BB27" s="464" t="n">
        <v>9539</v>
      </c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2.95" hidden="false" customHeight="true" outlineLevel="0" collapsed="false">
      <c r="A28" s="183" t="n">
        <f aca="false">A27+1</f>
        <v>14</v>
      </c>
      <c r="B28" s="106" t="n">
        <v>6868.03</v>
      </c>
      <c r="C28" s="107" t="n">
        <v>182628</v>
      </c>
      <c r="D28" s="215" t="n">
        <f aca="false">C28-C27</f>
        <v>-861</v>
      </c>
      <c r="E28" s="107" t="n">
        <f aca="false">C28-152000</f>
        <v>30628</v>
      </c>
      <c r="F28" s="246" t="n">
        <f aca="false">D28/$D$2</f>
        <v>-434.081169649609</v>
      </c>
      <c r="G28" s="135" t="n">
        <v>81</v>
      </c>
      <c r="H28" s="136" t="n">
        <v>0</v>
      </c>
      <c r="I28" s="135" t="n">
        <f aca="false">G28+H28</f>
        <v>81</v>
      </c>
      <c r="J28" s="136" t="n">
        <f aca="false">IF(L28&gt;0,L28,0)</f>
        <v>0</v>
      </c>
      <c r="K28" s="135" t="n">
        <f aca="false">I28+J28</f>
        <v>81</v>
      </c>
      <c r="L28" s="135" t="n">
        <f aca="false">F28-(I28-AK28)</f>
        <v>-27.1811696496092</v>
      </c>
      <c r="M28" s="248" t="n">
        <v>221</v>
      </c>
      <c r="N28" s="158" t="n">
        <v>0.25</v>
      </c>
      <c r="O28" s="135" t="n">
        <f aca="false">10.5*1.05</f>
        <v>11.025</v>
      </c>
      <c r="P28" s="158" t="n">
        <v>0</v>
      </c>
      <c r="Q28" s="338" t="n">
        <f aca="false">2063000/325851/1.9835*1.02</f>
        <v>3.25572816655496</v>
      </c>
      <c r="R28" s="131" t="n">
        <v>4.2</v>
      </c>
      <c r="S28" s="131" t="n">
        <f aca="false">((7.2*1.04)-T28)-4.2</f>
        <v>2.10115616</v>
      </c>
      <c r="T28" s="131" t="n">
        <f aca="false">(1.0766*1.06)*1.04</f>
        <v>1.18684384</v>
      </c>
      <c r="U28" s="357" t="n">
        <v>0</v>
      </c>
      <c r="V28" s="135" t="n">
        <v>129</v>
      </c>
      <c r="W28" s="135" t="n">
        <v>81.1</v>
      </c>
      <c r="X28" s="135" t="n">
        <f aca="false">M28-N28-O28-P28-Q28-R28-S28-T28-U28+V28+W28-AT28+AR28</f>
        <v>418.156139491625</v>
      </c>
      <c r="Y28" s="135" t="n">
        <f aca="false">X28-AO28</f>
        <v>418.156139491625</v>
      </c>
      <c r="Z28" s="107" t="n">
        <f aca="false">Z27+AP28</f>
        <v>1801.07946288159</v>
      </c>
      <c r="AA28" s="135" t="n">
        <f aca="false">(-AP28)</f>
        <v>346.31186765818</v>
      </c>
      <c r="AB28" s="107"/>
      <c r="AC28" s="107" t="n">
        <f aca="false">AC27-(AQ27/1.9835)+AS28</f>
        <v>4661.15585550902</v>
      </c>
      <c r="AD28" s="215" t="n">
        <f aca="false">AD27</f>
        <v>3481.22006554071</v>
      </c>
      <c r="AE28" s="135" t="n">
        <v>45</v>
      </c>
      <c r="AF28" s="248" t="n">
        <v>1.7</v>
      </c>
      <c r="AG28" s="249" t="n">
        <v>1.3</v>
      </c>
      <c r="AH28" s="135" t="n">
        <v>11.8</v>
      </c>
      <c r="AI28" s="107" t="n">
        <f aca="false">AI27-AH28</f>
        <v>4560.93684762418</v>
      </c>
      <c r="AJ28" s="107"/>
      <c r="AK28" s="134" t="n">
        <f aca="false">N28+O28+P28+Q28+R28+S28+T28+U28+X28+AE28+AH28-AR28</f>
        <v>487.9</v>
      </c>
      <c r="AL28" s="135" t="n">
        <f aca="false">IF(L28&lt;0,L28*-1,0)</f>
        <v>27.1811696496092</v>
      </c>
      <c r="AM28" s="135" t="n">
        <f aca="false">AK28+AL28</f>
        <v>515.081169649609</v>
      </c>
      <c r="AN28" s="220"/>
      <c r="AO28" s="215"/>
      <c r="AP28" s="146" t="n">
        <f aca="false">I28-Q28-R28-X28-AF28</f>
        <v>-346.31186765818</v>
      </c>
      <c r="AQ28" s="158" t="n">
        <f aca="false">48.951*(Z28*1.9835+AC28*1.9835)/E28</f>
        <v>20.4860346612059</v>
      </c>
      <c r="AR28" s="136" t="n">
        <f aca="false">18/1.9835</f>
        <v>9.07486765817998</v>
      </c>
      <c r="AS28" s="147" t="n">
        <v>10.6</v>
      </c>
      <c r="AT28" s="5"/>
      <c r="AU28" s="4" t="n">
        <f aca="false">O28</f>
        <v>11.025</v>
      </c>
      <c r="AV28" s="322" t="n">
        <v>0</v>
      </c>
      <c r="AW28" s="215" t="n">
        <v>93</v>
      </c>
      <c r="AX28" s="215" t="n">
        <v>63</v>
      </c>
      <c r="AY28" s="294"/>
      <c r="AZ28" s="250" t="n">
        <f aca="false">SUM(N28,P28:U28)</f>
        <v>10.993728166555</v>
      </c>
      <c r="BA28" s="1" t="n">
        <v>49.2</v>
      </c>
      <c r="BB28" s="464" t="n">
        <v>9441</v>
      </c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2.95" hidden="false" customHeight="true" outlineLevel="0" collapsed="false">
      <c r="A29" s="183" t="n">
        <f aca="false">A28+1</f>
        <v>15</v>
      </c>
      <c r="B29" s="106" t="n">
        <v>6867.77</v>
      </c>
      <c r="C29" s="107" t="n">
        <v>181959</v>
      </c>
      <c r="D29" s="215" t="n">
        <f aca="false">C29-C28</f>
        <v>-669</v>
      </c>
      <c r="E29" s="107" t="n">
        <f aca="false">C29-152000</f>
        <v>29959</v>
      </c>
      <c r="F29" s="246" t="n">
        <f aca="false">D29/$D$2</f>
        <v>-337.282581295689</v>
      </c>
      <c r="G29" s="135" t="n">
        <v>84</v>
      </c>
      <c r="H29" s="136" t="n">
        <v>0</v>
      </c>
      <c r="I29" s="135" t="n">
        <f aca="false">G29+H29</f>
        <v>84</v>
      </c>
      <c r="J29" s="136" t="n">
        <f aca="false">IF(L29&gt;0,L29,0)</f>
        <v>53.9174187043105</v>
      </c>
      <c r="K29" s="135" t="n">
        <f aca="false">I29+J29</f>
        <v>137.91741870431</v>
      </c>
      <c r="L29" s="135" t="n">
        <f aca="false">F29-(I29-AK29)</f>
        <v>53.9174187043105</v>
      </c>
      <c r="M29" s="248" t="n">
        <v>217</v>
      </c>
      <c r="N29" s="158" t="n">
        <v>0.25</v>
      </c>
      <c r="O29" s="135" t="n">
        <f aca="false">19.6*1.05</f>
        <v>20.58</v>
      </c>
      <c r="P29" s="158" t="n">
        <v>0</v>
      </c>
      <c r="Q29" s="338" t="n">
        <f aca="false">1376300/325851/1.9835*1.02</f>
        <v>2.17201099158003</v>
      </c>
      <c r="R29" s="131" t="n">
        <v>4.2</v>
      </c>
      <c r="S29" s="131" t="n">
        <f aca="false">((7*1.04)-T29)-4.2</f>
        <v>1.89315616</v>
      </c>
      <c r="T29" s="131" t="n">
        <f aca="false">(1.0766*1.06)*1.04</f>
        <v>1.18684384</v>
      </c>
      <c r="U29" s="357" t="n">
        <v>0</v>
      </c>
      <c r="V29" s="135" t="n">
        <v>131</v>
      </c>
      <c r="W29" s="135" t="n">
        <v>79.9</v>
      </c>
      <c r="X29" s="135" t="n">
        <f aca="false">M29-N29-O29-P29-Q29-R29-S29-T29-U29+V29+W29-AT29+AR29</f>
        <v>406.6928566666</v>
      </c>
      <c r="Y29" s="135" t="n">
        <f aca="false">X29-AO29</f>
        <v>406.6928566666</v>
      </c>
      <c r="Z29" s="107" t="n">
        <f aca="false">Z28+AP29</f>
        <v>1470.31459522341</v>
      </c>
      <c r="AA29" s="135" t="n">
        <f aca="false">(-AP29)</f>
        <v>330.76486765818</v>
      </c>
      <c r="AB29" s="107"/>
      <c r="AC29" s="107" t="n">
        <f aca="false">AC28-(AQ28/1.9835)+AS29</f>
        <v>4661.42763032061</v>
      </c>
      <c r="AD29" s="215" t="n">
        <f aca="false">AD28</f>
        <v>3481.22006554071</v>
      </c>
      <c r="AE29" s="135" t="n">
        <v>35.4</v>
      </c>
      <c r="AF29" s="248" t="n">
        <v>1.7</v>
      </c>
      <c r="AG29" s="249" t="n">
        <v>1.3</v>
      </c>
      <c r="AH29" s="135" t="n">
        <v>11.9</v>
      </c>
      <c r="AI29" s="107" t="n">
        <f aca="false">AI28-AH29</f>
        <v>4549.03684762418</v>
      </c>
      <c r="AJ29" s="107"/>
      <c r="AK29" s="134" t="n">
        <f aca="false">N29+O29+P29+Q29+R29+S29+T29+U29+X29+AE29+AH29-AR29</f>
        <v>475.2</v>
      </c>
      <c r="AL29" s="135" t="n">
        <f aca="false">IF(L29&lt;0,L29*-1,0)</f>
        <v>0</v>
      </c>
      <c r="AM29" s="135" t="n">
        <f aca="false">AK29+AL29</f>
        <v>475.2</v>
      </c>
      <c r="AN29" s="220"/>
      <c r="AO29" s="215"/>
      <c r="AP29" s="146" t="n">
        <f aca="false">I29-Q29-R29-X29-AF29</f>
        <v>-330.76486765818</v>
      </c>
      <c r="AQ29" s="158" t="n">
        <f aca="false">12.389*(Z29*1.9835+AC29*1.9835)/E29</f>
        <v>5.02950256405078</v>
      </c>
      <c r="AR29" s="136" t="n">
        <f aca="false">18/1.9835</f>
        <v>9.07486765817998</v>
      </c>
      <c r="AS29" s="147" t="n">
        <v>10.6</v>
      </c>
      <c r="AT29" s="5"/>
      <c r="AU29" s="4" t="n">
        <f aca="false">O29</f>
        <v>20.58</v>
      </c>
      <c r="AV29" s="322" t="n">
        <v>0.301</v>
      </c>
      <c r="AW29" s="221" t="n">
        <v>87</v>
      </c>
      <c r="AX29" s="215" t="n">
        <v>57</v>
      </c>
      <c r="AY29" s="294"/>
      <c r="AZ29" s="250" t="n">
        <f aca="false">SUM(N29,P29:U29)</f>
        <v>9.70201099158003</v>
      </c>
      <c r="BA29" s="1" t="n">
        <v>49.2</v>
      </c>
      <c r="BB29" s="464" t="n">
        <v>9344</v>
      </c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2.95" hidden="false" customHeight="true" outlineLevel="0" collapsed="false">
      <c r="A30" s="183" t="n">
        <f aca="false">A29+1</f>
        <v>16</v>
      </c>
      <c r="B30" s="106" t="n">
        <v>6867.5</v>
      </c>
      <c r="C30" s="107" t="n">
        <v>181264</v>
      </c>
      <c r="D30" s="215" t="n">
        <f aca="false">C30-C29</f>
        <v>-695</v>
      </c>
      <c r="E30" s="107" t="n">
        <f aca="false">C30-152000</f>
        <v>29264</v>
      </c>
      <c r="F30" s="246" t="n">
        <f aca="false">D30/$D$2</f>
        <v>-350.390723468616</v>
      </c>
      <c r="G30" s="135" t="n">
        <v>120</v>
      </c>
      <c r="H30" s="136" t="n">
        <v>0</v>
      </c>
      <c r="I30" s="135" t="n">
        <f aca="false">G30+H30</f>
        <v>120</v>
      </c>
      <c r="J30" s="136" t="n">
        <f aca="false">IF(L30&gt;0,L30,0)</f>
        <v>0</v>
      </c>
      <c r="K30" s="135" t="n">
        <f aca="false">I30+J30</f>
        <v>120</v>
      </c>
      <c r="L30" s="135" t="n">
        <f aca="false">F30-(I30-AK30)</f>
        <v>-28.290723468616</v>
      </c>
      <c r="M30" s="248" t="n">
        <v>185</v>
      </c>
      <c r="N30" s="158" t="n">
        <v>0.25</v>
      </c>
      <c r="O30" s="135" t="n">
        <f aca="false">22.3*1.05</f>
        <v>23.415</v>
      </c>
      <c r="P30" s="158" t="n">
        <v>0</v>
      </c>
      <c r="Q30" s="338" t="n">
        <f aca="false">1849800/325851/1.9835*1.02</f>
        <v>2.91926609912427</v>
      </c>
      <c r="R30" s="131" t="n">
        <v>4.2</v>
      </c>
      <c r="S30" s="131" t="n">
        <f aca="false">((7*1.04)-T30)-4.2</f>
        <v>1.89315616</v>
      </c>
      <c r="T30" s="131" t="n">
        <f aca="false">(1.0766*1.06)*1.04</f>
        <v>1.18684384</v>
      </c>
      <c r="U30" s="357" t="n">
        <v>0</v>
      </c>
      <c r="V30" s="135" t="n">
        <v>129</v>
      </c>
      <c r="W30" s="135" t="n">
        <v>79.4</v>
      </c>
      <c r="X30" s="135" t="n">
        <f aca="false">M30-N30-O30-P30-Q30-R30-S30-T30-U30+V30+W30-AT30+AR30</f>
        <v>368.610601559056</v>
      </c>
      <c r="Y30" s="135" t="n">
        <f aca="false">X30-AO30</f>
        <v>368.610601559056</v>
      </c>
      <c r="Z30" s="107" t="n">
        <f aca="false">Z29+AP30</f>
        <v>1212.88472756523</v>
      </c>
      <c r="AA30" s="135" t="n">
        <f aca="false">(-AP30)</f>
        <v>257.42986765818</v>
      </c>
      <c r="AB30" s="107"/>
      <c r="AC30" s="107" t="n">
        <f aca="false">AC29-(AQ29/1.9835)+AS30</f>
        <v>4669.49195975643</v>
      </c>
      <c r="AD30" s="215" t="n">
        <f aca="false">AD29</f>
        <v>3481.22006554071</v>
      </c>
      <c r="AE30" s="135" t="n">
        <v>35.2</v>
      </c>
      <c r="AF30" s="248" t="n">
        <v>1.7</v>
      </c>
      <c r="AG30" s="249" t="n">
        <v>1.3</v>
      </c>
      <c r="AH30" s="135" t="n">
        <v>13.5</v>
      </c>
      <c r="AI30" s="107" t="n">
        <f aca="false">AI29-AH30</f>
        <v>4535.53684762418</v>
      </c>
      <c r="AJ30" s="107"/>
      <c r="AK30" s="134" t="n">
        <f aca="false">N30+O30+P30+Q30+R30+S30+T30+U30+X30+AE30+AH30-AR30</f>
        <v>442.1</v>
      </c>
      <c r="AL30" s="135" t="n">
        <f aca="false">IF(L30&lt;0,L30*-1,0)</f>
        <v>28.290723468616</v>
      </c>
      <c r="AM30" s="135" t="n">
        <f aca="false">AK30+AL30</f>
        <v>470.390723468616</v>
      </c>
      <c r="AN30" s="220"/>
      <c r="AO30" s="215"/>
      <c r="AP30" s="146" t="n">
        <f aca="false">I30-Q30-R30-X30-AF30</f>
        <v>-257.42986765818</v>
      </c>
      <c r="AQ30" s="158" t="n">
        <f aca="false">19.49*(Z30*1.9835+AC30*1.9835)/E30</f>
        <v>7.77075448212159</v>
      </c>
      <c r="AR30" s="136" t="n">
        <f aca="false">18/1.9835</f>
        <v>9.07486765817998</v>
      </c>
      <c r="AS30" s="147" t="n">
        <v>10.6</v>
      </c>
      <c r="AT30" s="5"/>
      <c r="AU30" s="4" t="n">
        <f aca="false">O30</f>
        <v>23.415</v>
      </c>
      <c r="AV30" s="322" t="n">
        <v>0</v>
      </c>
      <c r="AW30" s="221" t="n">
        <v>80</v>
      </c>
      <c r="AX30" s="215" t="n">
        <v>56</v>
      </c>
      <c r="AY30" s="294"/>
      <c r="AZ30" s="250" t="n">
        <f aca="false">SUM(N30,P30:U30)</f>
        <v>10.4492660991243</v>
      </c>
      <c r="BA30" s="1" t="n">
        <v>48.8</v>
      </c>
      <c r="BB30" s="464" t="n">
        <v>9258</v>
      </c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2.95" hidden="false" customHeight="true" outlineLevel="0" collapsed="false">
      <c r="A31" s="183" t="n">
        <f aca="false">A30+1</f>
        <v>17</v>
      </c>
      <c r="B31" s="106" t="n">
        <v>6867.29</v>
      </c>
      <c r="C31" s="107" t="n">
        <v>180724</v>
      </c>
      <c r="D31" s="215" t="n">
        <f aca="false">C31-C30</f>
        <v>-540</v>
      </c>
      <c r="E31" s="107" t="n">
        <f aca="false">C31-152000</f>
        <v>28724</v>
      </c>
      <c r="F31" s="246" t="n">
        <f aca="false">D31/$D$2</f>
        <v>-272.2460297454</v>
      </c>
      <c r="G31" s="135" t="n">
        <v>135</v>
      </c>
      <c r="H31" s="136" t="n">
        <v>0</v>
      </c>
      <c r="I31" s="135" t="n">
        <f aca="false">G31+H31</f>
        <v>135</v>
      </c>
      <c r="J31" s="136" t="n">
        <f aca="false">IF(L31&gt;0,L31,0)</f>
        <v>44.4539702546006</v>
      </c>
      <c r="K31" s="135" t="n">
        <f aca="false">I31+J31</f>
        <v>179.453970254601</v>
      </c>
      <c r="L31" s="135" t="n">
        <f aca="false">F31-(I31-AK31)</f>
        <v>44.4539702546006</v>
      </c>
      <c r="M31" s="248" t="n">
        <v>194</v>
      </c>
      <c r="N31" s="158" t="n">
        <v>0.25</v>
      </c>
      <c r="O31" s="135" t="n">
        <f aca="false">14.5*1.05</f>
        <v>15.225</v>
      </c>
      <c r="P31" s="158" t="n">
        <v>0</v>
      </c>
      <c r="Q31" s="338" t="n">
        <f aca="false">1538400/325851/1.9835*1.02</f>
        <v>2.42782947718282</v>
      </c>
      <c r="R31" s="131" t="n">
        <v>4.2</v>
      </c>
      <c r="S31" s="131" t="n">
        <f aca="false">((7*1.04)-T31)-4.2</f>
        <v>1.89315616</v>
      </c>
      <c r="T31" s="131" t="n">
        <f aca="false">(1.0766*1.06)*1.04</f>
        <v>1.18684384</v>
      </c>
      <c r="U31" s="357" t="n">
        <v>0</v>
      </c>
      <c r="V31" s="135" t="n">
        <v>127</v>
      </c>
      <c r="W31" s="135" t="n">
        <v>79.3</v>
      </c>
      <c r="X31" s="135" t="n">
        <f aca="false">M31-N31-O31-P31-Q31-R31-S31-T31-U31+V31+W31-AT31+AR31</f>
        <v>384.192038180997</v>
      </c>
      <c r="Y31" s="135" t="n">
        <f aca="false">X31-AO31</f>
        <v>384.192038180997</v>
      </c>
      <c r="Z31" s="107" t="n">
        <f aca="false">Z30+AP31</f>
        <v>955.364859907052</v>
      </c>
      <c r="AA31" s="135" t="n">
        <f aca="false">(-AP31)</f>
        <v>257.51986765818</v>
      </c>
      <c r="AB31" s="107"/>
      <c r="AC31" s="107" t="n">
        <f aca="false">AC30-(AQ30/1.9835)+AS31</f>
        <v>4676.1742615048</v>
      </c>
      <c r="AD31" s="215" t="n">
        <f aca="false">AD30</f>
        <v>3481.22006554071</v>
      </c>
      <c r="AE31" s="135" t="n">
        <v>35.3</v>
      </c>
      <c r="AF31" s="248" t="n">
        <v>1.7</v>
      </c>
      <c r="AG31" s="249" t="n">
        <v>1.3</v>
      </c>
      <c r="AH31" s="135" t="n">
        <v>16.1</v>
      </c>
      <c r="AI31" s="107" t="n">
        <f aca="false">AI30-AH31</f>
        <v>4519.43684762418</v>
      </c>
      <c r="AJ31" s="107"/>
      <c r="AK31" s="134" t="n">
        <f aca="false">N31+O31+P31+Q31+R31+S31+T31+U31+X31+AE31+AH31-AR31</f>
        <v>451.7</v>
      </c>
      <c r="AL31" s="135" t="n">
        <f aca="false">IF(L31&lt;0,L31*-1,0)</f>
        <v>0</v>
      </c>
      <c r="AM31" s="135" t="n">
        <f aca="false">AK31+AL31</f>
        <v>451.7</v>
      </c>
      <c r="AN31" s="220"/>
      <c r="AO31" s="215"/>
      <c r="AP31" s="146" t="n">
        <f aca="false">I31-Q31-R31-X31-AF31</f>
        <v>-257.51986765818</v>
      </c>
      <c r="AQ31" s="158" t="n">
        <f aca="false">0*(Z31*1.9835+AC31*1.9835)/E31</f>
        <v>0</v>
      </c>
      <c r="AR31" s="136" t="n">
        <f aca="false">18/1.9835</f>
        <v>9.07486765817998</v>
      </c>
      <c r="AS31" s="147" t="n">
        <v>10.6</v>
      </c>
      <c r="AT31" s="5"/>
      <c r="AU31" s="4" t="n">
        <f aca="false">O31</f>
        <v>15.225</v>
      </c>
      <c r="AV31" s="322" t="n">
        <v>0.27</v>
      </c>
      <c r="AW31" s="221" t="n">
        <v>85</v>
      </c>
      <c r="AX31" s="215" t="n">
        <v>57</v>
      </c>
      <c r="AY31" s="294"/>
      <c r="AZ31" s="250" t="n">
        <f aca="false">SUM(N31,P31:U31)</f>
        <v>9.95782947718282</v>
      </c>
      <c r="BA31" s="1" t="n">
        <v>49.5</v>
      </c>
      <c r="BB31" s="464" t="n">
        <v>9166</v>
      </c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2.95" hidden="false" customHeight="true" outlineLevel="0" collapsed="false">
      <c r="A32" s="183" t="n">
        <f aca="false">A31+1</f>
        <v>18</v>
      </c>
      <c r="B32" s="106" t="n">
        <v>6867.06</v>
      </c>
      <c r="C32" s="107" t="n">
        <v>180133</v>
      </c>
      <c r="D32" s="215" t="n">
        <f aca="false">C32-C31</f>
        <v>-591</v>
      </c>
      <c r="E32" s="107" t="n">
        <f aca="false">C32-152000</f>
        <v>28133</v>
      </c>
      <c r="F32" s="246" t="n">
        <f aca="false">D32/$D$2</f>
        <v>-297.958154776909</v>
      </c>
      <c r="G32" s="135" t="n">
        <v>142</v>
      </c>
      <c r="H32" s="136" t="n">
        <v>0</v>
      </c>
      <c r="I32" s="135" t="n">
        <f aca="false">G32+H32</f>
        <v>142</v>
      </c>
      <c r="J32" s="136" t="n">
        <f aca="false">IF(L32&gt;0,L32,0)</f>
        <v>16.5418452230905</v>
      </c>
      <c r="K32" s="135" t="n">
        <f aca="false">I32+J32</f>
        <v>158.541845223091</v>
      </c>
      <c r="L32" s="135" t="n">
        <f aca="false">F32-(I32-AK32)</f>
        <v>16.5418452230905</v>
      </c>
      <c r="M32" s="248" t="n">
        <v>199</v>
      </c>
      <c r="N32" s="158" t="n">
        <v>0.25</v>
      </c>
      <c r="O32" s="135" t="n">
        <f aca="false">17.3*1.05</f>
        <v>18.165</v>
      </c>
      <c r="P32" s="158" t="n">
        <v>0</v>
      </c>
      <c r="Q32" s="338" t="n">
        <f aca="false">1510800/325851/1.9835*1.02</f>
        <v>2.38427247408203</v>
      </c>
      <c r="R32" s="131" t="n">
        <v>4.2</v>
      </c>
      <c r="S32" s="131" t="n">
        <f aca="false">((6.3*1.04)-T32)-4.2</f>
        <v>1.16515616</v>
      </c>
      <c r="T32" s="131" t="n">
        <f aca="false">(1.0766*1.06)*1.04</f>
        <v>1.18684384</v>
      </c>
      <c r="U32" s="357" t="n">
        <v>0</v>
      </c>
      <c r="V32" s="135" t="n">
        <v>123</v>
      </c>
      <c r="W32" s="135" t="n">
        <v>80.2</v>
      </c>
      <c r="X32" s="135" t="n">
        <f aca="false">M32-N32-O32-P32-Q32-R32-S32-T32-U32+V32+W32-AT32+AR32</f>
        <v>383.923595184098</v>
      </c>
      <c r="Y32" s="135" t="n">
        <f aca="false">X32-AO32</f>
        <v>383.923595184098</v>
      </c>
      <c r="Z32" s="107" t="n">
        <f aca="false">Z31+AP32</f>
        <v>705.156992248872</v>
      </c>
      <c r="AA32" s="135" t="n">
        <f aca="false">(-AP32)</f>
        <v>250.20786765818</v>
      </c>
      <c r="AB32" s="107"/>
      <c r="AC32" s="107" t="n">
        <f aca="false">AC31-(AQ31/1.9835)+AS32</f>
        <v>4686.7742615048</v>
      </c>
      <c r="AD32" s="215" t="n">
        <f aca="false">AD31</f>
        <v>3481.22006554071</v>
      </c>
      <c r="AE32" s="135" t="n">
        <v>38.2</v>
      </c>
      <c r="AF32" s="248" t="n">
        <v>1.7</v>
      </c>
      <c r="AG32" s="249" t="n">
        <v>1.3</v>
      </c>
      <c r="AH32" s="135" t="n">
        <v>16.1</v>
      </c>
      <c r="AI32" s="107" t="n">
        <f aca="false">AI31-AH32</f>
        <v>4503.33684762418</v>
      </c>
      <c r="AJ32" s="107"/>
      <c r="AK32" s="134" t="n">
        <f aca="false">N32+O32+P32+Q32+R32+S32+T32+U32+X32+AE32+AH32-AR32</f>
        <v>456.5</v>
      </c>
      <c r="AL32" s="135" t="n">
        <f aca="false">IF(L32&lt;0,L32*-1,0)</f>
        <v>0</v>
      </c>
      <c r="AM32" s="135" t="n">
        <f aca="false">AK32+AL32</f>
        <v>456.5</v>
      </c>
      <c r="AN32" s="220"/>
      <c r="AO32" s="215"/>
      <c r="AP32" s="146" t="n">
        <f aca="false">I32-Q32-R32-X32-AF32</f>
        <v>-250.20786765818</v>
      </c>
      <c r="AQ32" s="158" t="n">
        <f aca="false">0*(Z32*1.9835+AC32*1.9835)/E32</f>
        <v>0</v>
      </c>
      <c r="AR32" s="136" t="n">
        <f aca="false">18/1.9835</f>
        <v>9.07486765817998</v>
      </c>
      <c r="AS32" s="147" t="n">
        <v>10.6</v>
      </c>
      <c r="AT32" s="5"/>
      <c r="AU32" s="4" t="n">
        <f aca="false">O32</f>
        <v>18.165</v>
      </c>
      <c r="AV32" s="322" t="n">
        <v>0.21</v>
      </c>
      <c r="AW32" s="221" t="n">
        <v>85</v>
      </c>
      <c r="AX32" s="215" t="n">
        <v>58</v>
      </c>
      <c r="AY32" s="294"/>
      <c r="AZ32" s="250" t="n">
        <f aca="false">SUM(N32,P32:U32)</f>
        <v>9.18627247408204</v>
      </c>
      <c r="BA32" s="1" t="n">
        <v>49.5</v>
      </c>
      <c r="BB32" s="464" t="n">
        <v>9078</v>
      </c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2.95" hidden="false" customHeight="true" outlineLevel="0" collapsed="false">
      <c r="A33" s="183" t="n">
        <f aca="false">A32+1</f>
        <v>19</v>
      </c>
      <c r="B33" s="106" t="n">
        <v>6866.81</v>
      </c>
      <c r="C33" s="107" t="n">
        <v>179497</v>
      </c>
      <c r="D33" s="215" t="n">
        <f aca="false">C33-C32</f>
        <v>-636</v>
      </c>
      <c r="E33" s="107" t="n">
        <f aca="false">C33-152000</f>
        <v>27497</v>
      </c>
      <c r="F33" s="246" t="n">
        <f aca="false">D33/$D$2</f>
        <v>-320.645323922359</v>
      </c>
      <c r="G33" s="135" t="n">
        <v>141</v>
      </c>
      <c r="H33" s="136" t="n">
        <v>0</v>
      </c>
      <c r="I33" s="135" t="n">
        <f aca="false">G33+H33</f>
        <v>141</v>
      </c>
      <c r="J33" s="136" t="n">
        <f aca="false">IF(L33&gt;0,L33,0)</f>
        <v>0</v>
      </c>
      <c r="K33" s="135" t="n">
        <f aca="false">I33+J33</f>
        <v>141</v>
      </c>
      <c r="L33" s="135" t="n">
        <f aca="false">F33-(I33-AK33)</f>
        <v>-22.5453239223594</v>
      </c>
      <c r="M33" s="248" t="n">
        <v>188</v>
      </c>
      <c r="N33" s="158" t="n">
        <v>0.25</v>
      </c>
      <c r="O33" s="135" t="n">
        <f aca="false">19.1*1.05</f>
        <v>20.055</v>
      </c>
      <c r="P33" s="158" t="n">
        <v>0</v>
      </c>
      <c r="Q33" s="338" t="n">
        <f aca="false">1628200/325851/1.9835*1.02</f>
        <v>2.56954755248899</v>
      </c>
      <c r="R33" s="131" t="n">
        <v>4.2</v>
      </c>
      <c r="S33" s="131" t="n">
        <f aca="false">((5.8*1.04)-T33)-4.2</f>
        <v>0.583421759999999</v>
      </c>
      <c r="T33" s="131" t="n">
        <f aca="false">(1.1326*1.06)*1.04</f>
        <v>1.24857824</v>
      </c>
      <c r="U33" s="357" t="n">
        <v>0</v>
      </c>
      <c r="V33" s="135" t="n">
        <v>119</v>
      </c>
      <c r="W33" s="135" t="n">
        <v>81.4</v>
      </c>
      <c r="X33" s="135" t="n">
        <f aca="false">M33-N33-O33-P33-Q33-R33-S33-T33-U33+V33+W33-AT33+AR33</f>
        <v>368.568320105691</v>
      </c>
      <c r="Y33" s="135" t="n">
        <f aca="false">X33-AO33</f>
        <v>368.568320105691</v>
      </c>
      <c r="Z33" s="107" t="n">
        <f aca="false">Z32+AP33</f>
        <v>469.119124590692</v>
      </c>
      <c r="AA33" s="135" t="n">
        <f aca="false">(-AP33)</f>
        <v>236.03786765818</v>
      </c>
      <c r="AB33" s="107"/>
      <c r="AC33" s="107" t="n">
        <f aca="false">AC32-(AQ32/1.9835)+AS33</f>
        <v>4697.3742615048</v>
      </c>
      <c r="AD33" s="215" t="n">
        <f aca="false">AD32</f>
        <v>3481.22006554071</v>
      </c>
      <c r="AE33" s="135" t="n">
        <v>34.6</v>
      </c>
      <c r="AF33" s="248" t="n">
        <v>1.7</v>
      </c>
      <c r="AG33" s="249" t="n">
        <v>1.3</v>
      </c>
      <c r="AH33" s="135" t="n">
        <v>16.1</v>
      </c>
      <c r="AI33" s="107" t="n">
        <f aca="false">AI32-AH33</f>
        <v>4487.23684762418</v>
      </c>
      <c r="AJ33" s="107"/>
      <c r="AK33" s="134" t="n">
        <f aca="false">N33+O33+P33+Q33+R33+S33+T33+U33+X33+AE33+AH33-AR33</f>
        <v>439.1</v>
      </c>
      <c r="AL33" s="135" t="n">
        <f aca="false">IF(L33&lt;0,L33*-1,0)</f>
        <v>22.5453239223594</v>
      </c>
      <c r="AM33" s="135" t="n">
        <f aca="false">AK33+AL33</f>
        <v>461.645323922359</v>
      </c>
      <c r="AN33" s="220"/>
      <c r="AO33" s="215"/>
      <c r="AP33" s="146" t="n">
        <f aca="false">I33-Q33-R33-X33-AF33</f>
        <v>-236.03786765818</v>
      </c>
      <c r="AQ33" s="158" t="n">
        <f aca="false">37.217*(Z33*1.9835+AC33*1.9835)/E33</f>
        <v>13.8702449670455</v>
      </c>
      <c r="AR33" s="136" t="n">
        <f aca="false">18/1.9835</f>
        <v>9.07486765817998</v>
      </c>
      <c r="AS33" s="147" t="n">
        <v>10.6</v>
      </c>
      <c r="AT33" s="5"/>
      <c r="AU33" s="4" t="n">
        <f aca="false">O33</f>
        <v>20.055</v>
      </c>
      <c r="AV33" s="322" t="n">
        <v>0.01</v>
      </c>
      <c r="AW33" s="221" t="n">
        <v>86</v>
      </c>
      <c r="AX33" s="215" t="n">
        <v>57</v>
      </c>
      <c r="AY33" s="294"/>
      <c r="AZ33" s="250" t="n">
        <f aca="false">SUM(N33,P33:U33)</f>
        <v>8.85154755248899</v>
      </c>
      <c r="BA33" s="1" t="n">
        <v>49.4</v>
      </c>
      <c r="BB33" s="464" t="n">
        <v>8984</v>
      </c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2.95" hidden="false" customHeight="true" outlineLevel="0" collapsed="false">
      <c r="A34" s="183" t="n">
        <f aca="false">A33+1</f>
        <v>20</v>
      </c>
      <c r="B34" s="106" t="n">
        <v>6866.59</v>
      </c>
      <c r="C34" s="107" t="n">
        <v>178940</v>
      </c>
      <c r="D34" s="215" t="n">
        <f aca="false">C34-C33</f>
        <v>-557</v>
      </c>
      <c r="E34" s="107" t="n">
        <f aca="false">C34-152000</f>
        <v>26940</v>
      </c>
      <c r="F34" s="246" t="n">
        <f aca="false">D34/$D$2</f>
        <v>-280.816738089236</v>
      </c>
      <c r="G34" s="135" t="n">
        <v>140</v>
      </c>
      <c r="H34" s="136" t="n">
        <v>0</v>
      </c>
      <c r="I34" s="135" t="n">
        <f aca="false">G34+H34</f>
        <v>140</v>
      </c>
      <c r="J34" s="136" t="n">
        <f aca="false">IF(L34&gt;0,L34,0)</f>
        <v>12.4832619107639</v>
      </c>
      <c r="K34" s="135" t="n">
        <f aca="false">I34+J34</f>
        <v>152.483261910764</v>
      </c>
      <c r="L34" s="135" t="n">
        <f aca="false">F34-(I34-AK34)</f>
        <v>12.4832619107639</v>
      </c>
      <c r="M34" s="248" t="n">
        <v>183</v>
      </c>
      <c r="N34" s="158" t="n">
        <v>0.25</v>
      </c>
      <c r="O34" s="135" t="n">
        <f aca="false">21.8*1.05</f>
        <v>22.89</v>
      </c>
      <c r="P34" s="158" t="n">
        <v>0</v>
      </c>
      <c r="Q34" s="338" t="n">
        <f aca="false">1599300/325851/1.9835*1.02</f>
        <v>2.52393895141607</v>
      </c>
      <c r="R34" s="131" t="n">
        <v>4.2</v>
      </c>
      <c r="S34" s="131" t="n">
        <f aca="false">((5.8*1.04)-T34)-4.2</f>
        <v>0.583421759999999</v>
      </c>
      <c r="T34" s="131" t="n">
        <f aca="false">(1.1326*1.06)*1.04</f>
        <v>1.24857824</v>
      </c>
      <c r="U34" s="357" t="n">
        <v>0</v>
      </c>
      <c r="V34" s="135" t="n">
        <v>119</v>
      </c>
      <c r="W34" s="135" t="n">
        <v>80.9</v>
      </c>
      <c r="X34" s="135" t="n">
        <f aca="false">M34-N34-O34-P34-Q34-R34-S34-T34-U34+V34+W34-AT34+AR34</f>
        <v>360.278928706764</v>
      </c>
      <c r="Y34" s="135" t="n">
        <f aca="false">X34-AO34</f>
        <v>360.278928706764</v>
      </c>
      <c r="Z34" s="107" t="n">
        <f aca="false">Z33+AP34</f>
        <v>240.416256932512</v>
      </c>
      <c r="AA34" s="135" t="n">
        <f aca="false">(-AP34)</f>
        <v>228.70286765818</v>
      </c>
      <c r="AB34" s="107"/>
      <c r="AC34" s="107" t="n">
        <f aca="false">AC33-(AQ33/1.9835)+AS34</f>
        <v>4700.98144831244</v>
      </c>
      <c r="AD34" s="215" t="n">
        <f aca="false">AD33</f>
        <v>3481.22006554071</v>
      </c>
      <c r="AE34" s="135" t="n">
        <v>34.3</v>
      </c>
      <c r="AF34" s="248" t="n">
        <v>1.7</v>
      </c>
      <c r="AG34" s="249" t="n">
        <v>1.3</v>
      </c>
      <c r="AH34" s="135" t="n">
        <v>16.1</v>
      </c>
      <c r="AI34" s="107" t="n">
        <f aca="false">AI33-AH34</f>
        <v>4471.13684762418</v>
      </c>
      <c r="AJ34" s="107"/>
      <c r="AK34" s="134" t="n">
        <f aca="false">N34+O34+P34+Q34+R34+S34+T34+U34+X34+AE34+AH34-AR34</f>
        <v>433.3</v>
      </c>
      <c r="AL34" s="135" t="n">
        <f aca="false">IF(L34&lt;0,L34*-1,0)</f>
        <v>0</v>
      </c>
      <c r="AM34" s="135" t="n">
        <f aca="false">AK34+AL34</f>
        <v>433.3</v>
      </c>
      <c r="AN34" s="220"/>
      <c r="AO34" s="215"/>
      <c r="AP34" s="146" t="n">
        <f aca="false">I34-Q34-R34-X34-AF34</f>
        <v>-228.70286765818</v>
      </c>
      <c r="AQ34" s="158" t="n">
        <f aca="false">29.029*(Z34*1.9835+AC34*1.9835)/E34</f>
        <v>10.5612785712825</v>
      </c>
      <c r="AR34" s="136" t="n">
        <f aca="false">18/1.9835</f>
        <v>9.07486765817998</v>
      </c>
      <c r="AS34" s="147" t="n">
        <v>10.6</v>
      </c>
      <c r="AT34" s="5"/>
      <c r="AU34" s="4" t="n">
        <f aca="false">O34</f>
        <v>22.89</v>
      </c>
      <c r="AV34" s="322" t="n">
        <v>0</v>
      </c>
      <c r="AW34" s="221" t="n">
        <v>90</v>
      </c>
      <c r="AX34" s="215" t="n">
        <v>56</v>
      </c>
      <c r="AY34" s="294"/>
      <c r="AZ34" s="250" t="n">
        <f aca="false">SUM(N34,P34:U34)</f>
        <v>8.80593895141607</v>
      </c>
      <c r="BA34" s="1" t="n">
        <v>49.2</v>
      </c>
      <c r="BB34" s="464" t="n">
        <v>8889</v>
      </c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2.95" hidden="false" customHeight="true" outlineLevel="0" collapsed="false">
      <c r="A35" s="183" t="n">
        <f aca="false">A34+1</f>
        <v>21</v>
      </c>
      <c r="B35" s="106" t="n">
        <v>6866.34</v>
      </c>
      <c r="C35" s="107" t="n">
        <v>178307</v>
      </c>
      <c r="D35" s="215" t="n">
        <f aca="false">C35-C34</f>
        <v>-633</v>
      </c>
      <c r="E35" s="107" t="n">
        <f aca="false">C35-152000</f>
        <v>26307</v>
      </c>
      <c r="F35" s="246" t="n">
        <f aca="false">D35/$D$2</f>
        <v>-319.132845979329</v>
      </c>
      <c r="G35" s="135" t="n">
        <v>125</v>
      </c>
      <c r="H35" s="136" t="n">
        <v>0</v>
      </c>
      <c r="I35" s="135" t="n">
        <f aca="false">G35+H35</f>
        <v>125</v>
      </c>
      <c r="J35" s="136" t="n">
        <f aca="false">IF(L35&gt;0,L35,0)</f>
        <v>0</v>
      </c>
      <c r="K35" s="135" t="n">
        <f aca="false">I35+J35</f>
        <v>125</v>
      </c>
      <c r="L35" s="135" t="n">
        <f aca="false">F35-(I35-AK35)</f>
        <v>-13.7328459793295</v>
      </c>
      <c r="M35" s="248" t="n">
        <v>187</v>
      </c>
      <c r="N35" s="158" t="n">
        <v>0.25</v>
      </c>
      <c r="O35" s="135" t="n">
        <f aca="false">22.3*1.05</f>
        <v>23.415</v>
      </c>
      <c r="P35" s="158" t="n">
        <v>0</v>
      </c>
      <c r="Q35" s="338" t="n">
        <f aca="false">1762300/325851/1.9835*1.02</f>
        <v>2.78117777407649</v>
      </c>
      <c r="R35" s="131" t="n">
        <v>4.2</v>
      </c>
      <c r="S35" s="131" t="n">
        <f aca="false">((5.8*1.04)-T35)-4.2</f>
        <v>0.583421759999999</v>
      </c>
      <c r="T35" s="131" t="n">
        <f aca="false">(1.1326*1.06)*1.04</f>
        <v>1.24857824</v>
      </c>
      <c r="U35" s="357" t="n">
        <v>0</v>
      </c>
      <c r="V35" s="135" t="n">
        <v>113</v>
      </c>
      <c r="W35" s="135" t="n">
        <v>80.5</v>
      </c>
      <c r="X35" s="135" t="n">
        <f aca="false">M35-N35-O35-P35-Q35-R35-S35-T35-U35+V35+W35-AT35+AR35</f>
        <v>357.096689884104</v>
      </c>
      <c r="Y35" s="135" t="n">
        <f aca="false">X35-AO35</f>
        <v>357.096689884104</v>
      </c>
      <c r="Z35" s="107" t="n">
        <f aca="false">Z34+AP35</f>
        <v>-0.361610725668157</v>
      </c>
      <c r="AA35" s="135" t="n">
        <f aca="false">(-AP35)</f>
        <v>240.77786765818</v>
      </c>
      <c r="AB35" s="107"/>
      <c r="AC35" s="107" t="n">
        <f aca="false">AC34-(AQ34/1.9835)+AS35</f>
        <v>4706.25688134935</v>
      </c>
      <c r="AD35" s="215" t="n">
        <f aca="false">AD34</f>
        <v>3481.22006554071</v>
      </c>
      <c r="AE35" s="135" t="n">
        <v>33.8</v>
      </c>
      <c r="AF35" s="248" t="n">
        <v>1.7</v>
      </c>
      <c r="AG35" s="249" t="n">
        <v>1.3</v>
      </c>
      <c r="AH35" s="135" t="n">
        <v>16.1</v>
      </c>
      <c r="AI35" s="107" t="n">
        <f aca="false">AI34-AH35</f>
        <v>4455.03684762418</v>
      </c>
      <c r="AJ35" s="107"/>
      <c r="AK35" s="134" t="n">
        <f aca="false">N35+O35+P35+Q35+R35+S35+T35+U35+X35+AE35+AH35-AR35</f>
        <v>430.4</v>
      </c>
      <c r="AL35" s="135" t="n">
        <f aca="false">IF(L35&lt;0,L35*-1,0)</f>
        <v>13.7328459793295</v>
      </c>
      <c r="AM35" s="135" t="n">
        <f aca="false">AK35+AL35</f>
        <v>444.132845979329</v>
      </c>
      <c r="AN35" s="220"/>
      <c r="AO35" s="215"/>
      <c r="AP35" s="146" t="n">
        <f aca="false">I35-Q35-R35-X35-AF35</f>
        <v>-240.77786765818</v>
      </c>
      <c r="AQ35" s="158" t="n">
        <f aca="false">37.102*(Z35*1.9835+AC35*1.9835)/E35</f>
        <v>13.1643814793364</v>
      </c>
      <c r="AR35" s="136" t="n">
        <f aca="false">18/1.9835</f>
        <v>9.07486765817998</v>
      </c>
      <c r="AS35" s="147" t="n">
        <v>10.6</v>
      </c>
      <c r="AT35" s="5"/>
      <c r="AU35" s="4" t="n">
        <f aca="false">O35</f>
        <v>23.415</v>
      </c>
      <c r="AV35" s="322" t="n">
        <v>0.05</v>
      </c>
      <c r="AW35" s="215" t="n">
        <v>90</v>
      </c>
      <c r="AX35" s="215" t="n">
        <v>57</v>
      </c>
      <c r="AY35" s="294"/>
      <c r="AZ35" s="250" t="n">
        <f aca="false">SUM(N35,P35:U35)</f>
        <v>9.0631777740765</v>
      </c>
      <c r="BA35" s="1" t="n">
        <v>49.1</v>
      </c>
      <c r="BB35" s="464" t="n">
        <v>8794</v>
      </c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2.95" hidden="false" customHeight="true" outlineLevel="0" collapsed="false">
      <c r="A36" s="183" t="n">
        <f aca="false">A35+1</f>
        <v>22</v>
      </c>
      <c r="B36" s="106" t="n">
        <v>6866.12</v>
      </c>
      <c r="C36" s="107" t="n">
        <v>177749</v>
      </c>
      <c r="D36" s="215" t="n">
        <f aca="false">C36-C35</f>
        <v>-558</v>
      </c>
      <c r="E36" s="107" t="n">
        <f aca="false">C36-152000</f>
        <v>25749</v>
      </c>
      <c r="F36" s="246" t="n">
        <f aca="false">D36/$D$2</f>
        <v>-281.320897403579</v>
      </c>
      <c r="G36" s="135" t="n">
        <v>116</v>
      </c>
      <c r="H36" s="136" t="n">
        <v>0</v>
      </c>
      <c r="I36" s="135" t="n">
        <f aca="false">G36+H36</f>
        <v>116</v>
      </c>
      <c r="J36" s="136" t="n">
        <f aca="false">IF(L36&gt;0,L36,0)</f>
        <v>6.09910259642044</v>
      </c>
      <c r="K36" s="135" t="n">
        <f aca="false">I36+J36</f>
        <v>122.09910259642</v>
      </c>
      <c r="L36" s="135" t="n">
        <f aca="false">F36-(I36-AK36)</f>
        <v>6.09910259642044</v>
      </c>
      <c r="M36" s="248" t="n">
        <v>183</v>
      </c>
      <c r="N36" s="158" t="n">
        <v>0.25</v>
      </c>
      <c r="O36" s="135" t="n">
        <f aca="false">23.3*1.05</f>
        <v>24.465</v>
      </c>
      <c r="P36" s="158" t="n">
        <v>0</v>
      </c>
      <c r="Q36" s="338" t="n">
        <f aca="false">1608800/325851/1.9835*1.02</f>
        <v>2.53893139813554</v>
      </c>
      <c r="R36" s="131" t="n">
        <f aca="false">(5*1.04)-T36</f>
        <v>3.95142176</v>
      </c>
      <c r="S36" s="131" t="n">
        <v>0</v>
      </c>
      <c r="T36" s="131" t="n">
        <f aca="false">(1.1326*1.06)*1.04</f>
        <v>1.24857824</v>
      </c>
      <c r="U36" s="357" t="n">
        <v>0</v>
      </c>
      <c r="V36" s="135" t="n">
        <v>109</v>
      </c>
      <c r="W36" s="135" t="n">
        <v>80.4</v>
      </c>
      <c r="X36" s="135" t="n">
        <f aca="false">M36-N36-O36-P36-Q36-R36-S36-T36-U36+V36+W36-AT36+AR36</f>
        <v>339.946068601864</v>
      </c>
      <c r="Y36" s="135" t="n">
        <f aca="false">X36-AO36</f>
        <v>339.946068601864</v>
      </c>
      <c r="Z36" s="107"/>
      <c r="AA36" s="135"/>
      <c r="AB36" s="107"/>
      <c r="AC36" s="107" t="n">
        <f aca="false">AC35-(AQ35/1.9835)+AS36+Z35+AP36</f>
        <v>4477.72190332331</v>
      </c>
      <c r="AD36" s="215" t="n">
        <f aca="false">AD35</f>
        <v>3481.22006554071</v>
      </c>
      <c r="AE36" s="135" t="n">
        <v>15.02</v>
      </c>
      <c r="AF36" s="248" t="n">
        <v>1.7</v>
      </c>
      <c r="AG36" s="249" t="n">
        <v>1.3</v>
      </c>
      <c r="AH36" s="135" t="n">
        <v>16</v>
      </c>
      <c r="AI36" s="107" t="n">
        <f aca="false">AI35-AH36</f>
        <v>4439.03684762418</v>
      </c>
      <c r="AJ36" s="107"/>
      <c r="AK36" s="134" t="n">
        <f aca="false">N36+O36+P36+Q36+R36+S36+T36+U36+X36+AE36+AH36-AR36</f>
        <v>403.42</v>
      </c>
      <c r="AL36" s="135" t="n">
        <f aca="false">IF(L36&lt;0,L36*-1,0)</f>
        <v>0</v>
      </c>
      <c r="AM36" s="135" t="n">
        <f aca="false">AK36+AL36</f>
        <v>403.42</v>
      </c>
      <c r="AN36" s="220"/>
      <c r="AO36" s="215"/>
      <c r="AP36" s="146" t="n">
        <f aca="false">I36-Q36-R36-X36-AF36</f>
        <v>-232.13642176</v>
      </c>
      <c r="AQ36" s="158" t="n">
        <f aca="false">41.355*(Z36*1.9835+AC36*1.9835)/E36</f>
        <v>14.2645140199706</v>
      </c>
      <c r="AR36" s="158"/>
      <c r="AS36" s="147" t="n">
        <v>10.6</v>
      </c>
      <c r="AT36" s="5"/>
      <c r="AU36" s="4" t="n">
        <f aca="false">O36</f>
        <v>24.465</v>
      </c>
      <c r="AV36" s="322" t="n">
        <v>0</v>
      </c>
      <c r="AW36" s="215" t="n">
        <v>94</v>
      </c>
      <c r="AX36" s="215" t="n">
        <v>53</v>
      </c>
      <c r="AY36" s="294"/>
      <c r="AZ36" s="250" t="n">
        <f aca="false">SUM(N36,P36:U36)</f>
        <v>7.98893139813554</v>
      </c>
      <c r="BA36" s="1" t="n">
        <v>48.8</v>
      </c>
      <c r="BB36" s="464" t="n">
        <v>8701</v>
      </c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2.95" hidden="false" customHeight="true" outlineLevel="0" collapsed="false">
      <c r="A37" s="183" t="n">
        <f aca="false">A36+1</f>
        <v>23</v>
      </c>
      <c r="B37" s="106" t="n">
        <v>6865.81</v>
      </c>
      <c r="C37" s="107" t="n">
        <v>176971</v>
      </c>
      <c r="D37" s="215" t="n">
        <f aca="false">C37-C36</f>
        <v>-778</v>
      </c>
      <c r="E37" s="107" t="n">
        <f aca="false">C37-152000</f>
        <v>24971</v>
      </c>
      <c r="F37" s="246" t="n">
        <f aca="false">D37/$D$2</f>
        <v>-392.235946559113</v>
      </c>
      <c r="G37" s="135" t="n">
        <v>101</v>
      </c>
      <c r="H37" s="136" t="n">
        <v>0</v>
      </c>
      <c r="I37" s="135" t="n">
        <f aca="false">G37+H37</f>
        <v>101</v>
      </c>
      <c r="J37" s="136" t="n">
        <f aca="false">IF(L37&gt;0,L37,0)</f>
        <v>0</v>
      </c>
      <c r="K37" s="135" t="n">
        <f aca="false">I37+J37</f>
        <v>101</v>
      </c>
      <c r="L37" s="135" t="n">
        <f aca="false">F37-(I37-AK37)</f>
        <v>-48.2359465591126</v>
      </c>
      <c r="M37" s="248" t="n">
        <v>183</v>
      </c>
      <c r="N37" s="158" t="n">
        <v>0.25</v>
      </c>
      <c r="O37" s="135" t="n">
        <f aca="false">21.5*1.05</f>
        <v>22.575</v>
      </c>
      <c r="P37" s="158" t="n">
        <v>0</v>
      </c>
      <c r="Q37" s="338" t="n">
        <f aca="false">1679400/325851/1.9835*1.02</f>
        <v>2.65034894954552</v>
      </c>
      <c r="R37" s="131" t="n">
        <f aca="false">(5*1.04)-T37</f>
        <v>3.95142176</v>
      </c>
      <c r="S37" s="131" t="n">
        <v>0</v>
      </c>
      <c r="T37" s="131" t="n">
        <f aca="false">(1.1326*1.06)*1.04</f>
        <v>1.24857824</v>
      </c>
      <c r="U37" s="357" t="n">
        <v>0</v>
      </c>
      <c r="V37" s="135" t="n">
        <v>107</v>
      </c>
      <c r="W37" s="135" t="n">
        <v>80.6</v>
      </c>
      <c r="X37" s="135" t="n">
        <f aca="false">M37-N37-O37-P37-Q37-R37-S37-T37-U37+V37+W37-AT37+AR37</f>
        <v>339.924651050454</v>
      </c>
      <c r="Y37" s="135" t="n">
        <f aca="false">X37-AO37</f>
        <v>339.924651050454</v>
      </c>
      <c r="Z37" s="107"/>
      <c r="AA37" s="135"/>
      <c r="AB37" s="107"/>
      <c r="AC37" s="107" t="n">
        <f aca="false">AC36-(AQ36/1.9835)+AS37+AP37</f>
        <v>4233.90389395556</v>
      </c>
      <c r="AD37" s="215" t="n">
        <f aca="false">AD36</f>
        <v>3481.22006554071</v>
      </c>
      <c r="AE37" s="135" t="n">
        <v>58.3</v>
      </c>
      <c r="AF37" s="248" t="n">
        <v>1.7</v>
      </c>
      <c r="AG37" s="249" t="n">
        <v>1.3</v>
      </c>
      <c r="AH37" s="135" t="n">
        <v>16.1</v>
      </c>
      <c r="AI37" s="107" t="n">
        <f aca="false">AI36-AH37</f>
        <v>4422.93684762418</v>
      </c>
      <c r="AJ37" s="107"/>
      <c r="AK37" s="134" t="n">
        <f aca="false">N37+O37+P37+Q37+R37+S37+T37+U37+X37+AE37+AH37-AR37</f>
        <v>445</v>
      </c>
      <c r="AL37" s="135" t="n">
        <f aca="false">IF(L37&lt;0,L37*-1,0)</f>
        <v>48.2359465591126</v>
      </c>
      <c r="AM37" s="135" t="n">
        <f aca="false">AK37+AL37</f>
        <v>493.235946559113</v>
      </c>
      <c r="AN37" s="220"/>
      <c r="AO37" s="215"/>
      <c r="AP37" s="146" t="n">
        <f aca="false">I37-Q37-R37-X37-AF37</f>
        <v>-247.22642176</v>
      </c>
      <c r="AQ37" s="158" t="n">
        <f aca="false">40.622*(Z37*1.9835+AC37*1.9835)/E37</f>
        <v>13.661505700006</v>
      </c>
      <c r="AR37" s="158"/>
      <c r="AS37" s="147" t="n">
        <v>10.6</v>
      </c>
      <c r="AT37" s="5"/>
      <c r="AU37" s="4" t="n">
        <f aca="false">O37</f>
        <v>22.575</v>
      </c>
      <c r="AV37" s="322" t="n">
        <v>0</v>
      </c>
      <c r="AW37" s="215" t="n">
        <v>89</v>
      </c>
      <c r="AX37" s="221" t="n">
        <v>60</v>
      </c>
      <c r="AY37" s="294"/>
      <c r="AZ37" s="250" t="n">
        <f aca="false">SUM(N37,P37:U37)</f>
        <v>8.10034894954552</v>
      </c>
      <c r="BA37" s="1" t="n">
        <v>48.7</v>
      </c>
      <c r="BB37" s="464" t="n">
        <v>8608</v>
      </c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2.95" hidden="false" customHeight="true" outlineLevel="0" collapsed="false">
      <c r="A38" s="183" t="n">
        <f aca="false">A37+1</f>
        <v>24</v>
      </c>
      <c r="B38" s="106" t="n">
        <v>6865.56</v>
      </c>
      <c r="C38" s="107" t="n">
        <v>176347</v>
      </c>
      <c r="D38" s="215" t="n">
        <f aca="false">C38-C37</f>
        <v>-624</v>
      </c>
      <c r="E38" s="107" t="n">
        <f aca="false">C38-152000</f>
        <v>24347</v>
      </c>
      <c r="F38" s="246" t="n">
        <f aca="false">D38/$D$2</f>
        <v>-314.595412150239</v>
      </c>
      <c r="G38" s="135" t="n">
        <v>96</v>
      </c>
      <c r="H38" s="136" t="n">
        <v>0</v>
      </c>
      <c r="I38" s="135" t="n">
        <f aca="false">G38+H38</f>
        <v>96</v>
      </c>
      <c r="J38" s="136" t="n">
        <f aca="false">IF(L38&gt;0,L38,0)</f>
        <v>25.1045878497605</v>
      </c>
      <c r="K38" s="135" t="n">
        <f aca="false">I38+J38</f>
        <v>121.104587849761</v>
      </c>
      <c r="L38" s="135" t="n">
        <f aca="false">F38-(I38-AK38)</f>
        <v>25.1045878497605</v>
      </c>
      <c r="M38" s="248" t="n">
        <v>191</v>
      </c>
      <c r="N38" s="158" t="n">
        <v>0.25</v>
      </c>
      <c r="O38" s="135" t="n">
        <f aca="false">22.2*1.05</f>
        <v>23.31</v>
      </c>
      <c r="P38" s="158" t="n">
        <v>0</v>
      </c>
      <c r="Q38" s="338" t="n">
        <f aca="false">1785600/325851/1.9835*1.02</f>
        <v>2.81794872234636</v>
      </c>
      <c r="R38" s="131" t="n">
        <f aca="false">(5*1.04)-T38</f>
        <v>3.95142176</v>
      </c>
      <c r="S38" s="131" t="n">
        <v>0</v>
      </c>
      <c r="T38" s="131" t="n">
        <f aca="false">(1.1326*1.06)*1.04</f>
        <v>1.24857824</v>
      </c>
      <c r="U38" s="357" t="n">
        <v>0</v>
      </c>
      <c r="V38" s="135" t="n">
        <v>114</v>
      </c>
      <c r="W38" s="135" t="n">
        <v>80</v>
      </c>
      <c r="X38" s="135" t="n">
        <f aca="false">M38-N38-O38-P38-Q38-R38-S38-T38-U38+V38+W38-AT38+AR38</f>
        <v>353.422051277654</v>
      </c>
      <c r="Y38" s="135" t="n">
        <f aca="false">X38-AO38</f>
        <v>353.422051277654</v>
      </c>
      <c r="Z38" s="107"/>
      <c r="AA38" s="135"/>
      <c r="AB38" s="107"/>
      <c r="AC38" s="107" t="n">
        <f aca="false">AC37-(AQ37/1.9835)+AS38+AP38</f>
        <v>3971.72489684895</v>
      </c>
      <c r="AD38" s="215" t="n">
        <f aca="false">AD37</f>
        <v>3481.22006554071</v>
      </c>
      <c r="AE38" s="135" t="n">
        <v>34.6</v>
      </c>
      <c r="AF38" s="248" t="n">
        <v>1.7</v>
      </c>
      <c r="AG38" s="249" t="n">
        <v>1.3</v>
      </c>
      <c r="AH38" s="135" t="n">
        <v>16.1</v>
      </c>
      <c r="AI38" s="107" t="n">
        <f aca="false">AI37-AH38</f>
        <v>4406.83684762418</v>
      </c>
      <c r="AJ38" s="107"/>
      <c r="AK38" s="134" t="n">
        <f aca="false">N38+O38+P38+Q38+R38+S38+T38+U38+X38+AE38+AH38-AR38</f>
        <v>435.7</v>
      </c>
      <c r="AL38" s="135" t="n">
        <f aca="false">IF(L38&lt;0,L38*-1,0)</f>
        <v>0</v>
      </c>
      <c r="AM38" s="135" t="n">
        <f aca="false">AK38+AL38</f>
        <v>435.7</v>
      </c>
      <c r="AN38" s="220"/>
      <c r="AO38" s="215"/>
      <c r="AP38" s="146" t="n">
        <f aca="false">I38-Q38-R38-X38-AF38</f>
        <v>-265.89142176</v>
      </c>
      <c r="AQ38" s="158" t="n">
        <f aca="false">43.995*(Z38*1.9835+AC38*1.9835)/E38</f>
        <v>14.2353854300707</v>
      </c>
      <c r="AR38" s="158"/>
      <c r="AS38" s="147" t="n">
        <v>10.6</v>
      </c>
      <c r="AT38" s="5"/>
      <c r="AU38" s="4" t="n">
        <f aca="false">O38</f>
        <v>23.31</v>
      </c>
      <c r="AV38" s="322" t="n">
        <v>0</v>
      </c>
      <c r="AW38" s="215" t="n">
        <v>92</v>
      </c>
      <c r="AX38" s="221" t="n">
        <v>59</v>
      </c>
      <c r="AY38" s="294"/>
      <c r="AZ38" s="250" t="n">
        <f aca="false">SUM(N38,P38:U38)</f>
        <v>8.26794872234636</v>
      </c>
      <c r="BA38" s="1" t="n">
        <v>50.6</v>
      </c>
      <c r="BB38" s="464" t="n">
        <v>8513</v>
      </c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2.95" hidden="false" customHeight="true" outlineLevel="0" collapsed="false">
      <c r="A39" s="183" t="n">
        <f aca="false">A38+1</f>
        <v>25</v>
      </c>
      <c r="B39" s="106" t="n">
        <v>6865.33</v>
      </c>
      <c r="C39" s="107" t="n">
        <v>175773</v>
      </c>
      <c r="D39" s="215" t="n">
        <f aca="false">C39-C38</f>
        <v>-574</v>
      </c>
      <c r="E39" s="107" t="n">
        <f aca="false">C39-152000</f>
        <v>23773</v>
      </c>
      <c r="F39" s="246" t="n">
        <f aca="false">D39/$D$2</f>
        <v>-289.387446433073</v>
      </c>
      <c r="G39" s="135" t="n">
        <v>93</v>
      </c>
      <c r="H39" s="136" t="n">
        <v>0</v>
      </c>
      <c r="I39" s="135" t="n">
        <f aca="false">G39+H39</f>
        <v>93</v>
      </c>
      <c r="J39" s="136" t="n">
        <f aca="false">IF(L39&gt;0,L39,0)</f>
        <v>9.58182439692718</v>
      </c>
      <c r="K39" s="135" t="n">
        <f aca="false">I39+J39</f>
        <v>102.581824396927</v>
      </c>
      <c r="L39" s="135" t="n">
        <f aca="false">F39-(I39-AK39)</f>
        <v>9.58182439692718</v>
      </c>
      <c r="M39" s="248" t="n">
        <v>167</v>
      </c>
      <c r="N39" s="158" t="n">
        <v>0.25</v>
      </c>
      <c r="O39" s="135" t="n">
        <f aca="false">22.9*1.05</f>
        <v>24.045</v>
      </c>
      <c r="P39" s="158" t="n">
        <v>0</v>
      </c>
      <c r="Q39" s="338" t="n">
        <f aca="false">1871300/325851/1.9835*1.02</f>
        <v>2.95319637327887</v>
      </c>
      <c r="R39" s="131" t="n">
        <f aca="false">(5*1.04)-T39</f>
        <v>3.95142176</v>
      </c>
      <c r="S39" s="131" t="n">
        <v>0</v>
      </c>
      <c r="T39" s="131" t="n">
        <f aca="false">(1.1326*1.06)*1.04</f>
        <v>1.24857824</v>
      </c>
      <c r="U39" s="357" t="n">
        <v>0</v>
      </c>
      <c r="V39" s="135" t="n">
        <v>117</v>
      </c>
      <c r="W39" s="135" t="n">
        <v>79.3</v>
      </c>
      <c r="X39" s="135" t="n">
        <f aca="false">M39-N39-O39-P39-Q39-R39-S39-T39-U39+V39+W39-AT39+AR39</f>
        <v>330.851803626721</v>
      </c>
      <c r="Y39" s="135" t="n">
        <f aca="false">X39-AO39</f>
        <v>330.851803626721</v>
      </c>
      <c r="Z39" s="107"/>
      <c r="AA39" s="135"/>
      <c r="AB39" s="107"/>
      <c r="AC39" s="107" t="n">
        <f aca="false">AC38-(AQ38/1.9835)+AS39+AP39</f>
        <v>3728.69157293111</v>
      </c>
      <c r="AD39" s="215" t="n">
        <f aca="false">AD38</f>
        <v>3481.22006554071</v>
      </c>
      <c r="AE39" s="135" t="n">
        <v>12.66927083</v>
      </c>
      <c r="AF39" s="248" t="n">
        <v>1.7</v>
      </c>
      <c r="AG39" s="249" t="n">
        <v>1.3</v>
      </c>
      <c r="AH39" s="135" t="n">
        <v>16</v>
      </c>
      <c r="AI39" s="107" t="n">
        <f aca="false">AI38-AH39</f>
        <v>4390.83684762418</v>
      </c>
      <c r="AJ39" s="107"/>
      <c r="AK39" s="134" t="n">
        <f aca="false">N39+O39+P39+Q39+R39+S39+T39+U39+X39+AE39+AH39-AR39</f>
        <v>391.96927083</v>
      </c>
      <c r="AL39" s="135" t="n">
        <f aca="false">IF(L39&lt;0,L39*-1,0)</f>
        <v>0</v>
      </c>
      <c r="AM39" s="135" t="n">
        <f aca="false">AK39+AL39</f>
        <v>391.96927083</v>
      </c>
      <c r="AN39" s="220"/>
      <c r="AO39" s="215"/>
      <c r="AP39" s="146" t="n">
        <f aca="false">I39-Q39-R39-X39-AF39</f>
        <v>-246.45642176</v>
      </c>
      <c r="AQ39" s="158" t="n">
        <f aca="false">31.053*(Z39*1.9835+AC39*1.9835)/E39</f>
        <v>9.66069206024164</v>
      </c>
      <c r="AR39" s="158"/>
      <c r="AS39" s="147" t="n">
        <v>10.6</v>
      </c>
      <c r="AT39" s="5"/>
      <c r="AU39" s="4" t="n">
        <f aca="false">O39</f>
        <v>24.045</v>
      </c>
      <c r="AV39" s="322" t="n">
        <v>0.06</v>
      </c>
      <c r="AW39" s="215" t="n">
        <v>90</v>
      </c>
      <c r="AX39" s="221" t="n">
        <v>57</v>
      </c>
      <c r="AY39" s="294"/>
      <c r="AZ39" s="250" t="n">
        <f aca="false">SUM(N39,P39:U39)</f>
        <v>8.40319637327887</v>
      </c>
      <c r="BA39" s="1" t="n">
        <v>51.8</v>
      </c>
      <c r="BB39" s="464" t="n">
        <v>8415</v>
      </c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2.95" hidden="false" customHeight="true" outlineLevel="0" collapsed="false">
      <c r="A40" s="183" t="n">
        <f aca="false">A39+1</f>
        <v>26</v>
      </c>
      <c r="B40" s="106" t="n">
        <v>6865.07</v>
      </c>
      <c r="C40" s="107" t="n">
        <v>175125</v>
      </c>
      <c r="D40" s="215" t="n">
        <f aca="false">C40-C39</f>
        <v>-648</v>
      </c>
      <c r="E40" s="107" t="n">
        <f aca="false">C40-152000</f>
        <v>23125</v>
      </c>
      <c r="F40" s="246" t="n">
        <f aca="false">D40/$D$2</f>
        <v>-326.695235694479</v>
      </c>
      <c r="G40" s="135" t="n">
        <v>89</v>
      </c>
      <c r="H40" s="136" t="n">
        <v>0</v>
      </c>
      <c r="I40" s="135" t="n">
        <f aca="false">G40+H40</f>
        <v>89</v>
      </c>
      <c r="J40" s="136" t="n">
        <f aca="false">IF(L40&gt;0,L40,0)</f>
        <v>0</v>
      </c>
      <c r="K40" s="135" t="n">
        <f aca="false">I40+J40</f>
        <v>89</v>
      </c>
      <c r="L40" s="135" t="n">
        <f aca="false">F40-(I40-AK40)</f>
        <v>-3.39523569447942</v>
      </c>
      <c r="M40" s="248" t="n">
        <v>159</v>
      </c>
      <c r="N40" s="158" t="n">
        <v>0.25</v>
      </c>
      <c r="O40" s="135" t="n">
        <f aca="false">17.6*1.05</f>
        <v>18.48</v>
      </c>
      <c r="P40" s="158" t="n">
        <v>0</v>
      </c>
      <c r="Q40" s="338" t="n">
        <f aca="false">1876000/325851/1.9835*1.02</f>
        <v>2.96061368902429</v>
      </c>
      <c r="R40" s="131" t="n">
        <v>4.2</v>
      </c>
      <c r="S40" s="131" t="n">
        <f aca="false">((6.4*1.04)-T40)-4.2</f>
        <v>1.13664768</v>
      </c>
      <c r="T40" s="131" t="n">
        <f aca="false">(1.1968*1.06)*1.04</f>
        <v>1.31935232</v>
      </c>
      <c r="U40" s="357" t="n">
        <v>0</v>
      </c>
      <c r="V40" s="135" t="n">
        <v>116</v>
      </c>
      <c r="W40" s="135" t="n">
        <v>78.3</v>
      </c>
      <c r="X40" s="135" t="n">
        <f aca="false">M40-N40-O40-P40-Q40-R40-S40-T40-U40+V40+W40-AT40+AR40</f>
        <v>324.953386310976</v>
      </c>
      <c r="Y40" s="135" t="n">
        <f aca="false">X40-AO40</f>
        <v>324.953386310976</v>
      </c>
      <c r="Z40" s="107"/>
      <c r="AA40" s="135"/>
      <c r="AB40" s="107"/>
      <c r="AC40" s="107" t="n">
        <f aca="false">AC39-(AQ39/1.9835)+AS40+AP40</f>
        <v>3489.60704504593</v>
      </c>
      <c r="AD40" s="215" t="n">
        <f aca="false">AD39</f>
        <v>3481.22006554071</v>
      </c>
      <c r="AE40" s="135" t="n">
        <v>43</v>
      </c>
      <c r="AF40" s="248" t="n">
        <v>1.7</v>
      </c>
      <c r="AG40" s="249" t="n">
        <v>1.3</v>
      </c>
      <c r="AH40" s="135" t="n">
        <v>16</v>
      </c>
      <c r="AI40" s="107" t="n">
        <f aca="false">AI39-AH40</f>
        <v>4374.83684762418</v>
      </c>
      <c r="AJ40" s="107"/>
      <c r="AK40" s="134" t="n">
        <f aca="false">N40+O40+P40+Q40+R40+S40+T40+U40+X40+AE40+AH40-AR40</f>
        <v>412.3</v>
      </c>
      <c r="AL40" s="135" t="n">
        <f aca="false">IF(L40&lt;0,L40*-1,0)</f>
        <v>3.39523569447942</v>
      </c>
      <c r="AM40" s="135" t="n">
        <f aca="false">AK40+AL40</f>
        <v>415.695235694479</v>
      </c>
      <c r="AN40" s="220"/>
      <c r="AO40" s="215"/>
      <c r="AP40" s="146" t="n">
        <f aca="false">I40-Q40-R40-X40-AF40</f>
        <v>-244.814</v>
      </c>
      <c r="AQ40" s="158" t="n">
        <f aca="false">61.529*(Z40*1.9835+AC40*1.9835)/E40</f>
        <v>18.4164893069549</v>
      </c>
      <c r="AR40" s="158"/>
      <c r="AS40" s="147" t="n">
        <v>10.6</v>
      </c>
      <c r="AT40" s="5"/>
      <c r="AU40" s="4" t="n">
        <f aca="false">O40</f>
        <v>18.48</v>
      </c>
      <c r="AV40" s="322" t="n">
        <v>0</v>
      </c>
      <c r="AW40" s="215" t="n">
        <v>95</v>
      </c>
      <c r="AX40" s="215" t="n">
        <v>58</v>
      </c>
      <c r="AY40" s="294"/>
      <c r="AZ40" s="250" t="n">
        <f aca="false">SUM(N40,P40:U40)</f>
        <v>9.86661368902429</v>
      </c>
      <c r="BA40" s="1" t="n">
        <v>51.5</v>
      </c>
      <c r="BB40" s="464" t="n">
        <v>8313</v>
      </c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12.95" hidden="false" customHeight="true" outlineLevel="0" collapsed="false">
      <c r="A41" s="183" t="n">
        <f aca="false">A40+1</f>
        <v>27</v>
      </c>
      <c r="B41" s="106" t="n">
        <v>6864.78</v>
      </c>
      <c r="C41" s="107" t="n">
        <v>174410</v>
      </c>
      <c r="D41" s="215" t="n">
        <f aca="false">C41-C40</f>
        <v>-715</v>
      </c>
      <c r="E41" s="107" t="n">
        <f aca="false">C41-152000</f>
        <v>22410</v>
      </c>
      <c r="F41" s="246" t="n">
        <f aca="false">D41/$D$2</f>
        <v>-360.473909755483</v>
      </c>
      <c r="G41" s="135" t="n">
        <v>84</v>
      </c>
      <c r="H41" s="136" t="n">
        <v>0</v>
      </c>
      <c r="I41" s="135" t="n">
        <f aca="false">G41+H41</f>
        <v>84</v>
      </c>
      <c r="J41" s="136" t="n">
        <f aca="false">IF(L41&gt;0,L41,0)</f>
        <v>0</v>
      </c>
      <c r="K41" s="135" t="n">
        <f aca="false">I41+J41</f>
        <v>84</v>
      </c>
      <c r="L41" s="135" t="n">
        <f aca="false">F41-(I41-AK41)</f>
        <v>-34.3664097554827</v>
      </c>
      <c r="M41" s="248" t="n">
        <v>178</v>
      </c>
      <c r="N41" s="158" t="n">
        <v>0.25</v>
      </c>
      <c r="O41" s="135" t="n">
        <f aca="false">7.84*1.05</f>
        <v>8.232</v>
      </c>
      <c r="P41" s="158" t="n">
        <v>0</v>
      </c>
      <c r="Q41" s="338" t="n">
        <f aca="false">1816100/325851/1.9835*1.02</f>
        <v>2.8660823670773</v>
      </c>
      <c r="R41" s="131" t="n">
        <v>4.2</v>
      </c>
      <c r="S41" s="131" t="n">
        <f aca="false">((7*1.04)-T41)-4.2</f>
        <v>1.76064768</v>
      </c>
      <c r="T41" s="131" t="n">
        <f aca="false">(1.1968*1.06)*1.04</f>
        <v>1.31935232</v>
      </c>
      <c r="U41" s="357" t="n">
        <v>0</v>
      </c>
      <c r="V41" s="135" t="n">
        <v>114</v>
      </c>
      <c r="W41" s="135" t="n">
        <v>76.9</v>
      </c>
      <c r="X41" s="135" t="n">
        <f aca="false">M41-N41-O41-P41-Q41-R41-S41-T41-U41+V41+W41-AT41+AR41</f>
        <v>350.271917632923</v>
      </c>
      <c r="Y41" s="135" t="n">
        <f aca="false">X41-AO41</f>
        <v>350.271917632923</v>
      </c>
      <c r="Z41" s="107"/>
      <c r="AA41" s="135"/>
      <c r="AB41" s="107"/>
      <c r="AC41" s="107" t="n">
        <f aca="false">AC40-(AQ40/1.9835)+AS41+AP41</f>
        <v>3215.88420042433</v>
      </c>
      <c r="AD41" s="215" t="n">
        <f aca="false">AD40</f>
        <v>3481.22006554071</v>
      </c>
      <c r="AE41" s="135" t="n">
        <v>25.2075</v>
      </c>
      <c r="AF41" s="248" t="n">
        <v>1.7</v>
      </c>
      <c r="AG41" s="249" t="n">
        <v>1.3</v>
      </c>
      <c r="AH41" s="135" t="n">
        <v>16</v>
      </c>
      <c r="AI41" s="107" t="n">
        <f aca="false">AI40-AH41</f>
        <v>4358.83684762418</v>
      </c>
      <c r="AJ41" s="107"/>
      <c r="AK41" s="134" t="n">
        <f aca="false">N41+O41+P41+Q41+R41+S41+T41+U41+X41+AE41+AH41-AR41</f>
        <v>410.1075</v>
      </c>
      <c r="AL41" s="135" t="n">
        <f aca="false">IF(L41&lt;0,L41*-1,0)</f>
        <v>34.3664097554827</v>
      </c>
      <c r="AM41" s="135" t="n">
        <f aca="false">AK41+AL41</f>
        <v>444.473909755483</v>
      </c>
      <c r="AN41" s="220"/>
      <c r="AO41" s="215"/>
      <c r="AP41" s="146" t="n">
        <f aca="false">I41-Q41-R41-X41-AF41</f>
        <v>-275.038</v>
      </c>
      <c r="AQ41" s="158" t="n">
        <f aca="false">31.486*(Z41*1.9835+AC41*1.9835)/E41</f>
        <v>8.96206813588579</v>
      </c>
      <c r="AR41" s="158"/>
      <c r="AS41" s="147" t="n">
        <v>10.6</v>
      </c>
      <c r="AT41" s="5"/>
      <c r="AU41" s="4" t="n">
        <f aca="false">O41</f>
        <v>8.232</v>
      </c>
      <c r="AV41" s="322" t="n">
        <v>0</v>
      </c>
      <c r="AW41" s="215" t="n">
        <v>87</v>
      </c>
      <c r="AX41" s="215" t="n">
        <v>58</v>
      </c>
      <c r="AY41" s="294"/>
      <c r="AZ41" s="250" t="n">
        <f aca="false">SUM(N41,P41:U41)</f>
        <v>10.3960823670773</v>
      </c>
      <c r="BA41" s="1" t="n">
        <v>51.2</v>
      </c>
      <c r="BB41" s="464" t="n">
        <v>8210</v>
      </c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</row>
    <row r="42" customFormat="false" ht="12.95" hidden="false" customHeight="true" outlineLevel="0" collapsed="false">
      <c r="A42" s="183" t="n">
        <f aca="false">A41+1</f>
        <v>28</v>
      </c>
      <c r="B42" s="106" t="n">
        <v>6864.61</v>
      </c>
      <c r="C42" s="107" t="n">
        <v>173992</v>
      </c>
      <c r="D42" s="215" t="n">
        <f aca="false">C42-C41</f>
        <v>-418</v>
      </c>
      <c r="E42" s="107" t="n">
        <f aca="false">C42-152000</f>
        <v>21992</v>
      </c>
      <c r="F42" s="246" t="n">
        <f aca="false">D42/$D$2</f>
        <v>-210.738593395513</v>
      </c>
      <c r="G42" s="135" t="n">
        <v>99</v>
      </c>
      <c r="H42" s="136" t="n">
        <v>0</v>
      </c>
      <c r="I42" s="135" t="n">
        <f aca="false">G42+H42</f>
        <v>99</v>
      </c>
      <c r="J42" s="136" t="n">
        <f aca="false">IF(L42&gt;0,L42,0)</f>
        <v>85.955156604487</v>
      </c>
      <c r="K42" s="135" t="n">
        <f aca="false">I42+J42</f>
        <v>184.955156604487</v>
      </c>
      <c r="L42" s="135" t="n">
        <f aca="false">F42-(I42-AK42)</f>
        <v>85.955156604487</v>
      </c>
      <c r="M42" s="248" t="n">
        <v>162</v>
      </c>
      <c r="N42" s="158" t="n">
        <v>0.25</v>
      </c>
      <c r="O42" s="135" t="n">
        <f aca="false">6.55*1.05</f>
        <v>6.8775</v>
      </c>
      <c r="P42" s="158" t="n">
        <v>0</v>
      </c>
      <c r="Q42" s="338" t="n">
        <f aca="false">1440300/325851/1.9835*1.02</f>
        <v>2.27301273790068</v>
      </c>
      <c r="R42" s="131" t="n">
        <v>4.2</v>
      </c>
      <c r="S42" s="131" t="n">
        <f aca="false">((7*1.04)-T42)-4.2</f>
        <v>1.76064768</v>
      </c>
      <c r="T42" s="131" t="n">
        <f aca="false">(1.1968*1.06)*1.04</f>
        <v>1.31935232</v>
      </c>
      <c r="U42" s="357" t="n">
        <v>0</v>
      </c>
      <c r="V42" s="135" t="n">
        <v>115</v>
      </c>
      <c r="W42" s="135" t="n">
        <v>76.7</v>
      </c>
      <c r="X42" s="135" t="n">
        <f aca="false">M42-N42-O42-P42-Q42-R42-S42-T42-U42+V42+W42-AT42+AR42</f>
        <v>337.019487262099</v>
      </c>
      <c r="Y42" s="135" t="n">
        <f aca="false">X42-AO42</f>
        <v>337.019487262099</v>
      </c>
      <c r="Z42" s="107"/>
      <c r="AA42" s="135"/>
      <c r="AB42" s="107"/>
      <c r="AC42" s="107" t="n">
        <f aca="false">AC41-(AQ41/1.9835)+AS42+AP42</f>
        <v>2975.77339029784</v>
      </c>
      <c r="AD42" s="215" t="n">
        <f aca="false">AD41</f>
        <v>3481.22006554071</v>
      </c>
      <c r="AE42" s="135" t="n">
        <v>25.59375</v>
      </c>
      <c r="AF42" s="248" t="n">
        <v>1.7</v>
      </c>
      <c r="AG42" s="249" t="n">
        <v>1.3</v>
      </c>
      <c r="AH42" s="135" t="n">
        <v>16.4</v>
      </c>
      <c r="AI42" s="107" t="n">
        <f aca="false">AI41-AH42</f>
        <v>4342.43684762418</v>
      </c>
      <c r="AJ42" s="107"/>
      <c r="AK42" s="134" t="n">
        <f aca="false">N42+O42+P42+Q42+R42+S42+T42+U42+X42+AE42+AH42-AR42</f>
        <v>395.69375</v>
      </c>
      <c r="AL42" s="135" t="n">
        <f aca="false">IF(L42&lt;0,L42*-1,0)</f>
        <v>0</v>
      </c>
      <c r="AM42" s="135" t="n">
        <f aca="false">AK42+AL42</f>
        <v>395.69375</v>
      </c>
      <c r="AN42" s="220"/>
      <c r="AO42" s="215"/>
      <c r="AP42" s="146" t="n">
        <f aca="false">I42-Q42-R42-X42-AF42</f>
        <v>-246.1925</v>
      </c>
      <c r="AQ42" s="158" t="n">
        <f aca="false">0*(Z42*1.9835+AC42*1.9835)/E42</f>
        <v>0</v>
      </c>
      <c r="AR42" s="158"/>
      <c r="AS42" s="147" t="n">
        <v>10.6</v>
      </c>
      <c r="AT42" s="5"/>
      <c r="AU42" s="4" t="n">
        <f aca="false">O42</f>
        <v>6.8775</v>
      </c>
      <c r="AV42" s="322" t="n">
        <v>0.46</v>
      </c>
      <c r="AW42" s="215" t="n">
        <v>78</v>
      </c>
      <c r="AX42" s="215" t="n">
        <v>55</v>
      </c>
      <c r="AY42" s="294"/>
      <c r="AZ42" s="250" t="n">
        <f aca="false">SUM(N42,P42:U42)</f>
        <v>9.80301273790068</v>
      </c>
      <c r="BA42" s="1" t="n">
        <v>51.2</v>
      </c>
      <c r="BB42" s="464" t="n">
        <v>8137</v>
      </c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</row>
    <row r="43" customFormat="false" ht="12.95" hidden="false" customHeight="true" outlineLevel="0" collapsed="false">
      <c r="A43" s="183" t="n">
        <f aca="false">A42+1</f>
        <v>29</v>
      </c>
      <c r="B43" s="106" t="n">
        <v>6864.59</v>
      </c>
      <c r="C43" s="107" t="n">
        <v>173943</v>
      </c>
      <c r="D43" s="215" t="n">
        <f aca="false">C43-C42</f>
        <v>-49</v>
      </c>
      <c r="E43" s="107" t="n">
        <f aca="false">C43-152000</f>
        <v>21943</v>
      </c>
      <c r="F43" s="246" t="n">
        <f aca="false">D43/$D$2</f>
        <v>-24.7038064028233</v>
      </c>
      <c r="G43" s="135" t="n">
        <v>277</v>
      </c>
      <c r="H43" s="136" t="n">
        <v>0</v>
      </c>
      <c r="I43" s="135" t="n">
        <f aca="false">G43+H43</f>
        <v>277</v>
      </c>
      <c r="J43" s="136" t="n">
        <f aca="false">IF(L43&gt;0,L43,0)</f>
        <v>11.9961935971767</v>
      </c>
      <c r="K43" s="135" t="n">
        <f aca="false">I43+J43</f>
        <v>288.996193597177</v>
      </c>
      <c r="L43" s="135" t="n">
        <f aca="false">F43-(I43-AK43)</f>
        <v>11.9961935971767</v>
      </c>
      <c r="M43" s="248" t="n">
        <v>110</v>
      </c>
      <c r="N43" s="158" t="n">
        <v>0.25</v>
      </c>
      <c r="O43" s="135" t="n">
        <f aca="false">13.2*1.05-2</f>
        <v>11.86</v>
      </c>
      <c r="P43" s="158" t="n">
        <v>0</v>
      </c>
      <c r="Q43" s="338" t="n">
        <f aca="false">1542200/325851/1.9835*1.02</f>
        <v>2.43382645587061</v>
      </c>
      <c r="R43" s="131" t="n">
        <v>4.2</v>
      </c>
      <c r="S43" s="131" t="n">
        <f aca="false">((5.8*1.04)-T43)-4.2</f>
        <v>0.51264768</v>
      </c>
      <c r="T43" s="131" t="n">
        <f aca="false">(1.1968*1.06)*1.04</f>
        <v>1.31935232</v>
      </c>
      <c r="U43" s="357" t="n">
        <v>0</v>
      </c>
      <c r="V43" s="135" t="n">
        <v>111</v>
      </c>
      <c r="W43" s="135" t="n">
        <v>76.7</v>
      </c>
      <c r="X43" s="135" t="n">
        <f aca="false">M43-N43-O43-P43-Q43-R43-S43-T43-U43+V43+W43-AT43+AR43</f>
        <v>277.124173544129</v>
      </c>
      <c r="Y43" s="135" t="n">
        <f aca="false">X43-AO43</f>
        <v>277.124173544129</v>
      </c>
      <c r="Z43" s="107"/>
      <c r="AA43" s="135"/>
      <c r="AB43" s="107"/>
      <c r="AC43" s="107" t="n">
        <f aca="false">AC42-(AQ42/1.9835)+AS43+AP43</f>
        <v>2977.91539029784</v>
      </c>
      <c r="AD43" s="215" t="n">
        <f aca="false">AD42</f>
        <v>3481.22006554071</v>
      </c>
      <c r="AE43" s="135" t="n">
        <v>0</v>
      </c>
      <c r="AF43" s="248" t="n">
        <v>1.7</v>
      </c>
      <c r="AG43" s="249" t="n">
        <v>1.3</v>
      </c>
      <c r="AH43" s="135" t="n">
        <v>16</v>
      </c>
      <c r="AI43" s="107" t="n">
        <f aca="false">AI42-AH43</f>
        <v>4326.43684762418</v>
      </c>
      <c r="AJ43" s="107"/>
      <c r="AK43" s="134" t="n">
        <f aca="false">N43+O43+P43+Q43+R43+S43+T43+U43+X43+AE43+AH43-AR43</f>
        <v>313.7</v>
      </c>
      <c r="AL43" s="135" t="n">
        <f aca="false">IF(L43&lt;0,L43*-1,0)</f>
        <v>0</v>
      </c>
      <c r="AM43" s="135" t="n">
        <f aca="false">AK43+AL43</f>
        <v>313.7</v>
      </c>
      <c r="AN43" s="220"/>
      <c r="AO43" s="215"/>
      <c r="AP43" s="502" t="n">
        <f aca="false">IF((I43-Q43-R43-X43-AF43)&gt;0,0,I43-Q43-R43-X43-AF43)</f>
        <v>-8.45799999999998</v>
      </c>
      <c r="AQ43" s="158" t="n">
        <f aca="false">40.875*(Z43*1.9835+AC43*1.9835)/E43</f>
        <v>11.0028786102996</v>
      </c>
      <c r="AR43" s="158"/>
      <c r="AS43" s="147" t="n">
        <v>10.6</v>
      </c>
      <c r="AT43" s="5"/>
      <c r="AU43" s="4" t="n">
        <f aca="false">O43</f>
        <v>11.86</v>
      </c>
      <c r="AV43" s="322" t="n">
        <v>0.05</v>
      </c>
      <c r="AW43" s="221" t="n">
        <v>82</v>
      </c>
      <c r="AX43" s="215" t="n">
        <v>54</v>
      </c>
      <c r="AY43" s="294"/>
      <c r="AZ43" s="250" t="n">
        <f aca="false">SUM(N43,P43:U43)</f>
        <v>8.71582645587061</v>
      </c>
      <c r="BA43" s="1" t="n">
        <v>50.8</v>
      </c>
      <c r="BB43" s="464" t="n">
        <v>8084</v>
      </c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</row>
    <row r="44" customFormat="false" ht="12.95" hidden="false" customHeight="true" outlineLevel="0" collapsed="false">
      <c r="A44" s="183" t="n">
        <v>30</v>
      </c>
      <c r="B44" s="106" t="n">
        <v>6864.5</v>
      </c>
      <c r="C44" s="107" t="n">
        <v>173722</v>
      </c>
      <c r="D44" s="215" t="n">
        <f aca="false">C44-C43</f>
        <v>-221</v>
      </c>
      <c r="E44" s="107" t="n">
        <f aca="false">C44-152000</f>
        <v>21722</v>
      </c>
      <c r="F44" s="246" t="n">
        <f aca="false">D44/$D$2</f>
        <v>-111.419208469876</v>
      </c>
      <c r="G44" s="135" t="n">
        <v>233</v>
      </c>
      <c r="H44" s="136" t="n">
        <v>0</v>
      </c>
      <c r="I44" s="135" t="n">
        <f aca="false">G44+H44</f>
        <v>233</v>
      </c>
      <c r="J44" s="136" t="n">
        <f aca="false">IF(L44&gt;0,L44,0)</f>
        <v>1.83079153012352</v>
      </c>
      <c r="K44" s="135" t="n">
        <f aca="false">I44+J44</f>
        <v>234.830791530124</v>
      </c>
      <c r="L44" s="135" t="n">
        <f aca="false">F44-(I44-AK44)</f>
        <v>1.83079153012352</v>
      </c>
      <c r="M44" s="248" t="n">
        <v>121</v>
      </c>
      <c r="N44" s="158" t="n">
        <v>0.25</v>
      </c>
      <c r="O44" s="135" t="n">
        <f aca="false">1.69*1.05</f>
        <v>1.7745</v>
      </c>
      <c r="P44" s="158" t="n">
        <v>0</v>
      </c>
      <c r="Q44" s="338" t="n">
        <f aca="false">1698000/325851/1.9835*1.02</f>
        <v>2.67970258206996</v>
      </c>
      <c r="R44" s="131" t="n">
        <v>4.2</v>
      </c>
      <c r="S44" s="131" t="n">
        <f aca="false">((5.8*1.04)-T44)-4.2</f>
        <v>0.51264768</v>
      </c>
      <c r="T44" s="131" t="n">
        <f aca="false">(1.1968*1.06)*1.04</f>
        <v>1.31935232</v>
      </c>
      <c r="U44" s="357" t="n">
        <v>0</v>
      </c>
      <c r="V44" s="135" t="n">
        <v>103</v>
      </c>
      <c r="W44" s="135" t="n">
        <v>75.9</v>
      </c>
      <c r="X44" s="135" t="n">
        <f aca="false">M44-N44-O44-P44-Q44-R44-S44-T44-U44+V44+W44-AT44+AR44</f>
        <v>289.16379741793</v>
      </c>
      <c r="Y44" s="135" t="n">
        <f aca="false">X44-AO44</f>
        <v>289.16379741793</v>
      </c>
      <c r="Z44" s="107"/>
      <c r="AA44" s="135"/>
      <c r="AB44" s="107"/>
      <c r="AC44" s="107" t="n">
        <f aca="false">AC43+AS44+AP44</f>
        <v>2923.77189029784</v>
      </c>
      <c r="AD44" s="215" t="n">
        <f aca="false">AD43</f>
        <v>3481.22006554071</v>
      </c>
      <c r="AE44" s="135" t="n">
        <v>30.35</v>
      </c>
      <c r="AF44" s="248" t="n">
        <v>1.7</v>
      </c>
      <c r="AG44" s="249" t="n">
        <v>1.3</v>
      </c>
      <c r="AH44" s="135" t="n">
        <v>16</v>
      </c>
      <c r="AI44" s="107" t="n">
        <f aca="false">AI43-AH44</f>
        <v>4310.43684762418</v>
      </c>
      <c r="AJ44" s="107"/>
      <c r="AK44" s="134" t="n">
        <f aca="false">N44+O44+P44+Q44+R44+S44+T44+U44+X44+AE44+AH44-AR44</f>
        <v>346.25</v>
      </c>
      <c r="AL44" s="135" t="n">
        <f aca="false">IF(L44&lt;0,L44*-1,0)</f>
        <v>0</v>
      </c>
      <c r="AM44" s="135" t="n">
        <f aca="false">AK44+AL44</f>
        <v>346.25</v>
      </c>
      <c r="AN44" s="220"/>
      <c r="AO44" s="215"/>
      <c r="AP44" s="146" t="n">
        <f aca="false">I44-Q44-R44-X44-AF44</f>
        <v>-64.7435</v>
      </c>
      <c r="AQ44" s="158" t="n">
        <f aca="false">46.508*(Z44*1.9835+AC44*1.9835)/E44</f>
        <v>12.4166244465161</v>
      </c>
      <c r="AR44" s="158"/>
      <c r="AS44" s="147" t="n">
        <v>10.6</v>
      </c>
      <c r="AT44" s="5"/>
      <c r="AU44" s="4" t="n">
        <f aca="false">O44</f>
        <v>1.7745</v>
      </c>
      <c r="AV44" s="322" t="n">
        <v>0</v>
      </c>
      <c r="AW44" s="221" t="n">
        <v>87</v>
      </c>
      <c r="AX44" s="215" t="n">
        <v>54</v>
      </c>
      <c r="AY44" s="294"/>
      <c r="AZ44" s="250" t="n">
        <f aca="false">SUM(N44,P44:U44)</f>
        <v>8.96170258206996</v>
      </c>
      <c r="BA44" s="1" t="n">
        <v>50.4</v>
      </c>
      <c r="BB44" s="464" t="n">
        <v>7995</v>
      </c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</row>
    <row r="45" customFormat="false" ht="13.5" hidden="false" customHeight="true" outlineLevel="0" collapsed="false">
      <c r="A45" s="183" t="n">
        <v>31</v>
      </c>
      <c r="B45" s="106" t="n">
        <v>6864.34</v>
      </c>
      <c r="C45" s="107" t="n">
        <v>173329</v>
      </c>
      <c r="D45" s="215" t="n">
        <f aca="false">C45-C44</f>
        <v>-393</v>
      </c>
      <c r="E45" s="107" t="n">
        <f aca="false">C45-152000</f>
        <v>21329</v>
      </c>
      <c r="F45" s="246" t="n">
        <f aca="false">D45/$D$2</f>
        <v>-198.13461053693</v>
      </c>
      <c r="G45" s="135" t="n">
        <v>169</v>
      </c>
      <c r="H45" s="136" t="n">
        <v>0</v>
      </c>
      <c r="I45" s="135" t="n">
        <f aca="false">G45+H45</f>
        <v>169</v>
      </c>
      <c r="J45" s="136" t="n">
        <f aca="false">IF(L45&gt;0,L45,0)</f>
        <v>0</v>
      </c>
      <c r="K45" s="135" t="n">
        <f aca="false">I45+J45</f>
        <v>169</v>
      </c>
      <c r="L45" s="135" t="n">
        <f aca="false">F45-(I45-AK45)</f>
        <v>-16.0346105369297</v>
      </c>
      <c r="M45" s="248" t="n">
        <v>126</v>
      </c>
      <c r="N45" s="158" t="n">
        <v>1.5</v>
      </c>
      <c r="O45" s="135" t="n">
        <f aca="false">6.54*1.05</f>
        <v>6.867</v>
      </c>
      <c r="P45" s="158" t="n">
        <v>0</v>
      </c>
      <c r="Q45" s="338" t="n">
        <f aca="false">1848000/325851/1.9835*1.02</f>
        <v>2.916425425009</v>
      </c>
      <c r="R45" s="131" t="n">
        <v>4.2</v>
      </c>
      <c r="S45" s="131" t="n">
        <f aca="false">((5.8*1.04)-T45)-4.2</f>
        <v>0.51264768</v>
      </c>
      <c r="T45" s="131" t="n">
        <f aca="false">(1.1968*1.06)*1.04</f>
        <v>1.31935232</v>
      </c>
      <c r="U45" s="357" t="n">
        <v>0</v>
      </c>
      <c r="V45" s="135" t="n">
        <v>99</v>
      </c>
      <c r="W45" s="135" t="n">
        <v>75.5</v>
      </c>
      <c r="X45" s="135" t="n">
        <f aca="false">M45-N45-O45-P45-Q45-R45-S45-T45-U45+V45+W45-AT45+AR45</f>
        <v>283.184574574991</v>
      </c>
      <c r="Y45" s="135" t="n">
        <f aca="false">X45-AO45</f>
        <v>283.184574574991</v>
      </c>
      <c r="Z45" s="107"/>
      <c r="AA45" s="135"/>
      <c r="AB45" s="107"/>
      <c r="AC45" s="107" t="n">
        <f aca="false">AC44-(AQ44/1.9835)+AS45+AP45</f>
        <v>2805.11093343043</v>
      </c>
      <c r="AD45" s="215" t="n">
        <f aca="false">AD44</f>
        <v>3481.22006554071</v>
      </c>
      <c r="AE45" s="135" t="n">
        <v>34.6</v>
      </c>
      <c r="AF45" s="248" t="n">
        <v>1.7</v>
      </c>
      <c r="AG45" s="249" t="n">
        <v>1.3</v>
      </c>
      <c r="AH45" s="135" t="n">
        <v>16</v>
      </c>
      <c r="AI45" s="107" t="n">
        <f aca="false">AI44-AH45</f>
        <v>4294.43684762418</v>
      </c>
      <c r="AJ45" s="107"/>
      <c r="AK45" s="134" t="n">
        <f aca="false">N45+O45+P45+Q45+R45+S45+T45+U45+X45+AE45+AH45-AR45</f>
        <v>351.1</v>
      </c>
      <c r="AL45" s="135" t="n">
        <f aca="false">IF(L45&lt;0,L45*-1,0)</f>
        <v>16.0346105369297</v>
      </c>
      <c r="AM45" s="135" t="n">
        <f aca="false">AK45+AL45</f>
        <v>367.13461053693</v>
      </c>
      <c r="AN45" s="220"/>
      <c r="AO45" s="215"/>
      <c r="AP45" s="146" t="n">
        <f aca="false">I45-Q45-R45-X45-AF45</f>
        <v>-123.001</v>
      </c>
      <c r="AQ45" s="158" t="n">
        <f aca="false">40.373*(Z45*1.9835+AC45*1.9835)/E45</f>
        <v>10.5318041239378</v>
      </c>
      <c r="AR45" s="158"/>
      <c r="AS45" s="147" t="n">
        <v>10.6</v>
      </c>
      <c r="AT45" s="5"/>
      <c r="AU45" s="4" t="n">
        <f aca="false">O45</f>
        <v>6.867</v>
      </c>
      <c r="AV45" s="322" t="n">
        <v>0</v>
      </c>
      <c r="AW45" s="221" t="n">
        <v>92</v>
      </c>
      <c r="AX45" s="215" t="n">
        <v>55</v>
      </c>
      <c r="AY45" s="294"/>
      <c r="AZ45" s="250" t="n">
        <f aca="false">SUM(N45,P45:U45)</f>
        <v>10.448425425009</v>
      </c>
      <c r="BA45" s="176" t="n">
        <v>50.2</v>
      </c>
      <c r="BB45" s="274" t="n">
        <v>7901</v>
      </c>
    </row>
    <row r="46" customFormat="false" ht="3" hidden="false" customHeight="true" outlineLevel="0" collapsed="false">
      <c r="A46" s="231"/>
      <c r="B46" s="252"/>
      <c r="C46" s="233"/>
      <c r="D46" s="234"/>
      <c r="E46" s="233"/>
      <c r="F46" s="235"/>
      <c r="G46" s="234"/>
      <c r="H46" s="240"/>
      <c r="I46" s="234"/>
      <c r="J46" s="234"/>
      <c r="K46" s="234"/>
      <c r="L46" s="234"/>
      <c r="M46" s="237"/>
      <c r="N46" s="234"/>
      <c r="O46" s="234"/>
      <c r="P46" s="238"/>
      <c r="Q46" s="234"/>
      <c r="R46" s="234"/>
      <c r="S46" s="234"/>
      <c r="T46" s="234"/>
      <c r="U46" s="239"/>
      <c r="V46" s="234"/>
      <c r="W46" s="234"/>
      <c r="X46" s="234"/>
      <c r="Y46" s="234"/>
      <c r="Z46" s="233"/>
      <c r="AA46" s="234"/>
      <c r="AB46" s="233"/>
      <c r="AC46" s="233"/>
      <c r="AD46" s="243"/>
      <c r="AE46" s="234"/>
      <c r="AF46" s="237"/>
      <c r="AG46" s="241"/>
      <c r="AH46" s="234"/>
      <c r="AI46" s="234"/>
      <c r="AJ46" s="234"/>
      <c r="AK46" s="234"/>
      <c r="AL46" s="234"/>
      <c r="AM46" s="234"/>
      <c r="AN46" s="242"/>
      <c r="AO46" s="243"/>
      <c r="AP46" s="240"/>
      <c r="AQ46" s="240"/>
      <c r="AR46" s="240"/>
      <c r="AS46" s="238"/>
      <c r="AT46" s="238"/>
      <c r="AU46" s="240"/>
      <c r="AV46" s="500"/>
      <c r="AW46" s="243"/>
      <c r="AX46" s="243"/>
      <c r="AY46" s="257"/>
      <c r="AZ46" s="257"/>
      <c r="BA46" s="257"/>
      <c r="BB46" s="257"/>
    </row>
    <row r="47" customFormat="false" ht="12.95" hidden="false" customHeight="true" outlineLevel="0" collapsed="false">
      <c r="A47" s="185" t="s">
        <v>101</v>
      </c>
      <c r="B47" s="213"/>
      <c r="C47" s="107"/>
      <c r="D47" s="107"/>
      <c r="E47" s="107"/>
      <c r="F47" s="214" t="n">
        <f aca="false">SUM(F15:F45)</f>
        <v>-11100.5797832115</v>
      </c>
      <c r="G47" s="107" t="n">
        <f aca="false">SUM(G15:G45)</f>
        <v>3045</v>
      </c>
      <c r="H47" s="215" t="n">
        <f aca="false">SUM(H15:H45)</f>
        <v>0</v>
      </c>
      <c r="I47" s="107" t="n">
        <f aca="false">SUM(I15:I45)</f>
        <v>3045</v>
      </c>
      <c r="J47" s="107" t="n">
        <f aca="false">SUM(J15:J45)</f>
        <v>322.120870590525</v>
      </c>
      <c r="K47" s="107" t="n">
        <f aca="false">SUM(K15:K45)</f>
        <v>3367.12087059052</v>
      </c>
      <c r="L47" s="107" t="n">
        <f aca="false">SUM(L15:L45)</f>
        <v>-71.739262381494</v>
      </c>
      <c r="M47" s="216" t="n">
        <f aca="false">SUM(M15:M45)</f>
        <v>6077</v>
      </c>
      <c r="N47" s="107" t="n">
        <f aca="false">SUM(N15:N45)</f>
        <v>15.923985</v>
      </c>
      <c r="O47" s="107" t="n">
        <f aca="false">SUM(O15:O45)</f>
        <v>422.1475</v>
      </c>
      <c r="P47" s="158" t="n">
        <f aca="false">SUM(P15:P45)</f>
        <v>0</v>
      </c>
      <c r="Q47" s="107" t="n">
        <f aca="false">SUM(Q15:Q45)</f>
        <v>90.3881987498718</v>
      </c>
      <c r="R47" s="107" t="n">
        <f aca="false">SUM(R15:R45)</f>
        <v>129.20568704</v>
      </c>
      <c r="S47" s="107" t="n">
        <f aca="false">SUM(S15:S45)</f>
        <v>40.69763408</v>
      </c>
      <c r="T47" s="107" t="n">
        <f aca="false">SUM(T15:T45)</f>
        <v>39.55267888</v>
      </c>
      <c r="U47" s="217" t="n">
        <f aca="false">SUM(U15:U45)</f>
        <v>0</v>
      </c>
      <c r="V47" s="107" t="n">
        <f aca="false">SUM(V15:V45)</f>
        <v>3825</v>
      </c>
      <c r="W47" s="107" t="n">
        <f aca="false">SUM(W15:W45)</f>
        <v>2430.9</v>
      </c>
      <c r="X47" s="107" t="n">
        <f aca="false">SUM(X15:X45)</f>
        <v>11785.5565370719</v>
      </c>
      <c r="Y47" s="107" t="n">
        <f aca="false">SUM(Y15:Y45)</f>
        <v>11785.5565370719</v>
      </c>
      <c r="Z47" s="107"/>
      <c r="AA47" s="107"/>
      <c r="AB47" s="107"/>
      <c r="AC47" s="107"/>
      <c r="AD47" s="107"/>
      <c r="AE47" s="107" t="n">
        <f aca="false">SUM(AE15:AE45)</f>
        <v>1309.24052083</v>
      </c>
      <c r="AF47" s="432" t="n">
        <f aca="false">SUM(AF15:AF45)</f>
        <v>52.7</v>
      </c>
      <c r="AG47" s="433" t="n">
        <f aca="false">SUM(AG15:AG45)</f>
        <v>40.3</v>
      </c>
      <c r="AH47" s="107" t="n">
        <f aca="false">SUM(AH15:AH45)</f>
        <v>431.7</v>
      </c>
      <c r="AI47" s="107"/>
      <c r="AJ47" s="107" t="n">
        <f aca="false">SUM(AJ15:AJ45)</f>
        <v>0</v>
      </c>
      <c r="AK47" s="107" t="n">
        <f aca="false">SUM(AK15:AK45)</f>
        <v>14073.84052083</v>
      </c>
      <c r="AL47" s="107" t="n">
        <f aca="false">SUM(AL15:AL45)</f>
        <v>393.860132972019</v>
      </c>
      <c r="AM47" s="107" t="n">
        <f aca="false">SUM(AM15:AM45)</f>
        <v>14467.700653802</v>
      </c>
      <c r="AN47" s="220"/>
      <c r="AO47" s="107" t="n">
        <f aca="false">SUM(AO15:AO45)</f>
        <v>0</v>
      </c>
      <c r="AP47" s="136" t="n">
        <f aca="false">SUM(AP15:AP45)</f>
        <v>-9012.85042286178</v>
      </c>
      <c r="AQ47" s="503"/>
      <c r="AR47" s="136" t="n">
        <f aca="false">SUM(AR15:AR45)</f>
        <v>190.57222082178</v>
      </c>
      <c r="AS47" s="136" t="n">
        <f aca="false">SUM(AS15:AS45)</f>
        <v>328.6</v>
      </c>
      <c r="AT47" s="158" t="n">
        <f aca="false">SUM(AT15:AT45)</f>
        <v>0</v>
      </c>
      <c r="AU47" s="136" t="n">
        <f aca="false">SUM(AU15:AU45)</f>
        <v>413.002</v>
      </c>
      <c r="AV47" s="322" t="n">
        <f aca="false">SUM(AV15:AV45)</f>
        <v>1.411</v>
      </c>
      <c r="AW47" s="215" t="n">
        <f aca="false">AVERAGE(AW15:AW45)</f>
        <v>90.0645161290323</v>
      </c>
      <c r="AX47" s="215" t="n">
        <f aca="false">AVERAGE(AX15:AX45)</f>
        <v>57.6129032258064</v>
      </c>
      <c r="AY47" s="223" t="s">
        <v>126</v>
      </c>
      <c r="AZ47" s="340" t="n">
        <f aca="false">SUM(AZ15:AZ45)</f>
        <v>315.768183749872</v>
      </c>
      <c r="BA47" s="136" t="n">
        <f aca="false">SUM(BA15:BA45)</f>
        <v>1138.2</v>
      </c>
      <c r="BB47" s="274"/>
    </row>
    <row r="48" customFormat="false" ht="12.95" hidden="false" customHeight="true" outlineLevel="0" collapsed="false">
      <c r="A48" s="185" t="s">
        <v>103</v>
      </c>
      <c r="B48" s="213"/>
      <c r="C48" s="107"/>
      <c r="D48" s="107" t="n">
        <f aca="false">SUM(D15:D45)</f>
        <v>-22018</v>
      </c>
      <c r="E48" s="107"/>
      <c r="F48" s="214" t="n">
        <f aca="false">F47*$D$2</f>
        <v>-22018</v>
      </c>
      <c r="G48" s="107" t="n">
        <f aca="false">G47*$D$2</f>
        <v>6039.7575</v>
      </c>
      <c r="H48" s="215" t="n">
        <f aca="false">H47*$D$2</f>
        <v>0</v>
      </c>
      <c r="I48" s="107" t="n">
        <f aca="false">I47*$D$2</f>
        <v>6039.7575</v>
      </c>
      <c r="J48" s="107" t="n">
        <f aca="false">J47*$D$2</f>
        <v>638.926746816306</v>
      </c>
      <c r="K48" s="107" t="n">
        <f aca="false">K47*$D$2</f>
        <v>6678.68424681631</v>
      </c>
      <c r="L48" s="107" t="n">
        <f aca="false">L47*$D$2</f>
        <v>-142.294826933693</v>
      </c>
      <c r="M48" s="216" t="n">
        <f aca="false">M47*$D$2</f>
        <v>12053.7295</v>
      </c>
      <c r="N48" s="107" t="n">
        <f aca="false">N47*$D$2</f>
        <v>31.5852242475</v>
      </c>
      <c r="O48" s="107" t="n">
        <f aca="false">O47*$D$2</f>
        <v>837.32956625</v>
      </c>
      <c r="P48" s="158" t="n">
        <f aca="false">P47*$D$2</f>
        <v>0</v>
      </c>
      <c r="Q48" s="107" t="n">
        <f aca="false">Q47*$D$2</f>
        <v>179.284992220371</v>
      </c>
      <c r="R48" s="107" t="n">
        <f aca="false">R47*$D$2</f>
        <v>256.27948024384</v>
      </c>
      <c r="S48" s="107" t="n">
        <f aca="false">S47*$D$2</f>
        <v>80.72375719768</v>
      </c>
      <c r="T48" s="107" t="n">
        <f aca="false">T47*$D$2</f>
        <v>78.45273855848</v>
      </c>
      <c r="U48" s="217" t="n">
        <f aca="false">U47*$D$2</f>
        <v>0</v>
      </c>
      <c r="V48" s="107" t="n">
        <f aca="false">V47*$D$2</f>
        <v>7586.8875</v>
      </c>
      <c r="W48" s="107" t="n">
        <f aca="false">W47*$D$2</f>
        <v>4821.69015</v>
      </c>
      <c r="X48" s="107" t="n">
        <f aca="false">X47*$D$2</f>
        <v>23376.6513912821</v>
      </c>
      <c r="Y48" s="107" t="n">
        <f aca="false">Y47*$D$2</f>
        <v>23376.6513912821</v>
      </c>
      <c r="Z48" s="107"/>
      <c r="AA48" s="107"/>
      <c r="AB48" s="107"/>
      <c r="AC48" s="107"/>
      <c r="AD48" s="107"/>
      <c r="AE48" s="107" t="n">
        <f aca="false">AE47*$D$2</f>
        <v>2596.8785730663</v>
      </c>
      <c r="AF48" s="216" t="n">
        <f aca="false">AF47*$D$2</f>
        <v>104.53045</v>
      </c>
      <c r="AG48" s="218" t="n">
        <f aca="false">AG47*$D$2</f>
        <v>79.93505</v>
      </c>
      <c r="AH48" s="107" t="n">
        <f aca="false">AH47*$D$2</f>
        <v>856.27695</v>
      </c>
      <c r="AI48" s="107"/>
      <c r="AJ48" s="107" t="n">
        <f aca="false">AJ47*$D$2</f>
        <v>0</v>
      </c>
      <c r="AK48" s="107" t="n">
        <f aca="false">AK47*$D$2</f>
        <v>27915.4626730663</v>
      </c>
      <c r="AL48" s="107" t="n">
        <f aca="false">AL47*$D$2</f>
        <v>781.221573749999</v>
      </c>
      <c r="AM48" s="107" t="n">
        <f aca="false">AM47*$D$2</f>
        <v>28696.6842468163</v>
      </c>
      <c r="AN48" s="220"/>
      <c r="AO48" s="107" t="n">
        <f aca="false">AO47*$D$2</f>
        <v>0</v>
      </c>
      <c r="AP48" s="136"/>
      <c r="AQ48" s="503" t="n">
        <f aca="false">SUM(AQ15:AQ45)</f>
        <v>520.886013419658</v>
      </c>
      <c r="AR48" s="136" t="n">
        <f aca="false">AR47*$D$2</f>
        <v>378</v>
      </c>
      <c r="AS48" s="136" t="n">
        <f aca="false">AS47*$D$2</f>
        <v>651.7781</v>
      </c>
      <c r="AT48" s="158" t="n">
        <f aca="false">AT47*$D$2</f>
        <v>0</v>
      </c>
      <c r="AU48" s="136" t="n">
        <f aca="false">AU47*$D$2</f>
        <v>819.189467</v>
      </c>
      <c r="AV48" s="322"/>
      <c r="AW48" s="215" t="n">
        <f aca="false">MAX(AW15:AW45)</f>
        <v>97</v>
      </c>
      <c r="AX48" s="215" t="n">
        <f aca="false">MAX(AX15:AX45)</f>
        <v>63</v>
      </c>
      <c r="AY48" s="223" t="s">
        <v>104</v>
      </c>
      <c r="AZ48" s="340" t="n">
        <f aca="false">AZ47*$D$2</f>
        <v>626.326192467871</v>
      </c>
      <c r="BA48" s="136" t="n">
        <f aca="false">BA47*$D$2</f>
        <v>2257.6197</v>
      </c>
      <c r="BB48" s="274"/>
    </row>
    <row r="49" customFormat="false" ht="3" hidden="false" customHeight="true" outlineLevel="0" collapsed="false">
      <c r="A49" s="231"/>
      <c r="B49" s="252"/>
      <c r="C49" s="233"/>
      <c r="D49" s="233"/>
      <c r="E49" s="233"/>
      <c r="F49" s="257"/>
      <c r="G49" s="233"/>
      <c r="H49" s="243"/>
      <c r="I49" s="233"/>
      <c r="J49" s="233"/>
      <c r="K49" s="233"/>
      <c r="L49" s="233"/>
      <c r="M49" s="258"/>
      <c r="N49" s="233"/>
      <c r="O49" s="233"/>
      <c r="P49" s="238"/>
      <c r="Q49" s="233"/>
      <c r="R49" s="233"/>
      <c r="S49" s="233"/>
      <c r="T49" s="233"/>
      <c r="U49" s="239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58"/>
      <c r="AG49" s="259"/>
      <c r="AH49" s="233"/>
      <c r="AI49" s="234"/>
      <c r="AJ49" s="233"/>
      <c r="AK49" s="233"/>
      <c r="AL49" s="233"/>
      <c r="AM49" s="233"/>
      <c r="AN49" s="261"/>
      <c r="AO49" s="233"/>
      <c r="AP49" s="240"/>
      <c r="AQ49" s="238"/>
      <c r="AR49" s="238"/>
      <c r="AS49" s="238"/>
      <c r="AT49" s="238"/>
      <c r="AU49" s="240"/>
      <c r="AV49" s="261"/>
      <c r="AW49" s="233"/>
      <c r="AX49" s="233"/>
      <c r="AY49" s="233"/>
      <c r="AZ49" s="233"/>
      <c r="BA49" s="233"/>
      <c r="BB49" s="233"/>
    </row>
    <row r="50" customFormat="false" ht="12.95" hidden="false" customHeight="true" outlineLevel="0" collapsed="false">
      <c r="A50" s="185" t="s">
        <v>105</v>
      </c>
      <c r="B50" s="213"/>
      <c r="C50" s="107"/>
      <c r="D50" s="107"/>
      <c r="E50" s="107"/>
      <c r="F50" s="214" t="n">
        <f aca="false">F12+F47</f>
        <v>-7581.04360978069</v>
      </c>
      <c r="G50" s="107" t="n">
        <f aca="false">G12+G47</f>
        <v>42898</v>
      </c>
      <c r="H50" s="215" t="n">
        <f aca="false">H12+H47</f>
        <v>91.66</v>
      </c>
      <c r="I50" s="107" t="n">
        <f aca="false">I12+I47</f>
        <v>42989.66</v>
      </c>
      <c r="J50" s="107" t="n">
        <f aca="false">J12+J47</f>
        <v>1321.17885647406</v>
      </c>
      <c r="K50" s="107" t="n">
        <f aca="false">K12+K47</f>
        <v>44310.8288564741</v>
      </c>
      <c r="L50" s="107" t="n">
        <f aca="false">L12+L47</f>
        <v>-2023.91983527677</v>
      </c>
      <c r="M50" s="216" t="n">
        <f aca="false">M12+M47</f>
        <v>20992.62</v>
      </c>
      <c r="N50" s="107" t="n">
        <f aca="false">N12+N47</f>
        <v>73.4102935</v>
      </c>
      <c r="O50" s="107" t="n">
        <f aca="false">O12+O47</f>
        <v>3034.39791875</v>
      </c>
      <c r="P50" s="158" t="n">
        <f aca="false">P12+P47</f>
        <v>14.3788</v>
      </c>
      <c r="Q50" s="107"/>
      <c r="R50" s="107"/>
      <c r="S50" s="107"/>
      <c r="T50" s="107"/>
      <c r="U50" s="217"/>
      <c r="V50" s="107" t="n">
        <f aca="false">V12+V47</f>
        <v>10977.5</v>
      </c>
      <c r="W50" s="107" t="n">
        <f aca="false">W12+W47</f>
        <v>6459.65</v>
      </c>
      <c r="X50" s="107" t="n">
        <f aca="false">X12+X47</f>
        <v>34996.8554041138</v>
      </c>
      <c r="Y50" s="107" t="n">
        <f aca="false">Y12+Y47</f>
        <v>34996.8554041138</v>
      </c>
      <c r="Z50" s="80"/>
      <c r="AA50" s="107"/>
      <c r="AB50" s="435"/>
      <c r="AC50" s="435"/>
      <c r="AD50" s="107"/>
      <c r="AE50" s="107" t="n">
        <f aca="false">AE12+AE47</f>
        <v>8018.54617300391</v>
      </c>
      <c r="AF50" s="216" t="n">
        <f aca="false">AF12+AF47</f>
        <v>207.4</v>
      </c>
      <c r="AG50" s="218" t="n">
        <f aca="false">AG12+AG47</f>
        <v>158.6</v>
      </c>
      <c r="AH50" s="107"/>
      <c r="AI50" s="435"/>
      <c r="AJ50" s="107" t="n">
        <f aca="false">AJ12+AJ47</f>
        <v>0</v>
      </c>
      <c r="AK50" s="107" t="n">
        <f aca="false">AK12+AK47</f>
        <v>48546.7737745039</v>
      </c>
      <c r="AL50" s="107" t="n">
        <f aca="false">AL12+AL47</f>
        <v>3345.09869175084</v>
      </c>
      <c r="AM50" s="107" t="n">
        <f aca="false">AM12+AM47</f>
        <v>51891.8724662548</v>
      </c>
      <c r="AN50" s="220"/>
      <c r="AO50" s="215"/>
      <c r="AP50" s="136"/>
      <c r="AQ50" s="503"/>
      <c r="AR50" s="136" t="n">
        <f aca="false">AR12+AR47</f>
        <v>608.016133098059</v>
      </c>
      <c r="AS50" s="136" t="n">
        <f aca="false">AS12+AS47</f>
        <v>497.656</v>
      </c>
      <c r="AT50" s="158" t="n">
        <f aca="false">AT12+AT47</f>
        <v>0</v>
      </c>
      <c r="AU50" s="136" t="n">
        <f aca="false">AU12+AU47</f>
        <v>413.002</v>
      </c>
      <c r="AV50" s="322" t="s">
        <v>131</v>
      </c>
      <c r="AW50" s="215" t="n">
        <f aca="false">MIN(AW15:AW45)</f>
        <v>78</v>
      </c>
      <c r="AX50" s="215" t="n">
        <f aca="false">MIN(AX15:AX45)</f>
        <v>53</v>
      </c>
      <c r="AY50" s="223" t="s">
        <v>106</v>
      </c>
      <c r="AZ50" s="340" t="n">
        <f aca="false">AZ12+AZ47</f>
        <v>315.768183749872</v>
      </c>
      <c r="BA50" s="136" t="n">
        <f aca="false">BA12+BA47</f>
        <v>1312.277</v>
      </c>
      <c r="BB50" s="274"/>
    </row>
    <row r="51" customFormat="false" ht="12.95" hidden="false" customHeight="true" outlineLevel="0" collapsed="false">
      <c r="A51" s="185" t="s">
        <v>107</v>
      </c>
      <c r="B51" s="213"/>
      <c r="C51" s="107"/>
      <c r="D51" s="107"/>
      <c r="E51" s="107"/>
      <c r="F51" s="214" t="n">
        <f aca="false">F50*$D$2</f>
        <v>-15037</v>
      </c>
      <c r="G51" s="107" t="n">
        <f aca="false">G50*$D$2</f>
        <v>85088.183</v>
      </c>
      <c r="H51" s="215" t="n">
        <f aca="false">H50*$D$2</f>
        <v>181.80761</v>
      </c>
      <c r="I51" s="107" t="n">
        <f aca="false">I50*$D$2</f>
        <v>85269.99061</v>
      </c>
      <c r="J51" s="107" t="n">
        <f aca="false">J50*$D$2</f>
        <v>2620.55826181631</v>
      </c>
      <c r="K51" s="107" t="n">
        <f aca="false">K50*$D$2</f>
        <v>87890.5290368163</v>
      </c>
      <c r="L51" s="107" t="n">
        <f aca="false">L50*$D$2</f>
        <v>-4014.44499327148</v>
      </c>
      <c r="M51" s="216" t="n">
        <f aca="false">M50*$D$2</f>
        <v>41638.86177</v>
      </c>
      <c r="N51" s="107" t="n">
        <f aca="false">N50*$D$2</f>
        <v>145.60931715725</v>
      </c>
      <c r="O51" s="107" t="n">
        <f aca="false">O50*$D$2</f>
        <v>6018.72827184063</v>
      </c>
      <c r="P51" s="158" t="n">
        <f aca="false">P50*$D$2</f>
        <v>28.5203498</v>
      </c>
      <c r="Q51" s="107"/>
      <c r="R51" s="107"/>
      <c r="S51" s="107"/>
      <c r="T51" s="107"/>
      <c r="U51" s="217"/>
      <c r="V51" s="107" t="n">
        <f aca="false">V50*$D$2</f>
        <v>21773.87125</v>
      </c>
      <c r="W51" s="107" t="n">
        <f aca="false">W50*$D$2</f>
        <v>12812.715775</v>
      </c>
      <c r="X51" s="107" t="n">
        <f aca="false">X50*$D$2</f>
        <v>69416.2626940597</v>
      </c>
      <c r="Y51" s="107" t="n">
        <f aca="false">Y50*$D$2</f>
        <v>69416.2626940597</v>
      </c>
      <c r="Z51" s="80"/>
      <c r="AA51" s="107"/>
      <c r="AB51" s="107"/>
      <c r="AC51" s="107"/>
      <c r="AD51" s="107"/>
      <c r="AE51" s="107" t="n">
        <f aca="false">AE50*$D$2</f>
        <v>15904.7863341533</v>
      </c>
      <c r="AF51" s="216" t="n">
        <f aca="false">AF50*$D$2</f>
        <v>411.3779</v>
      </c>
      <c r="AG51" s="218" t="n">
        <f aca="false">AG50*$D$2</f>
        <v>314.5831</v>
      </c>
      <c r="AH51" s="107"/>
      <c r="AI51" s="107"/>
      <c r="AJ51" s="107" t="n">
        <f aca="false">AJ50*$D$2</f>
        <v>0</v>
      </c>
      <c r="AK51" s="107" t="n">
        <f aca="false">AK50*$D$2</f>
        <v>96292.5257817285</v>
      </c>
      <c r="AL51" s="107" t="n">
        <f aca="false">AL50*$D$2</f>
        <v>6635.00325508779</v>
      </c>
      <c r="AM51" s="107" t="n">
        <f aca="false">AM50*$D$2</f>
        <v>102927.529036816</v>
      </c>
      <c r="AN51" s="220"/>
      <c r="AO51" s="215"/>
      <c r="AP51" s="136"/>
      <c r="AQ51" s="503" t="n">
        <f aca="false">AQ12+AQ48</f>
        <v>2285.09731568473</v>
      </c>
      <c r="AR51" s="136" t="n">
        <f aca="false">AR50*$D$2</f>
        <v>1206</v>
      </c>
      <c r="AS51" s="136" t="n">
        <f aca="false">AS50*$D$2</f>
        <v>987.100676</v>
      </c>
      <c r="AT51" s="136" t="n">
        <f aca="false">AT50*$D$2</f>
        <v>0</v>
      </c>
      <c r="AU51" s="136" t="n">
        <f aca="false">AU50*$D$2</f>
        <v>819.189467</v>
      </c>
      <c r="AV51" s="322" t="n">
        <f aca="false">JUN!AV50+AV47</f>
        <v>1.861</v>
      </c>
      <c r="AW51" s="215"/>
      <c r="AX51" s="215"/>
      <c r="AY51" s="299"/>
      <c r="AZ51" s="340" t="n">
        <f aca="false">AZ50*$D$2</f>
        <v>626.326192467871</v>
      </c>
      <c r="BA51" s="136" t="n">
        <f aca="false">BA50*$D$2</f>
        <v>2602.9014295</v>
      </c>
      <c r="BB51" s="274"/>
    </row>
    <row r="52" customFormat="false" ht="3" hidden="false" customHeight="true" outlineLevel="0" collapsed="false">
      <c r="A52" s="231"/>
      <c r="B52" s="252"/>
      <c r="C52" s="233"/>
      <c r="D52" s="233"/>
      <c r="E52" s="233"/>
      <c r="F52" s="257"/>
      <c r="G52" s="233"/>
      <c r="H52" s="243"/>
      <c r="I52" s="233"/>
      <c r="J52" s="233"/>
      <c r="K52" s="233"/>
      <c r="L52" s="233"/>
      <c r="M52" s="258"/>
      <c r="N52" s="233"/>
      <c r="O52" s="233"/>
      <c r="P52" s="238"/>
      <c r="Q52" s="233"/>
      <c r="R52" s="233"/>
      <c r="S52" s="233"/>
      <c r="T52" s="233"/>
      <c r="U52" s="239"/>
      <c r="V52" s="233"/>
      <c r="W52" s="233"/>
      <c r="X52" s="233"/>
      <c r="Y52" s="233"/>
      <c r="Z52" s="233"/>
      <c r="AA52" s="233"/>
      <c r="AB52" s="233"/>
      <c r="AC52" s="233"/>
      <c r="AD52" s="243"/>
      <c r="AE52" s="233"/>
      <c r="AF52" s="258"/>
      <c r="AG52" s="259"/>
      <c r="AH52" s="233"/>
      <c r="AI52" s="233"/>
      <c r="AJ52" s="233"/>
      <c r="AK52" s="233"/>
      <c r="AL52" s="233"/>
      <c r="AM52" s="233"/>
      <c r="AN52" s="261"/>
      <c r="AO52" s="233"/>
      <c r="AP52" s="240"/>
      <c r="AQ52" s="238"/>
      <c r="AR52" s="238"/>
      <c r="AS52" s="238"/>
      <c r="AT52" s="238"/>
      <c r="AU52" s="240"/>
      <c r="AV52" s="500"/>
      <c r="AW52" s="233"/>
      <c r="AX52" s="233"/>
      <c r="AY52" s="233"/>
      <c r="AZ52" s="233"/>
      <c r="BA52" s="233"/>
      <c r="BB52" s="233"/>
    </row>
    <row r="53" customFormat="false" ht="12.95" hidden="false" customHeight="true" outlineLevel="0" collapsed="false">
      <c r="A53" s="185" t="s">
        <v>108</v>
      </c>
      <c r="B53" s="213"/>
      <c r="C53" s="107"/>
      <c r="D53" s="107"/>
      <c r="E53" s="107"/>
      <c r="F53" s="214" t="n">
        <f aca="false">F13+F47</f>
        <v>-11003.7811948576</v>
      </c>
      <c r="G53" s="107" t="n">
        <f aca="false">G13+G47</f>
        <v>48051</v>
      </c>
      <c r="H53" s="215" t="n">
        <f aca="false">H13+H47</f>
        <v>146.15</v>
      </c>
      <c r="I53" s="107" t="n">
        <f aca="false">I13+I47</f>
        <v>48196.53</v>
      </c>
      <c r="J53" s="107" t="n">
        <f aca="false">J13+J47</f>
        <v>3046.21607351465</v>
      </c>
      <c r="K53" s="107" t="n">
        <f aca="false">K13+K47</f>
        <v>51242.7360735146</v>
      </c>
      <c r="L53" s="107" t="n">
        <f aca="false">L13+L47</f>
        <v>-1071.56192035366</v>
      </c>
      <c r="M53" s="216" t="n">
        <f aca="false">M13+M47</f>
        <v>21894.53</v>
      </c>
      <c r="N53" s="107" t="n">
        <f aca="false">N13+N47</f>
        <v>73.4102935</v>
      </c>
      <c r="O53" s="107" t="n">
        <f aca="false">O13+O47</f>
        <v>3034.39791875</v>
      </c>
      <c r="P53" s="158"/>
      <c r="Q53" s="107" t="n">
        <f aca="false">Q13+Q47</f>
        <v>537.108107741357</v>
      </c>
      <c r="R53" s="107" t="n">
        <f aca="false">R13+R47</f>
        <v>697.45005712</v>
      </c>
      <c r="S53" s="107" t="n">
        <f aca="false">S13+S47</f>
        <v>92.66053168</v>
      </c>
      <c r="T53" s="107" t="n">
        <f aca="false">T13+T47</f>
        <v>217.5454112</v>
      </c>
      <c r="U53" s="318" t="n">
        <f aca="false">U13+U47</f>
        <v>77.8630613803556</v>
      </c>
      <c r="V53" s="107" t="n">
        <f aca="false">V13+V47</f>
        <v>15334.72</v>
      </c>
      <c r="W53" s="107" t="n">
        <f aca="false">W13+W47</f>
        <v>6544.05</v>
      </c>
      <c r="X53" s="107" t="n">
        <f aca="false">X13+X47</f>
        <v>39636.5019517263</v>
      </c>
      <c r="Y53" s="107" t="n">
        <f aca="false">Y13+Y47</f>
        <v>39312.5395112977</v>
      </c>
      <c r="Z53" s="107"/>
      <c r="AA53" s="107"/>
      <c r="AB53" s="107"/>
      <c r="AC53" s="107"/>
      <c r="AD53" s="215"/>
      <c r="AE53" s="107"/>
      <c r="AF53" s="216" t="n">
        <f aca="false">AF13+AF47</f>
        <v>207.4</v>
      </c>
      <c r="AG53" s="218" t="n">
        <f aca="false">AG13+AG47</f>
        <v>158.6</v>
      </c>
      <c r="AH53" s="107" t="n">
        <f aca="false">AH13+AH47</f>
        <v>6328.9</v>
      </c>
      <c r="AI53" s="107" t="n">
        <f aca="false">AI45</f>
        <v>4294.43684762418</v>
      </c>
      <c r="AJ53" s="107" t="n">
        <f aca="false">AJ13+AJ47</f>
        <v>0</v>
      </c>
      <c r="AK53" s="107" t="n">
        <f aca="false">AK13+AK47</f>
        <v>58128.7392745039</v>
      </c>
      <c r="AL53" s="107" t="n">
        <f aca="false">AL13+AL47</f>
        <v>4117.77799386831</v>
      </c>
      <c r="AM53" s="504" t="n">
        <f aca="false">AM13+AM47</f>
        <v>62246.5172683722</v>
      </c>
      <c r="AN53" s="107" t="n">
        <f aca="false">AN13+AN47</f>
        <v>8903.4116944076</v>
      </c>
      <c r="AO53" s="107" t="n">
        <f aca="false">AO13+AO47</f>
        <v>323.962440428619</v>
      </c>
      <c r="AP53" s="136"/>
      <c r="AQ53" s="503"/>
      <c r="AR53" s="503"/>
      <c r="AS53" s="135" t="n">
        <f aca="false">AS13+AS47</f>
        <v>497.656</v>
      </c>
      <c r="AT53" s="503"/>
      <c r="AU53" s="504" t="n">
        <f aca="false">AU13+AU47</f>
        <v>413.002</v>
      </c>
      <c r="AV53" s="322" t="n">
        <f aca="false">AV13+AV47</f>
        <v>6.634</v>
      </c>
      <c r="AW53" s="215"/>
      <c r="AX53" s="215"/>
      <c r="AY53" s="299"/>
      <c r="AZ53" s="340" t="n">
        <f aca="false">AZ13+AZ47</f>
        <v>1710.41626262171</v>
      </c>
      <c r="BA53" s="135" t="n">
        <f aca="false">BA13+BA47</f>
        <v>1312.277</v>
      </c>
      <c r="BB53" s="274"/>
    </row>
    <row r="54" customFormat="false" ht="12.95" hidden="false" customHeight="true" outlineLevel="0" collapsed="false">
      <c r="A54" s="185" t="s">
        <v>109</v>
      </c>
      <c r="B54" s="213"/>
      <c r="C54" s="107"/>
      <c r="D54" s="107" t="n">
        <f aca="false">D13+D48</f>
        <v>-21826</v>
      </c>
      <c r="E54" s="107" t="n">
        <f aca="false">E45</f>
        <v>21329</v>
      </c>
      <c r="F54" s="214" t="n">
        <f aca="false">F53*$D$2</f>
        <v>-21826</v>
      </c>
      <c r="G54" s="107" t="n">
        <f aca="false">G53*$D$2</f>
        <v>95309.1585</v>
      </c>
      <c r="H54" s="215" t="n">
        <f aca="false">H53*$D$2</f>
        <v>289.888525</v>
      </c>
      <c r="I54" s="107" t="n">
        <f aca="false">I53*$D$2</f>
        <v>95597.817255</v>
      </c>
      <c r="J54" s="107" t="n">
        <f aca="false">J53*$D$2</f>
        <v>6042.16958181631</v>
      </c>
      <c r="K54" s="107" t="n">
        <f aca="false">K53*$D$2</f>
        <v>101639.967001816</v>
      </c>
      <c r="L54" s="107" t="n">
        <f aca="false">L53*$D$2</f>
        <v>-2125.44306902148</v>
      </c>
      <c r="M54" s="216" t="n">
        <f aca="false">M53*$D$2</f>
        <v>43427.800255</v>
      </c>
      <c r="N54" s="107" t="n">
        <f aca="false">N53*$D$2</f>
        <v>145.60931715725</v>
      </c>
      <c r="O54" s="107" t="n">
        <f aca="false">O53*$D$2</f>
        <v>6018.72827184063</v>
      </c>
      <c r="P54" s="158"/>
      <c r="Q54" s="215" t="n">
        <f aca="false">Q53*$D$2</f>
        <v>1065.35393170498</v>
      </c>
      <c r="R54" s="215" t="n">
        <f aca="false">R53*$D$2</f>
        <v>1383.39218829752</v>
      </c>
      <c r="S54" s="226" t="n">
        <f aca="false">S53*$D$2</f>
        <v>183.79216458728</v>
      </c>
      <c r="T54" s="226" t="n">
        <f aca="false">T53*$D$2</f>
        <v>431.5013231152</v>
      </c>
      <c r="U54" s="427" t="n">
        <f aca="false">U53*$D$2</f>
        <v>154.441382247935</v>
      </c>
      <c r="V54" s="107" t="n">
        <f aca="false">V53*$D$2</f>
        <v>30416.41712</v>
      </c>
      <c r="W54" s="107" t="n">
        <f aca="false">W53*$D$2</f>
        <v>12980.123175</v>
      </c>
      <c r="X54" s="107" t="n">
        <f aca="false">X53*$D$2</f>
        <v>78619.0016212492</v>
      </c>
      <c r="Y54" s="107" t="n">
        <f aca="false">Y53*$D$2</f>
        <v>77976.422120659</v>
      </c>
      <c r="Z54" s="107"/>
      <c r="AA54" s="107"/>
      <c r="AB54" s="107"/>
      <c r="AC54" s="107"/>
      <c r="AD54" s="215"/>
      <c r="AE54" s="107"/>
      <c r="AF54" s="266" t="n">
        <f aca="false">AF53*$D$2</f>
        <v>411.3779</v>
      </c>
      <c r="AG54" s="267" t="n">
        <f aca="false">AG53*$D$2</f>
        <v>314.5831</v>
      </c>
      <c r="AH54" s="107" t="n">
        <f aca="false">AH53*$D$2</f>
        <v>12553.37315</v>
      </c>
      <c r="AI54" s="107" t="n">
        <f aca="false">AI53*$D$2</f>
        <v>8518.01548726256</v>
      </c>
      <c r="AJ54" s="107" t="n">
        <f aca="false">AJ53*$D$2</f>
        <v>0</v>
      </c>
      <c r="AK54" s="107" t="n">
        <f aca="false">AK53*$D$2</f>
        <v>115298.354350979</v>
      </c>
      <c r="AL54" s="107" t="n">
        <f aca="false">AL53*$D$2</f>
        <v>8167.61265083779</v>
      </c>
      <c r="AM54" s="268" t="n">
        <f aca="false">AM53*$D$2</f>
        <v>123465.967001816</v>
      </c>
      <c r="AN54" s="107" t="n">
        <f aca="false">AN53*$D$2</f>
        <v>17659.9170958575</v>
      </c>
      <c r="AO54" s="107" t="n">
        <f aca="false">AO53*$D$2</f>
        <v>642.579500590166</v>
      </c>
      <c r="AP54" s="136"/>
      <c r="AQ54" s="503" t="n">
        <f aca="false">AQ13+AQ48</f>
        <v>2285.09731568473</v>
      </c>
      <c r="AR54" s="158"/>
      <c r="AS54" s="135" t="n">
        <f aca="false">AS53*$D$2</f>
        <v>987.100676</v>
      </c>
      <c r="AT54" s="158"/>
      <c r="AU54" s="268" t="n">
        <f aca="false">AU53*$D$2</f>
        <v>819.189467</v>
      </c>
      <c r="AV54" s="322"/>
      <c r="AW54" s="215"/>
      <c r="AX54" s="215"/>
      <c r="AY54" s="299"/>
      <c r="AZ54" s="340" t="n">
        <f aca="false">AZ53*$D$2</f>
        <v>3392.61065691017</v>
      </c>
      <c r="BA54" s="135" t="n">
        <f aca="false">BA53*$D$2</f>
        <v>2602.9014295</v>
      </c>
      <c r="BB54" s="274"/>
    </row>
    <row r="55" customFormat="false" ht="3" hidden="false" customHeight="true" outlineLevel="0" collapsed="false">
      <c r="A55" s="231"/>
      <c r="B55" s="505"/>
      <c r="C55" s="506"/>
      <c r="D55" s="231"/>
      <c r="E55" s="506"/>
      <c r="F55" s="507"/>
      <c r="G55" s="231"/>
      <c r="H55" s="508"/>
      <c r="I55" s="231"/>
      <c r="J55" s="231"/>
      <c r="K55" s="231"/>
      <c r="L55" s="231"/>
      <c r="M55" s="509"/>
      <c r="N55" s="231"/>
      <c r="O55" s="231"/>
      <c r="P55" s="510"/>
      <c r="Q55" s="231"/>
      <c r="R55" s="231"/>
      <c r="S55" s="231"/>
      <c r="T55" s="231"/>
      <c r="U55" s="511"/>
      <c r="V55" s="231"/>
      <c r="W55" s="231"/>
      <c r="X55" s="231"/>
      <c r="Y55" s="231"/>
      <c r="Z55" s="506"/>
      <c r="AA55" s="231"/>
      <c r="AB55" s="506"/>
      <c r="AC55" s="506"/>
      <c r="AD55" s="512"/>
      <c r="AE55" s="231"/>
      <c r="AF55" s="237"/>
      <c r="AG55" s="241"/>
      <c r="AH55" s="231"/>
      <c r="AI55" s="506"/>
      <c r="AJ55" s="506"/>
      <c r="AK55" s="231"/>
      <c r="AL55" s="231"/>
      <c r="AM55" s="231"/>
      <c r="AN55" s="252"/>
      <c r="AO55" s="234"/>
      <c r="AP55" s="240"/>
      <c r="AQ55" s="240"/>
      <c r="AR55" s="240"/>
      <c r="AS55" s="238"/>
      <c r="AT55" s="238"/>
      <c r="AU55" s="240"/>
      <c r="AV55" s="505"/>
      <c r="AW55" s="231"/>
      <c r="AX55" s="231"/>
      <c r="AY55" s="231"/>
      <c r="AZ55" s="231"/>
      <c r="BA55" s="231"/>
      <c r="BB55" s="231"/>
    </row>
    <row r="56" customFormat="false" ht="11.1" hidden="false" customHeight="true" outlineLevel="0" collapsed="false">
      <c r="A56" s="185"/>
      <c r="B56" s="173"/>
      <c r="C56" s="2"/>
      <c r="D56" s="11"/>
      <c r="E56" s="479"/>
      <c r="F56" s="1"/>
      <c r="G56" s="1"/>
      <c r="H56" s="4"/>
      <c r="I56" s="11"/>
      <c r="J56" s="11"/>
      <c r="K56" s="480"/>
      <c r="L56" s="177"/>
      <c r="M56" s="11"/>
      <c r="N56" s="11"/>
      <c r="O56" s="11"/>
      <c r="P56" s="5"/>
      <c r="Q56" s="11"/>
      <c r="R56" s="11"/>
      <c r="S56" s="11"/>
      <c r="T56" s="11"/>
      <c r="U56" s="5"/>
      <c r="V56" s="11"/>
      <c r="W56" s="11"/>
      <c r="X56" s="11"/>
      <c r="Y56" s="11"/>
      <c r="Z56" s="1"/>
      <c r="AA56" s="11"/>
      <c r="AB56" s="1"/>
      <c r="AC56" s="1"/>
      <c r="AD56" s="9"/>
      <c r="AE56" s="11"/>
      <c r="AF56" s="11"/>
      <c r="AG56" s="11"/>
      <c r="AH56" s="11"/>
      <c r="AI56" s="479"/>
      <c r="AJ56" s="482"/>
      <c r="AK56" s="479"/>
      <c r="AL56" s="185"/>
      <c r="AM56" s="185"/>
      <c r="AN56" s="183"/>
      <c r="AO56" s="183"/>
      <c r="AP56" s="327"/>
      <c r="AV56" s="8"/>
      <c r="AX56" s="182"/>
    </row>
    <row r="57" customFormat="false" ht="11.1" hidden="false" customHeight="true" outlineLevel="0" collapsed="false">
      <c r="A57" s="185"/>
      <c r="B57" s="173"/>
      <c r="C57" s="2"/>
      <c r="D57" s="1"/>
      <c r="E57" s="383"/>
      <c r="F57" s="188"/>
      <c r="G57" s="1"/>
      <c r="H57" s="4"/>
      <c r="I57" s="12"/>
      <c r="J57" s="11"/>
      <c r="K57" s="174"/>
      <c r="L57" s="179"/>
      <c r="M57" s="11"/>
      <c r="N57" s="11"/>
      <c r="O57" s="11"/>
      <c r="P57" s="5"/>
      <c r="Q57" s="11"/>
      <c r="R57" s="11"/>
      <c r="S57" s="130"/>
      <c r="T57" s="130"/>
      <c r="U57" s="93"/>
      <c r="V57" s="26"/>
      <c r="W57" s="130"/>
      <c r="X57" s="483"/>
      <c r="Y57" s="483"/>
      <c r="Z57" s="177"/>
      <c r="AA57" s="483"/>
      <c r="AB57" s="177"/>
      <c r="AC57" s="177"/>
      <c r="AE57" s="26"/>
      <c r="AF57" s="26"/>
      <c r="AG57" s="26"/>
      <c r="AH57" s="130"/>
      <c r="AI57" s="90"/>
      <c r="AJ57" s="384"/>
      <c r="AK57" s="2"/>
      <c r="AL57" s="185"/>
      <c r="AN57" s="188"/>
      <c r="AO57" s="188"/>
      <c r="AP57" s="327"/>
    </row>
    <row r="58" customFormat="false" ht="11.1" hidden="false" customHeight="true" outlineLevel="0" collapsed="false">
      <c r="B58" s="177"/>
      <c r="E58" s="383"/>
      <c r="F58" s="225"/>
      <c r="G58" s="1"/>
      <c r="H58" s="4"/>
      <c r="I58" s="1"/>
      <c r="J58" s="1"/>
      <c r="K58" s="384"/>
      <c r="L58" s="443"/>
      <c r="M58" s="484"/>
      <c r="N58" s="484"/>
      <c r="O58" s="383"/>
      <c r="P58" s="486"/>
      <c r="Q58" s="383"/>
      <c r="R58" s="383"/>
      <c r="S58" s="26"/>
      <c r="T58" s="26"/>
      <c r="U58" s="93"/>
      <c r="V58" s="26"/>
      <c r="W58" s="130"/>
      <c r="X58" s="90"/>
      <c r="Y58" s="90"/>
      <c r="Z58" s="177"/>
      <c r="AA58" s="90"/>
      <c r="AB58" s="177"/>
      <c r="AC58" s="177"/>
      <c r="AE58" s="177"/>
      <c r="AF58" s="177"/>
      <c r="AG58" s="177"/>
      <c r="AH58" s="90"/>
      <c r="AI58" s="26"/>
      <c r="AJ58" s="487"/>
      <c r="AK58" s="26"/>
      <c r="AN58" s="180"/>
      <c r="AO58" s="180"/>
      <c r="AP58" s="327"/>
    </row>
    <row r="59" customFormat="false" ht="11.1" hidden="false" customHeight="true" outlineLevel="0" collapsed="false">
      <c r="G59" s="273"/>
      <c r="AN59" s="180"/>
      <c r="AO59" s="180"/>
      <c r="AP59" s="327"/>
    </row>
  </sheetData>
  <mergeCells count="7">
    <mergeCell ref="K2:T2"/>
    <mergeCell ref="B4:F4"/>
    <mergeCell ref="G4:L4"/>
    <mergeCell ref="M4:AM4"/>
    <mergeCell ref="AN4:AU4"/>
    <mergeCell ref="AV4:AY4"/>
    <mergeCell ref="M5:U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90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X15" activeCellId="0" sqref="X15"/>
    </sheetView>
  </sheetViews>
  <sheetFormatPr defaultColWidth="9.328125" defaultRowHeight="11.1" zeroHeight="false" outlineLevelRow="0" outlineLevelCol="0"/>
  <cols>
    <col collapsed="false" customWidth="true" hidden="false" outlineLevel="0" max="1" min="1" style="176" width="4.66"/>
    <col collapsed="false" customWidth="true" hidden="false" outlineLevel="0" max="2" min="2" style="176" width="6.99"/>
    <col collapsed="false" customWidth="true" hidden="false" outlineLevel="0" max="3" min="3" style="177" width="6.32"/>
    <col collapsed="false" customWidth="true" hidden="false" outlineLevel="0" max="4" min="4" style="176" width="6.99"/>
    <col collapsed="false" customWidth="true" hidden="false" outlineLevel="0" max="5" min="5" style="177" width="6.99"/>
    <col collapsed="false" customWidth="true" hidden="false" outlineLevel="0" max="6" min="6" style="176" width="7.32"/>
    <col collapsed="false" customWidth="true" hidden="false" outlineLevel="0" max="7" min="7" style="176" width="6.82"/>
    <col collapsed="false" customWidth="true" hidden="false" outlineLevel="0" max="8" min="8" style="186" width="5.66"/>
    <col collapsed="false" customWidth="true" hidden="false" outlineLevel="0" max="11" min="9" style="176" width="6.32"/>
    <col collapsed="false" customWidth="true" hidden="false" outlineLevel="0" max="12" min="12" style="176" width="6.82"/>
    <col collapsed="false" customWidth="true" hidden="false" outlineLevel="0" max="13" min="13" style="179" width="5.49"/>
    <col collapsed="false" customWidth="true" hidden="false" outlineLevel="0" max="14" min="14" style="179" width="4.49"/>
    <col collapsed="false" customWidth="true" hidden="false" outlineLevel="0" max="15" min="15" style="179" width="5.49"/>
    <col collapsed="false" customWidth="true" hidden="false" outlineLevel="0" max="16" min="16" style="8" width="4.82"/>
    <col collapsed="false" customWidth="true" hidden="false" outlineLevel="0" max="20" min="17" style="176" width="4.32"/>
    <col collapsed="false" customWidth="true" hidden="false" outlineLevel="0" max="21" min="21" style="8" width="5.16"/>
    <col collapsed="false" customWidth="true" hidden="false" outlineLevel="0" max="22" min="22" style="176" width="5.49"/>
    <col collapsed="false" customWidth="true" hidden="false" outlineLevel="0" max="23" min="23" style="177" width="5.49"/>
    <col collapsed="false" customWidth="true" hidden="false" outlineLevel="0" max="25" min="24" style="176" width="6.32"/>
    <col collapsed="false" customWidth="true" hidden="false" outlineLevel="0" max="26" min="26" style="176" width="5.49"/>
    <col collapsed="false" customWidth="true" hidden="false" outlineLevel="0" max="27" min="27" style="176" width="6.32"/>
    <col collapsed="false" customWidth="true" hidden="false" outlineLevel="0" max="28" min="28" style="176" width="5.49"/>
    <col collapsed="false" customWidth="true" hidden="false" outlineLevel="0" max="29" min="29" style="177" width="5.82"/>
    <col collapsed="false" customWidth="true" hidden="false" outlineLevel="0" max="30" min="30" style="177" width="5.49"/>
    <col collapsed="false" customWidth="true" hidden="false" outlineLevel="0" max="33" min="31" style="176" width="5.49"/>
    <col collapsed="false" customWidth="true" hidden="false" outlineLevel="0" max="34" min="34" style="176" width="6.32"/>
    <col collapsed="false" customWidth="true" hidden="false" outlineLevel="0" max="35" min="35" style="176" width="5.49"/>
    <col collapsed="false" customWidth="true" hidden="false" outlineLevel="0" max="36" min="36" style="180" width="6.32"/>
    <col collapsed="false" customWidth="true" hidden="false" outlineLevel="0" max="37" min="37" style="8" width="6.32"/>
    <col collapsed="false" customWidth="true" hidden="false" outlineLevel="0" max="38" min="38" style="178" width="6.82"/>
    <col collapsed="false" customWidth="true" hidden="false" outlineLevel="0" max="39" min="39" style="182" width="6.82"/>
    <col collapsed="false" customWidth="true" hidden="false" outlineLevel="0" max="41" min="40" style="385" width="5.49"/>
    <col collapsed="false" customWidth="true" hidden="false" outlineLevel="0" max="42" min="42" style="412" width="6.32"/>
    <col collapsed="false" customWidth="true" hidden="false" outlineLevel="0" max="43" min="43" style="180" width="6.32"/>
    <col collapsed="false" customWidth="true" hidden="false" outlineLevel="0" max="44" min="44" style="180" width="5.49"/>
    <col collapsed="false" customWidth="true" hidden="false" outlineLevel="0" max="45" min="45" style="180" width="5.32"/>
    <col collapsed="false" customWidth="true" hidden="false" outlineLevel="0" max="46" min="46" style="327" width="5.82"/>
    <col collapsed="false" customWidth="true" hidden="false" outlineLevel="0" max="47" min="47" style="327" width="4.99"/>
    <col collapsed="false" customWidth="true" hidden="false" outlineLevel="0" max="48" min="48" style="183" width="5.32"/>
    <col collapsed="false" customWidth="true" hidden="false" outlineLevel="0" max="50" min="49" style="176" width="3.82"/>
    <col collapsed="false" customWidth="true" hidden="false" outlineLevel="0" max="51" min="51" style="184" width="3.82"/>
    <col collapsed="false" customWidth="true" hidden="false" outlineLevel="0" max="52" min="52" style="184" width="5.49"/>
    <col collapsed="false" customWidth="false" hidden="false" outlineLevel="0" max="54" min="53" style="176" width="9.32"/>
    <col collapsed="false" customWidth="false" hidden="false" outlineLevel="0" max="257" min="55" style="184" width="9.32"/>
  </cols>
  <sheetData>
    <row r="1" customFormat="false" ht="14.1" hidden="false" customHeight="true" outlineLevel="0" collapsed="false">
      <c r="A1" s="185"/>
      <c r="B1" s="185"/>
      <c r="D1" s="185"/>
      <c r="F1" s="185"/>
      <c r="G1" s="185"/>
      <c r="I1" s="185"/>
      <c r="J1" s="185"/>
      <c r="K1" s="191" t="s">
        <v>0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77"/>
      <c r="Y1" s="177"/>
      <c r="Z1" s="185"/>
      <c r="AA1" s="177"/>
      <c r="AB1" s="185"/>
      <c r="AC1" s="185"/>
      <c r="AE1" s="185"/>
      <c r="AF1" s="185"/>
      <c r="AG1" s="185"/>
      <c r="AH1" s="177"/>
      <c r="AI1" s="185"/>
      <c r="AJ1" s="188"/>
      <c r="AK1" s="185"/>
      <c r="AL1" s="185"/>
      <c r="AM1" s="8"/>
      <c r="AN1" s="188"/>
      <c r="AO1" s="188"/>
      <c r="AQ1" s="385"/>
      <c r="AR1" s="385"/>
      <c r="AS1" s="408"/>
      <c r="AV1" s="178"/>
      <c r="AW1" s="182"/>
      <c r="AX1" s="183"/>
    </row>
    <row r="2" customFormat="false" ht="14.1" hidden="false" customHeight="true" outlineLevel="0" collapsed="false">
      <c r="A2" s="188" t="s">
        <v>1</v>
      </c>
      <c r="B2" s="185"/>
      <c r="D2" s="189" t="n">
        <v>1.9835</v>
      </c>
      <c r="F2" s="185"/>
      <c r="G2" s="185"/>
      <c r="I2" s="185"/>
      <c r="J2" s="185"/>
      <c r="K2" s="191" t="s">
        <v>142</v>
      </c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84"/>
      <c r="Y2" s="84"/>
      <c r="Z2" s="192" t="s">
        <v>114</v>
      </c>
      <c r="AA2" s="192"/>
      <c r="AB2" s="192"/>
      <c r="AC2" s="192"/>
      <c r="AD2" s="192"/>
      <c r="AE2" s="185"/>
      <c r="AF2" s="185"/>
      <c r="AG2" s="185"/>
      <c r="AH2" s="177"/>
      <c r="AI2" s="185"/>
      <c r="AJ2" s="188"/>
      <c r="AK2" s="185"/>
      <c r="AL2" s="185"/>
      <c r="AM2" s="8"/>
      <c r="AN2" s="188"/>
      <c r="AO2" s="188"/>
      <c r="AQ2" s="385"/>
      <c r="AR2" s="385"/>
      <c r="AS2" s="408"/>
      <c r="AV2" s="178"/>
      <c r="AW2" s="182"/>
      <c r="AX2" s="183"/>
    </row>
    <row r="3" customFormat="false" ht="14.1" hidden="false" customHeight="true" outlineLevel="0" collapsed="false">
      <c r="A3" s="195"/>
      <c r="B3" s="195"/>
      <c r="C3" s="196"/>
      <c r="D3" s="197"/>
      <c r="E3" s="196"/>
      <c r="F3" s="195"/>
      <c r="G3" s="195"/>
      <c r="H3" s="198"/>
      <c r="I3" s="195"/>
      <c r="J3" s="195"/>
      <c r="K3" s="195"/>
      <c r="L3" s="195"/>
      <c r="M3" s="195"/>
      <c r="N3" s="195"/>
      <c r="O3" s="196"/>
      <c r="P3" s="199"/>
      <c r="Q3" s="199"/>
      <c r="R3" s="199"/>
      <c r="S3" s="199"/>
      <c r="T3" s="199"/>
      <c r="U3" s="199"/>
      <c r="V3" s="195"/>
      <c r="W3" s="195"/>
      <c r="X3" s="196"/>
      <c r="Y3" s="196"/>
      <c r="Z3" s="195"/>
      <c r="AA3" s="196"/>
      <c r="AB3" s="195"/>
      <c r="AC3" s="195"/>
      <c r="AD3" s="196"/>
      <c r="AE3" s="195"/>
      <c r="AF3" s="195"/>
      <c r="AG3" s="195"/>
      <c r="AH3" s="196"/>
      <c r="AI3" s="195"/>
      <c r="AJ3" s="201"/>
      <c r="AK3" s="195"/>
      <c r="AL3" s="195"/>
      <c r="AM3" s="199"/>
      <c r="AN3" s="201"/>
      <c r="AO3" s="201"/>
      <c r="AP3" s="513"/>
      <c r="AQ3" s="514"/>
      <c r="AR3" s="385"/>
      <c r="AS3" s="408"/>
      <c r="AV3" s="204"/>
      <c r="AW3" s="205"/>
      <c r="AX3" s="206"/>
      <c r="BA3" s="202"/>
      <c r="BB3" s="202"/>
    </row>
    <row r="4" s="176" customFormat="true" ht="14.1" hidden="false" customHeight="true" outlineLevel="0" collapsed="false">
      <c r="A4" s="185"/>
      <c r="B4" s="515" t="s">
        <v>3</v>
      </c>
      <c r="C4" s="515"/>
      <c r="D4" s="515"/>
      <c r="E4" s="515"/>
      <c r="F4" s="515"/>
      <c r="G4" s="516" t="s">
        <v>111</v>
      </c>
      <c r="H4" s="516"/>
      <c r="I4" s="516"/>
      <c r="J4" s="516"/>
      <c r="K4" s="516"/>
      <c r="L4" s="516"/>
      <c r="M4" s="517" t="s">
        <v>5</v>
      </c>
      <c r="N4" s="517"/>
      <c r="O4" s="517"/>
      <c r="P4" s="517"/>
      <c r="Q4" s="517"/>
      <c r="R4" s="517"/>
      <c r="S4" s="517"/>
      <c r="T4" s="517"/>
      <c r="U4" s="517"/>
      <c r="V4" s="517"/>
      <c r="W4" s="517"/>
      <c r="X4" s="517"/>
      <c r="Y4" s="517"/>
      <c r="Z4" s="517"/>
      <c r="AA4" s="517"/>
      <c r="AB4" s="517"/>
      <c r="AC4" s="517"/>
      <c r="AD4" s="517"/>
      <c r="AE4" s="517"/>
      <c r="AF4" s="517"/>
      <c r="AG4" s="517"/>
      <c r="AH4" s="517"/>
      <c r="AI4" s="517"/>
      <c r="AJ4" s="517"/>
      <c r="AK4" s="517"/>
      <c r="AL4" s="517"/>
      <c r="AM4" s="517"/>
      <c r="AN4" s="518" t="s">
        <v>6</v>
      </c>
      <c r="AO4" s="518"/>
      <c r="AP4" s="518"/>
      <c r="AQ4" s="518"/>
      <c r="AR4" s="518"/>
      <c r="AS4" s="518"/>
      <c r="AT4" s="518"/>
      <c r="AU4" s="518"/>
      <c r="AV4" s="518" t="s">
        <v>7</v>
      </c>
      <c r="AW4" s="518"/>
      <c r="AX4" s="518"/>
      <c r="AY4" s="518"/>
      <c r="AZ4" s="405"/>
      <c r="BB4" s="404"/>
    </row>
    <row r="5" customFormat="false" ht="12.95" hidden="false" customHeight="true" outlineLevel="0" collapsed="false">
      <c r="A5" s="325" t="s">
        <v>8</v>
      </c>
      <c r="B5" s="406" t="s">
        <v>9</v>
      </c>
      <c r="C5" s="407" t="s">
        <v>9</v>
      </c>
      <c r="D5" s="325" t="s">
        <v>10</v>
      </c>
      <c r="E5" s="407" t="s">
        <v>11</v>
      </c>
      <c r="F5" s="325" t="s">
        <v>12</v>
      </c>
      <c r="G5" s="406" t="s">
        <v>13</v>
      </c>
      <c r="H5" s="408" t="s">
        <v>14</v>
      </c>
      <c r="I5" s="325" t="s">
        <v>15</v>
      </c>
      <c r="J5" s="325" t="s">
        <v>16</v>
      </c>
      <c r="K5" s="325" t="s">
        <v>17</v>
      </c>
      <c r="L5" s="418" t="s">
        <v>16</v>
      </c>
      <c r="M5" s="455" t="s">
        <v>18</v>
      </c>
      <c r="N5" s="455"/>
      <c r="O5" s="455"/>
      <c r="P5" s="455"/>
      <c r="Q5" s="455"/>
      <c r="R5" s="455"/>
      <c r="S5" s="455"/>
      <c r="T5" s="455"/>
      <c r="U5" s="455"/>
      <c r="V5" s="325" t="s">
        <v>19</v>
      </c>
      <c r="W5" s="32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407" t="s">
        <v>22</v>
      </c>
      <c r="AD5" s="407" t="s">
        <v>21</v>
      </c>
      <c r="AE5" s="325" t="s">
        <v>23</v>
      </c>
      <c r="AF5" s="410" t="s">
        <v>128</v>
      </c>
      <c r="AG5" s="411"/>
      <c r="AH5" s="412" t="s">
        <v>25</v>
      </c>
      <c r="AI5" s="407" t="s">
        <v>129</v>
      </c>
      <c r="AJ5" s="407" t="s">
        <v>27</v>
      </c>
      <c r="AK5" s="325" t="s">
        <v>15</v>
      </c>
      <c r="AL5" s="325" t="s">
        <v>16</v>
      </c>
      <c r="AM5" s="325" t="s">
        <v>17</v>
      </c>
      <c r="AN5" s="456" t="s">
        <v>28</v>
      </c>
      <c r="AO5" s="61" t="s">
        <v>21</v>
      </c>
      <c r="AP5" s="67" t="s">
        <v>29</v>
      </c>
      <c r="AQ5" s="67" t="s">
        <v>29</v>
      </c>
      <c r="AR5" s="62" t="s">
        <v>30</v>
      </c>
      <c r="AS5" s="68" t="s">
        <v>31</v>
      </c>
      <c r="AT5" s="408" t="s">
        <v>32</v>
      </c>
      <c r="AU5" s="210" t="s">
        <v>33</v>
      </c>
      <c r="AV5" s="413" t="s">
        <v>34</v>
      </c>
      <c r="AW5" s="412" t="s">
        <v>35</v>
      </c>
      <c r="AX5" s="412" t="s">
        <v>36</v>
      </c>
      <c r="AY5" s="299"/>
      <c r="AZ5" s="295" t="s">
        <v>17</v>
      </c>
      <c r="BA5" s="69" t="s">
        <v>133</v>
      </c>
      <c r="BB5" s="458" t="s">
        <v>133</v>
      </c>
    </row>
    <row r="6" customFormat="false" ht="12.95" hidden="false" customHeight="true" outlineLevel="0" collapsed="false">
      <c r="A6" s="414" t="s">
        <v>143</v>
      </c>
      <c r="B6" s="406" t="s">
        <v>38</v>
      </c>
      <c r="C6" s="407"/>
      <c r="D6" s="325" t="s">
        <v>39</v>
      </c>
      <c r="E6" s="407" t="s">
        <v>40</v>
      </c>
      <c r="F6" s="325" t="s">
        <v>41</v>
      </c>
      <c r="G6" s="406" t="s">
        <v>42</v>
      </c>
      <c r="H6" s="408" t="s">
        <v>43</v>
      </c>
      <c r="I6" s="325" t="s">
        <v>44</v>
      </c>
      <c r="J6" s="325" t="s">
        <v>44</v>
      </c>
      <c r="K6" s="325" t="s">
        <v>44</v>
      </c>
      <c r="L6" s="418" t="s">
        <v>45</v>
      </c>
      <c r="M6" s="325" t="s">
        <v>46</v>
      </c>
      <c r="N6" s="69" t="s">
        <v>47</v>
      </c>
      <c r="O6" s="325" t="s">
        <v>48</v>
      </c>
      <c r="P6" s="69" t="s">
        <v>49</v>
      </c>
      <c r="Q6" s="58" t="s">
        <v>50</v>
      </c>
      <c r="R6" s="58" t="s">
        <v>51</v>
      </c>
      <c r="S6" s="58"/>
      <c r="T6" s="58" t="s">
        <v>48</v>
      </c>
      <c r="U6" s="416" t="s">
        <v>52</v>
      </c>
      <c r="V6" s="325" t="s">
        <v>53</v>
      </c>
      <c r="W6" s="32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407" t="s">
        <v>57</v>
      </c>
      <c r="AD6" s="407" t="s">
        <v>58</v>
      </c>
      <c r="AE6" s="418" t="s">
        <v>59</v>
      </c>
      <c r="AF6" s="58" t="s">
        <v>60</v>
      </c>
      <c r="AG6" s="58" t="s">
        <v>61</v>
      </c>
      <c r="AH6" s="519" t="s">
        <v>62</v>
      </c>
      <c r="AI6" s="407" t="s">
        <v>63</v>
      </c>
      <c r="AJ6" s="407"/>
      <c r="AK6" s="325" t="s">
        <v>64</v>
      </c>
      <c r="AL6" s="325" t="s">
        <v>64</v>
      </c>
      <c r="AM6" s="325" t="s">
        <v>64</v>
      </c>
      <c r="AN6" s="456" t="s">
        <v>65</v>
      </c>
      <c r="AO6" s="61" t="s">
        <v>66</v>
      </c>
      <c r="AP6" s="67" t="s">
        <v>67</v>
      </c>
      <c r="AQ6" s="67" t="s">
        <v>67</v>
      </c>
      <c r="AR6" s="62" t="s">
        <v>68</v>
      </c>
      <c r="AS6" s="68" t="s">
        <v>69</v>
      </c>
      <c r="AT6" s="408" t="s">
        <v>70</v>
      </c>
      <c r="AU6" s="210" t="s">
        <v>71</v>
      </c>
      <c r="AV6" s="417"/>
      <c r="AW6" s="412" t="s">
        <v>72</v>
      </c>
      <c r="AX6" s="412" t="s">
        <v>72</v>
      </c>
      <c r="AY6" s="299"/>
      <c r="AZ6" s="295" t="s">
        <v>73</v>
      </c>
      <c r="BA6" s="69" t="s">
        <v>135</v>
      </c>
      <c r="BB6" s="458" t="s">
        <v>136</v>
      </c>
    </row>
    <row r="7" customFormat="false" ht="12.95" hidden="false" customHeight="true" outlineLevel="0" collapsed="false">
      <c r="A7" s="325"/>
      <c r="B7" s="406"/>
      <c r="C7" s="407"/>
      <c r="D7" s="325"/>
      <c r="E7" s="407"/>
      <c r="F7" s="325"/>
      <c r="G7" s="406"/>
      <c r="H7" s="408"/>
      <c r="I7" s="325"/>
      <c r="J7" s="325"/>
      <c r="K7" s="325"/>
      <c r="L7" s="418"/>
      <c r="M7" s="325"/>
      <c r="N7" s="69" t="s">
        <v>74</v>
      </c>
      <c r="O7" s="325" t="s">
        <v>75</v>
      </c>
      <c r="P7" s="69"/>
      <c r="Q7" s="58" t="s">
        <v>76</v>
      </c>
      <c r="R7" s="58" t="s">
        <v>76</v>
      </c>
      <c r="S7" s="58" t="s">
        <v>61</v>
      </c>
      <c r="T7" s="58" t="s">
        <v>61</v>
      </c>
      <c r="U7" s="416" t="s">
        <v>77</v>
      </c>
      <c r="V7" s="325"/>
      <c r="W7" s="32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407"/>
      <c r="AD7" s="407"/>
      <c r="AE7" s="418"/>
      <c r="AF7" s="79" t="n">
        <v>1.7</v>
      </c>
      <c r="AG7" s="79" t="n">
        <v>1.3</v>
      </c>
      <c r="AH7" s="519"/>
      <c r="AI7" s="407"/>
      <c r="AJ7" s="407"/>
      <c r="AK7" s="325"/>
      <c r="AL7" s="325"/>
      <c r="AM7" s="325"/>
      <c r="AN7" s="456"/>
      <c r="AO7" s="61" t="s">
        <v>41</v>
      </c>
      <c r="AP7" s="67" t="s">
        <v>83</v>
      </c>
      <c r="AQ7" s="67" t="s">
        <v>84</v>
      </c>
      <c r="AR7" s="62" t="s">
        <v>85</v>
      </c>
      <c r="AS7" s="68" t="s">
        <v>86</v>
      </c>
      <c r="AT7" s="408" t="s">
        <v>87</v>
      </c>
      <c r="AU7" s="210" t="s">
        <v>88</v>
      </c>
      <c r="AV7" s="417"/>
      <c r="AW7" s="412"/>
      <c r="AX7" s="412"/>
      <c r="AY7" s="299"/>
      <c r="AZ7" s="295" t="s">
        <v>89</v>
      </c>
      <c r="BA7" s="8"/>
      <c r="BB7" s="274"/>
    </row>
    <row r="8" customFormat="false" ht="12.95" hidden="false" customHeight="true" outlineLevel="0" collapsed="false">
      <c r="A8" s="325"/>
      <c r="B8" s="406"/>
      <c r="C8" s="407"/>
      <c r="D8" s="325"/>
      <c r="E8" s="407"/>
      <c r="F8" s="325"/>
      <c r="G8" s="406"/>
      <c r="H8" s="408"/>
      <c r="I8" s="325"/>
      <c r="J8" s="325"/>
      <c r="K8" s="325"/>
      <c r="L8" s="418"/>
      <c r="M8" s="325"/>
      <c r="N8" s="69"/>
      <c r="O8" s="407"/>
      <c r="P8" s="69"/>
      <c r="Q8" s="58" t="s">
        <v>61</v>
      </c>
      <c r="R8" s="58" t="s">
        <v>61</v>
      </c>
      <c r="S8" s="58"/>
      <c r="T8" s="58"/>
      <c r="U8" s="416"/>
      <c r="V8" s="325"/>
      <c r="W8" s="32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407"/>
      <c r="AD8" s="407"/>
      <c r="AE8" s="418"/>
      <c r="AF8" s="192"/>
      <c r="AG8" s="192"/>
      <c r="AH8" s="519"/>
      <c r="AI8" s="407"/>
      <c r="AJ8" s="407"/>
      <c r="AK8" s="325"/>
      <c r="AL8" s="325"/>
      <c r="AM8" s="325"/>
      <c r="AN8" s="456"/>
      <c r="AO8" s="61"/>
      <c r="AP8" s="67"/>
      <c r="AQ8" s="67"/>
      <c r="AR8" s="62"/>
      <c r="AS8" s="62"/>
      <c r="AT8" s="408"/>
      <c r="AU8" s="210"/>
      <c r="AV8" s="417"/>
      <c r="AW8" s="412"/>
      <c r="AX8" s="412"/>
      <c r="AY8" s="299"/>
      <c r="AZ8" s="295"/>
      <c r="BA8" s="8"/>
      <c r="BB8" s="274"/>
    </row>
    <row r="9" customFormat="false" ht="12.95" hidden="false" customHeight="true" outlineLevel="0" collapsed="false">
      <c r="A9" s="325"/>
      <c r="B9" s="406"/>
      <c r="C9" s="407"/>
      <c r="D9" s="325"/>
      <c r="E9" s="407"/>
      <c r="F9" s="325"/>
      <c r="G9" s="406"/>
      <c r="H9" s="408"/>
      <c r="I9" s="325"/>
      <c r="J9" s="325"/>
      <c r="K9" s="325"/>
      <c r="L9" s="418"/>
      <c r="M9" s="325"/>
      <c r="N9" s="69"/>
      <c r="O9" s="407"/>
      <c r="P9" s="69"/>
      <c r="Q9" s="58"/>
      <c r="R9" s="81" t="n">
        <v>4.2</v>
      </c>
      <c r="S9" s="58"/>
      <c r="T9" s="58"/>
      <c r="U9" s="416"/>
      <c r="V9" s="325"/>
      <c r="W9" s="325"/>
      <c r="X9" s="65"/>
      <c r="Y9" s="57" t="s">
        <v>90</v>
      </c>
      <c r="Z9" s="61"/>
      <c r="AA9" s="57" t="s">
        <v>90</v>
      </c>
      <c r="AB9" s="61" t="s">
        <v>93</v>
      </c>
      <c r="AC9" s="407"/>
      <c r="AD9" s="407"/>
      <c r="AE9" s="418"/>
      <c r="AF9" s="192"/>
      <c r="AG9" s="192"/>
      <c r="AH9" s="519"/>
      <c r="AI9" s="407"/>
      <c r="AJ9" s="407"/>
      <c r="AK9" s="325"/>
      <c r="AL9" s="325"/>
      <c r="AM9" s="325"/>
      <c r="AN9" s="456"/>
      <c r="AO9" s="61"/>
      <c r="AP9" s="67"/>
      <c r="AQ9" s="67"/>
      <c r="AR9" s="62"/>
      <c r="AS9" s="68"/>
      <c r="AT9" s="408"/>
      <c r="AU9" s="210"/>
      <c r="AV9" s="417"/>
      <c r="AW9" s="412"/>
      <c r="AX9" s="412"/>
      <c r="AY9" s="299"/>
      <c r="AZ9" s="295"/>
      <c r="BA9" s="8"/>
      <c r="BB9" s="458" t="s">
        <v>137</v>
      </c>
    </row>
    <row r="10" customFormat="false" ht="12.95" hidden="false" customHeight="true" outlineLevel="0" collapsed="false">
      <c r="A10" s="325"/>
      <c r="B10" s="406"/>
      <c r="C10" s="407" t="s">
        <v>10</v>
      </c>
      <c r="D10" s="325"/>
      <c r="E10" s="407" t="s">
        <v>95</v>
      </c>
      <c r="F10" s="325"/>
      <c r="G10" s="406" t="s">
        <v>41</v>
      </c>
      <c r="H10" s="408" t="s">
        <v>41</v>
      </c>
      <c r="I10" s="408" t="s">
        <v>41</v>
      </c>
      <c r="J10" s="408" t="s">
        <v>41</v>
      </c>
      <c r="K10" s="408" t="s">
        <v>41</v>
      </c>
      <c r="L10" s="421" t="s">
        <v>41</v>
      </c>
      <c r="M10" s="408" t="s">
        <v>41</v>
      </c>
      <c r="N10" s="408" t="s">
        <v>41</v>
      </c>
      <c r="O10" s="408" t="s">
        <v>41</v>
      </c>
      <c r="P10" s="40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421" t="s">
        <v>41</v>
      </c>
      <c r="V10" s="408" t="s">
        <v>41</v>
      </c>
      <c r="W10" s="408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408" t="s">
        <v>41</v>
      </c>
      <c r="AD10" s="407" t="s">
        <v>41</v>
      </c>
      <c r="AE10" s="408" t="s">
        <v>41</v>
      </c>
      <c r="AF10" s="422" t="s">
        <v>41</v>
      </c>
      <c r="AG10" s="421" t="s">
        <v>41</v>
      </c>
      <c r="AH10" s="408" t="s">
        <v>41</v>
      </c>
      <c r="AI10" s="408" t="s">
        <v>41</v>
      </c>
      <c r="AJ10" s="408" t="s">
        <v>41</v>
      </c>
      <c r="AK10" s="408" t="s">
        <v>41</v>
      </c>
      <c r="AL10" s="408" t="s">
        <v>41</v>
      </c>
      <c r="AM10" s="408" t="s">
        <v>41</v>
      </c>
      <c r="AN10" s="456" t="s">
        <v>41</v>
      </c>
      <c r="AO10" s="61" t="s">
        <v>41</v>
      </c>
      <c r="AP10" s="61" t="s">
        <v>41</v>
      </c>
      <c r="AQ10" s="67" t="s">
        <v>96</v>
      </c>
      <c r="AR10" s="62" t="s">
        <v>41</v>
      </c>
      <c r="AS10" s="61" t="s">
        <v>41</v>
      </c>
      <c r="AT10" s="62" t="s">
        <v>41</v>
      </c>
      <c r="AU10" s="61" t="s">
        <v>41</v>
      </c>
      <c r="AV10" s="417"/>
      <c r="AW10" s="412"/>
      <c r="AX10" s="412"/>
      <c r="AY10" s="299"/>
      <c r="AZ10" s="295" t="s">
        <v>97</v>
      </c>
      <c r="BA10" s="69" t="s">
        <v>41</v>
      </c>
      <c r="BB10" s="458" t="s">
        <v>95</v>
      </c>
    </row>
    <row r="11" customFormat="false" ht="12.95" hidden="false" customHeight="true" outlineLevel="0" collapsed="false">
      <c r="A11" s="325"/>
      <c r="B11" s="406"/>
      <c r="C11" s="407"/>
      <c r="D11" s="325"/>
      <c r="E11" s="407"/>
      <c r="F11" s="325"/>
      <c r="G11" s="406"/>
      <c r="H11" s="408"/>
      <c r="I11" s="325"/>
      <c r="J11" s="325"/>
      <c r="K11" s="325"/>
      <c r="L11" s="418"/>
      <c r="M11" s="325"/>
      <c r="N11" s="69" t="n">
        <v>1.03</v>
      </c>
      <c r="O11" s="424" t="n">
        <v>1.05</v>
      </c>
      <c r="P11" s="69" t="n">
        <v>1.02</v>
      </c>
      <c r="Q11" s="82" t="n">
        <v>1.02</v>
      </c>
      <c r="R11" s="83" t="n">
        <v>1.04</v>
      </c>
      <c r="S11" s="58"/>
      <c r="T11" s="82" t="n">
        <v>1.04</v>
      </c>
      <c r="U11" s="416"/>
      <c r="V11" s="325"/>
      <c r="W11" s="32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407"/>
      <c r="AD11" s="407"/>
      <c r="AE11" s="325"/>
      <c r="AF11" s="419"/>
      <c r="AG11" s="420"/>
      <c r="AH11" s="412"/>
      <c r="AI11" s="407"/>
      <c r="AJ11" s="407"/>
      <c r="AK11" s="325"/>
      <c r="AL11" s="325"/>
      <c r="AM11" s="325"/>
      <c r="AN11" s="456"/>
      <c r="AO11" s="61"/>
      <c r="AP11" s="67"/>
      <c r="AQ11" s="67"/>
      <c r="AR11" s="62"/>
      <c r="AS11" s="87"/>
      <c r="AU11" s="180"/>
      <c r="AV11" s="417"/>
      <c r="AW11" s="412"/>
      <c r="AX11" s="412"/>
      <c r="AY11" s="299"/>
      <c r="AZ11" s="295" t="s">
        <v>41</v>
      </c>
      <c r="BA11" s="8"/>
      <c r="BB11" s="274"/>
    </row>
    <row r="12" customFormat="false" ht="12.95" hidden="false" customHeight="true" outlineLevel="0" collapsed="false">
      <c r="A12" s="188" t="s">
        <v>99</v>
      </c>
      <c r="B12" s="520"/>
      <c r="D12" s="177"/>
      <c r="F12" s="277" t="n">
        <f aca="false">JUL!F50</f>
        <v>-7581.04360978069</v>
      </c>
      <c r="G12" s="177" t="n">
        <f aca="false">JUL!G50</f>
        <v>42898</v>
      </c>
      <c r="H12" s="177" t="n">
        <f aca="false">JUL!H50</f>
        <v>91.66</v>
      </c>
      <c r="I12" s="177" t="n">
        <f aca="false">JUL!I50</f>
        <v>42989.66</v>
      </c>
      <c r="J12" s="177" t="n">
        <f aca="false">JUL!J50</f>
        <v>1321.17885647406</v>
      </c>
      <c r="K12" s="177" t="n">
        <f aca="false">JUL!K50</f>
        <v>44310.8288564741</v>
      </c>
      <c r="L12" s="521" t="n">
        <f aca="false">JUL!L50</f>
        <v>-2023.91983527677</v>
      </c>
      <c r="M12" s="177" t="n">
        <f aca="false">JUL!M50</f>
        <v>20992.62</v>
      </c>
      <c r="N12" s="177" t="n">
        <f aca="false">JUL!N50</f>
        <v>73.4102935</v>
      </c>
      <c r="O12" s="177" t="n">
        <f aca="false">JUL!O50</f>
        <v>3034.39791875</v>
      </c>
      <c r="P12" s="272" t="n">
        <f aca="false">JUL!P50</f>
        <v>14.3788</v>
      </c>
      <c r="Q12" s="8"/>
      <c r="R12" s="8"/>
      <c r="S12" s="8"/>
      <c r="T12" s="8"/>
      <c r="U12" s="522"/>
      <c r="V12" s="177" t="n">
        <f aca="false">JUL!V50</f>
        <v>10977.5</v>
      </c>
      <c r="W12" s="177" t="n">
        <f aca="false">JUL!W50</f>
        <v>6459.65</v>
      </c>
      <c r="X12" s="177" t="n">
        <f aca="false">JUL!X50</f>
        <v>34996.8554041138</v>
      </c>
      <c r="Y12" s="177" t="n">
        <f aca="false">JUL!Y50</f>
        <v>34996.8554041138</v>
      </c>
      <c r="Z12" s="177" t="n">
        <f aca="false">JUL!Z45</f>
        <v>0</v>
      </c>
      <c r="AA12" s="177"/>
      <c r="AB12" s="177"/>
      <c r="AC12" s="177" t="n">
        <f aca="false">JUL!AC45</f>
        <v>2805.11093343043</v>
      </c>
      <c r="AD12" s="177" t="n">
        <f aca="false">JUL!AD45</f>
        <v>3481.22006554071</v>
      </c>
      <c r="AE12" s="177" t="n">
        <f aca="false">JUL!AE50</f>
        <v>8018.54617300391</v>
      </c>
      <c r="AF12" s="523" t="n">
        <f aca="false">JUL!AF50</f>
        <v>207.4</v>
      </c>
      <c r="AG12" s="521" t="n">
        <f aca="false">JUL!AG50</f>
        <v>158.6</v>
      </c>
      <c r="AH12" s="177"/>
      <c r="AI12" s="177"/>
      <c r="AJ12" s="177"/>
      <c r="AK12" s="177" t="n">
        <f aca="false">JUL!AK50</f>
        <v>48546.7737745039</v>
      </c>
      <c r="AL12" s="177" t="n">
        <f aca="false">JUL!AL50</f>
        <v>3345.09869175084</v>
      </c>
      <c r="AM12" s="177" t="n">
        <f aca="false">JUL!AM50</f>
        <v>51891.8724662548</v>
      </c>
      <c r="AN12" s="524"/>
      <c r="AO12" s="183"/>
      <c r="AP12" s="179" t="n">
        <f aca="false">JUL!AP46</f>
        <v>0</v>
      </c>
      <c r="AQ12" s="179" t="n">
        <f aca="false">JUL!AQ51</f>
        <v>2285.09731568473</v>
      </c>
      <c r="AR12" s="179" t="n">
        <f aca="false">JUL!AR50</f>
        <v>608.016133098059</v>
      </c>
      <c r="AS12" s="136" t="n">
        <f aca="false">JUL!AS50</f>
        <v>497.656</v>
      </c>
      <c r="AT12" s="136" t="n">
        <f aca="false">JUL!AT50</f>
        <v>0</v>
      </c>
      <c r="AU12" s="136" t="n">
        <f aca="false">JUL!AU50</f>
        <v>413.002</v>
      </c>
      <c r="AV12" s="525"/>
      <c r="AW12" s="182"/>
      <c r="AX12" s="182"/>
      <c r="AY12" s="299"/>
      <c r="AZ12" s="333"/>
      <c r="BA12" s="179" t="n">
        <f aca="false">JUL!BA50</f>
        <v>1312.277</v>
      </c>
      <c r="BB12" s="274"/>
    </row>
    <row r="13" s="230" customFormat="true" ht="12.95" hidden="false" customHeight="true" outlineLevel="0" collapsed="false">
      <c r="A13" s="225" t="s">
        <v>100</v>
      </c>
      <c r="B13" s="526" t="n">
        <f aca="false">JUL!B45</f>
        <v>6864.34</v>
      </c>
      <c r="C13" s="177" t="n">
        <f aca="false">JUL!C45</f>
        <v>173329</v>
      </c>
      <c r="D13" s="177" t="n">
        <f aca="false">JUL!D54</f>
        <v>-21826</v>
      </c>
      <c r="E13" s="177" t="n">
        <f aca="false">JUL!E54</f>
        <v>21329</v>
      </c>
      <c r="F13" s="277" t="n">
        <f aca="false">JUL!F53</f>
        <v>-11003.7811948576</v>
      </c>
      <c r="G13" s="177" t="n">
        <f aca="false">JUL!G53</f>
        <v>48051</v>
      </c>
      <c r="H13" s="177" t="n">
        <f aca="false">JUL!H53</f>
        <v>146.15</v>
      </c>
      <c r="I13" s="177" t="n">
        <f aca="false">JUL!I53</f>
        <v>48196.53</v>
      </c>
      <c r="J13" s="177" t="n">
        <f aca="false">JUL!J53</f>
        <v>3046.21607351465</v>
      </c>
      <c r="K13" s="177" t="n">
        <f aca="false">JUL!K53</f>
        <v>51242.7360735146</v>
      </c>
      <c r="L13" s="527" t="n">
        <f aca="false">JUL!L53</f>
        <v>-1071.56192035366</v>
      </c>
      <c r="M13" s="177" t="n">
        <f aca="false">JUL!M53</f>
        <v>21894.53</v>
      </c>
      <c r="N13" s="177" t="n">
        <f aca="false">JUL!N53</f>
        <v>73.4102935</v>
      </c>
      <c r="O13" s="177" t="n">
        <f aca="false">JUL!O53</f>
        <v>3034.39791875</v>
      </c>
      <c r="P13" s="8"/>
      <c r="Q13" s="177" t="n">
        <f aca="false">JUL!Q53</f>
        <v>537.108107741357</v>
      </c>
      <c r="R13" s="177" t="n">
        <f aca="false">JUL!R53</f>
        <v>697.45005712</v>
      </c>
      <c r="S13" s="177" t="n">
        <f aca="false">JUL!S53</f>
        <v>92.66053168</v>
      </c>
      <c r="T13" s="177" t="n">
        <f aca="false">JUL!T53</f>
        <v>217.5454112</v>
      </c>
      <c r="U13" s="528" t="n">
        <f aca="false">JUL!U53</f>
        <v>77.8630613803556</v>
      </c>
      <c r="V13" s="177" t="n">
        <f aca="false">JUL!V53</f>
        <v>15334.72</v>
      </c>
      <c r="W13" s="177" t="n">
        <f aca="false">JUL!W53</f>
        <v>6544.05</v>
      </c>
      <c r="X13" s="177" t="n">
        <f aca="false">JUL!X53</f>
        <v>39636.5019517263</v>
      </c>
      <c r="Y13" s="177" t="n">
        <f aca="false">JUL!Y53</f>
        <v>39312.5395112977</v>
      </c>
      <c r="Z13" s="177"/>
      <c r="AA13" s="177"/>
      <c r="AB13" s="177"/>
      <c r="AC13" s="177"/>
      <c r="AD13" s="177"/>
      <c r="AE13" s="177" t="n">
        <f aca="false">JUL!AE51</f>
        <v>15904.7863341533</v>
      </c>
      <c r="AF13" s="216" t="n">
        <f aca="false">AF12</f>
        <v>207.4</v>
      </c>
      <c r="AG13" s="218" t="n">
        <f aca="false">AG12</f>
        <v>158.6</v>
      </c>
      <c r="AH13" s="177" t="n">
        <f aca="false">JUL!AH53</f>
        <v>6328.9</v>
      </c>
      <c r="AI13" s="177" t="n">
        <f aca="false">JUL!AI53</f>
        <v>4294.43684762418</v>
      </c>
      <c r="AJ13" s="177" t="n">
        <f aca="false">JUL!AJ53</f>
        <v>0</v>
      </c>
      <c r="AK13" s="177" t="n">
        <f aca="false">JUL!AK53</f>
        <v>58128.7392745039</v>
      </c>
      <c r="AL13" s="177" t="n">
        <f aca="false">JUL!AL53</f>
        <v>4117.77799386831</v>
      </c>
      <c r="AM13" s="177" t="n">
        <f aca="false">JUL!AM53</f>
        <v>62246.5172683722</v>
      </c>
      <c r="AN13" s="529" t="n">
        <f aca="false">JUL!AN53</f>
        <v>8903.4116944076</v>
      </c>
      <c r="AO13" s="182" t="n">
        <f aca="false">JUL!AO53</f>
        <v>323.962440428619</v>
      </c>
      <c r="AP13" s="183"/>
      <c r="AQ13" s="179" t="n">
        <f aca="false">JUL!AQ54</f>
        <v>2285.09731568473</v>
      </c>
      <c r="AR13" s="179"/>
      <c r="AS13" s="136" t="n">
        <f aca="false">JUL!AS53</f>
        <v>497.656</v>
      </c>
      <c r="AT13" s="179" t="n">
        <f aca="false">JUL!AT52</f>
        <v>0</v>
      </c>
      <c r="AU13" s="179" t="n">
        <f aca="false">JUL!AU53</f>
        <v>413.002</v>
      </c>
      <c r="AV13" s="222" t="n">
        <f aca="false">JUL!AV53</f>
        <v>6.634</v>
      </c>
      <c r="AW13" s="182"/>
      <c r="AX13" s="182"/>
      <c r="AY13" s="302"/>
      <c r="AZ13" s="530" t="n">
        <f aca="false">JUL!AZ53</f>
        <v>1710.41626262171</v>
      </c>
      <c r="BA13" s="179" t="n">
        <f aca="false">JUL!BA53</f>
        <v>1312.277</v>
      </c>
      <c r="BB13" s="277"/>
    </row>
    <row r="14" customFormat="false" ht="3" hidden="false" customHeight="true" outlineLevel="0" collapsed="false">
      <c r="A14" s="231"/>
      <c r="B14" s="531"/>
      <c r="C14" s="506"/>
      <c r="D14" s="231"/>
      <c r="E14" s="506"/>
      <c r="F14" s="507"/>
      <c r="G14" s="231"/>
      <c r="H14" s="532"/>
      <c r="I14" s="231"/>
      <c r="J14" s="231"/>
      <c r="K14" s="231"/>
      <c r="L14" s="231"/>
      <c r="M14" s="509"/>
      <c r="N14" s="231"/>
      <c r="O14" s="231"/>
      <c r="P14" s="510"/>
      <c r="Q14" s="510"/>
      <c r="R14" s="510"/>
      <c r="S14" s="510"/>
      <c r="T14" s="510"/>
      <c r="U14" s="511"/>
      <c r="V14" s="231"/>
      <c r="W14" s="231"/>
      <c r="X14" s="231"/>
      <c r="Y14" s="231"/>
      <c r="Z14" s="506"/>
      <c r="AA14" s="231"/>
      <c r="AB14" s="506"/>
      <c r="AC14" s="506"/>
      <c r="AD14" s="506"/>
      <c r="AE14" s="231"/>
      <c r="AF14" s="237"/>
      <c r="AG14" s="241"/>
      <c r="AH14" s="231"/>
      <c r="AI14" s="506"/>
      <c r="AJ14" s="506"/>
      <c r="AK14" s="231"/>
      <c r="AL14" s="231"/>
      <c r="AM14" s="231"/>
      <c r="AN14" s="533"/>
      <c r="AO14" s="336"/>
      <c r="AP14" s="336"/>
      <c r="AQ14" s="124"/>
      <c r="AR14" s="124"/>
      <c r="AS14" s="534"/>
      <c r="AT14" s="534"/>
      <c r="AU14" s="534"/>
      <c r="AV14" s="535"/>
      <c r="AW14" s="512"/>
      <c r="AX14" s="512"/>
      <c r="AY14" s="512"/>
      <c r="AZ14" s="512"/>
      <c r="BA14" s="512"/>
      <c r="BB14" s="512"/>
    </row>
    <row r="15" customFormat="false" ht="12.95" hidden="false" customHeight="true" outlineLevel="0" collapsed="false">
      <c r="A15" s="183" t="n">
        <v>1</v>
      </c>
      <c r="B15" s="309" t="n">
        <v>6864.15</v>
      </c>
      <c r="C15" s="177" t="n">
        <v>172862</v>
      </c>
      <c r="D15" s="182" t="n">
        <f aca="false">C15-C13</f>
        <v>-467</v>
      </c>
      <c r="E15" s="177" t="n">
        <f aca="false">C15-152000</f>
        <v>20862</v>
      </c>
      <c r="F15" s="536" t="n">
        <f aca="false">D15/$D$2</f>
        <v>-235.442399798336</v>
      </c>
      <c r="G15" s="537" t="n">
        <v>136</v>
      </c>
      <c r="H15" s="186" t="n">
        <v>0</v>
      </c>
      <c r="I15" s="185" t="n">
        <f aca="false">G15+H15</f>
        <v>136</v>
      </c>
      <c r="J15" s="179" t="n">
        <f aca="false">IF(L15&gt;0,L15,0)</f>
        <v>0</v>
      </c>
      <c r="K15" s="185" t="n">
        <f aca="false">I15+J15</f>
        <v>136</v>
      </c>
      <c r="L15" s="185" t="n">
        <f aca="false">F15-(I15-AK15)</f>
        <v>-18.8423997983363</v>
      </c>
      <c r="M15" s="538" t="n">
        <v>130</v>
      </c>
      <c r="N15" s="158" t="n">
        <v>1.5</v>
      </c>
      <c r="O15" s="185" t="n">
        <f aca="false">13.1*1.05</f>
        <v>13.755</v>
      </c>
      <c r="P15" s="158" t="n">
        <v>0</v>
      </c>
      <c r="Q15" s="338" t="n">
        <f aca="false">1498400/325851/1.9835*1.02</f>
        <v>2.36470338573241</v>
      </c>
      <c r="R15" s="131" t="n">
        <v>4.2</v>
      </c>
      <c r="S15" s="131" t="n">
        <f aca="false">((5.8*1.04)-T15)-4.2</f>
        <v>0.7450336</v>
      </c>
      <c r="T15" s="131" t="n">
        <f aca="false">(0.986*1.06)*1.04</f>
        <v>1.0869664</v>
      </c>
      <c r="U15" s="357" t="n">
        <v>0</v>
      </c>
      <c r="V15" s="185" t="n">
        <v>98.8</v>
      </c>
      <c r="W15" s="537" t="n">
        <v>73</v>
      </c>
      <c r="X15" s="339" t="n">
        <f aca="false">M15-N15-O15-P15-Q15-R15-S15-T15-U15+V15+W15-AT15+AR15</f>
        <v>278.148296614268</v>
      </c>
      <c r="Y15" s="339" t="n">
        <f aca="false">X15-AO15</f>
        <v>278.148296614268</v>
      </c>
      <c r="Z15" s="435"/>
      <c r="AA15" s="339"/>
      <c r="AB15" s="435"/>
      <c r="AC15" s="435" t="n">
        <f aca="false">AC12-(JUL!AQ45/1.9835)+AS15+AP15</f>
        <v>2659.9882262845</v>
      </c>
      <c r="AD15" s="443" t="n">
        <f aca="false">AD12</f>
        <v>3481.22006554071</v>
      </c>
      <c r="AE15" s="537" t="n">
        <v>34.7</v>
      </c>
      <c r="AF15" s="248" t="n">
        <v>1.7</v>
      </c>
      <c r="AG15" s="249" t="n">
        <v>1.3</v>
      </c>
      <c r="AH15" s="185" t="n">
        <v>16.1</v>
      </c>
      <c r="AI15" s="177" t="n">
        <f aca="false">AI13-AH15</f>
        <v>4278.33684762418</v>
      </c>
      <c r="AJ15" s="177"/>
      <c r="AK15" s="11" t="n">
        <f aca="false">N15+O15+P15+Q15+R15+S15+T15+U15+X15+AE15+AH15-AR15</f>
        <v>352.6</v>
      </c>
      <c r="AL15" s="185" t="n">
        <f aca="false">IF(L15&lt;0,L15*-1,0)</f>
        <v>18.8423997983363</v>
      </c>
      <c r="AM15" s="185" t="n">
        <f aca="false">AK15+AL15</f>
        <v>371.442399798336</v>
      </c>
      <c r="AN15" s="220"/>
      <c r="AO15" s="183"/>
      <c r="AP15" s="97" t="n">
        <f aca="false">I15-Q15-R15-X15-AF15</f>
        <v>-150.413</v>
      </c>
      <c r="AQ15" s="158" t="n">
        <f aca="false">27.863*(Z15*1.9835+AC15*1.9835)/E15</f>
        <v>7.04666869143766</v>
      </c>
      <c r="AR15" s="158"/>
      <c r="AS15" s="147" t="n">
        <v>10.6</v>
      </c>
      <c r="AT15" s="4"/>
      <c r="AU15" s="4" t="n">
        <f aca="false">O15</f>
        <v>13.755</v>
      </c>
      <c r="AV15" s="539" t="n">
        <v>0</v>
      </c>
      <c r="AW15" s="540" t="n">
        <v>83</v>
      </c>
      <c r="AX15" s="182" t="n">
        <v>59</v>
      </c>
      <c r="AY15" s="294"/>
      <c r="AZ15" s="250" t="n">
        <f aca="false">SUM(N15,P15:U15)</f>
        <v>9.89670338573241</v>
      </c>
      <c r="BA15" s="541" t="n">
        <v>49.9</v>
      </c>
      <c r="BB15" s="464" t="n">
        <v>7804</v>
      </c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2.95" hidden="false" customHeight="true" outlineLevel="0" collapsed="false">
      <c r="A16" s="183" t="n">
        <f aca="false">A15+1</f>
        <v>2</v>
      </c>
      <c r="B16" s="309" t="n">
        <v>6864.04</v>
      </c>
      <c r="C16" s="177" t="n">
        <v>172592</v>
      </c>
      <c r="D16" s="182" t="n">
        <f aca="false">C16-C15</f>
        <v>-270</v>
      </c>
      <c r="E16" s="177" t="n">
        <f aca="false">C16-152000</f>
        <v>20592</v>
      </c>
      <c r="F16" s="536" t="n">
        <f aca="false">D16/$D$2</f>
        <v>-136.1230148727</v>
      </c>
      <c r="G16" s="537" t="n">
        <v>143</v>
      </c>
      <c r="H16" s="186" t="n">
        <v>0</v>
      </c>
      <c r="I16" s="185" t="n">
        <f aca="false">G16+H16</f>
        <v>143</v>
      </c>
      <c r="J16" s="179" t="n">
        <f aca="false">IF(L16&gt;0,L16,0)</f>
        <v>51.1832351273002</v>
      </c>
      <c r="K16" s="185" t="n">
        <f aca="false">I16+J16</f>
        <v>194.1832351273</v>
      </c>
      <c r="L16" s="185" t="n">
        <f aca="false">F16-(I16-AK16)</f>
        <v>51.1832351273002</v>
      </c>
      <c r="M16" s="538" t="n">
        <v>132</v>
      </c>
      <c r="N16" s="158" t="n">
        <v>0.25</v>
      </c>
      <c r="O16" s="185" t="n">
        <f aca="false">10.1*1.05</f>
        <v>10.605</v>
      </c>
      <c r="P16" s="158" t="n">
        <v>0</v>
      </c>
      <c r="Q16" s="338" t="n">
        <f aca="false">1505100/325851/1.9835*1.02</f>
        <v>2.37527700605035</v>
      </c>
      <c r="R16" s="131" t="n">
        <v>4.2</v>
      </c>
      <c r="S16" s="131" t="n">
        <f aca="false">((5.8*1.04)-T16)-4.2</f>
        <v>0.676354079999999</v>
      </c>
      <c r="T16" s="131" t="n">
        <f aca="false">(1.0483*1.06)*1.04</f>
        <v>1.15564592</v>
      </c>
      <c r="U16" s="357" t="n">
        <v>0</v>
      </c>
      <c r="V16" s="185" t="n">
        <v>103</v>
      </c>
      <c r="W16" s="537" t="n">
        <v>70.9</v>
      </c>
      <c r="X16" s="339" t="n">
        <f aca="false">M16-N16-O16-P16-Q16-R16-S16-T16-U16+V16+W16-AT16+AR16</f>
        <v>286.63772299395</v>
      </c>
      <c r="Y16" s="339" t="n">
        <f aca="false">X16-AO16</f>
        <v>286.63772299395</v>
      </c>
      <c r="Z16" s="435"/>
      <c r="AA16" s="339"/>
      <c r="AB16" s="435"/>
      <c r="AC16" s="435" t="n">
        <f aca="false">AC15-(AQ15/1.9835)+AS16+AP16</f>
        <v>2515.12258262862</v>
      </c>
      <c r="AD16" s="443" t="n">
        <f aca="false">AD15</f>
        <v>3481.22006554071</v>
      </c>
      <c r="AE16" s="537" t="n">
        <v>8.40625</v>
      </c>
      <c r="AF16" s="248" t="n">
        <v>1.7</v>
      </c>
      <c r="AG16" s="249" t="n">
        <v>1.3</v>
      </c>
      <c r="AH16" s="185" t="n">
        <v>16</v>
      </c>
      <c r="AI16" s="177" t="n">
        <f aca="false">AI15-AH16</f>
        <v>4262.33684762418</v>
      </c>
      <c r="AJ16" s="177"/>
      <c r="AK16" s="11" t="n">
        <f aca="false">N16+O16+P16+Q16+R16+S16+T16+U16+X16+AE16+AH16-AR16</f>
        <v>330.30625</v>
      </c>
      <c r="AL16" s="185" t="n">
        <f aca="false">IF(L16&lt;0,L16*-1,0)</f>
        <v>0</v>
      </c>
      <c r="AM16" s="185" t="n">
        <f aca="false">AK16+AL16</f>
        <v>330.30625</v>
      </c>
      <c r="AN16" s="220"/>
      <c r="AO16" s="183"/>
      <c r="AP16" s="97" t="n">
        <f aca="false">I16-Q16-R16-X16-AF16</f>
        <v>-151.913</v>
      </c>
      <c r="AQ16" s="158" t="n">
        <f aca="false">35.824*(Z16*1.9835+AC16*1.9835)/E16</f>
        <v>8.67894443968892</v>
      </c>
      <c r="AR16" s="158"/>
      <c r="AS16" s="147" t="n">
        <v>10.6</v>
      </c>
      <c r="AT16" s="4"/>
      <c r="AU16" s="4" t="n">
        <f aca="false">O16</f>
        <v>10.605</v>
      </c>
      <c r="AV16" s="539" t="n">
        <v>0.02</v>
      </c>
      <c r="AW16" s="540" t="n">
        <v>88</v>
      </c>
      <c r="AX16" s="182" t="n">
        <v>54</v>
      </c>
      <c r="AY16" s="294"/>
      <c r="AZ16" s="250" t="n">
        <f aca="false">SUM(N16,P16:U16)</f>
        <v>8.65727700605035</v>
      </c>
      <c r="BA16" s="541" t="n">
        <v>49.6</v>
      </c>
      <c r="BB16" s="464" t="n">
        <v>7717</v>
      </c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2.95" hidden="false" customHeight="true" outlineLevel="0" collapsed="false">
      <c r="A17" s="183" t="n">
        <f aca="false">A16+1</f>
        <v>3</v>
      </c>
      <c r="B17" s="309" t="n">
        <v>6863.87</v>
      </c>
      <c r="C17" s="177" t="n">
        <v>172179</v>
      </c>
      <c r="D17" s="182" t="n">
        <f aca="false">C17-C16</f>
        <v>-413</v>
      </c>
      <c r="E17" s="177" t="n">
        <f aca="false">C17-152000</f>
        <v>20179</v>
      </c>
      <c r="F17" s="536" t="n">
        <f aca="false">D17/$D$2</f>
        <v>-208.217796823796</v>
      </c>
      <c r="G17" s="537" t="n">
        <v>159</v>
      </c>
      <c r="H17" s="186" t="n">
        <v>0</v>
      </c>
      <c r="I17" s="185" t="n">
        <f aca="false">G17+H17</f>
        <v>159</v>
      </c>
      <c r="J17" s="179" t="n">
        <f aca="false">IF(L17&gt;0,L17,0)</f>
        <v>0</v>
      </c>
      <c r="K17" s="185" t="n">
        <f aca="false">I17+J17</f>
        <v>159</v>
      </c>
      <c r="L17" s="185" t="n">
        <f aca="false">F17-(I17-AK17)</f>
        <v>-37.7594618237963</v>
      </c>
      <c r="M17" s="538" t="n">
        <v>126</v>
      </c>
      <c r="N17" s="158" t="n">
        <v>0.25</v>
      </c>
      <c r="O17" s="185" t="n">
        <f aca="false">4.07*1.05</f>
        <v>4.2735</v>
      </c>
      <c r="P17" s="158" t="n">
        <v>0</v>
      </c>
      <c r="Q17" s="338" t="n">
        <f aca="false">1675600/325851/1.9835*1.02</f>
        <v>2.64435197085773</v>
      </c>
      <c r="R17" s="131" t="n">
        <v>4.2</v>
      </c>
      <c r="S17" s="131" t="n">
        <f aca="false">((5.8*1.04)-T17)-4.2</f>
        <v>0.676354079999999</v>
      </c>
      <c r="T17" s="131" t="n">
        <f aca="false">(1.0483*1.06)*1.04</f>
        <v>1.15564592</v>
      </c>
      <c r="U17" s="357" t="n">
        <v>0</v>
      </c>
      <c r="V17" s="185" t="n">
        <v>102</v>
      </c>
      <c r="W17" s="537" t="n">
        <v>68.5</v>
      </c>
      <c r="X17" s="339" t="n">
        <f aca="false">M17-N17-O17-P17-Q17-R17-S17-T17-U17+V17+W17-AT17+AR17</f>
        <v>283.300148029142</v>
      </c>
      <c r="Y17" s="339" t="n">
        <f aca="false">X17-AO17</f>
        <v>283.300148029142</v>
      </c>
      <c r="Z17" s="435"/>
      <c r="AA17" s="339"/>
      <c r="AB17" s="435"/>
      <c r="AC17" s="435" t="n">
        <f aca="false">AC16-(AQ16/1.9835)+AS17+AP17</f>
        <v>2388.50251195069</v>
      </c>
      <c r="AD17" s="443" t="n">
        <f aca="false">AD16</f>
        <v>3481.22006554071</v>
      </c>
      <c r="AE17" s="537" t="n">
        <v>16.958335</v>
      </c>
      <c r="AF17" s="248" t="n">
        <v>1.7</v>
      </c>
      <c r="AG17" s="249" t="n">
        <v>1.3</v>
      </c>
      <c r="AH17" s="185" t="n">
        <v>16</v>
      </c>
      <c r="AI17" s="177" t="n">
        <f aca="false">AI16-AH17</f>
        <v>4246.33684762418</v>
      </c>
      <c r="AJ17" s="177"/>
      <c r="AK17" s="11" t="n">
        <f aca="false">N17+O17+P17+Q17+R17+S17+T17+U17+X17+AE17+AH17-AR17</f>
        <v>329.458335</v>
      </c>
      <c r="AL17" s="185" t="n">
        <f aca="false">IF(L17&lt;0,L17*-1,0)</f>
        <v>37.7594618237963</v>
      </c>
      <c r="AM17" s="185" t="n">
        <f aca="false">AK17+AL17</f>
        <v>367.217796823796</v>
      </c>
      <c r="AN17" s="220"/>
      <c r="AO17" s="183"/>
      <c r="AP17" s="97" t="n">
        <f aca="false">I17-Q17-R17-X17-AF17</f>
        <v>-132.8445</v>
      </c>
      <c r="AQ17" s="158" t="n">
        <f aca="false">29.711*(Z17*1.9835+AC17*1.9835)/E17</f>
        <v>6.97550310203411</v>
      </c>
      <c r="AR17" s="158"/>
      <c r="AS17" s="147" t="n">
        <v>10.6</v>
      </c>
      <c r="AT17" s="4"/>
      <c r="AU17" s="4" t="n">
        <f aca="false">O17</f>
        <v>4.2735</v>
      </c>
      <c r="AV17" s="539" t="n">
        <v>0.05</v>
      </c>
      <c r="AW17" s="540" t="n">
        <v>88</v>
      </c>
      <c r="AX17" s="182" t="n">
        <v>56</v>
      </c>
      <c r="AY17" s="294"/>
      <c r="AZ17" s="250" t="n">
        <f aca="false">SUM(N17,P17:U17)</f>
        <v>8.92635197085773</v>
      </c>
      <c r="BA17" s="541" t="n">
        <v>49.4</v>
      </c>
      <c r="BB17" s="464" t="n">
        <v>7628</v>
      </c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2.95" hidden="false" customHeight="true" outlineLevel="0" collapsed="false">
      <c r="A18" s="183" t="n">
        <f aca="false">A17+1</f>
        <v>4</v>
      </c>
      <c r="B18" s="309" t="n">
        <v>6863.7</v>
      </c>
      <c r="C18" s="177" t="n">
        <v>171768</v>
      </c>
      <c r="D18" s="182" t="n">
        <f aca="false">C18-C17</f>
        <v>-411</v>
      </c>
      <c r="E18" s="177" t="n">
        <f aca="false">C18-152000</f>
        <v>19768</v>
      </c>
      <c r="F18" s="536" t="n">
        <f aca="false">D18/$D$2</f>
        <v>-207.20947819511</v>
      </c>
      <c r="G18" s="537" t="n">
        <v>157</v>
      </c>
      <c r="H18" s="186" t="n">
        <v>0</v>
      </c>
      <c r="I18" s="185" t="n">
        <f aca="false">G18+H18</f>
        <v>157</v>
      </c>
      <c r="J18" s="179" t="n">
        <f aca="false">IF(L18&gt;0,L18,0)</f>
        <v>0</v>
      </c>
      <c r="K18" s="185" t="n">
        <f aca="false">I18+J18</f>
        <v>157</v>
      </c>
      <c r="L18" s="185" t="n">
        <f aca="false">F18-(I18-AK18)</f>
        <v>-29.6678134051097</v>
      </c>
      <c r="M18" s="538" t="n">
        <v>119</v>
      </c>
      <c r="N18" s="158" t="n">
        <v>0.25</v>
      </c>
      <c r="O18" s="185" t="n">
        <f aca="false">0*1.05</f>
        <v>0</v>
      </c>
      <c r="P18" s="158" t="n">
        <v>0</v>
      </c>
      <c r="Q18" s="338" t="n">
        <f aca="false">1844900/325851/1.9835*1.02</f>
        <v>2.91153315292159</v>
      </c>
      <c r="R18" s="131" t="n">
        <v>4.2</v>
      </c>
      <c r="S18" s="131" t="n">
        <f aca="false">((5.8*1.04)-T18)-4.2</f>
        <v>0.676354079999999</v>
      </c>
      <c r="T18" s="131" t="n">
        <f aca="false">(1.0483*1.06)*1.04</f>
        <v>1.15564592</v>
      </c>
      <c r="U18" s="357" t="n">
        <v>0</v>
      </c>
      <c r="V18" s="185" t="n">
        <v>104</v>
      </c>
      <c r="W18" s="537" t="n">
        <v>68.1</v>
      </c>
      <c r="X18" s="339" t="n">
        <f aca="false">M18-N18-O18-P18-Q18-R18-S18-T18-U18+V18+W18-AT18+AR18</f>
        <v>281.906466847078</v>
      </c>
      <c r="Y18" s="339" t="n">
        <f aca="false">X18-AO18</f>
        <v>281.906466847078</v>
      </c>
      <c r="Z18" s="435"/>
      <c r="AA18" s="339"/>
      <c r="AB18" s="435"/>
      <c r="AC18" s="435" t="n">
        <f aca="false">AC17-(AQ17/1.9835)+AS18+AP18</f>
        <v>2261.86774708957</v>
      </c>
      <c r="AD18" s="443" t="n">
        <f aca="false">AD17</f>
        <v>3481.22006554071</v>
      </c>
      <c r="AE18" s="537" t="n">
        <v>27.54166479</v>
      </c>
      <c r="AF18" s="248" t="n">
        <v>1.7</v>
      </c>
      <c r="AG18" s="249" t="n">
        <v>1.3</v>
      </c>
      <c r="AH18" s="185" t="n">
        <v>15.9</v>
      </c>
      <c r="AI18" s="177" t="n">
        <f aca="false">AI17-AH18</f>
        <v>4230.43684762418</v>
      </c>
      <c r="AJ18" s="177"/>
      <c r="AK18" s="11" t="n">
        <f aca="false">N18+O18+P18+Q18+R18+S18+T18+U18+X18+AE18+AH18-AR18</f>
        <v>334.54166479</v>
      </c>
      <c r="AL18" s="185" t="n">
        <f aca="false">IF(L18&lt;0,L18*-1,0)</f>
        <v>29.6678134051097</v>
      </c>
      <c r="AM18" s="185" t="n">
        <f aca="false">AK18+AL18</f>
        <v>364.20947819511</v>
      </c>
      <c r="AN18" s="220"/>
      <c r="AO18" s="183"/>
      <c r="AP18" s="97" t="n">
        <f aca="false">I18-Q18-R18-X18-AF18</f>
        <v>-133.718</v>
      </c>
      <c r="AQ18" s="158" t="n">
        <f aca="false">28.574*(Z18*1.9835+AC18*1.9835)/E18</f>
        <v>6.48496625668183</v>
      </c>
      <c r="AR18" s="158"/>
      <c r="AS18" s="147" t="n">
        <v>10.6</v>
      </c>
      <c r="AT18" s="4"/>
      <c r="AU18" s="4" t="n">
        <f aca="false">O18</f>
        <v>0</v>
      </c>
      <c r="AV18" s="539" t="n">
        <v>0</v>
      </c>
      <c r="AW18" s="540" t="n">
        <v>86</v>
      </c>
      <c r="AX18" s="182" t="n">
        <v>55</v>
      </c>
      <c r="AY18" s="294"/>
      <c r="AZ18" s="250" t="n">
        <f aca="false">SUM(N18,P18:U18)</f>
        <v>9.19353315292159</v>
      </c>
      <c r="BA18" s="541" t="n">
        <v>49.2</v>
      </c>
      <c r="BB18" s="464" t="n">
        <v>7540</v>
      </c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2.95" hidden="false" customHeight="true" outlineLevel="0" collapsed="false">
      <c r="A19" s="183" t="n">
        <f aca="false">A18+1</f>
        <v>5</v>
      </c>
      <c r="B19" s="309" t="n">
        <v>6863.54</v>
      </c>
      <c r="C19" s="177" t="n">
        <v>171382</v>
      </c>
      <c r="D19" s="182" t="n">
        <f aca="false">C19-C18</f>
        <v>-386</v>
      </c>
      <c r="E19" s="177" t="n">
        <f aca="false">C19-152000</f>
        <v>19382</v>
      </c>
      <c r="F19" s="536" t="n">
        <f aca="false">D19/$D$2</f>
        <v>-194.605495336526</v>
      </c>
      <c r="G19" s="537" t="n">
        <v>143</v>
      </c>
      <c r="H19" s="186" t="n">
        <v>0</v>
      </c>
      <c r="I19" s="185" t="n">
        <f aca="false">G19+H19</f>
        <v>143</v>
      </c>
      <c r="J19" s="179" t="n">
        <f aca="false">IF(L19&gt;0,L19,0)</f>
        <v>0</v>
      </c>
      <c r="K19" s="185" t="n">
        <f aca="false">I19+J19</f>
        <v>143</v>
      </c>
      <c r="L19" s="185" t="n">
        <f aca="false">F19-(I19-AK19)</f>
        <v>-13.8346615865263</v>
      </c>
      <c r="M19" s="538" t="n">
        <v>130</v>
      </c>
      <c r="N19" s="158" t="n">
        <v>0.25</v>
      </c>
      <c r="O19" s="185" t="n">
        <f aca="false">1.21*1.05</f>
        <v>1.2705</v>
      </c>
      <c r="P19" s="158" t="n">
        <v>0</v>
      </c>
      <c r="Q19" s="338" t="n">
        <f aca="false">1719900/325851/1.9835*1.02</f>
        <v>2.71426411713906</v>
      </c>
      <c r="R19" s="131" t="n">
        <v>4.2</v>
      </c>
      <c r="S19" s="131" t="n">
        <f aca="false">((5.8*1.04)-T19)-4.2</f>
        <v>0.676354079999999</v>
      </c>
      <c r="T19" s="131" t="n">
        <f aca="false">(1.0483*1.06)*1.04</f>
        <v>1.15564592</v>
      </c>
      <c r="U19" s="357" t="n">
        <v>0</v>
      </c>
      <c r="V19" s="185" t="n">
        <v>106</v>
      </c>
      <c r="W19" s="537" t="n">
        <v>67.5</v>
      </c>
      <c r="X19" s="339" t="n">
        <f aca="false">M19-N19-O19-P19-Q19-R19-S19-T19-U19+V19+W19-AT19+AR19</f>
        <v>293.233235882861</v>
      </c>
      <c r="Y19" s="339" t="n">
        <f aca="false">X19-AO19</f>
        <v>293.233235882861</v>
      </c>
      <c r="Z19" s="435"/>
      <c r="AA19" s="339"/>
      <c r="AB19" s="435"/>
      <c r="AC19" s="435" t="n">
        <f aca="false">AC18-(AQ18/1.9835)+AS19+AP19</f>
        <v>2110.35079094806</v>
      </c>
      <c r="AD19" s="443" t="n">
        <f aca="false">AD18</f>
        <v>3481.22006554071</v>
      </c>
      <c r="AE19" s="537" t="n">
        <v>4.27083375</v>
      </c>
      <c r="AF19" s="248" t="n">
        <v>1.7</v>
      </c>
      <c r="AG19" s="249" t="n">
        <v>1.3</v>
      </c>
      <c r="AH19" s="185" t="n">
        <v>16</v>
      </c>
      <c r="AI19" s="177" t="n">
        <f aca="false">AI18-AH19</f>
        <v>4214.43684762418</v>
      </c>
      <c r="AJ19" s="177"/>
      <c r="AK19" s="11" t="n">
        <f aca="false">N19+O19+P19+Q19+R19+S19+T19+U19+X19+AE19+AH19-AR19</f>
        <v>323.77083375</v>
      </c>
      <c r="AL19" s="185" t="n">
        <f aca="false">IF(L19&lt;0,L19*-1,0)</f>
        <v>13.8346615865263</v>
      </c>
      <c r="AM19" s="185" t="n">
        <f aca="false">AK19+AL19</f>
        <v>337.605495336526</v>
      </c>
      <c r="AN19" s="220"/>
      <c r="AO19" s="183"/>
      <c r="AP19" s="97" t="n">
        <f aca="false">I19-Q19-R19-X19-AF19</f>
        <v>-158.8475</v>
      </c>
      <c r="AQ19" s="158" t="n">
        <f aca="false">46.912*(Z19*1.9835+AC19*1.9835)/E19</f>
        <v>10.1314642349024</v>
      </c>
      <c r="AR19" s="158"/>
      <c r="AS19" s="147" t="n">
        <v>10.6</v>
      </c>
      <c r="AT19" s="4"/>
      <c r="AU19" s="4" t="n">
        <f aca="false">O19</f>
        <v>1.2705</v>
      </c>
      <c r="AV19" s="539" t="n">
        <v>0</v>
      </c>
      <c r="AW19" s="540" t="n">
        <v>86</v>
      </c>
      <c r="AX19" s="182" t="n">
        <v>59</v>
      </c>
      <c r="AY19" s="294"/>
      <c r="AZ19" s="250" t="n">
        <f aca="false">SUM(N19,P19:U19)</f>
        <v>8.99626411713906</v>
      </c>
      <c r="BA19" s="541" t="n">
        <v>49</v>
      </c>
      <c r="BB19" s="464" t="n">
        <v>7444</v>
      </c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2.95" hidden="false" customHeight="true" outlineLevel="0" collapsed="false">
      <c r="A20" s="183" t="n">
        <f aca="false">A19+1</f>
        <v>6</v>
      </c>
      <c r="B20" s="309" t="n">
        <v>6863.37</v>
      </c>
      <c r="C20" s="177" t="n">
        <v>170971</v>
      </c>
      <c r="D20" s="182" t="n">
        <f aca="false">C20-C19</f>
        <v>-411</v>
      </c>
      <c r="E20" s="177" t="n">
        <f aca="false">C20-152000</f>
        <v>18971</v>
      </c>
      <c r="F20" s="536" t="n">
        <f aca="false">D20/$D$2</f>
        <v>-207.20947819511</v>
      </c>
      <c r="G20" s="537" t="n">
        <v>133</v>
      </c>
      <c r="H20" s="186" t="n">
        <v>0</v>
      </c>
      <c r="I20" s="185" t="n">
        <f aca="false">G20+H20</f>
        <v>133</v>
      </c>
      <c r="J20" s="179" t="n">
        <f aca="false">IF(L20&gt;0,L20,0)</f>
        <v>0</v>
      </c>
      <c r="K20" s="185" t="n">
        <f aca="false">I20+J20</f>
        <v>133</v>
      </c>
      <c r="L20" s="185" t="n">
        <f aca="false">F20-(I20-AK20)</f>
        <v>-1.10947819510969</v>
      </c>
      <c r="M20" s="538" t="n">
        <v>130</v>
      </c>
      <c r="N20" s="158" t="n">
        <v>0.25</v>
      </c>
      <c r="O20" s="185" t="n">
        <f aca="false">3.23*1.05</f>
        <v>3.3915</v>
      </c>
      <c r="P20" s="158" t="n">
        <v>0</v>
      </c>
      <c r="Q20" s="338" t="n">
        <f aca="false">1585600/325851/1.9835*1.02</f>
        <v>2.5023182650943</v>
      </c>
      <c r="R20" s="131" t="n">
        <v>4.2</v>
      </c>
      <c r="S20" s="131" t="n">
        <f aca="false">((5.8*1.04)-T20)-4.2</f>
        <v>0.676354079999999</v>
      </c>
      <c r="T20" s="131" t="n">
        <f aca="false">(1.0483*1.06)*1.04</f>
        <v>1.15564592</v>
      </c>
      <c r="U20" s="357" t="n">
        <v>0</v>
      </c>
      <c r="V20" s="185" t="n">
        <v>108</v>
      </c>
      <c r="W20" s="537" t="n">
        <v>67.3</v>
      </c>
      <c r="X20" s="339" t="n">
        <f aca="false">M20-N20-O20-P20-Q20-R20-S20-T20-U20+V20+W20-AT20+AR20</f>
        <v>293.124181734906</v>
      </c>
      <c r="Y20" s="339" t="n">
        <f aca="false">X20-AO20</f>
        <v>293.124181734906</v>
      </c>
      <c r="Z20" s="435"/>
      <c r="AA20" s="339"/>
      <c r="AB20" s="435"/>
      <c r="AC20" s="435" t="n">
        <f aca="false">AC19-(AQ19/1.9835)+AS20+AP20</f>
        <v>1947.31641888609</v>
      </c>
      <c r="AD20" s="443" t="n">
        <f aca="false">AD19</f>
        <v>3481.22006554071</v>
      </c>
      <c r="AE20" s="537" t="n">
        <v>17.9</v>
      </c>
      <c r="AF20" s="248" t="n">
        <v>1.7</v>
      </c>
      <c r="AG20" s="249" t="n">
        <v>1.3</v>
      </c>
      <c r="AH20" s="185" t="n">
        <v>15.9</v>
      </c>
      <c r="AI20" s="177" t="n">
        <f aca="false">AI19-AH20</f>
        <v>4198.53684762418</v>
      </c>
      <c r="AJ20" s="177"/>
      <c r="AK20" s="11" t="n">
        <f aca="false">N20+O20+P20+Q20+R20+S20+T20+U20+X20+AE20+AH20-AR20</f>
        <v>339.1</v>
      </c>
      <c r="AL20" s="185" t="n">
        <f aca="false">IF(L20&lt;0,L20*-1,0)</f>
        <v>1.10947819510969</v>
      </c>
      <c r="AM20" s="185" t="n">
        <f aca="false">AK20+AL20</f>
        <v>340.20947819511</v>
      </c>
      <c r="AN20" s="220"/>
      <c r="AO20" s="542"/>
      <c r="AP20" s="543" t="n">
        <f aca="false">I20-Q20-R20-X20-AF20</f>
        <v>-168.5265</v>
      </c>
      <c r="AQ20" s="544" t="n">
        <f aca="false">38.312*(Z20*1.9835+AC20*1.9835)/E20</f>
        <v>7.80033636082242</v>
      </c>
      <c r="AR20" s="544"/>
      <c r="AS20" s="545" t="n">
        <v>10.6</v>
      </c>
      <c r="AT20" s="4"/>
      <c r="AU20" s="4" t="n">
        <f aca="false">O20</f>
        <v>3.3915</v>
      </c>
      <c r="AV20" s="539" t="n">
        <v>0</v>
      </c>
      <c r="AW20" s="540" t="n">
        <v>86</v>
      </c>
      <c r="AX20" s="182" t="n">
        <v>58</v>
      </c>
      <c r="AY20" s="294"/>
      <c r="AZ20" s="250" t="n">
        <f aca="false">SUM(N20,P20:U20)</f>
        <v>8.7843182650943</v>
      </c>
      <c r="BA20" s="541" t="n">
        <v>50.4</v>
      </c>
      <c r="BB20" s="464" t="n">
        <v>7352</v>
      </c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2.95" hidden="false" customHeight="true" outlineLevel="0" collapsed="false">
      <c r="A21" s="183" t="n">
        <f aca="false">A20+1</f>
        <v>7</v>
      </c>
      <c r="B21" s="309" t="n">
        <v>6863.29</v>
      </c>
      <c r="C21" s="177" t="n">
        <v>170777</v>
      </c>
      <c r="D21" s="182" t="n">
        <f aca="false">C21-C20</f>
        <v>-194</v>
      </c>
      <c r="E21" s="177" t="n">
        <f aca="false">C21-152000</f>
        <v>18777</v>
      </c>
      <c r="F21" s="536" t="n">
        <f aca="false">D21/$D$2</f>
        <v>-97.8069069826065</v>
      </c>
      <c r="G21" s="537" t="n">
        <v>155</v>
      </c>
      <c r="H21" s="186" t="n">
        <v>0</v>
      </c>
      <c r="I21" s="185" t="n">
        <f aca="false">G21+H21</f>
        <v>155</v>
      </c>
      <c r="J21" s="179" t="n">
        <f aca="false">IF(L21&gt;0,L21,0)</f>
        <v>66.9930930173935</v>
      </c>
      <c r="K21" s="185" t="n">
        <f aca="false">I21+J21</f>
        <v>221.993093017393</v>
      </c>
      <c r="L21" s="185" t="n">
        <f aca="false">F21-(I21-AK21)</f>
        <v>66.9930930173935</v>
      </c>
      <c r="M21" s="538" t="n">
        <v>117</v>
      </c>
      <c r="N21" s="158" t="n">
        <v>0.25</v>
      </c>
      <c r="O21" s="185" t="n">
        <f aca="false">5.31*1.05</f>
        <v>5.5755</v>
      </c>
      <c r="P21" s="158" t="n">
        <v>0</v>
      </c>
      <c r="Q21" s="338" t="n">
        <f aca="false">1378400/325851/1.9835*1.02</f>
        <v>2.17532511138117</v>
      </c>
      <c r="R21" s="131" t="n">
        <v>4.2</v>
      </c>
      <c r="S21" s="131" t="n">
        <f aca="false">((5.8*1.04)-T21)-4.2</f>
        <v>0.676354079999999</v>
      </c>
      <c r="T21" s="131" t="n">
        <f aca="false">(1.0483*1.06)*1.04</f>
        <v>1.15564592</v>
      </c>
      <c r="U21" s="357" t="n">
        <v>0</v>
      </c>
      <c r="V21" s="185" t="n">
        <v>104</v>
      </c>
      <c r="W21" s="537" t="n">
        <v>64.1</v>
      </c>
      <c r="X21" s="339" t="n">
        <f aca="false">M21-N21-O21-P21-Q21-R21-S21-T21-U21+V21+W21-AT21+AR21</f>
        <v>271.067174888619</v>
      </c>
      <c r="Y21" s="339" t="n">
        <f aca="false">X21-AO21</f>
        <v>271.067174888619</v>
      </c>
      <c r="Z21" s="435"/>
      <c r="AA21" s="339"/>
      <c r="AB21" s="435"/>
      <c r="AC21" s="435" t="n">
        <f aca="false">AC20-(AQ20/1.9835)+AS21+AP21</f>
        <v>1829.84130665478</v>
      </c>
      <c r="AD21" s="443" t="n">
        <f aca="false">AD20</f>
        <v>3481.22006554071</v>
      </c>
      <c r="AE21" s="537" t="n">
        <v>18.9</v>
      </c>
      <c r="AF21" s="248" t="n">
        <v>1.7</v>
      </c>
      <c r="AG21" s="249" t="n">
        <v>1.3</v>
      </c>
      <c r="AH21" s="185" t="n">
        <v>15.8</v>
      </c>
      <c r="AI21" s="177" t="n">
        <f aca="false">AI20-AH21</f>
        <v>4182.73684762418</v>
      </c>
      <c r="AJ21" s="177"/>
      <c r="AK21" s="11" t="n">
        <f aca="false">N21+O21+P21+Q21+R21+S21+T21+U21+X21+AE21+AH21-AR21</f>
        <v>319.8</v>
      </c>
      <c r="AL21" s="185" t="n">
        <f aca="false">IF(L21&lt;0,L21*-1,0)</f>
        <v>0</v>
      </c>
      <c r="AM21" s="185" t="n">
        <f aca="false">AK21+AL21</f>
        <v>319.8</v>
      </c>
      <c r="AN21" s="220"/>
      <c r="AO21" s="542"/>
      <c r="AP21" s="543" t="n">
        <f aca="false">I21-Q21-R21-X21-AF21</f>
        <v>-124.1425</v>
      </c>
      <c r="AQ21" s="544" t="n">
        <f aca="false">0*(Z21*1.9835+AC21*1.9835)/E21</f>
        <v>0</v>
      </c>
      <c r="AR21" s="544"/>
      <c r="AS21" s="545" t="n">
        <v>10.6</v>
      </c>
      <c r="AT21" s="4"/>
      <c r="AU21" s="4" t="n">
        <f aca="false">O21</f>
        <v>5.5755</v>
      </c>
      <c r="AV21" s="539" t="n">
        <v>0.15</v>
      </c>
      <c r="AW21" s="540" t="n">
        <v>76</v>
      </c>
      <c r="AX21" s="182" t="n">
        <v>55</v>
      </c>
      <c r="AY21" s="294"/>
      <c r="AZ21" s="250" t="n">
        <f aca="false">SUM(N21,P21:U21)</f>
        <v>8.45732511138117</v>
      </c>
      <c r="BA21" s="541" t="n">
        <v>52.6</v>
      </c>
      <c r="BB21" s="464" t="n">
        <v>7258</v>
      </c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2.95" hidden="false" customHeight="true" outlineLevel="0" collapsed="false">
      <c r="A22" s="183" t="n">
        <f aca="false">A21+1</f>
        <v>8</v>
      </c>
      <c r="B22" s="309" t="n">
        <v>6863.23</v>
      </c>
      <c r="C22" s="177" t="n">
        <v>170632</v>
      </c>
      <c r="D22" s="182" t="n">
        <f aca="false">C22-C21</f>
        <v>-145</v>
      </c>
      <c r="E22" s="177" t="n">
        <f aca="false">C22-152000</f>
        <v>18632</v>
      </c>
      <c r="F22" s="536" t="n">
        <f aca="false">D22/$D$2</f>
        <v>-73.1031005797832</v>
      </c>
      <c r="G22" s="537" t="n">
        <v>239</v>
      </c>
      <c r="H22" s="186" t="n">
        <v>0</v>
      </c>
      <c r="I22" s="185" t="n">
        <f aca="false">G22+H22</f>
        <v>239</v>
      </c>
      <c r="J22" s="179" t="n">
        <f aca="false">IF(L22&gt;0,L22,0)</f>
        <v>0</v>
      </c>
      <c r="K22" s="185" t="n">
        <f aca="false">I22+J22</f>
        <v>239</v>
      </c>
      <c r="L22" s="185" t="n">
        <f aca="false">F22-(I22-AK22)</f>
        <v>-44.1031005797832</v>
      </c>
      <c r="M22" s="538" t="n">
        <v>87.6</v>
      </c>
      <c r="N22" s="158" t="n">
        <v>0.25</v>
      </c>
      <c r="O22" s="185" t="n">
        <f aca="false">2.41*1.05</f>
        <v>2.5305</v>
      </c>
      <c r="P22" s="158" t="n">
        <v>0</v>
      </c>
      <c r="Q22" s="338" t="n">
        <f aca="false">1550400/325851/1.9835*1.02</f>
        <v>2.44676730461794</v>
      </c>
      <c r="R22" s="131" t="n">
        <v>4.2</v>
      </c>
      <c r="S22" s="131" t="n">
        <f aca="false">((5.8*1.04)-T22)-4.2</f>
        <v>0.676354079999999</v>
      </c>
      <c r="T22" s="131" t="n">
        <f aca="false">(1.0483*1.06)*1.04</f>
        <v>1.15564592</v>
      </c>
      <c r="U22" s="357" t="n">
        <v>0</v>
      </c>
      <c r="V22" s="185" t="n">
        <v>97.8</v>
      </c>
      <c r="W22" s="537" t="n">
        <v>53.9</v>
      </c>
      <c r="X22" s="339" t="n">
        <f aca="false">M22-N22-O22-P22-Q22-R22-S22-T22-U22+V22+W22-AT22+AR22</f>
        <v>228.040732695382</v>
      </c>
      <c r="Y22" s="339" t="n">
        <f aca="false">X22-AO22</f>
        <v>228.040732695382</v>
      </c>
      <c r="Z22" s="435"/>
      <c r="AA22" s="339"/>
      <c r="AB22" s="435"/>
      <c r="AC22" s="435" t="n">
        <f aca="false">AC21-(AQ21/1.9835)+AS22+AP22</f>
        <v>1840.44130665478</v>
      </c>
      <c r="AD22" s="443" t="n">
        <f aca="false">AD21</f>
        <v>3481.22006554071</v>
      </c>
      <c r="AE22" s="537" t="n">
        <v>13.1</v>
      </c>
      <c r="AF22" s="248" t="n">
        <v>1.7</v>
      </c>
      <c r="AG22" s="249" t="n">
        <v>1.3</v>
      </c>
      <c r="AH22" s="185" t="n">
        <v>15.6</v>
      </c>
      <c r="AI22" s="177" t="n">
        <f aca="false">AI21-AH22</f>
        <v>4167.13684762418</v>
      </c>
      <c r="AJ22" s="177"/>
      <c r="AK22" s="11" t="n">
        <f aca="false">N22+O22+P22+Q22+R22+S22+T22+U22+X22+AE22+AH22-AR22</f>
        <v>268</v>
      </c>
      <c r="AL22" s="185" t="n">
        <f aca="false">IF(L22&lt;0,L22*-1,0)</f>
        <v>44.1031005797832</v>
      </c>
      <c r="AM22" s="185" t="n">
        <f aca="false">AK22+AL22</f>
        <v>312.103100579783</v>
      </c>
      <c r="AN22" s="220"/>
      <c r="AO22" s="542"/>
      <c r="AP22" s="502" t="n">
        <f aca="false">IF((I22-Q22-R22-X22-AF22)&gt;0,0,I22-Q22-R22-X22-AF22)</f>
        <v>0</v>
      </c>
      <c r="AQ22" s="544" t="n">
        <f aca="false">26.427*(Z22*1.9835+AC22*1.9835)/E22</f>
        <v>5.17776774753921</v>
      </c>
      <c r="AR22" s="544"/>
      <c r="AS22" s="545" t="n">
        <v>10.6</v>
      </c>
      <c r="AT22" s="4"/>
      <c r="AU22" s="4" t="n">
        <f aca="false">O22</f>
        <v>2.5305</v>
      </c>
      <c r="AV22" s="539" t="n">
        <v>0.01</v>
      </c>
      <c r="AW22" s="540" t="n">
        <v>81</v>
      </c>
      <c r="AX22" s="182" t="n">
        <v>53</v>
      </c>
      <c r="AY22" s="294"/>
      <c r="AZ22" s="250" t="n">
        <f aca="false">SUM(N22,P22:U22)</f>
        <v>8.72876730461794</v>
      </c>
      <c r="BA22" s="541" t="n">
        <v>52.2</v>
      </c>
      <c r="BB22" s="464" t="n">
        <v>7160</v>
      </c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2.95" hidden="false" customHeight="true" outlineLevel="0" collapsed="false">
      <c r="A23" s="183" t="n">
        <f aca="false">A22+1</f>
        <v>9</v>
      </c>
      <c r="B23" s="309" t="n">
        <v>6863.21</v>
      </c>
      <c r="C23" s="177" t="n">
        <v>170584</v>
      </c>
      <c r="D23" s="182" t="n">
        <f aca="false">C23-C22</f>
        <v>-48</v>
      </c>
      <c r="E23" s="177" t="n">
        <f aca="false">C23-152000</f>
        <v>18584</v>
      </c>
      <c r="F23" s="536" t="n">
        <f aca="false">D23/$D$2</f>
        <v>-24.19964708848</v>
      </c>
      <c r="G23" s="537" t="n">
        <v>244</v>
      </c>
      <c r="H23" s="186" t="n">
        <v>0</v>
      </c>
      <c r="I23" s="185" t="n">
        <f aca="false">G23+H23</f>
        <v>244</v>
      </c>
      <c r="J23" s="179" t="n">
        <f aca="false">IF(L23&gt;0,L23,0)</f>
        <v>13.9003529115201</v>
      </c>
      <c r="K23" s="185" t="n">
        <f aca="false">I23+J23</f>
        <v>257.90035291152</v>
      </c>
      <c r="L23" s="185" t="n">
        <f aca="false">F23-(I23-AK23)</f>
        <v>13.9003529115201</v>
      </c>
      <c r="M23" s="538" t="n">
        <v>92.7</v>
      </c>
      <c r="N23" s="158" t="n">
        <v>0.25</v>
      </c>
      <c r="O23" s="185" t="n">
        <f aca="false">0*1.05</f>
        <v>0</v>
      </c>
      <c r="P23" s="158" t="n">
        <v>0</v>
      </c>
      <c r="Q23" s="338" t="n">
        <f aca="false">1779000/325851/1.9835*1.02</f>
        <v>2.80753291725704</v>
      </c>
      <c r="R23" s="131" t="n">
        <v>4.2</v>
      </c>
      <c r="S23" s="131" t="n">
        <f aca="false">((5.8*1.04)-T23)-4.2</f>
        <v>0.77060928</v>
      </c>
      <c r="T23" s="131" t="n">
        <f aca="false">(0.9628*1.06)*1.04</f>
        <v>1.06139072</v>
      </c>
      <c r="U23" s="357" t="n">
        <v>0</v>
      </c>
      <c r="V23" s="185" t="n">
        <v>94.7</v>
      </c>
      <c r="W23" s="537" t="n">
        <v>59.5</v>
      </c>
      <c r="X23" s="339" t="n">
        <f aca="false">M23-N23-O23-P23-Q23-R23-S23-T23-U23+V23+W23-AT23+AR23</f>
        <v>237.810467082743</v>
      </c>
      <c r="Y23" s="339" t="n">
        <f aca="false">X23-AO23</f>
        <v>237.810467082743</v>
      </c>
      <c r="Z23" s="435"/>
      <c r="AA23" s="339"/>
      <c r="AB23" s="435"/>
      <c r="AC23" s="435" t="n">
        <f aca="false">AC22+AS23+AP23</f>
        <v>1848.52330665477</v>
      </c>
      <c r="AD23" s="443" t="n">
        <f aca="false">AD22</f>
        <v>3481.22006554071</v>
      </c>
      <c r="AE23" s="537" t="n">
        <v>19.6</v>
      </c>
      <c r="AF23" s="248" t="n">
        <v>1.7</v>
      </c>
      <c r="AG23" s="249" t="n">
        <v>1.3</v>
      </c>
      <c r="AH23" s="185" t="n">
        <v>15.6</v>
      </c>
      <c r="AI23" s="177" t="n">
        <f aca="false">AI22-AH23</f>
        <v>4151.53684762418</v>
      </c>
      <c r="AJ23" s="177"/>
      <c r="AK23" s="11" t="n">
        <f aca="false">N23+O23+P23+Q23+R23+S23+T23+U23+X23+AE23+AH23-AR23</f>
        <v>282.1</v>
      </c>
      <c r="AL23" s="185" t="n">
        <f aca="false">IF(L23&lt;0,L23*-1,0)</f>
        <v>0</v>
      </c>
      <c r="AM23" s="185" t="n">
        <f aca="false">AK23+AL23</f>
        <v>282.1</v>
      </c>
      <c r="AN23" s="220"/>
      <c r="AO23" s="542"/>
      <c r="AP23" s="543" t="n">
        <f aca="false">I23-Q23-R23-X23-AF23</f>
        <v>-2.51799999999998</v>
      </c>
      <c r="AQ23" s="544" t="n">
        <f aca="false">30.342*(Z23*1.9835+AC23*1.9835)/E23</f>
        <v>5.98635052126694</v>
      </c>
      <c r="AR23" s="544"/>
      <c r="AS23" s="545" t="n">
        <v>10.6</v>
      </c>
      <c r="AT23" s="4"/>
      <c r="AU23" s="4" t="n">
        <f aca="false">O23</f>
        <v>0</v>
      </c>
      <c r="AV23" s="539" t="n">
        <v>0</v>
      </c>
      <c r="AW23" s="546" t="n">
        <v>85</v>
      </c>
      <c r="AX23" s="182" t="n">
        <v>50</v>
      </c>
      <c r="AY23" s="294"/>
      <c r="AZ23" s="250" t="n">
        <f aca="false">SUM(N23,P23:U23)</f>
        <v>9.08953291725704</v>
      </c>
      <c r="BA23" s="541" t="n">
        <v>52</v>
      </c>
      <c r="BB23" s="464" t="n">
        <v>7062</v>
      </c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2.95" hidden="false" customHeight="true" outlineLevel="0" collapsed="false">
      <c r="A24" s="183" t="n">
        <f aca="false">A23+1</f>
        <v>10</v>
      </c>
      <c r="B24" s="309" t="n">
        <v>6863.18</v>
      </c>
      <c r="C24" s="177" t="n">
        <v>170511</v>
      </c>
      <c r="D24" s="182" t="n">
        <f aca="false">C24-C23</f>
        <v>-73</v>
      </c>
      <c r="E24" s="177" t="n">
        <f aca="false">C24-152000</f>
        <v>18511</v>
      </c>
      <c r="F24" s="536" t="n">
        <f aca="false">D24/$D$2</f>
        <v>-36.8036299470633</v>
      </c>
      <c r="G24" s="537" t="n">
        <v>208</v>
      </c>
      <c r="H24" s="186" t="n">
        <v>0</v>
      </c>
      <c r="I24" s="185" t="n">
        <f aca="false">G24+H24</f>
        <v>208</v>
      </c>
      <c r="J24" s="179" t="n">
        <f aca="false">IF(L24&gt;0,L24,0)</f>
        <v>11.0963700529367</v>
      </c>
      <c r="K24" s="185" t="n">
        <f aca="false">I24+J24</f>
        <v>219.096370052937</v>
      </c>
      <c r="L24" s="185" t="n">
        <f aca="false">F24-(I24-AK24)</f>
        <v>11.0963700529367</v>
      </c>
      <c r="M24" s="538" t="n">
        <v>82.9</v>
      </c>
      <c r="N24" s="158" t="n">
        <v>0.25</v>
      </c>
      <c r="O24" s="185" t="n">
        <f aca="false">0*1.05</f>
        <v>0</v>
      </c>
      <c r="P24" s="158" t="n">
        <v>0</v>
      </c>
      <c r="Q24" s="338" t="n">
        <f aca="false">1616400/325851/1.9835*1.02</f>
        <v>2.55092535551112</v>
      </c>
      <c r="R24" s="131" t="n">
        <v>4.2</v>
      </c>
      <c r="S24" s="131" t="n">
        <f aca="false">((5.8*1.04)-T24)-4.2</f>
        <v>0.77060928</v>
      </c>
      <c r="T24" s="131" t="n">
        <f aca="false">(0.9628*1.06)*1.04</f>
        <v>1.06139072</v>
      </c>
      <c r="U24" s="357" t="n">
        <v>0</v>
      </c>
      <c r="V24" s="185" t="n">
        <v>86.7</v>
      </c>
      <c r="W24" s="537" t="n">
        <v>57.2</v>
      </c>
      <c r="X24" s="339" t="n">
        <f aca="false">M24-N24-O24-P24-Q24-R24-S24-T24-U24+V24+W24-AT24+AR24</f>
        <v>217.967074644489</v>
      </c>
      <c r="Y24" s="339" t="n">
        <f aca="false">X24-AO24</f>
        <v>217.967074644489</v>
      </c>
      <c r="Z24" s="435"/>
      <c r="AA24" s="339"/>
      <c r="AB24" s="435"/>
      <c r="AC24" s="435" t="n">
        <f aca="false">AC23-(AQ23/1.9835)+AS24+AP24</f>
        <v>1837.68723228055</v>
      </c>
      <c r="AD24" s="443" t="n">
        <f aca="false">AD23</f>
        <v>3481.22006554071</v>
      </c>
      <c r="AE24" s="537" t="n">
        <v>13.4</v>
      </c>
      <c r="AF24" s="248" t="n">
        <v>1.7</v>
      </c>
      <c r="AG24" s="249" t="n">
        <v>1.3</v>
      </c>
      <c r="AH24" s="185" t="n">
        <v>15.7</v>
      </c>
      <c r="AI24" s="177" t="n">
        <f aca="false">AI23-AH24</f>
        <v>4135.83684762418</v>
      </c>
      <c r="AJ24" s="177"/>
      <c r="AK24" s="11" t="n">
        <f aca="false">N24+O24+P24+Q24+R24+S24+T24+U24+X24+AE24+AH24-AR24</f>
        <v>255.9</v>
      </c>
      <c r="AL24" s="185" t="n">
        <f aca="false">IF(L24&lt;0,L24*-1,0)</f>
        <v>0</v>
      </c>
      <c r="AM24" s="185" t="n">
        <f aca="false">AK24+AL24</f>
        <v>255.9</v>
      </c>
      <c r="AN24" s="220"/>
      <c r="AO24" s="542"/>
      <c r="AP24" s="543" t="n">
        <f aca="false">I24-Q24-R24-X24-AF24</f>
        <v>-18.418</v>
      </c>
      <c r="AQ24" s="544" t="n">
        <f aca="false">0*(Z24*1.9835+AC24*1.9835)/E24</f>
        <v>0</v>
      </c>
      <c r="AR24" s="544"/>
      <c r="AS24" s="545" t="n">
        <v>10.6</v>
      </c>
      <c r="AT24" s="4"/>
      <c r="AU24" s="4" t="n">
        <f aca="false">O24</f>
        <v>0</v>
      </c>
      <c r="AV24" s="539" t="n">
        <v>0.33</v>
      </c>
      <c r="AW24" s="540" t="n">
        <v>81</v>
      </c>
      <c r="AX24" s="182" t="n">
        <v>51</v>
      </c>
      <c r="AY24" s="294"/>
      <c r="AZ24" s="250" t="n">
        <f aca="false">SUM(N24,P24:U24)</f>
        <v>8.83292535551112</v>
      </c>
      <c r="BA24" s="541" t="n">
        <v>52</v>
      </c>
      <c r="BB24" s="464" t="n">
        <v>6995</v>
      </c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2.95" hidden="false" customHeight="true" outlineLevel="0" collapsed="false">
      <c r="A25" s="183" t="n">
        <v>11</v>
      </c>
      <c r="B25" s="309" t="n">
        <v>6863.22</v>
      </c>
      <c r="C25" s="177" t="n">
        <v>170608</v>
      </c>
      <c r="D25" s="182" t="n">
        <f aca="false">C25-C24</f>
        <v>97</v>
      </c>
      <c r="E25" s="177" t="n">
        <f aca="false">C25-152000</f>
        <v>18608</v>
      </c>
      <c r="F25" s="536" t="n">
        <f aca="false">D25/$D$2</f>
        <v>48.9034534913033</v>
      </c>
      <c r="G25" s="537" t="n">
        <v>313</v>
      </c>
      <c r="H25" s="186" t="n">
        <v>0</v>
      </c>
      <c r="I25" s="185" t="n">
        <f aca="false">G25+H25</f>
        <v>313</v>
      </c>
      <c r="J25" s="179" t="n">
        <f aca="false">IF(L25&gt;0,L25,0)</f>
        <v>0</v>
      </c>
      <c r="K25" s="185" t="n">
        <f aca="false">I25+J25</f>
        <v>313</v>
      </c>
      <c r="L25" s="185" t="n">
        <f aca="false">F25-(I25-AK25)</f>
        <v>-4.3965465086967</v>
      </c>
      <c r="M25" s="538" t="n">
        <v>83.3</v>
      </c>
      <c r="N25" s="158" t="n">
        <v>0.25</v>
      </c>
      <c r="O25" s="185" t="n">
        <f aca="false">0*1.05</f>
        <v>0</v>
      </c>
      <c r="P25" s="158" t="n">
        <v>0</v>
      </c>
      <c r="Q25" s="338" t="n">
        <f aca="false">1725200/325851/1.9835*1.02</f>
        <v>2.72262832425624</v>
      </c>
      <c r="R25" s="131" t="n">
        <v>4.2</v>
      </c>
      <c r="S25" s="131" t="n">
        <f aca="false">((5.3*1.04)-T25)-4.2</f>
        <v>0.250609279999999</v>
      </c>
      <c r="T25" s="131" t="n">
        <f aca="false">(0.9628*1.06)*1.04</f>
        <v>1.06139072</v>
      </c>
      <c r="U25" s="357" t="n">
        <v>0</v>
      </c>
      <c r="V25" s="185" t="n">
        <v>90.6</v>
      </c>
      <c r="W25" s="537" t="n">
        <v>56.4</v>
      </c>
      <c r="X25" s="339" t="n">
        <f aca="false">M25-N25-O25-P25-Q25-R25-S25-T25-U25+V25+W25-AT25+AR25</f>
        <v>221.815371675744</v>
      </c>
      <c r="Y25" s="339" t="n">
        <f aca="false">X25-AO25</f>
        <v>221.815371675744</v>
      </c>
      <c r="Z25" s="435"/>
      <c r="AA25" s="339"/>
      <c r="AB25" s="435"/>
      <c r="AC25" s="435" t="n">
        <f aca="false">AC24-(AQ24/1.9835)+AS25+AP25</f>
        <v>1848.28723228055</v>
      </c>
      <c r="AD25" s="443" t="n">
        <f aca="false">AD24</f>
        <v>3481.22006554071</v>
      </c>
      <c r="AE25" s="537" t="n">
        <v>13.8</v>
      </c>
      <c r="AF25" s="248" t="n">
        <v>1.7</v>
      </c>
      <c r="AG25" s="249" t="n">
        <v>1.3</v>
      </c>
      <c r="AH25" s="185" t="n">
        <v>15.6</v>
      </c>
      <c r="AI25" s="177" t="n">
        <f aca="false">AI24-AH25</f>
        <v>4120.23684762418</v>
      </c>
      <c r="AJ25" s="177"/>
      <c r="AK25" s="11" t="n">
        <f aca="false">N25+O25+P25+Q25+R25+S25+T25+U25+X25+AE25+AH25-AR25</f>
        <v>259.7</v>
      </c>
      <c r="AL25" s="185" t="n">
        <f aca="false">IF(L25&lt;0,L25*-1,0)</f>
        <v>4.3965465086967</v>
      </c>
      <c r="AM25" s="185" t="n">
        <f aca="false">AK25+AL25</f>
        <v>264.096546508697</v>
      </c>
      <c r="AN25" s="220"/>
      <c r="AO25" s="542"/>
      <c r="AP25" s="502" t="n">
        <f aca="false">IF((I25-Q25-R25-X25-AF25)&gt;0,0,I25-Q25-R25-X25-AF25)</f>
        <v>0</v>
      </c>
      <c r="AQ25" s="544" t="n">
        <f aca="false">26.707*(Z25*1.9835+AC25*1.9835)/E25</f>
        <v>5.26171204899382</v>
      </c>
      <c r="AR25" s="544"/>
      <c r="AS25" s="545" t="n">
        <v>10.6</v>
      </c>
      <c r="AT25" s="4"/>
      <c r="AU25" s="4" t="n">
        <f aca="false">O25</f>
        <v>0</v>
      </c>
      <c r="AV25" s="539" t="n">
        <v>0</v>
      </c>
      <c r="AW25" s="540" t="n">
        <v>83</v>
      </c>
      <c r="AX25" s="182" t="n">
        <v>48</v>
      </c>
      <c r="AY25" s="294"/>
      <c r="AZ25" s="250" t="n">
        <f aca="false">SUM(N25,P25:U25)</f>
        <v>8.48462832425624</v>
      </c>
      <c r="BA25" s="541" t="n">
        <v>51.5</v>
      </c>
      <c r="BB25" s="464" t="n">
        <v>6960</v>
      </c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2.95" hidden="false" customHeight="true" outlineLevel="0" collapsed="false">
      <c r="A26" s="183" t="n">
        <v>12</v>
      </c>
      <c r="B26" s="309" t="n">
        <v>6863.18</v>
      </c>
      <c r="C26" s="177" t="n">
        <v>170511</v>
      </c>
      <c r="D26" s="182" t="n">
        <f aca="false">C26-C25</f>
        <v>-97</v>
      </c>
      <c r="E26" s="177" t="n">
        <f aca="false">C26-152000</f>
        <v>18511</v>
      </c>
      <c r="F26" s="536" t="n">
        <f aca="false">D26/$D$2</f>
        <v>-48.9034534913033</v>
      </c>
      <c r="G26" s="537" t="n">
        <v>246</v>
      </c>
      <c r="H26" s="186" t="n">
        <v>0</v>
      </c>
      <c r="I26" s="185" t="n">
        <f aca="false">G26+H26</f>
        <v>246</v>
      </c>
      <c r="J26" s="179" t="n">
        <f aca="false">IF(L26&gt;0,L26,0)</f>
        <v>0</v>
      </c>
      <c r="K26" s="185" t="n">
        <f aca="false">I26+J26</f>
        <v>246</v>
      </c>
      <c r="L26" s="185" t="n">
        <f aca="false">F26-(I26-AK26)</f>
        <v>-18.6534534913033</v>
      </c>
      <c r="M26" s="538" t="n">
        <v>98.7</v>
      </c>
      <c r="N26" s="158" t="n">
        <v>0.25</v>
      </c>
      <c r="O26" s="185" t="n">
        <f aca="false">0*1.05</f>
        <v>0</v>
      </c>
      <c r="P26" s="158" t="n">
        <v>0</v>
      </c>
      <c r="Q26" s="338" t="n">
        <f aca="false">1532300/325851/1.9835*1.02</f>
        <v>2.41820274823663</v>
      </c>
      <c r="R26" s="131" t="n">
        <f aca="false">(4*1.04)-T26</f>
        <v>3.09860928</v>
      </c>
      <c r="S26" s="131" t="n">
        <v>0</v>
      </c>
      <c r="T26" s="131" t="n">
        <f aca="false">(0.9628*1.06)*1.04</f>
        <v>1.06139072</v>
      </c>
      <c r="U26" s="357" t="n">
        <v>0</v>
      </c>
      <c r="V26" s="185" t="n">
        <v>92.6</v>
      </c>
      <c r="W26" s="537" t="n">
        <v>61.2</v>
      </c>
      <c r="X26" s="339" t="n">
        <f aca="false">M26-N26-O26-P26-Q26-R26-S26-T26-U26+V26+W26-AT26+AR26</f>
        <v>245.671797251763</v>
      </c>
      <c r="Y26" s="339" t="n">
        <f aca="false">X26-AO26</f>
        <v>245.671797251763</v>
      </c>
      <c r="Z26" s="435"/>
      <c r="AA26" s="339"/>
      <c r="AB26" s="435"/>
      <c r="AC26" s="435" t="n">
        <f aca="false">AC25+AS26+AP26</f>
        <v>1851.99862300055</v>
      </c>
      <c r="AD26" s="443" t="n">
        <f aca="false">AD25</f>
        <v>3481.22006554071</v>
      </c>
      <c r="AE26" s="537" t="n">
        <v>8.15</v>
      </c>
      <c r="AF26" s="248" t="n">
        <v>1.7</v>
      </c>
      <c r="AG26" s="249" t="n">
        <v>1.3</v>
      </c>
      <c r="AH26" s="185" t="n">
        <v>15.6</v>
      </c>
      <c r="AI26" s="177" t="n">
        <f aca="false">AI25-AH26</f>
        <v>4104.63684762418</v>
      </c>
      <c r="AJ26" s="177"/>
      <c r="AK26" s="11" t="n">
        <f aca="false">N26+O26+P26+Q26+R26+S26+T26+U26+X26+AE26+AH26-AR26</f>
        <v>276.25</v>
      </c>
      <c r="AL26" s="185" t="n">
        <f aca="false">IF(L26&lt;0,L26*-1,0)</f>
        <v>18.6534534913033</v>
      </c>
      <c r="AM26" s="185" t="n">
        <f aca="false">AK26+AL26</f>
        <v>294.903453491303</v>
      </c>
      <c r="AN26" s="220"/>
      <c r="AO26" s="542"/>
      <c r="AP26" s="543" t="n">
        <f aca="false">I26-Q26-R26-X26-AF26</f>
        <v>-6.88860927999998</v>
      </c>
      <c r="AQ26" s="544" t="n">
        <f aca="false">61.243*(Z26*1.9835+AC26*1.9835)/E26</f>
        <v>12.153446120378</v>
      </c>
      <c r="AR26" s="544"/>
      <c r="AS26" s="545" t="n">
        <v>10.6</v>
      </c>
      <c r="AT26" s="4"/>
      <c r="AU26" s="4" t="n">
        <f aca="false">O26</f>
        <v>0</v>
      </c>
      <c r="AV26" s="539" t="n">
        <v>0</v>
      </c>
      <c r="AW26" s="540" t="n">
        <v>84</v>
      </c>
      <c r="AX26" s="182" t="n">
        <v>53</v>
      </c>
      <c r="AY26" s="294"/>
      <c r="AZ26" s="250" t="n">
        <f aca="false">SUM(N26,P26:U26)</f>
        <v>6.82820274823663</v>
      </c>
      <c r="BA26" s="541" t="n">
        <v>51.2</v>
      </c>
      <c r="BB26" s="464" t="n">
        <v>6872</v>
      </c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2.95" hidden="false" customHeight="true" outlineLevel="0" collapsed="false">
      <c r="A27" s="183" t="n">
        <v>13</v>
      </c>
      <c r="B27" s="309" t="n">
        <v>6863.08</v>
      </c>
      <c r="C27" s="177" t="n">
        <v>170270</v>
      </c>
      <c r="D27" s="182" t="n">
        <f aca="false">C27-C26</f>
        <v>-241</v>
      </c>
      <c r="E27" s="177" t="n">
        <f aca="false">C27-152000</f>
        <v>18270</v>
      </c>
      <c r="F27" s="536" t="n">
        <f aca="false">D27/$D$2</f>
        <v>-121.502394756743</v>
      </c>
      <c r="G27" s="537" t="n">
        <v>206</v>
      </c>
      <c r="H27" s="186" t="n">
        <v>0</v>
      </c>
      <c r="I27" s="185" t="n">
        <f aca="false">G27+H27</f>
        <v>206</v>
      </c>
      <c r="J27" s="179" t="n">
        <f aca="false">IF(L27&gt;0,L27,0)</f>
        <v>0</v>
      </c>
      <c r="K27" s="185" t="n">
        <f aca="false">I27+J27</f>
        <v>206</v>
      </c>
      <c r="L27" s="185" t="n">
        <f aca="false">F27-(I27-AK27)</f>
        <v>-0.302394756743084</v>
      </c>
      <c r="M27" s="538" t="n">
        <v>143</v>
      </c>
      <c r="N27" s="158" t="n">
        <v>0.25</v>
      </c>
      <c r="O27" s="185" t="n">
        <f aca="false">0*1.05</f>
        <v>0</v>
      </c>
      <c r="P27" s="158" t="n">
        <v>0</v>
      </c>
      <c r="Q27" s="338" t="n">
        <f aca="false">1797100/325851/1.9835*1.02</f>
        <v>2.83609747363835</v>
      </c>
      <c r="R27" s="131" t="n">
        <f aca="false">(4*1.04)-T27</f>
        <v>3.09860928</v>
      </c>
      <c r="S27" s="131" t="n">
        <v>0</v>
      </c>
      <c r="T27" s="131" t="n">
        <f aca="false">(0.9628*1.06)*1.04</f>
        <v>1.06139072</v>
      </c>
      <c r="U27" s="357" t="n">
        <v>0</v>
      </c>
      <c r="V27" s="185" t="n">
        <v>85.3</v>
      </c>
      <c r="W27" s="537" t="n">
        <v>59.7</v>
      </c>
      <c r="X27" s="339" t="n">
        <f aca="false">M27-N27-O27-P27-Q27-R27-S27-T27-U27+V27+W27-AT27+AR27</f>
        <v>280.753902526362</v>
      </c>
      <c r="Y27" s="339" t="n">
        <f aca="false">X27-AO27</f>
        <v>280.753902526362</v>
      </c>
      <c r="Z27" s="435"/>
      <c r="AA27" s="339"/>
      <c r="AB27" s="435"/>
      <c r="AC27" s="435" t="n">
        <f aca="false">AC26-(AQ26/1.9835)+AS27+AP27</f>
        <v>1774.0827406576</v>
      </c>
      <c r="AD27" s="443" t="n">
        <f aca="false">AD26</f>
        <v>3481.22006554071</v>
      </c>
      <c r="AE27" s="537" t="n">
        <v>23.6</v>
      </c>
      <c r="AF27" s="248" t="n">
        <v>1.7</v>
      </c>
      <c r="AG27" s="249" t="n">
        <v>1.3</v>
      </c>
      <c r="AH27" s="185" t="n">
        <v>15.6</v>
      </c>
      <c r="AI27" s="177" t="n">
        <f aca="false">AI26-AH27</f>
        <v>4089.03684762418</v>
      </c>
      <c r="AJ27" s="177"/>
      <c r="AK27" s="11" t="n">
        <f aca="false">N27+O27+P27+Q27+R27+S27+T27+U27+X27+AE27+AH27-AR27</f>
        <v>327.2</v>
      </c>
      <c r="AL27" s="185" t="n">
        <f aca="false">IF(L27&lt;0,L27*-1,0)</f>
        <v>0.302394756743084</v>
      </c>
      <c r="AM27" s="185" t="n">
        <f aca="false">AK27+AL27</f>
        <v>327.502394756743</v>
      </c>
      <c r="AN27" s="220"/>
      <c r="AO27" s="542"/>
      <c r="AP27" s="543" t="n">
        <f aca="false">I27-Q27-R27-X27-AF27</f>
        <v>-82.38860928</v>
      </c>
      <c r="AQ27" s="544" t="n">
        <f aca="false">38.032*(Z27*1.9835+AC27*1.9835)/E27</f>
        <v>7.32515287308703</v>
      </c>
      <c r="AR27" s="544"/>
      <c r="AS27" s="545" t="n">
        <v>10.6</v>
      </c>
      <c r="AT27" s="4"/>
      <c r="AU27" s="4" t="n">
        <f aca="false">O27</f>
        <v>0</v>
      </c>
      <c r="AV27" s="539" t="n">
        <v>0</v>
      </c>
      <c r="AW27" s="540" t="n">
        <v>85</v>
      </c>
      <c r="AX27" s="182" t="n">
        <v>52</v>
      </c>
      <c r="AY27" s="294"/>
      <c r="AZ27" s="250" t="n">
        <f aca="false">SUM(N27,P27:U27)</f>
        <v>7.24609747363835</v>
      </c>
      <c r="BA27" s="541" t="n">
        <v>51.1</v>
      </c>
      <c r="BB27" s="464" t="n">
        <v>6773</v>
      </c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2.95" hidden="false" customHeight="true" outlineLevel="0" collapsed="false">
      <c r="A28" s="183" t="n">
        <v>14</v>
      </c>
      <c r="B28" s="309" t="n">
        <v>6862.92</v>
      </c>
      <c r="C28" s="177" t="n">
        <v>169886</v>
      </c>
      <c r="D28" s="182" t="n">
        <f aca="false">C28-C27</f>
        <v>-384</v>
      </c>
      <c r="E28" s="177" t="n">
        <f aca="false">C28-152000</f>
        <v>17886</v>
      </c>
      <c r="F28" s="536" t="n">
        <f aca="false">D28/$D$2</f>
        <v>-193.59717670784</v>
      </c>
      <c r="G28" s="537" t="n">
        <v>180</v>
      </c>
      <c r="H28" s="186" t="n">
        <v>0</v>
      </c>
      <c r="I28" s="185" t="n">
        <f aca="false">G28+H28</f>
        <v>180</v>
      </c>
      <c r="J28" s="179" t="n">
        <f aca="false">IF(L28&gt;0,L28,0)</f>
        <v>0</v>
      </c>
      <c r="K28" s="185" t="n">
        <f aca="false">I28+J28</f>
        <v>180</v>
      </c>
      <c r="L28" s="185" t="n">
        <f aca="false">F28-(I28-AK28)</f>
        <v>-23.1971767078396</v>
      </c>
      <c r="M28" s="538" t="n">
        <v>156</v>
      </c>
      <c r="N28" s="158" t="n">
        <v>0.25</v>
      </c>
      <c r="O28" s="185" t="n">
        <f aca="false">0*1.05</f>
        <v>0</v>
      </c>
      <c r="P28" s="158" t="n">
        <v>0</v>
      </c>
      <c r="Q28" s="338" t="n">
        <f aca="false">2000100/325851/1.9835*1.02</f>
        <v>3.15646238774919</v>
      </c>
      <c r="R28" s="131" t="n">
        <v>4.2</v>
      </c>
      <c r="S28" s="131" t="n">
        <f aca="false">((5.4*1.04)-T28)-4.2</f>
        <v>0.35460928</v>
      </c>
      <c r="T28" s="131" t="n">
        <f aca="false">(0.9628*1.06)*1.04</f>
        <v>1.06139072</v>
      </c>
      <c r="U28" s="357" t="n">
        <v>0</v>
      </c>
      <c r="V28" s="185" t="n">
        <v>87.7</v>
      </c>
      <c r="W28" s="537" t="n">
        <v>58.6</v>
      </c>
      <c r="X28" s="339" t="n">
        <f aca="false">M28-N28-O28-P28-Q28-R28-S28-T28-U28+V28+W28-AT28+AR28</f>
        <v>293.277537612251</v>
      </c>
      <c r="Y28" s="339" t="n">
        <f aca="false">X28-AO28</f>
        <v>293.277537612251</v>
      </c>
      <c r="Z28" s="435"/>
      <c r="AA28" s="339"/>
      <c r="AB28" s="435"/>
      <c r="AC28" s="435" t="n">
        <f aca="false">AC27-(AQ27/1.9835)+AS28+AP28</f>
        <v>1658.65569660764</v>
      </c>
      <c r="AD28" s="443" t="n">
        <f aca="false">AD27</f>
        <v>3481.22006554071</v>
      </c>
      <c r="AE28" s="537" t="n">
        <v>32.5</v>
      </c>
      <c r="AF28" s="248" t="n">
        <v>1.7</v>
      </c>
      <c r="AG28" s="249" t="n">
        <v>1.3</v>
      </c>
      <c r="AH28" s="185" t="n">
        <v>15.6</v>
      </c>
      <c r="AI28" s="177" t="n">
        <f aca="false">AI27-AH28</f>
        <v>4073.43684762418</v>
      </c>
      <c r="AJ28" s="177"/>
      <c r="AK28" s="11" t="n">
        <f aca="false">N28+O28+P28+Q28+R28+S28+T28+U28+X28+AE28+AH28-AR28</f>
        <v>350.4</v>
      </c>
      <c r="AL28" s="185" t="n">
        <f aca="false">IF(L28&lt;0,L28*-1,0)</f>
        <v>23.1971767078396</v>
      </c>
      <c r="AM28" s="185" t="n">
        <f aca="false">AK28+AL28</f>
        <v>373.59717670784</v>
      </c>
      <c r="AN28" s="220"/>
      <c r="AO28" s="542"/>
      <c r="AP28" s="543" t="n">
        <f aca="false">I28-Q28-R28-X28-AF28</f>
        <v>-122.334</v>
      </c>
      <c r="AQ28" s="544" t="n">
        <f aca="false">44.185*(Z28*1.9835+AC28*1.9835)/E28</f>
        <v>8.12737095085352</v>
      </c>
      <c r="AR28" s="544"/>
      <c r="AS28" s="545" t="n">
        <v>10.6</v>
      </c>
      <c r="AT28" s="4"/>
      <c r="AU28" s="4" t="n">
        <f aca="false">O28</f>
        <v>0</v>
      </c>
      <c r="AV28" s="539" t="n">
        <v>0</v>
      </c>
      <c r="AW28" s="540" t="n">
        <v>88</v>
      </c>
      <c r="AX28" s="182" t="n">
        <v>53</v>
      </c>
      <c r="AY28" s="294"/>
      <c r="AZ28" s="250" t="n">
        <f aca="false">SUM(N28,P28:U28)</f>
        <v>9.02246238774919</v>
      </c>
      <c r="BA28" s="541" t="n">
        <v>50.8</v>
      </c>
      <c r="BB28" s="464" t="n">
        <v>6671</v>
      </c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2.95" hidden="false" customHeight="true" outlineLevel="0" collapsed="false">
      <c r="A29" s="183" t="n">
        <v>15</v>
      </c>
      <c r="B29" s="309" t="n">
        <v>6862.78</v>
      </c>
      <c r="C29" s="177" t="n">
        <v>169553</v>
      </c>
      <c r="D29" s="182" t="n">
        <f aca="false">C29-C28</f>
        <v>-333</v>
      </c>
      <c r="E29" s="177" t="n">
        <f aca="false">C29-152000</f>
        <v>17553</v>
      </c>
      <c r="F29" s="536" t="n">
        <f aca="false">D29/$D$2</f>
        <v>-167.88505167633</v>
      </c>
      <c r="G29" s="537" t="n">
        <v>159</v>
      </c>
      <c r="H29" s="186" t="n">
        <v>0</v>
      </c>
      <c r="I29" s="185" t="n">
        <f aca="false">G29+H29</f>
        <v>159</v>
      </c>
      <c r="J29" s="179" t="n">
        <f aca="false">IF(L29&gt;0,L29,0)</f>
        <v>0</v>
      </c>
      <c r="K29" s="185" t="n">
        <f aca="false">I29+J29</f>
        <v>159</v>
      </c>
      <c r="L29" s="185" t="n">
        <f aca="false">F29-(I29-AK29)</f>
        <v>-4.98505167632962</v>
      </c>
      <c r="M29" s="538" t="n">
        <v>154</v>
      </c>
      <c r="N29" s="158" t="n">
        <v>0.25</v>
      </c>
      <c r="O29" s="185" t="n">
        <f aca="false">0*1.05</f>
        <v>0</v>
      </c>
      <c r="P29" s="158" t="n">
        <v>0</v>
      </c>
      <c r="Q29" s="338" t="n">
        <f aca="false">1568500/325851/1.9835*1.02</f>
        <v>2.47533186099925</v>
      </c>
      <c r="R29" s="131" t="n">
        <v>4.2</v>
      </c>
      <c r="S29" s="131" t="n">
        <f aca="false">((6.2*1.04)-T29)-4.2</f>
        <v>1.18660928</v>
      </c>
      <c r="T29" s="131" t="n">
        <f aca="false">(0.9628*1.06)*1.04</f>
        <v>1.06139072</v>
      </c>
      <c r="U29" s="357" t="n">
        <v>0</v>
      </c>
      <c r="V29" s="185" t="n">
        <v>88.2</v>
      </c>
      <c r="W29" s="537" t="n">
        <v>57.6</v>
      </c>
      <c r="X29" s="339" t="n">
        <f aca="false">M29-N29-O29-P29-Q29-R29-S29-T29-U29+V29+W29-AT29+AR29</f>
        <v>290.626668139001</v>
      </c>
      <c r="Y29" s="339" t="n">
        <f aca="false">X29-AO29</f>
        <v>290.626668139001</v>
      </c>
      <c r="Z29" s="435"/>
      <c r="AA29" s="339"/>
      <c r="AB29" s="435"/>
      <c r="AC29" s="435" t="n">
        <f aca="false">AC28-(AQ28/1.9835)+AS29+AP29</f>
        <v>1525.15620684164</v>
      </c>
      <c r="AD29" s="443" t="n">
        <f aca="false">AD28</f>
        <v>3481.22006554071</v>
      </c>
      <c r="AE29" s="537" t="n">
        <v>6.5</v>
      </c>
      <c r="AF29" s="248" t="n">
        <v>1.7</v>
      </c>
      <c r="AG29" s="249" t="n">
        <v>1.3</v>
      </c>
      <c r="AH29" s="185" t="n">
        <v>15.6</v>
      </c>
      <c r="AI29" s="177" t="n">
        <f aca="false">AI28-AH29</f>
        <v>4057.83684762418</v>
      </c>
      <c r="AJ29" s="177"/>
      <c r="AK29" s="11" t="n">
        <f aca="false">N29+O29+P29+Q29+R29+S29+T29+U29+X29+AE29+AH29-AR29</f>
        <v>321.9</v>
      </c>
      <c r="AL29" s="185" t="n">
        <f aca="false">IF(L29&lt;0,L29*-1,0)</f>
        <v>4.98505167632962</v>
      </c>
      <c r="AM29" s="185" t="n">
        <f aca="false">AK29+AL29</f>
        <v>326.88505167633</v>
      </c>
      <c r="AN29" s="220"/>
      <c r="AO29" s="542"/>
      <c r="AP29" s="543" t="n">
        <f aca="false">I29-Q29-R29-X29-AF29</f>
        <v>-140.002</v>
      </c>
      <c r="AQ29" s="544" t="n">
        <f aca="false">44.744*(Z29*1.9835+AC29*1.9835)/E29</f>
        <v>7.71134235823408</v>
      </c>
      <c r="AR29" s="544"/>
      <c r="AS29" s="545" t="n">
        <v>10.6</v>
      </c>
      <c r="AT29" s="4"/>
      <c r="AU29" s="4" t="n">
        <f aca="false">O29</f>
        <v>0</v>
      </c>
      <c r="AV29" s="539" t="n">
        <v>0</v>
      </c>
      <c r="AW29" s="540" t="n">
        <v>90</v>
      </c>
      <c r="AX29" s="182" t="n">
        <v>52</v>
      </c>
      <c r="AY29" s="294"/>
      <c r="AZ29" s="250" t="n">
        <f aca="false">SUM(N29,P29:U29)</f>
        <v>9.17333186099925</v>
      </c>
      <c r="BA29" s="541" t="n">
        <v>50.4</v>
      </c>
      <c r="BB29" s="464" t="n">
        <v>6568</v>
      </c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2.95" hidden="false" customHeight="true" outlineLevel="0" collapsed="false">
      <c r="A30" s="183" t="n">
        <v>16</v>
      </c>
      <c r="B30" s="309" t="n">
        <v>6862.61</v>
      </c>
      <c r="C30" s="177" t="n">
        <v>169149</v>
      </c>
      <c r="D30" s="182" t="n">
        <f aca="false">C30-C29</f>
        <v>-404</v>
      </c>
      <c r="E30" s="177" t="n">
        <f aca="false">C30-152000</f>
        <v>17149</v>
      </c>
      <c r="F30" s="536" t="n">
        <f aca="false">D30/$D$2</f>
        <v>-203.680362994706</v>
      </c>
      <c r="G30" s="537" t="n">
        <v>142</v>
      </c>
      <c r="H30" s="186" t="n">
        <v>0</v>
      </c>
      <c r="I30" s="185" t="n">
        <f aca="false">G30+H30</f>
        <v>142</v>
      </c>
      <c r="J30" s="179" t="n">
        <f aca="false">IF(L30&gt;0,L30,0)</f>
        <v>0</v>
      </c>
      <c r="K30" s="185" t="n">
        <f aca="false">I30+J30</f>
        <v>142</v>
      </c>
      <c r="L30" s="185" t="n">
        <f aca="false">F30-(I30-AK30)</f>
        <v>-5.28036299470622</v>
      </c>
      <c r="M30" s="538" t="n">
        <v>164</v>
      </c>
      <c r="N30" s="158" t="n">
        <v>0.25</v>
      </c>
      <c r="O30" s="185" t="n">
        <f aca="false">0*1.05</f>
        <v>0</v>
      </c>
      <c r="P30" s="158" t="n">
        <v>0</v>
      </c>
      <c r="Q30" s="338" t="n">
        <f aca="false">1734100/325851/1.9835*1.02</f>
        <v>2.73667387960396</v>
      </c>
      <c r="R30" s="131" t="n">
        <v>4.2</v>
      </c>
      <c r="S30" s="131" t="n">
        <f aca="false">((6.2*1.04)-T30)-4.2</f>
        <v>1.15618304</v>
      </c>
      <c r="T30" s="131" t="n">
        <f aca="false">(0.9904*1.06)*1.04</f>
        <v>1.09181696</v>
      </c>
      <c r="U30" s="357" t="n">
        <v>0</v>
      </c>
      <c r="V30" s="185" t="n">
        <v>91.4</v>
      </c>
      <c r="W30" s="537" t="n">
        <v>57.6</v>
      </c>
      <c r="X30" s="339" t="n">
        <f aca="false">M30-N30-O30-P30-Q30-R30-S30-T30-U30+V30+W30-AT30+AR30</f>
        <v>303.565326120396</v>
      </c>
      <c r="Y30" s="339" t="n">
        <f aca="false">X30-AO30</f>
        <v>303.565326120396</v>
      </c>
      <c r="Z30" s="435"/>
      <c r="AA30" s="339"/>
      <c r="AB30" s="435"/>
      <c r="AC30" s="435" t="n">
        <f aca="false">AC29-(AQ29/1.9835)+AS30+AP30</f>
        <v>1361.66646176565</v>
      </c>
      <c r="AD30" s="443" t="n">
        <f aca="false">AD29</f>
        <v>3481.22006554071</v>
      </c>
      <c r="AE30" s="537" t="n">
        <v>11.8</v>
      </c>
      <c r="AF30" s="248" t="n">
        <v>1.7</v>
      </c>
      <c r="AG30" s="249" t="n">
        <v>1.3</v>
      </c>
      <c r="AH30" s="185" t="n">
        <v>15.6</v>
      </c>
      <c r="AI30" s="177" t="n">
        <f aca="false">AI29-AH30</f>
        <v>4042.23684762418</v>
      </c>
      <c r="AJ30" s="177"/>
      <c r="AK30" s="11" t="n">
        <f aca="false">N30+O30+P30+Q30+R30+S30+T30+U30+X30+AE30+AH30-AR30</f>
        <v>340.4</v>
      </c>
      <c r="AL30" s="185" t="n">
        <f aca="false">IF(L30&lt;0,L30*-1,0)</f>
        <v>5.28036299470622</v>
      </c>
      <c r="AM30" s="185" t="n">
        <f aca="false">AK30+AL30</f>
        <v>345.680362994706</v>
      </c>
      <c r="AN30" s="220"/>
      <c r="AO30" s="542"/>
      <c r="AP30" s="543" t="n">
        <f aca="false">I30-Q30-R30-X30-AF30</f>
        <v>-170.202</v>
      </c>
      <c r="AQ30" s="544" t="n">
        <f aca="false">40.969*(Z30*1.9835+AC30*1.9835)/E30</f>
        <v>6.45237364716103</v>
      </c>
      <c r="AR30" s="544"/>
      <c r="AS30" s="545" t="n">
        <v>10.6</v>
      </c>
      <c r="AT30" s="4"/>
      <c r="AU30" s="4" t="n">
        <f aca="false">O30</f>
        <v>0</v>
      </c>
      <c r="AV30" s="539" t="n">
        <v>0</v>
      </c>
      <c r="AW30" s="540" t="n">
        <v>92</v>
      </c>
      <c r="AX30" s="182" t="n">
        <v>53</v>
      </c>
      <c r="AY30" s="294"/>
      <c r="AZ30" s="250" t="n">
        <f aca="false">SUM(N30,P30:U30)</f>
        <v>9.43467387960396</v>
      </c>
      <c r="BA30" s="541" t="n">
        <v>50.2</v>
      </c>
      <c r="BB30" s="464" t="n">
        <v>6463</v>
      </c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2.95" hidden="false" customHeight="true" outlineLevel="0" collapsed="false">
      <c r="A31" s="183" t="n">
        <v>17</v>
      </c>
      <c r="B31" s="309" t="n">
        <v>6862.44</v>
      </c>
      <c r="C31" s="177" t="n">
        <v>168745</v>
      </c>
      <c r="D31" s="182" t="n">
        <f aca="false">C31-C30</f>
        <v>-404</v>
      </c>
      <c r="E31" s="177" t="n">
        <f aca="false">C31-152000</f>
        <v>16745</v>
      </c>
      <c r="F31" s="536" t="n">
        <f aca="false">D31/$D$2</f>
        <v>-203.680362994706</v>
      </c>
      <c r="G31" s="537" t="n">
        <v>132</v>
      </c>
      <c r="H31" s="186" t="n">
        <v>0</v>
      </c>
      <c r="I31" s="185" t="n">
        <f aca="false">G31+H31</f>
        <v>132</v>
      </c>
      <c r="J31" s="179" t="n">
        <f aca="false">IF(L31&gt;0,L31,0)</f>
        <v>6.15963700529377</v>
      </c>
      <c r="K31" s="185" t="n">
        <f aca="false">I31+J31</f>
        <v>138.159637005294</v>
      </c>
      <c r="L31" s="185" t="n">
        <f aca="false">F31-(I31-AK31)</f>
        <v>6.15963700529377</v>
      </c>
      <c r="M31" s="538" t="n">
        <v>173</v>
      </c>
      <c r="N31" s="158" t="n">
        <v>0.25</v>
      </c>
      <c r="O31" s="185" t="n">
        <f aca="false">0.004*1.05</f>
        <v>0.0042</v>
      </c>
      <c r="P31" s="158" t="n">
        <v>0</v>
      </c>
      <c r="Q31" s="338" t="n">
        <f aca="false">1808000/325851/1.9835*1.02</f>
        <v>2.85329933355859</v>
      </c>
      <c r="R31" s="131" t="n">
        <v>4.2</v>
      </c>
      <c r="S31" s="131" t="n">
        <f aca="false">((6.2*1.04)-T31)-4.2</f>
        <v>1.15618304</v>
      </c>
      <c r="T31" s="131" t="n">
        <f aca="false">(0.9904*1.06)*1.04</f>
        <v>1.09181696</v>
      </c>
      <c r="U31" s="357" t="n">
        <v>0</v>
      </c>
      <c r="V31" s="185" t="n">
        <v>92.2</v>
      </c>
      <c r="W31" s="537" t="n">
        <v>57.8</v>
      </c>
      <c r="X31" s="339" t="n">
        <f aca="false">M31-N31-O31-P31-Q31-R31-S31-T31-U31+V31+W31-AT31+AR31</f>
        <v>313.444500666441</v>
      </c>
      <c r="Y31" s="339" t="n">
        <f aca="false">X31-AO31</f>
        <v>313.444500666441</v>
      </c>
      <c r="Z31" s="435"/>
      <c r="AA31" s="339"/>
      <c r="AB31" s="435"/>
      <c r="AC31" s="435" t="n">
        <f aca="false">AC30-(AQ30/1.9835)+AS31+AP31</f>
        <v>1178.81563749181</v>
      </c>
      <c r="AD31" s="443" t="n">
        <f aca="false">AD30</f>
        <v>3481.22006554071</v>
      </c>
      <c r="AE31" s="537" t="n">
        <v>3.24</v>
      </c>
      <c r="AF31" s="248" t="n">
        <v>1.7</v>
      </c>
      <c r="AG31" s="249" t="n">
        <v>1.3</v>
      </c>
      <c r="AH31" s="185" t="n">
        <v>15.6</v>
      </c>
      <c r="AI31" s="177" t="n">
        <f aca="false">AI30-AH31</f>
        <v>4026.63684762418</v>
      </c>
      <c r="AJ31" s="177"/>
      <c r="AK31" s="11" t="n">
        <f aca="false">N31+O31+P31+Q31+R31+S31+T31+U31+X31+AE31+AH31-AR31</f>
        <v>341.84</v>
      </c>
      <c r="AL31" s="185" t="n">
        <f aca="false">IF(L31&lt;0,L31*-1,0)</f>
        <v>0</v>
      </c>
      <c r="AM31" s="185" t="n">
        <f aca="false">AK31+AL31</f>
        <v>341.84</v>
      </c>
      <c r="AN31" s="220"/>
      <c r="AO31" s="542"/>
      <c r="AP31" s="543" t="n">
        <f aca="false">I31-Q31-R31-X31-AF31</f>
        <v>-190.1978</v>
      </c>
      <c r="AQ31" s="544" t="n">
        <f aca="false">33.41*(Z31*1.9835+AC31*1.9835)/E31</f>
        <v>4.6651908686056</v>
      </c>
      <c r="AR31" s="544"/>
      <c r="AS31" s="545" t="n">
        <v>10.6</v>
      </c>
      <c r="AT31" s="4"/>
      <c r="AU31" s="4" t="n">
        <f aca="false">O31</f>
        <v>0.0042</v>
      </c>
      <c r="AV31" s="539" t="n">
        <v>0</v>
      </c>
      <c r="AW31" s="540" t="n">
        <v>90</v>
      </c>
      <c r="AX31" s="182" t="n">
        <v>55</v>
      </c>
      <c r="AY31" s="294"/>
      <c r="AZ31" s="250" t="n">
        <f aca="false">SUM(N31,P31:U31)</f>
        <v>9.55129933355859</v>
      </c>
      <c r="BA31" s="541" t="n">
        <v>49.8</v>
      </c>
      <c r="BB31" s="464" t="n">
        <v>6378</v>
      </c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2.95" hidden="false" customHeight="true" outlineLevel="0" collapsed="false">
      <c r="A32" s="183" t="n">
        <v>18</v>
      </c>
      <c r="B32" s="309" t="n">
        <v>6862.23</v>
      </c>
      <c r="C32" s="177" t="n">
        <v>168246</v>
      </c>
      <c r="D32" s="182" t="n">
        <f aca="false">C32-C31</f>
        <v>-499</v>
      </c>
      <c r="E32" s="177" t="n">
        <f aca="false">C32-152000</f>
        <v>16246</v>
      </c>
      <c r="F32" s="536" t="n">
        <f aca="false">D32/$D$2</f>
        <v>-251.575497857323</v>
      </c>
      <c r="G32" s="537" t="n">
        <v>120</v>
      </c>
      <c r="H32" s="186" t="n">
        <v>0</v>
      </c>
      <c r="I32" s="185" t="n">
        <f aca="false">G32+H32</f>
        <v>120</v>
      </c>
      <c r="J32" s="179" t="n">
        <f aca="false">IF(L32&gt;0,L32,0)</f>
        <v>0</v>
      </c>
      <c r="K32" s="185" t="n">
        <f aca="false">I32+J32</f>
        <v>120</v>
      </c>
      <c r="L32" s="185" t="n">
        <f aca="false">F32-(I32-AK32)</f>
        <v>-29.5754978573229</v>
      </c>
      <c r="M32" s="538" t="n">
        <v>178</v>
      </c>
      <c r="N32" s="158" t="n">
        <v>0.25</v>
      </c>
      <c r="O32" s="185" t="n">
        <f aca="false">0.004*1.05</f>
        <v>0.0042</v>
      </c>
      <c r="P32" s="158" t="n">
        <v>0</v>
      </c>
      <c r="Q32" s="338" t="n">
        <f aca="false">1935700/325851/1.9835*1.02</f>
        <v>3.05482938051403</v>
      </c>
      <c r="R32" s="131" t="n">
        <v>4.2</v>
      </c>
      <c r="S32" s="131" t="n">
        <f aca="false">((6.2*1.04)-T32)-4.2</f>
        <v>1.15618304</v>
      </c>
      <c r="T32" s="131" t="n">
        <f aca="false">(0.9904*1.06)*1.04</f>
        <v>1.09181696</v>
      </c>
      <c r="U32" s="357" t="n">
        <v>0</v>
      </c>
      <c r="V32" s="185" t="n">
        <v>91.2</v>
      </c>
      <c r="W32" s="537" t="n">
        <v>57.2</v>
      </c>
      <c r="X32" s="339" t="n">
        <f aca="false">M32-N32-O32-P32-Q32-R32-S32-T32-U32+V32+W32-AT32+AR32</f>
        <v>316.642970619486</v>
      </c>
      <c r="Y32" s="339" t="n">
        <f aca="false">X32-AO32</f>
        <v>316.642970619486</v>
      </c>
      <c r="Z32" s="435"/>
      <c r="AA32" s="339"/>
      <c r="AB32" s="435"/>
      <c r="AC32" s="435" t="n">
        <f aca="false">AC31-(AQ31/1.9835)+AS32+AP32</f>
        <v>981.465838062212</v>
      </c>
      <c r="AD32" s="443" t="n">
        <f aca="false">AD31</f>
        <v>3481.22006554071</v>
      </c>
      <c r="AE32" s="537" t="n">
        <v>0</v>
      </c>
      <c r="AF32" s="248" t="n">
        <v>1.7</v>
      </c>
      <c r="AG32" s="249" t="n">
        <v>1.3</v>
      </c>
      <c r="AH32" s="185" t="n">
        <v>15.6</v>
      </c>
      <c r="AI32" s="177" t="n">
        <f aca="false">AI31-AH32</f>
        <v>4011.03684762418</v>
      </c>
      <c r="AJ32" s="177"/>
      <c r="AK32" s="11" t="n">
        <f aca="false">N32+O32+P32+Q32+R32+S32+T32+U32+X32+AE32+AH32-AR32</f>
        <v>342</v>
      </c>
      <c r="AL32" s="185" t="n">
        <f aca="false">IF(L32&lt;0,L32*-1,0)</f>
        <v>29.5754978573229</v>
      </c>
      <c r="AM32" s="185" t="n">
        <f aca="false">AK32+AL32</f>
        <v>371.575497857323</v>
      </c>
      <c r="AN32" s="220"/>
      <c r="AO32" s="542"/>
      <c r="AP32" s="543" t="n">
        <f aca="false">I32-Q32-R32-X32-AF32</f>
        <v>-205.5978</v>
      </c>
      <c r="AQ32" s="544" t="n">
        <f aca="false">29.561*(Z32*1.9835+AC32*1.9835)/E32</f>
        <v>3.54225698238775</v>
      </c>
      <c r="AR32" s="544"/>
      <c r="AS32" s="545" t="n">
        <v>10.6</v>
      </c>
      <c r="AT32" s="4"/>
      <c r="AU32" s="4" t="n">
        <f aca="false">O32</f>
        <v>0.0042</v>
      </c>
      <c r="AV32" s="539" t="n">
        <v>0</v>
      </c>
      <c r="AW32" s="540" t="n">
        <v>88</v>
      </c>
      <c r="AX32" s="182" t="n">
        <v>53</v>
      </c>
      <c r="AY32" s="294"/>
      <c r="AZ32" s="250" t="n">
        <f aca="false">SUM(N32,P32:U32)</f>
        <v>9.75282938051403</v>
      </c>
      <c r="BA32" s="541" t="n">
        <v>49.6</v>
      </c>
      <c r="BB32" s="464" t="n">
        <v>6297</v>
      </c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2.95" hidden="false" customHeight="true" outlineLevel="0" collapsed="false">
      <c r="A33" s="183" t="n">
        <v>19</v>
      </c>
      <c r="B33" s="309" t="n">
        <v>6862.05</v>
      </c>
      <c r="C33" s="177" t="n">
        <v>167818</v>
      </c>
      <c r="D33" s="182" t="n">
        <f aca="false">C33-C32</f>
        <v>-428</v>
      </c>
      <c r="E33" s="177" t="n">
        <f aca="false">C33-152000</f>
        <v>15818</v>
      </c>
      <c r="F33" s="536" t="n">
        <f aca="false">D33/$D$2</f>
        <v>-215.780186538946</v>
      </c>
      <c r="G33" s="537" t="n">
        <v>121</v>
      </c>
      <c r="H33" s="186" t="n">
        <v>0</v>
      </c>
      <c r="I33" s="185" t="n">
        <f aca="false">G33+H33</f>
        <v>121</v>
      </c>
      <c r="J33" s="179" t="n">
        <f aca="false">IF(L33&gt;0,L33,0)</f>
        <v>36.5198134610538</v>
      </c>
      <c r="K33" s="185" t="n">
        <f aca="false">I33+J33</f>
        <v>157.519813461054</v>
      </c>
      <c r="L33" s="185" t="n">
        <f aca="false">F33-(I33-AK33)</f>
        <v>36.5198134610538</v>
      </c>
      <c r="M33" s="538" t="n">
        <v>188</v>
      </c>
      <c r="N33" s="158" t="n">
        <v>0.25</v>
      </c>
      <c r="O33" s="185" t="n">
        <f aca="false">0.315*1.05</f>
        <v>0.33075</v>
      </c>
      <c r="P33" s="158" t="n">
        <v>0</v>
      </c>
      <c r="Q33" s="338" t="n">
        <f aca="false">1808100/325851/1.9835*1.02</f>
        <v>2.85345714878722</v>
      </c>
      <c r="R33" s="131" t="n">
        <v>4.2</v>
      </c>
      <c r="S33" s="131" t="n">
        <f aca="false">((6.2*1.04)-T33)-4.2</f>
        <v>1.15618304</v>
      </c>
      <c r="T33" s="131" t="n">
        <f aca="false">(0.9904*1.06)*1.04</f>
        <v>1.09181696</v>
      </c>
      <c r="U33" s="357" t="n">
        <v>0</v>
      </c>
      <c r="V33" s="185" t="n">
        <v>111</v>
      </c>
      <c r="W33" s="537" t="n">
        <v>58.7</v>
      </c>
      <c r="X33" s="339" t="n">
        <f aca="false">M33-N33-O33-P33-Q33-R33-S33-T33-U33+V33+W33-AT33+AR33</f>
        <v>347.817792851213</v>
      </c>
      <c r="Y33" s="339" t="n">
        <f aca="false">X33-AO33</f>
        <v>347.817792851213</v>
      </c>
      <c r="Z33" s="435"/>
      <c r="AA33" s="339"/>
      <c r="AB33" s="435"/>
      <c r="AC33" s="435" t="n">
        <f aca="false">AC32-(AQ32/1.9835)+AS33+AP33</f>
        <v>754.708726210744</v>
      </c>
      <c r="AD33" s="443" t="n">
        <f aca="false">AD32</f>
        <v>3481.22006554071</v>
      </c>
      <c r="AE33" s="537" t="n">
        <v>0</v>
      </c>
      <c r="AF33" s="248" t="n">
        <v>1.7</v>
      </c>
      <c r="AG33" s="249" t="n">
        <v>1.3</v>
      </c>
      <c r="AH33" s="185" t="n">
        <v>15.6</v>
      </c>
      <c r="AI33" s="177" t="n">
        <f aca="false">AI32-AH33</f>
        <v>3995.43684762418</v>
      </c>
      <c r="AJ33" s="177"/>
      <c r="AK33" s="11" t="n">
        <f aca="false">N33+O33+P33+Q33+R33+S33+T33+U33+X33+AE33+AH33-AR33</f>
        <v>373.3</v>
      </c>
      <c r="AL33" s="185" t="n">
        <f aca="false">IF(L33&lt;0,L33*-1,0)</f>
        <v>0</v>
      </c>
      <c r="AM33" s="185" t="n">
        <f aca="false">AK33+AL33</f>
        <v>373.3</v>
      </c>
      <c r="AN33" s="220"/>
      <c r="AO33" s="542"/>
      <c r="AP33" s="543" t="n">
        <f aca="false">I33-Q33-R33-X33-AF33</f>
        <v>-235.57125</v>
      </c>
      <c r="AQ33" s="544" t="n">
        <f aca="false">49.497*(Z33*1.9835+AC33*1.9835)/E33</f>
        <v>4.68423723912351</v>
      </c>
      <c r="AR33" s="544"/>
      <c r="AS33" s="545" t="n">
        <v>10.6</v>
      </c>
      <c r="AT33" s="4"/>
      <c r="AU33" s="4" t="n">
        <f aca="false">O33</f>
        <v>0.33075</v>
      </c>
      <c r="AV33" s="539" t="n">
        <v>0</v>
      </c>
      <c r="AW33" s="540" t="n">
        <v>92</v>
      </c>
      <c r="AX33" s="182" t="n">
        <v>56</v>
      </c>
      <c r="AY33" s="294"/>
      <c r="AZ33" s="250" t="n">
        <f aca="false">SUM(N33,P33:U33)</f>
        <v>9.55145714878722</v>
      </c>
      <c r="BA33" s="541" t="n">
        <v>49.5</v>
      </c>
      <c r="BB33" s="464" t="n">
        <v>6201</v>
      </c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2.95" hidden="false" customHeight="true" outlineLevel="0" collapsed="false">
      <c r="A34" s="183" t="n">
        <v>20</v>
      </c>
      <c r="B34" s="309" t="n">
        <v>6861.78</v>
      </c>
      <c r="C34" s="177" t="n">
        <v>167185</v>
      </c>
      <c r="D34" s="182" t="n">
        <f aca="false">C34-C33</f>
        <v>-633</v>
      </c>
      <c r="E34" s="177" t="n">
        <f aca="false">C34-152000</f>
        <v>15185</v>
      </c>
      <c r="F34" s="536" t="n">
        <f aca="false">D34/$D$2</f>
        <v>-319.132845979329</v>
      </c>
      <c r="G34" s="537" t="n">
        <v>116</v>
      </c>
      <c r="H34" s="186" t="n">
        <v>0</v>
      </c>
      <c r="I34" s="185" t="n">
        <f aca="false">G34+H34</f>
        <v>116</v>
      </c>
      <c r="J34" s="179" t="n">
        <f aca="false">IF(L34&gt;0,L34,0)</f>
        <v>0</v>
      </c>
      <c r="K34" s="185" t="n">
        <f aca="false">I34+J34</f>
        <v>116</v>
      </c>
      <c r="L34" s="185" t="n">
        <f aca="false">F34-(I34-AK34)</f>
        <v>-14.8328459793295</v>
      </c>
      <c r="M34" s="538" t="n">
        <v>201</v>
      </c>
      <c r="N34" s="158" t="n">
        <v>0.25</v>
      </c>
      <c r="O34" s="185" t="n">
        <f aca="false">0.314*1.05</f>
        <v>0.3297</v>
      </c>
      <c r="P34" s="158" t="n">
        <v>0</v>
      </c>
      <c r="Q34" s="338" t="n">
        <f aca="false">1692800/325851/1.9835*1.02</f>
        <v>2.67149619018141</v>
      </c>
      <c r="R34" s="131" t="n">
        <v>4.2</v>
      </c>
      <c r="S34" s="131" t="n">
        <f aca="false">((6.2*1.04)-T34)-4.2</f>
        <v>1.15618304</v>
      </c>
      <c r="T34" s="131" t="n">
        <f aca="false">(0.9904*1.06)*1.04</f>
        <v>1.09181696</v>
      </c>
      <c r="U34" s="357" t="n">
        <v>0</v>
      </c>
      <c r="V34" s="185" t="n">
        <v>129</v>
      </c>
      <c r="W34" s="537" t="n">
        <v>59.4</v>
      </c>
      <c r="X34" s="339" t="n">
        <f aca="false">M34-N34-O34-P34-Q34-R34-S34-T34-U34+V34+W34-AT34+AR34</f>
        <v>379.700803809819</v>
      </c>
      <c r="Y34" s="339" t="n">
        <f aca="false">X34-AO34</f>
        <v>379.700803809819</v>
      </c>
      <c r="Z34" s="435"/>
      <c r="AA34" s="339"/>
      <c r="AB34" s="435"/>
      <c r="AC34" s="435" t="n">
        <f aca="false">AC33-(AQ33/1.9835)+AS34+AP34</f>
        <v>490.674824376046</v>
      </c>
      <c r="AD34" s="443" t="n">
        <f aca="false">AD33</f>
        <v>3481.22006554071</v>
      </c>
      <c r="AE34" s="537" t="n">
        <v>15.3</v>
      </c>
      <c r="AF34" s="248" t="n">
        <v>1.7</v>
      </c>
      <c r="AG34" s="249" t="n">
        <v>1.3</v>
      </c>
      <c r="AH34" s="185" t="n">
        <v>15.6</v>
      </c>
      <c r="AI34" s="177" t="n">
        <f aca="false">AI33-AH34</f>
        <v>3979.83684762418</v>
      </c>
      <c r="AJ34" s="177"/>
      <c r="AK34" s="11" t="n">
        <f aca="false">N34+O34+P34+Q34+R34+S34+T34+U34+X34+AE34+AH34-AR34</f>
        <v>420.3</v>
      </c>
      <c r="AL34" s="185" t="n">
        <f aca="false">IF(L34&lt;0,L34*-1,0)</f>
        <v>14.8328459793295</v>
      </c>
      <c r="AM34" s="185" t="n">
        <f aca="false">AK34+AL34</f>
        <v>435.132845979329</v>
      </c>
      <c r="AN34" s="220"/>
      <c r="AO34" s="542"/>
      <c r="AP34" s="543" t="n">
        <f aca="false">I34-Q34-R34-X34-AF34</f>
        <v>-272.2723</v>
      </c>
      <c r="AQ34" s="544" t="n">
        <f aca="false">39.46*(Z34*1.9835+AC34*1.9835)/E34</f>
        <v>2.52911318197923</v>
      </c>
      <c r="AR34" s="544"/>
      <c r="AS34" s="545" t="n">
        <v>10.6</v>
      </c>
      <c r="AT34" s="4"/>
      <c r="AU34" s="4" t="n">
        <f aca="false">O34</f>
        <v>0.3297</v>
      </c>
      <c r="AV34" s="539" t="n">
        <v>0</v>
      </c>
      <c r="AW34" s="540" t="n">
        <v>91</v>
      </c>
      <c r="AX34" s="182" t="n">
        <v>57</v>
      </c>
      <c r="AY34" s="294"/>
      <c r="AZ34" s="250" t="n">
        <f aca="false">SUM(N34,P34:U34)</f>
        <v>9.36949619018141</v>
      </c>
      <c r="BA34" s="541" t="n">
        <v>49.1</v>
      </c>
      <c r="BB34" s="464" t="n">
        <v>6106</v>
      </c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2.95" hidden="false" customHeight="true" outlineLevel="0" collapsed="false">
      <c r="A35" s="183" t="n">
        <v>21</v>
      </c>
      <c r="B35" s="309" t="n">
        <v>6861.48</v>
      </c>
      <c r="C35" s="177" t="n">
        <v>166484</v>
      </c>
      <c r="D35" s="182" t="n">
        <f aca="false">C35-C34</f>
        <v>-701</v>
      </c>
      <c r="E35" s="177" t="n">
        <f aca="false">C35-152000</f>
        <v>14484</v>
      </c>
      <c r="F35" s="536" t="n">
        <f aca="false">D35/$D$2</f>
        <v>-353.415679354676</v>
      </c>
      <c r="G35" s="537" t="n">
        <v>123</v>
      </c>
      <c r="H35" s="186" t="n">
        <v>0</v>
      </c>
      <c r="I35" s="185" t="n">
        <f aca="false">G35+H35</f>
        <v>123</v>
      </c>
      <c r="J35" s="179" t="n">
        <f aca="false">IF(L35&gt;0,L35,0)</f>
        <v>0</v>
      </c>
      <c r="K35" s="185" t="n">
        <f aca="false">I35+J35</f>
        <v>123</v>
      </c>
      <c r="L35" s="185" t="n">
        <f aca="false">F35-(I35-AK35)</f>
        <v>-19.8156793546761</v>
      </c>
      <c r="M35" s="538" t="n">
        <v>216</v>
      </c>
      <c r="N35" s="158" t="n">
        <v>0.25</v>
      </c>
      <c r="O35" s="185" t="n">
        <f aca="false">2.31*1.05</f>
        <v>2.4255</v>
      </c>
      <c r="P35" s="158" t="n">
        <v>0</v>
      </c>
      <c r="Q35" s="338" t="n">
        <f aca="false">1485900/325851/1.9835*1.02</f>
        <v>2.34497648215415</v>
      </c>
      <c r="R35" s="131" t="n">
        <v>4.2</v>
      </c>
      <c r="S35" s="131" t="n">
        <f aca="false">((6.2*1.04)-T35)-4.2</f>
        <v>1.15618304</v>
      </c>
      <c r="T35" s="131" t="n">
        <f aca="false">(0.9904*1.06)*1.04</f>
        <v>1.09181696</v>
      </c>
      <c r="U35" s="357" t="n">
        <v>0</v>
      </c>
      <c r="V35" s="185" t="n">
        <v>131</v>
      </c>
      <c r="W35" s="537" t="n">
        <v>60.4</v>
      </c>
      <c r="X35" s="339" t="n">
        <f aca="false">M35-N35-O35-P35-Q35-R35-S35-T35-U35+V35+W35-AT35+AR35</f>
        <v>395.931523517846</v>
      </c>
      <c r="Y35" s="339" t="n">
        <f aca="false">X35-AO35</f>
        <v>395.931523517846</v>
      </c>
      <c r="Z35" s="435"/>
      <c r="AA35" s="339"/>
      <c r="AB35" s="435"/>
      <c r="AC35" s="435" t="n">
        <f aca="false">AC34-(AQ34/1.9835)+AS35+AP35</f>
        <v>218.823248408323</v>
      </c>
      <c r="AD35" s="443" t="n">
        <f aca="false">AD34</f>
        <v>3481.22006554071</v>
      </c>
      <c r="AE35" s="537" t="n">
        <v>33.5</v>
      </c>
      <c r="AF35" s="248" t="n">
        <v>1.7</v>
      </c>
      <c r="AG35" s="249" t="n">
        <v>1.3</v>
      </c>
      <c r="AH35" s="185" t="n">
        <v>15.7</v>
      </c>
      <c r="AI35" s="177" t="n">
        <f aca="false">AI34-AH35</f>
        <v>3964.13684762418</v>
      </c>
      <c r="AJ35" s="177"/>
      <c r="AK35" s="11" t="n">
        <f aca="false">N35+O35+P35+Q35+R35+S35+T35+U35+X35+AE35+AH35-AR35</f>
        <v>456.6</v>
      </c>
      <c r="AL35" s="185" t="n">
        <f aca="false">IF(L35&lt;0,L35*-1,0)</f>
        <v>19.8156793546761</v>
      </c>
      <c r="AM35" s="185" t="n">
        <f aca="false">AK35+AL35</f>
        <v>476.415679354676</v>
      </c>
      <c r="AN35" s="220"/>
      <c r="AO35" s="542"/>
      <c r="AP35" s="543" t="n">
        <f aca="false">I35-Q35-R35-X35-AF35</f>
        <v>-281.1765</v>
      </c>
      <c r="AQ35" s="544" t="n">
        <f aca="false">31.613*(Z35*1.9835+AC35*1.9835)/E35</f>
        <v>0.947333424783052</v>
      </c>
      <c r="AR35" s="544"/>
      <c r="AS35" s="545" t="n">
        <v>10.6</v>
      </c>
      <c r="AT35" s="4"/>
      <c r="AU35" s="4" t="n">
        <f aca="false">O35</f>
        <v>2.4255</v>
      </c>
      <c r="AV35" s="539" t="n">
        <v>0.05</v>
      </c>
      <c r="AW35" s="540" t="n">
        <v>90</v>
      </c>
      <c r="AX35" s="182" t="n">
        <v>55</v>
      </c>
      <c r="AY35" s="294"/>
      <c r="AZ35" s="250" t="n">
        <f aca="false">SUM(N35,P35:U35)</f>
        <v>9.04297648215415</v>
      </c>
      <c r="BA35" s="541" t="n">
        <v>48.9</v>
      </c>
      <c r="BB35" s="464" t="n">
        <v>6040</v>
      </c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2.95" hidden="false" customHeight="true" outlineLevel="0" collapsed="false">
      <c r="A36" s="183" t="n">
        <v>22</v>
      </c>
      <c r="B36" s="309" t="n">
        <v>6861.22</v>
      </c>
      <c r="C36" s="177" t="n">
        <v>165876</v>
      </c>
      <c r="D36" s="182" t="n">
        <f aca="false">C36-C35</f>
        <v>-608</v>
      </c>
      <c r="E36" s="177" t="n">
        <f aca="false">C36-152000</f>
        <v>13876</v>
      </c>
      <c r="F36" s="536" t="n">
        <f aca="false">D36/$D$2</f>
        <v>-306.528863120746</v>
      </c>
      <c r="G36" s="537" t="n">
        <v>118</v>
      </c>
      <c r="H36" s="186" t="n">
        <v>0</v>
      </c>
      <c r="I36" s="185" t="n">
        <f aca="false">G36+H36</f>
        <v>118</v>
      </c>
      <c r="J36" s="179" t="n">
        <f aca="false">IF(L36&gt;0,L36,0)</f>
        <v>31.1711368792538</v>
      </c>
      <c r="K36" s="185" t="n">
        <f aca="false">I36+J36</f>
        <v>149.171136879254</v>
      </c>
      <c r="L36" s="185" t="n">
        <f aca="false">F36-(I36-AK36)</f>
        <v>31.1711368792538</v>
      </c>
      <c r="M36" s="538" t="n">
        <v>217</v>
      </c>
      <c r="N36" s="158" t="n">
        <v>0.25</v>
      </c>
      <c r="O36" s="185" t="n">
        <f aca="false">0*1.05</f>
        <v>0</v>
      </c>
      <c r="P36" s="158" t="n">
        <v>0</v>
      </c>
      <c r="Q36" s="338" t="n">
        <f aca="false">1631000/325851/1.9835*1.02</f>
        <v>2.57396637889052</v>
      </c>
      <c r="R36" s="131" t="n">
        <v>4.2</v>
      </c>
      <c r="S36" s="131" t="n">
        <f aca="false">((6.2*1.04)-T36)-4.2</f>
        <v>1.15618304</v>
      </c>
      <c r="T36" s="131" t="n">
        <f aca="false">(0.9904*1.06)*1.04</f>
        <v>1.09181696</v>
      </c>
      <c r="U36" s="357" t="n">
        <v>0</v>
      </c>
      <c r="V36" s="185" t="n">
        <v>129</v>
      </c>
      <c r="W36" s="537" t="n">
        <v>60.7</v>
      </c>
      <c r="X36" s="339" t="n">
        <f aca="false">M36-N36-O36-P36-Q36-R36-S36-T36-U36+V36+W36-AT36+AR36</f>
        <v>397.428033621109</v>
      </c>
      <c r="Y36" s="339" t="n">
        <f aca="false">X36-AO36</f>
        <v>397.428033621109</v>
      </c>
      <c r="Z36" s="435"/>
      <c r="AA36" s="339"/>
      <c r="AB36" s="435"/>
      <c r="AC36" s="435" t="n">
        <v>0</v>
      </c>
      <c r="AD36" s="443" t="n">
        <f aca="false">AD35+AP36+AS36+AC35</f>
        <v>3422.74131394903</v>
      </c>
      <c r="AE36" s="537" t="n">
        <v>33.4</v>
      </c>
      <c r="AF36" s="248" t="n">
        <v>1.7</v>
      </c>
      <c r="AG36" s="249" t="n">
        <v>1.3</v>
      </c>
      <c r="AH36" s="185" t="n">
        <v>15.6</v>
      </c>
      <c r="AI36" s="177" t="n">
        <f aca="false">AI35-AH36</f>
        <v>3948.53684762418</v>
      </c>
      <c r="AJ36" s="177"/>
      <c r="AK36" s="11" t="n">
        <f aca="false">N36+O36+P36+Q36+R36+S36+T36+U36+X36+AE36+AH36-AR36</f>
        <v>455.7</v>
      </c>
      <c r="AL36" s="185" t="n">
        <f aca="false">IF(L36&lt;0,L36*-1,0)</f>
        <v>0</v>
      </c>
      <c r="AM36" s="185" t="n">
        <f aca="false">AK36+AL36</f>
        <v>455.7</v>
      </c>
      <c r="AN36" s="220"/>
      <c r="AO36" s="542"/>
      <c r="AP36" s="543" t="n">
        <f aca="false">I36-Q36-R36-X36-AF36</f>
        <v>-287.902</v>
      </c>
      <c r="AQ36" s="544" t="n">
        <f aca="false">26.209*(Z36*1.9835+AC36*1.9835)/E36</f>
        <v>0</v>
      </c>
      <c r="AR36" s="544"/>
      <c r="AS36" s="545" t="n">
        <v>10.6</v>
      </c>
      <c r="AT36" s="4"/>
      <c r="AU36" s="4" t="n">
        <f aca="false">O36</f>
        <v>0</v>
      </c>
      <c r="AV36" s="539" t="n">
        <v>0</v>
      </c>
      <c r="AW36" s="540" t="n">
        <v>87</v>
      </c>
      <c r="AX36" s="182" t="n">
        <v>54</v>
      </c>
      <c r="AY36" s="294"/>
      <c r="AZ36" s="250" t="n">
        <f aca="false">SUM(N36,P36:U36)</f>
        <v>9.27196637889052</v>
      </c>
      <c r="BA36" s="541" t="n">
        <v>48.6</v>
      </c>
      <c r="BB36" s="464" t="n">
        <v>5968</v>
      </c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2.95" hidden="false" customHeight="true" outlineLevel="0" collapsed="false">
      <c r="A37" s="183" t="n">
        <v>23</v>
      </c>
      <c r="B37" s="309" t="n">
        <v>6860.93</v>
      </c>
      <c r="C37" s="177" t="n">
        <v>165201</v>
      </c>
      <c r="D37" s="182" t="n">
        <f aca="false">C37-C36</f>
        <v>-675</v>
      </c>
      <c r="E37" s="177" t="n">
        <f aca="false">C37-152000</f>
        <v>13201</v>
      </c>
      <c r="F37" s="536" t="n">
        <f aca="false">D37/$D$2</f>
        <v>-340.307537181749</v>
      </c>
      <c r="G37" s="537" t="n">
        <v>106</v>
      </c>
      <c r="H37" s="186" t="n">
        <v>0</v>
      </c>
      <c r="I37" s="185" t="n">
        <f aca="false">G37+H37</f>
        <v>106</v>
      </c>
      <c r="J37" s="179" t="n">
        <f aca="false">IF(L37&gt;0,L37,0)</f>
        <v>0</v>
      </c>
      <c r="K37" s="185" t="n">
        <f aca="false">I37+J37</f>
        <v>106</v>
      </c>
      <c r="L37" s="185" t="n">
        <f aca="false">F37-(I37-AK37)</f>
        <v>-12.1075371817494</v>
      </c>
      <c r="M37" s="538" t="n">
        <v>210</v>
      </c>
      <c r="N37" s="158" t="n">
        <v>0.25</v>
      </c>
      <c r="O37" s="185" t="n">
        <f aca="false">0*1.05</f>
        <v>0</v>
      </c>
      <c r="P37" s="158" t="n">
        <v>0</v>
      </c>
      <c r="Q37" s="338" t="n">
        <f aca="false">1529400/325851/1.9835*1.02</f>
        <v>2.41362610660647</v>
      </c>
      <c r="R37" s="131" t="n">
        <v>4.2</v>
      </c>
      <c r="S37" s="131" t="n">
        <f aca="false">((6.2*1.04)-T37)-4.2</f>
        <v>1.38934064</v>
      </c>
      <c r="T37" s="131" t="n">
        <f aca="false">(0.7789*1.06)*1.04</f>
        <v>0.85865936</v>
      </c>
      <c r="U37" s="357" t="n">
        <v>0</v>
      </c>
      <c r="V37" s="185" t="n">
        <v>129</v>
      </c>
      <c r="W37" s="537" t="n">
        <v>60.3</v>
      </c>
      <c r="X37" s="339" t="n">
        <f aca="false">M37-N37-O37-P37-Q37-R37-S37-T37-U37+V37+W37-AT37+AR37</f>
        <v>390.188373893394</v>
      </c>
      <c r="Y37" s="339" t="n">
        <f aca="false">X37-AO37</f>
        <v>390.188373893394</v>
      </c>
      <c r="Z37" s="435"/>
      <c r="AA37" s="339"/>
      <c r="AB37" s="435"/>
      <c r="AC37" s="435" t="n">
        <v>0</v>
      </c>
      <c r="AD37" s="443" t="n">
        <f aca="false">AD36+AP37+AS37</f>
        <v>3140.83931394903</v>
      </c>
      <c r="AE37" s="537" t="n">
        <v>19.4</v>
      </c>
      <c r="AF37" s="248" t="n">
        <v>1.7</v>
      </c>
      <c r="AG37" s="249" t="n">
        <v>1.3</v>
      </c>
      <c r="AH37" s="185" t="n">
        <v>15.5</v>
      </c>
      <c r="AI37" s="177" t="n">
        <f aca="false">AI36-AH37</f>
        <v>3933.03684762418</v>
      </c>
      <c r="AJ37" s="177"/>
      <c r="AK37" s="11" t="n">
        <f aca="false">N37+O37+P37+Q37+R37+S37+T37+U37+X37+AE37+AH37-AR37</f>
        <v>434.2</v>
      </c>
      <c r="AL37" s="185" t="n">
        <f aca="false">IF(L37&lt;0,L37*-1,0)</f>
        <v>12.1075371817494</v>
      </c>
      <c r="AM37" s="185" t="n">
        <f aca="false">AK37+AL37</f>
        <v>446.307537181749</v>
      </c>
      <c r="AN37" s="220"/>
      <c r="AO37" s="542"/>
      <c r="AP37" s="543" t="n">
        <f aca="false">I37-Q37-R37-X37-AF37</f>
        <v>-292.502</v>
      </c>
      <c r="AQ37" s="544" t="n">
        <f aca="false">47.015*(Z37*1.9835+AC37*1.9835)/E37</f>
        <v>0</v>
      </c>
      <c r="AR37" s="544"/>
      <c r="AS37" s="545" t="n">
        <v>10.6</v>
      </c>
      <c r="AT37" s="4"/>
      <c r="AU37" s="4" t="n">
        <f aca="false">O37</f>
        <v>0</v>
      </c>
      <c r="AV37" s="539" t="n">
        <v>0</v>
      </c>
      <c r="AW37" s="540" t="n">
        <v>90</v>
      </c>
      <c r="AX37" s="182" t="n">
        <v>56</v>
      </c>
      <c r="AY37" s="294"/>
      <c r="AZ37" s="250" t="n">
        <f aca="false">SUM(N37,P37:U37)</f>
        <v>9.11162610660648</v>
      </c>
      <c r="BA37" s="541" t="n">
        <v>48.4</v>
      </c>
      <c r="BB37" s="464" t="n">
        <v>5908</v>
      </c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2.95" hidden="false" customHeight="true" outlineLevel="0" collapsed="false">
      <c r="A38" s="183" t="n">
        <v>24</v>
      </c>
      <c r="B38" s="309" t="n">
        <v>6860.67</v>
      </c>
      <c r="C38" s="177" t="n">
        <v>164605</v>
      </c>
      <c r="D38" s="182" t="n">
        <f aca="false">C38-C37</f>
        <v>-596</v>
      </c>
      <c r="E38" s="177" t="n">
        <f aca="false">C38-152000</f>
        <v>12605</v>
      </c>
      <c r="F38" s="536" t="n">
        <f aca="false">D38/$D$2</f>
        <v>-300.478951348626</v>
      </c>
      <c r="G38" s="537" t="n">
        <v>101</v>
      </c>
      <c r="H38" s="186" t="n">
        <v>0</v>
      </c>
      <c r="I38" s="185" t="n">
        <f aca="false">G38+H38</f>
        <v>101</v>
      </c>
      <c r="J38" s="179" t="n">
        <f aca="false">IF(L38&gt;0,L38,0)</f>
        <v>10.1210486513739</v>
      </c>
      <c r="K38" s="185" t="n">
        <f aca="false">I38+J38</f>
        <v>111.121048651374</v>
      </c>
      <c r="L38" s="185" t="n">
        <f aca="false">F38-(I38-AK38)</f>
        <v>10.1210486513739</v>
      </c>
      <c r="M38" s="538" t="n">
        <v>204</v>
      </c>
      <c r="N38" s="158" t="n">
        <v>0.25</v>
      </c>
      <c r="O38" s="185" t="n">
        <f aca="false">0*1.05</f>
        <v>0</v>
      </c>
      <c r="P38" s="158" t="n">
        <v>0</v>
      </c>
      <c r="Q38" s="338" t="n">
        <f aca="false">1503800/325851/1.9835*1.02</f>
        <v>2.37322540807821</v>
      </c>
      <c r="R38" s="131" t="n">
        <v>4.2</v>
      </c>
      <c r="S38" s="131" t="n">
        <f aca="false">((6.2*1.04)-T38)-4.2</f>
        <v>1.38934064</v>
      </c>
      <c r="T38" s="131" t="n">
        <f aca="false">(0.7789*1.06)*1.04</f>
        <v>0.85865936</v>
      </c>
      <c r="U38" s="357" t="n">
        <v>0</v>
      </c>
      <c r="V38" s="185" t="n">
        <v>132</v>
      </c>
      <c r="W38" s="537" t="n">
        <v>60</v>
      </c>
      <c r="X38" s="339" t="n">
        <f aca="false">M38-N38-O38-P38-Q38-R38-S38-T38-U38+V38+W38-AT38+AR38</f>
        <v>386.928774591922</v>
      </c>
      <c r="Y38" s="339" t="n">
        <f aca="false">X38-AO38</f>
        <v>386.928774591922</v>
      </c>
      <c r="Z38" s="435"/>
      <c r="AA38" s="339"/>
      <c r="AB38" s="435"/>
      <c r="AC38" s="435" t="n">
        <v>0</v>
      </c>
      <c r="AD38" s="443" t="n">
        <f aca="false">AD37+AP38+AS38</f>
        <v>2857.23731394903</v>
      </c>
      <c r="AE38" s="537" t="n">
        <v>0</v>
      </c>
      <c r="AF38" s="248" t="n">
        <v>1.7</v>
      </c>
      <c r="AG38" s="249" t="n">
        <v>1.3</v>
      </c>
      <c r="AH38" s="185" t="n">
        <v>15.6</v>
      </c>
      <c r="AI38" s="177" t="n">
        <f aca="false">AI37-AH38</f>
        <v>3917.43684762418</v>
      </c>
      <c r="AJ38" s="177"/>
      <c r="AK38" s="11" t="n">
        <f aca="false">N38+O38+P38+Q38+R38+S38+T38+U38+X38+AE38+AH38-AR38</f>
        <v>411.6</v>
      </c>
      <c r="AL38" s="185" t="n">
        <f aca="false">IF(L38&lt;0,L38*-1,0)</f>
        <v>0</v>
      </c>
      <c r="AM38" s="185" t="n">
        <f aca="false">AK38+AL38</f>
        <v>411.6</v>
      </c>
      <c r="AN38" s="220"/>
      <c r="AO38" s="542"/>
      <c r="AP38" s="543" t="n">
        <f aca="false">I38-Q38-R38-X38-AF38</f>
        <v>-294.202</v>
      </c>
      <c r="AQ38" s="544" t="n">
        <f aca="false">11.484*(Z38*1.9835+AC38*1.9835)/E38</f>
        <v>0</v>
      </c>
      <c r="AR38" s="544"/>
      <c r="AS38" s="545" t="n">
        <v>10.6</v>
      </c>
      <c r="AT38" s="4"/>
      <c r="AU38" s="4" t="n">
        <f aca="false">O38</f>
        <v>0</v>
      </c>
      <c r="AV38" s="539" t="n">
        <v>0.05</v>
      </c>
      <c r="AW38" s="540" t="n">
        <v>80</v>
      </c>
      <c r="AX38" s="182" t="n">
        <v>57</v>
      </c>
      <c r="AY38" s="294"/>
      <c r="AZ38" s="250" t="n">
        <f aca="false">SUM(N38,P38:U38)</f>
        <v>9.07122540807821</v>
      </c>
      <c r="BA38" s="541" t="n">
        <v>48</v>
      </c>
      <c r="BB38" s="464" t="n">
        <v>5817</v>
      </c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2.95" hidden="false" customHeight="true" outlineLevel="0" collapsed="false">
      <c r="A39" s="183" t="n">
        <v>25</v>
      </c>
      <c r="B39" s="309" t="n">
        <v>6860.47</v>
      </c>
      <c r="C39" s="177" t="n">
        <v>164145</v>
      </c>
      <c r="D39" s="182" t="n">
        <f aca="false">C39-C38</f>
        <v>-460</v>
      </c>
      <c r="E39" s="177" t="n">
        <f aca="false">C39-152000</f>
        <v>12145</v>
      </c>
      <c r="F39" s="536" t="n">
        <f aca="false">D39/$D$2</f>
        <v>-231.913284597933</v>
      </c>
      <c r="G39" s="537" t="n">
        <v>112</v>
      </c>
      <c r="H39" s="186" t="n">
        <v>0</v>
      </c>
      <c r="I39" s="185" t="n">
        <f aca="false">G39+H39</f>
        <v>112</v>
      </c>
      <c r="J39" s="179" t="n">
        <f aca="false">IF(L39&gt;0,L39,0)</f>
        <v>71.3867154020671</v>
      </c>
      <c r="K39" s="185" t="n">
        <f aca="false">I39+J39</f>
        <v>183.386715402067</v>
      </c>
      <c r="L39" s="185" t="n">
        <f aca="false">F39-(I39-AK39)</f>
        <v>71.3867154020671</v>
      </c>
      <c r="M39" s="538" t="n">
        <v>204</v>
      </c>
      <c r="N39" s="158"/>
      <c r="O39" s="185" t="n">
        <f aca="false">0.093*1.05</f>
        <v>0.09765</v>
      </c>
      <c r="P39" s="158" t="n">
        <v>0</v>
      </c>
      <c r="Q39" s="338" t="n">
        <f aca="false">1330200/325851/1.9835*1.02</f>
        <v>2.09925817118343</v>
      </c>
      <c r="R39" s="131" t="n">
        <v>4.2</v>
      </c>
      <c r="S39" s="131" t="n">
        <f aca="false">((5.2*1.04)-T39)-4.2</f>
        <v>0.34934064</v>
      </c>
      <c r="T39" s="131" t="n">
        <f aca="false">(0.7789*1.06)*1.04</f>
        <v>0.85865936</v>
      </c>
      <c r="U39" s="357" t="n">
        <v>0</v>
      </c>
      <c r="V39" s="185" t="n">
        <v>136</v>
      </c>
      <c r="W39" s="537" t="n">
        <v>59.6</v>
      </c>
      <c r="X39" s="339" t="n">
        <f aca="false">M39-N39-O39-P39-Q39-R39-S39-T39-U39+V39+W39-AT39+AR39</f>
        <v>391.995091828817</v>
      </c>
      <c r="Y39" s="339" t="n">
        <f aca="false">X39-AO39</f>
        <v>391.995091828817</v>
      </c>
      <c r="Z39" s="435"/>
      <c r="AA39" s="339"/>
      <c r="AB39" s="435"/>
      <c r="AC39" s="435" t="n">
        <v>0</v>
      </c>
      <c r="AD39" s="443" t="n">
        <f aca="false">AD38+AP39+AS39</f>
        <v>2579.84296394903</v>
      </c>
      <c r="AE39" s="537" t="n">
        <v>0</v>
      </c>
      <c r="AF39" s="248" t="n">
        <v>1.7</v>
      </c>
      <c r="AG39" s="249" t="n">
        <v>1.3</v>
      </c>
      <c r="AH39" s="185" t="n">
        <v>15.7</v>
      </c>
      <c r="AI39" s="177" t="n">
        <f aca="false">AI38-AH39</f>
        <v>3901.73684762418</v>
      </c>
      <c r="AJ39" s="177"/>
      <c r="AK39" s="11" t="n">
        <f aca="false">N39+O39+P39+Q39+R39+S39+T39+U39+X39+AE39+AH39-AR39</f>
        <v>415.3</v>
      </c>
      <c r="AL39" s="185" t="n">
        <f aca="false">IF(L39&lt;0,L39*-1,0)</f>
        <v>0</v>
      </c>
      <c r="AM39" s="185" t="n">
        <f aca="false">AK39+AL39</f>
        <v>415.3</v>
      </c>
      <c r="AN39" s="220"/>
      <c r="AO39" s="542"/>
      <c r="AP39" s="543" t="n">
        <f aca="false">I39-Q39-R39-X39-AF39</f>
        <v>-287.99435</v>
      </c>
      <c r="AQ39" s="544" t="n">
        <f aca="false">0*(Z39*1.9835+AC39*1.9835)/E39</f>
        <v>0</v>
      </c>
      <c r="AR39" s="544"/>
      <c r="AS39" s="545" t="n">
        <v>10.6</v>
      </c>
      <c r="AT39" s="4"/>
      <c r="AU39" s="4" t="n">
        <f aca="false">O39</f>
        <v>0.09765</v>
      </c>
      <c r="AV39" s="539" t="n">
        <v>0.47</v>
      </c>
      <c r="AW39" s="540" t="n">
        <v>73</v>
      </c>
      <c r="AX39" s="182" t="n">
        <v>56</v>
      </c>
      <c r="AY39" s="294"/>
      <c r="AZ39" s="250" t="n">
        <f aca="false">SUM(N39,P39:U39)</f>
        <v>7.50725817118343</v>
      </c>
      <c r="BA39" s="541" t="n">
        <v>48.3</v>
      </c>
      <c r="BB39" s="464" t="n">
        <v>5730</v>
      </c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2.95" hidden="false" customHeight="true" outlineLevel="0" collapsed="false">
      <c r="A40" s="183" t="n">
        <v>26</v>
      </c>
      <c r="B40" s="309" t="n">
        <v>6860.65</v>
      </c>
      <c r="C40" s="177" t="n">
        <v>164559</v>
      </c>
      <c r="D40" s="182" t="n">
        <f aca="false">C40-C39</f>
        <v>414</v>
      </c>
      <c r="E40" s="177" t="n">
        <f aca="false">C40-152000</f>
        <v>12559</v>
      </c>
      <c r="F40" s="536" t="n">
        <f aca="false">D40/$D$2</f>
        <v>208.72195613814</v>
      </c>
      <c r="G40" s="537" t="n">
        <v>355</v>
      </c>
      <c r="H40" s="186" t="n">
        <v>0</v>
      </c>
      <c r="I40" s="185" t="n">
        <f aca="false">G40+H40</f>
        <v>355</v>
      </c>
      <c r="J40" s="179" t="n">
        <f aca="false">IF(L40&gt;0,L40,0)</f>
        <v>141.42195613814</v>
      </c>
      <c r="K40" s="185" t="n">
        <f aca="false">I40+J40</f>
        <v>496.42195613814</v>
      </c>
      <c r="L40" s="185" t="n">
        <f aca="false">F40-(I40-AK40)</f>
        <v>141.42195613814</v>
      </c>
      <c r="M40" s="538" t="n">
        <v>102</v>
      </c>
      <c r="N40" s="158"/>
      <c r="O40" s="185" t="n">
        <f aca="false">6.97*1.05</f>
        <v>7.3185</v>
      </c>
      <c r="P40" s="158" t="n">
        <v>0</v>
      </c>
      <c r="Q40" s="338" t="n">
        <f aca="false">1509400/325851/1.9835*1.02</f>
        <v>2.38206306088127</v>
      </c>
      <c r="R40" s="131" t="n">
        <v>4.2</v>
      </c>
      <c r="S40" s="131" t="n">
        <f aca="false">((5.2*1.04)-T40)-4.2</f>
        <v>0.34934064</v>
      </c>
      <c r="T40" s="131" t="n">
        <f aca="false">(0.7789*1.06)*1.04</f>
        <v>0.85865936</v>
      </c>
      <c r="U40" s="357" t="n">
        <v>0</v>
      </c>
      <c r="V40" s="185" t="n">
        <v>115</v>
      </c>
      <c r="W40" s="537" t="n">
        <v>54.8</v>
      </c>
      <c r="X40" s="339" t="n">
        <f aca="false">M40-N40-O40-P40-Q40-R40-S40-T40-U40+V40+W40-AT40+AR40</f>
        <v>256.691436939119</v>
      </c>
      <c r="Y40" s="339" t="n">
        <f aca="false">X40-AO40</f>
        <v>256.691436939119</v>
      </c>
      <c r="Z40" s="435"/>
      <c r="AA40" s="339"/>
      <c r="AB40" s="435"/>
      <c r="AC40" s="435" t="n">
        <v>0</v>
      </c>
      <c r="AD40" s="443" t="n">
        <f aca="false">AD39+AP40+AS40</f>
        <v>2590.44296394903</v>
      </c>
      <c r="AE40" s="537" t="n">
        <v>0</v>
      </c>
      <c r="AF40" s="248" t="n">
        <v>1.7</v>
      </c>
      <c r="AG40" s="249" t="n">
        <v>1.3</v>
      </c>
      <c r="AH40" s="185" t="n">
        <v>15.9</v>
      </c>
      <c r="AI40" s="177" t="n">
        <f aca="false">AI39-AH40</f>
        <v>3885.83684762418</v>
      </c>
      <c r="AJ40" s="177"/>
      <c r="AK40" s="11" t="n">
        <f aca="false">N40+O40+P40+Q40+R40+S40+T40+U40+X40+AE40+AH40-AR40</f>
        <v>287.7</v>
      </c>
      <c r="AL40" s="185" t="n">
        <f aca="false">IF(L40&lt;0,L40*-1,0)</f>
        <v>0</v>
      </c>
      <c r="AM40" s="185" t="n">
        <f aca="false">AK40+AL40</f>
        <v>287.7</v>
      </c>
      <c r="AN40" s="220"/>
      <c r="AO40" s="542"/>
      <c r="AP40" s="502" t="n">
        <f aca="false">IF((I40-Q40-R40-X40-AF40)&gt;0,0,I40-Q40-R40-X40-AF40)</f>
        <v>0</v>
      </c>
      <c r="AQ40" s="544" t="n">
        <f aca="false">34.586*(Z40*1.9835+AC40*1.9835)/E40</f>
        <v>0</v>
      </c>
      <c r="AR40" s="544"/>
      <c r="AS40" s="545" t="n">
        <v>10.6</v>
      </c>
      <c r="AT40" s="4"/>
      <c r="AU40" s="4" t="n">
        <f aca="false">O40</f>
        <v>7.3185</v>
      </c>
      <c r="AV40" s="539" t="n">
        <v>0.56</v>
      </c>
      <c r="AW40" s="540" t="n">
        <v>82</v>
      </c>
      <c r="AX40" s="182" t="n">
        <v>55</v>
      </c>
      <c r="AY40" s="294"/>
      <c r="AZ40" s="250" t="n">
        <f aca="false">SUM(N40,P40:U40)</f>
        <v>7.79006306088127</v>
      </c>
      <c r="BA40" s="541" t="n">
        <v>48.2</v>
      </c>
      <c r="BB40" s="464" t="n">
        <v>5669</v>
      </c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12.95" hidden="false" customHeight="true" outlineLevel="0" collapsed="false">
      <c r="A41" s="183" t="n">
        <v>27</v>
      </c>
      <c r="B41" s="309" t="n">
        <v>6860.72</v>
      </c>
      <c r="C41" s="177" t="n">
        <v>164719</v>
      </c>
      <c r="D41" s="182" t="n">
        <f aca="false">C41-C40</f>
        <v>160</v>
      </c>
      <c r="E41" s="177" t="n">
        <f aca="false">C41-152000</f>
        <v>12719</v>
      </c>
      <c r="F41" s="536" t="n">
        <f aca="false">D41/$D$2</f>
        <v>80.6654902949332</v>
      </c>
      <c r="G41" s="537" t="n">
        <v>375</v>
      </c>
      <c r="H41" s="186" t="n">
        <v>0</v>
      </c>
      <c r="I41" s="185" t="n">
        <f aca="false">G41+H41</f>
        <v>375</v>
      </c>
      <c r="J41" s="179" t="n">
        <f aca="false">IF(L41&gt;0,L41,0)</f>
        <v>3.56549029493323</v>
      </c>
      <c r="K41" s="185" t="n">
        <f aca="false">I41+J41</f>
        <v>378.565490294933</v>
      </c>
      <c r="L41" s="185" t="n">
        <f aca="false">F41-(I41-AK41)</f>
        <v>3.56549029493323</v>
      </c>
      <c r="M41" s="538" t="n">
        <v>116</v>
      </c>
      <c r="N41" s="158"/>
      <c r="O41" s="185" t="n">
        <f aca="false">0*1.05</f>
        <v>0</v>
      </c>
      <c r="P41" s="158" t="n">
        <v>0</v>
      </c>
      <c r="Q41" s="338" t="n">
        <f aca="false">932500/325851/1.9835*1.02</f>
        <v>1.47162700693771</v>
      </c>
      <c r="R41" s="131" t="n">
        <f aca="false">(3.7*1.04)-T41</f>
        <v>2.98934064</v>
      </c>
      <c r="S41" s="131" t="n">
        <v>0</v>
      </c>
      <c r="T41" s="131" t="n">
        <f aca="false">(0.7789*1.06)*1.04</f>
        <v>0.85865936</v>
      </c>
      <c r="U41" s="357" t="n">
        <v>0</v>
      </c>
      <c r="V41" s="185" t="n">
        <v>106</v>
      </c>
      <c r="W41" s="537" t="n">
        <v>60.3</v>
      </c>
      <c r="X41" s="339" t="n">
        <f aca="false">M41-N41-O41-P41-Q41-R41-S41-T41-U41+V41+W41-AT41+AR41</f>
        <v>276.980372993062</v>
      </c>
      <c r="Y41" s="339" t="n">
        <f aca="false">X41-AO41</f>
        <v>276.980372993062</v>
      </c>
      <c r="Z41" s="435"/>
      <c r="AA41" s="339"/>
      <c r="AB41" s="435"/>
      <c r="AC41" s="435" t="n">
        <v>0</v>
      </c>
      <c r="AD41" s="443" t="n">
        <f aca="false">AD40+AP41+AS41</f>
        <v>2594.44296394903</v>
      </c>
      <c r="AE41" s="537" t="n">
        <v>0</v>
      </c>
      <c r="AF41" s="248" t="n">
        <v>1.7</v>
      </c>
      <c r="AG41" s="249" t="n">
        <v>1.3</v>
      </c>
      <c r="AH41" s="185" t="n">
        <v>15.6</v>
      </c>
      <c r="AI41" s="177" t="n">
        <f aca="false">AI40-AH41</f>
        <v>3870.23684762418</v>
      </c>
      <c r="AJ41" s="177"/>
      <c r="AK41" s="11" t="n">
        <f aca="false">N41+O41+P41+Q41+R41+S41+T41+U41+X41+AE41+AH41-AR41</f>
        <v>297.9</v>
      </c>
      <c r="AL41" s="185" t="n">
        <f aca="false">IF(L41&lt;0,L41*-1,0)</f>
        <v>0</v>
      </c>
      <c r="AM41" s="185" t="n">
        <f aca="false">AK41+AL41</f>
        <v>297.9</v>
      </c>
      <c r="AN41" s="220"/>
      <c r="AO41" s="542"/>
      <c r="AP41" s="502" t="n">
        <f aca="false">IF((I41-Q41-R41-X41-AF41)&gt;0,0,I41-Q41-R41-X41-AF41)</f>
        <v>0</v>
      </c>
      <c r="AQ41" s="544" t="n">
        <f aca="false">34.586*(Z41*1.9835+AC41*1.9835)/E41</f>
        <v>0</v>
      </c>
      <c r="AR41" s="544"/>
      <c r="AS41" s="545" t="n">
        <v>4</v>
      </c>
      <c r="AT41" s="4"/>
      <c r="AU41" s="4" t="n">
        <f aca="false">O41</f>
        <v>0</v>
      </c>
      <c r="AV41" s="539" t="n">
        <v>0</v>
      </c>
      <c r="AW41" s="540" t="n">
        <v>85</v>
      </c>
      <c r="AX41" s="182" t="n">
        <v>55</v>
      </c>
      <c r="AY41" s="294"/>
      <c r="AZ41" s="250" t="n">
        <f aca="false">SUM(N41,P41:U41)</f>
        <v>5.31962700693771</v>
      </c>
      <c r="BA41" s="541" t="n">
        <v>47.8</v>
      </c>
      <c r="BB41" s="464" t="n">
        <v>5597</v>
      </c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</row>
    <row r="42" customFormat="false" ht="12.95" hidden="false" customHeight="true" outlineLevel="0" collapsed="false">
      <c r="A42" s="542" t="n">
        <v>28</v>
      </c>
      <c r="B42" s="526" t="n">
        <v>6860.66</v>
      </c>
      <c r="C42" s="443" t="n">
        <v>164582</v>
      </c>
      <c r="D42" s="540" t="n">
        <f aca="false">C42-C41</f>
        <v>-137</v>
      </c>
      <c r="E42" s="443" t="n">
        <f aca="false">C42-152000</f>
        <v>12582</v>
      </c>
      <c r="F42" s="547" t="n">
        <f aca="false">D42/$D$2</f>
        <v>-69.0698260650366</v>
      </c>
      <c r="G42" s="537" t="n">
        <v>254</v>
      </c>
      <c r="H42" s="186" t="n">
        <v>0</v>
      </c>
      <c r="I42" s="537" t="n">
        <f aca="false">G42+H42</f>
        <v>254</v>
      </c>
      <c r="J42" s="548" t="n">
        <f aca="false">IF(L42&gt;0,L42,0)</f>
        <v>8.63017393496344</v>
      </c>
      <c r="K42" s="537" t="n">
        <f aca="false">I42+J42</f>
        <v>262.630173934963</v>
      </c>
      <c r="L42" s="537" t="n">
        <f aca="false">F42-(I42-AK42)</f>
        <v>8.63017393496344</v>
      </c>
      <c r="M42" s="549" t="n">
        <v>132</v>
      </c>
      <c r="N42" s="158"/>
      <c r="O42" s="537" t="n">
        <f aca="false">0*1.05</f>
        <v>0</v>
      </c>
      <c r="P42" s="158" t="n">
        <v>0</v>
      </c>
      <c r="Q42" s="338" t="n">
        <f aca="false">1151700/325851/1.9835*1.02</f>
        <v>1.81755798808597</v>
      </c>
      <c r="R42" s="131" t="n">
        <f aca="false">(3.2*1.04)-T42</f>
        <v>2.46934064</v>
      </c>
      <c r="S42" s="131" t="n">
        <v>0</v>
      </c>
      <c r="T42" s="131" t="n">
        <f aca="false">(0.7789*1.06)*1.04</f>
        <v>0.85865936</v>
      </c>
      <c r="U42" s="357" t="n">
        <v>0</v>
      </c>
      <c r="V42" s="537" t="n">
        <v>124</v>
      </c>
      <c r="W42" s="537" t="n">
        <v>60.1</v>
      </c>
      <c r="X42" s="339" t="n">
        <f aca="false">M42-N42-O42-P42-Q42-R42-S42-T42-U42+V42+W42-AT42+AR42</f>
        <v>310.954442011914</v>
      </c>
      <c r="Y42" s="339" t="n">
        <f aca="false">X42-AO42</f>
        <v>310.954442011914</v>
      </c>
      <c r="Z42" s="435"/>
      <c r="AA42" s="339"/>
      <c r="AB42" s="435"/>
      <c r="AC42" s="435" t="n">
        <v>0</v>
      </c>
      <c r="AD42" s="443" t="n">
        <f aca="false">AD41+AP42+AS42</f>
        <v>2531.50162330903</v>
      </c>
      <c r="AE42" s="537" t="n">
        <v>0</v>
      </c>
      <c r="AF42" s="248" t="n">
        <v>1.7</v>
      </c>
      <c r="AG42" s="249" t="n">
        <v>1.3</v>
      </c>
      <c r="AH42" s="185" t="n">
        <v>15.6</v>
      </c>
      <c r="AI42" s="177" t="n">
        <f aca="false">AI41-AH42</f>
        <v>3854.63684762418</v>
      </c>
      <c r="AJ42" s="177"/>
      <c r="AK42" s="11" t="n">
        <f aca="false">N42+O42+P42+Q42+R42+S42+T42+U42+X42+AE42+AH42-AR42</f>
        <v>331.7</v>
      </c>
      <c r="AL42" s="537" t="n">
        <f aca="false">IF(L42&lt;0,L42*-1,0)</f>
        <v>0</v>
      </c>
      <c r="AM42" s="537" t="n">
        <f aca="false">AK42+AL42</f>
        <v>331.7</v>
      </c>
      <c r="AN42" s="220"/>
      <c r="AO42" s="542"/>
      <c r="AP42" s="543" t="n">
        <f aca="false">I42-Q42-R42-X42-AF42</f>
        <v>-62.94134064</v>
      </c>
      <c r="AQ42" s="544" t="n">
        <f aca="false">39.314*(Z42*1.9835+AC42*1.9835)/E42</f>
        <v>0</v>
      </c>
      <c r="AR42" s="544"/>
      <c r="AS42" s="545"/>
      <c r="AT42" s="4"/>
      <c r="AU42" s="4" t="n">
        <f aca="false">O42</f>
        <v>0</v>
      </c>
      <c r="AV42" s="539" t="n">
        <v>0</v>
      </c>
      <c r="AW42" s="540" t="n">
        <v>88</v>
      </c>
      <c r="AX42" s="540" t="n">
        <v>55</v>
      </c>
      <c r="AY42" s="294"/>
      <c r="AZ42" s="250" t="n">
        <f aca="false">SUM(N42,P42:U42)</f>
        <v>5.14555798808597</v>
      </c>
      <c r="BA42" s="541" t="n">
        <v>47.8</v>
      </c>
      <c r="BB42" s="464" t="n">
        <v>5567</v>
      </c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</row>
    <row r="43" customFormat="false" ht="12.95" hidden="false" customHeight="true" outlineLevel="0" collapsed="false">
      <c r="A43" s="542" t="n">
        <v>29</v>
      </c>
      <c r="B43" s="526" t="n">
        <v>6860.57</v>
      </c>
      <c r="C43" s="443" t="n">
        <v>164375</v>
      </c>
      <c r="D43" s="540" t="n">
        <f aca="false">C43-C42</f>
        <v>-207</v>
      </c>
      <c r="E43" s="443" t="n">
        <f aca="false">C43-152000</f>
        <v>12375</v>
      </c>
      <c r="F43" s="547" t="n">
        <f aca="false">D43/$D$2</f>
        <v>-104.36097806907</v>
      </c>
      <c r="G43" s="537" t="n">
        <v>208</v>
      </c>
      <c r="H43" s="550" t="n">
        <v>0</v>
      </c>
      <c r="I43" s="537" t="n">
        <f aca="false">G43+H43</f>
        <v>208</v>
      </c>
      <c r="J43" s="548" t="n">
        <f aca="false">IF(L43&gt;0,L43,0)</f>
        <v>38.5390219309302</v>
      </c>
      <c r="K43" s="537" t="n">
        <f aca="false">I43+J43</f>
        <v>246.53902193093</v>
      </c>
      <c r="L43" s="537" t="n">
        <f aca="false">F43-(I43-AK43)</f>
        <v>38.5390219309302</v>
      </c>
      <c r="M43" s="549" t="n">
        <v>138</v>
      </c>
      <c r="N43" s="158"/>
      <c r="O43" s="537" t="n">
        <f aca="false">0*1.05</f>
        <v>0</v>
      </c>
      <c r="P43" s="158" t="n">
        <v>0</v>
      </c>
      <c r="Q43" s="338" t="n">
        <f aca="false">1364200/325851/1.9835*1.02</f>
        <v>2.15291534891628</v>
      </c>
      <c r="R43" s="131" t="n">
        <f aca="false">(3.2*1.04)-T43</f>
        <v>2.46934064</v>
      </c>
      <c r="S43" s="131" t="n">
        <v>0</v>
      </c>
      <c r="T43" s="131" t="n">
        <f aca="false">(0.7789*1.06)*1.04</f>
        <v>0.85865936</v>
      </c>
      <c r="U43" s="357" t="n">
        <v>0</v>
      </c>
      <c r="V43" s="537" t="n">
        <v>137</v>
      </c>
      <c r="W43" s="537" t="n">
        <v>60.3</v>
      </c>
      <c r="X43" s="339" t="n">
        <f aca="false">M43-N43-O43-P43-Q43-R43-S43-T43-U43+V43+W43-AT43+AR43</f>
        <v>329.819084651084</v>
      </c>
      <c r="Y43" s="339" t="n">
        <f aca="false">X43-AO43</f>
        <v>329.819084651084</v>
      </c>
      <c r="Z43" s="435"/>
      <c r="AA43" s="339"/>
      <c r="AB43" s="435"/>
      <c r="AC43" s="435" t="n">
        <v>0</v>
      </c>
      <c r="AD43" s="443" t="n">
        <f aca="false">AD42+AP43+AS43</f>
        <v>2403.36028266903</v>
      </c>
      <c r="AE43" s="537" t="n">
        <v>0</v>
      </c>
      <c r="AF43" s="248" t="n">
        <v>1.7</v>
      </c>
      <c r="AG43" s="249" t="n">
        <v>1.3</v>
      </c>
      <c r="AH43" s="185" t="n">
        <v>15.6</v>
      </c>
      <c r="AI43" s="177" t="n">
        <f aca="false">AI42-AH43</f>
        <v>3839.03684762418</v>
      </c>
      <c r="AJ43" s="177"/>
      <c r="AK43" s="11" t="n">
        <f aca="false">N43+O43+P43+Q43+R43+S43+T43+U43+X43+AE43+AH43-AR43</f>
        <v>350.9</v>
      </c>
      <c r="AL43" s="537" t="n">
        <f aca="false">IF(L43&lt;0,L43*-1,0)</f>
        <v>0</v>
      </c>
      <c r="AM43" s="537" t="n">
        <f aca="false">AK43+AL43</f>
        <v>350.9</v>
      </c>
      <c r="AN43" s="220"/>
      <c r="AO43" s="542"/>
      <c r="AP43" s="543" t="n">
        <f aca="false">I43-Q43-R43-X43-AF43</f>
        <v>-128.14134064</v>
      </c>
      <c r="AQ43" s="544" t="n">
        <f aca="false">33.91*(Z43*1.9835+AC43*1.9835)/E43</f>
        <v>0</v>
      </c>
      <c r="AR43" s="544"/>
      <c r="AS43" s="545"/>
      <c r="AT43" s="4"/>
      <c r="AU43" s="4" t="n">
        <f aca="false">O43</f>
        <v>0</v>
      </c>
      <c r="AV43" s="539" t="n">
        <v>0</v>
      </c>
      <c r="AW43" s="540" t="n">
        <v>87</v>
      </c>
      <c r="AX43" s="540" t="n">
        <v>56</v>
      </c>
      <c r="AY43" s="294"/>
      <c r="AZ43" s="250" t="n">
        <f aca="false">SUM(N43,P43:U43)</f>
        <v>5.48091534891628</v>
      </c>
      <c r="BA43" s="541" t="n">
        <v>26.4</v>
      </c>
      <c r="BB43" s="464" t="n">
        <v>5483</v>
      </c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</row>
    <row r="44" customFormat="false" ht="12.95" hidden="false" customHeight="true" outlineLevel="0" collapsed="false">
      <c r="A44" s="542" t="n">
        <v>30</v>
      </c>
      <c r="B44" s="526" t="n">
        <v>6860.44</v>
      </c>
      <c r="C44" s="443" t="n">
        <v>164077</v>
      </c>
      <c r="D44" s="540" t="n">
        <f aca="false">C44-C43</f>
        <v>-298</v>
      </c>
      <c r="E44" s="443" t="n">
        <f aca="false">C44-152000</f>
        <v>12077</v>
      </c>
      <c r="F44" s="547" t="n">
        <f aca="false">D44/$D$2</f>
        <v>-150.239475674313</v>
      </c>
      <c r="G44" s="537" t="n">
        <v>190</v>
      </c>
      <c r="H44" s="550" t="n">
        <v>0</v>
      </c>
      <c r="I44" s="537" t="n">
        <f aca="false">G44+H44</f>
        <v>190</v>
      </c>
      <c r="J44" s="548" t="n">
        <f aca="false">IF(L44&gt;0,L44,0)</f>
        <v>24.7605243256869</v>
      </c>
      <c r="K44" s="537" t="n">
        <f aca="false">I44+J44</f>
        <v>214.760524325687</v>
      </c>
      <c r="L44" s="537" t="n">
        <f aca="false">F44-(I44-AK44)</f>
        <v>24.7605243256869</v>
      </c>
      <c r="M44" s="549" t="n">
        <v>156</v>
      </c>
      <c r="N44" s="158"/>
      <c r="O44" s="537" t="n">
        <f aca="false">0*1.05</f>
        <v>0</v>
      </c>
      <c r="P44" s="158" t="n">
        <v>0</v>
      </c>
      <c r="Q44" s="338" t="n">
        <f aca="false">1320800/325851/1.9835*1.02</f>
        <v>2.08442353969258</v>
      </c>
      <c r="R44" s="131" t="n">
        <f aca="false">(3.2*1.04)-T44</f>
        <v>2.42149648</v>
      </c>
      <c r="S44" s="131" t="n">
        <v>0</v>
      </c>
      <c r="T44" s="131" t="n">
        <f aca="false">(0.8223*1.06)*1.04</f>
        <v>0.90650352</v>
      </c>
      <c r="U44" s="357" t="n">
        <v>0</v>
      </c>
      <c r="V44" s="537" t="n">
        <v>133</v>
      </c>
      <c r="W44" s="537" t="n">
        <v>60.4</v>
      </c>
      <c r="X44" s="339" t="n">
        <f aca="false">M44-N44-O44-P44-Q44-R44-S44-T44-U44+V44+W44-AT44+AR44</f>
        <v>343.987576460307</v>
      </c>
      <c r="Y44" s="339" t="n">
        <f aca="false">X44-AO44</f>
        <v>343.987576460307</v>
      </c>
      <c r="Z44" s="435"/>
      <c r="AA44" s="339"/>
      <c r="AB44" s="435"/>
      <c r="AC44" s="435" t="n">
        <v>0</v>
      </c>
      <c r="AD44" s="443" t="n">
        <f aca="false">AD43+AP44+AS44</f>
        <v>2243.16678618903</v>
      </c>
      <c r="AE44" s="537" t="n">
        <v>0</v>
      </c>
      <c r="AF44" s="248" t="n">
        <v>1.7</v>
      </c>
      <c r="AG44" s="249" t="n">
        <v>1.3</v>
      </c>
      <c r="AH44" s="185" t="n">
        <v>15.6</v>
      </c>
      <c r="AI44" s="177" t="n">
        <f aca="false">AI43-AH44</f>
        <v>3823.43684762418</v>
      </c>
      <c r="AJ44" s="177"/>
      <c r="AK44" s="11" t="n">
        <f aca="false">N44+O44+P44+Q44+R44+S44+T44+U44+X44+AE44+AH44-AR44</f>
        <v>365</v>
      </c>
      <c r="AL44" s="537" t="n">
        <f aca="false">IF(L44&lt;0,L44*-1,0)</f>
        <v>0</v>
      </c>
      <c r="AM44" s="537" t="n">
        <f aca="false">AK44+AL44</f>
        <v>365</v>
      </c>
      <c r="AN44" s="220"/>
      <c r="AO44" s="542"/>
      <c r="AP44" s="543" t="n">
        <f aca="false">I44-Q44-R44-X44-AF44</f>
        <v>-160.19349648</v>
      </c>
      <c r="AQ44" s="544" t="n">
        <f aca="false">33.841*(Z44*1.9835+AC44*1.9835)/E44</f>
        <v>0</v>
      </c>
      <c r="AR44" s="544"/>
      <c r="AS44" s="545"/>
      <c r="AT44" s="4"/>
      <c r="AU44" s="4" t="n">
        <f aca="false">O44</f>
        <v>0</v>
      </c>
      <c r="AV44" s="539" t="n">
        <v>0.03</v>
      </c>
      <c r="AW44" s="540" t="n">
        <v>90</v>
      </c>
      <c r="AX44" s="540" t="n">
        <v>58</v>
      </c>
      <c r="AY44" s="294"/>
      <c r="AZ44" s="250" t="n">
        <f aca="false">SUM(N44,P44:U44)</f>
        <v>5.41242353969258</v>
      </c>
      <c r="BA44" s="541" t="n">
        <v>0.621</v>
      </c>
      <c r="BB44" s="464" t="n">
        <v>5490</v>
      </c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</row>
    <row r="45" customFormat="false" ht="12.95" hidden="false" customHeight="true" outlineLevel="0" collapsed="false">
      <c r="A45" s="542" t="n">
        <v>31</v>
      </c>
      <c r="B45" s="526" t="n">
        <v>6860.26</v>
      </c>
      <c r="C45" s="443" t="n">
        <v>163663</v>
      </c>
      <c r="D45" s="540" t="n">
        <f aca="false">C45-C44</f>
        <v>-414</v>
      </c>
      <c r="E45" s="443" t="n">
        <f aca="false">C45-152000</f>
        <v>11663</v>
      </c>
      <c r="F45" s="547" t="n">
        <f aca="false">D45/$D$2</f>
        <v>-208.72195613814</v>
      </c>
      <c r="G45" s="537" t="n">
        <v>161</v>
      </c>
      <c r="H45" s="550" t="n">
        <v>0</v>
      </c>
      <c r="I45" s="537" t="n">
        <f aca="false">G45+H45</f>
        <v>161</v>
      </c>
      <c r="J45" s="548" t="n">
        <f aca="false">IF(L45&gt;0,L45,0)</f>
        <v>0</v>
      </c>
      <c r="K45" s="537" t="n">
        <f aca="false">I45+J45</f>
        <v>161</v>
      </c>
      <c r="L45" s="537" t="n">
        <f aca="false">F45-(I45-AK45)</f>
        <v>-21.7219561381396</v>
      </c>
      <c r="M45" s="549" t="n">
        <v>142</v>
      </c>
      <c r="N45" s="158"/>
      <c r="O45" s="537" t="n">
        <f aca="false">0*1.05</f>
        <v>0</v>
      </c>
      <c r="P45" s="158" t="n">
        <v>0</v>
      </c>
      <c r="Q45" s="338" t="n">
        <f aca="false">1256800/325851/1.9835*1.02</f>
        <v>1.98342179337192</v>
      </c>
      <c r="R45" s="131" t="n">
        <f aca="false">(3.2*1.04)-T45</f>
        <v>2.42149648</v>
      </c>
      <c r="S45" s="131" t="n">
        <v>0</v>
      </c>
      <c r="T45" s="131" t="n">
        <f aca="false">(0.8223*1.06)*1.04</f>
        <v>0.90650352</v>
      </c>
      <c r="U45" s="357" t="n">
        <v>0</v>
      </c>
      <c r="V45" s="537" t="n">
        <v>130</v>
      </c>
      <c r="W45" s="537" t="n">
        <v>60.4</v>
      </c>
      <c r="X45" s="339" t="n">
        <f aca="false">M45-N45-O45-P45-Q45-R45-S45-T45-U45+V45+W45-AT45+AR45</f>
        <v>327.088578206628</v>
      </c>
      <c r="Y45" s="339" t="n">
        <f aca="false">X45-AO45</f>
        <v>327.088578206628</v>
      </c>
      <c r="Z45" s="435"/>
      <c r="AA45" s="339"/>
      <c r="AB45" s="435"/>
      <c r="AC45" s="435" t="n">
        <v>0</v>
      </c>
      <c r="AD45" s="443" t="n">
        <f aca="false">AD44+AP45+AS45</f>
        <v>2070.97328970903</v>
      </c>
      <c r="AE45" s="537" t="n">
        <v>0</v>
      </c>
      <c r="AF45" s="248" t="n">
        <v>1.7</v>
      </c>
      <c r="AG45" s="249" t="n">
        <v>1.3</v>
      </c>
      <c r="AH45" s="185" t="n">
        <v>15.6</v>
      </c>
      <c r="AI45" s="177" t="n">
        <f aca="false">AI44-AH45</f>
        <v>3807.83684762418</v>
      </c>
      <c r="AJ45" s="177"/>
      <c r="AK45" s="11" t="n">
        <f aca="false">N45+O45+P45+Q45+R45+S45+T45+U45+X45+AE45+AH45-AR45</f>
        <v>348</v>
      </c>
      <c r="AL45" s="537" t="n">
        <f aca="false">IF(L45&lt;0,L45*-1,0)</f>
        <v>21.7219561381396</v>
      </c>
      <c r="AM45" s="537" t="n">
        <f aca="false">AK45+AL45</f>
        <v>369.72195613814</v>
      </c>
      <c r="AN45" s="220"/>
      <c r="AO45" s="183"/>
      <c r="AP45" s="97" t="n">
        <f aca="false">I45-Q45-R45-X45-AF45</f>
        <v>-172.19349648</v>
      </c>
      <c r="AQ45" s="158" t="n">
        <f aca="false">25.613*(Z45*1.9835+AC45*1.9835)/E45</f>
        <v>0</v>
      </c>
      <c r="AR45" s="158"/>
      <c r="AS45" s="147"/>
      <c r="AT45" s="4"/>
      <c r="AU45" s="4" t="n">
        <f aca="false">O45</f>
        <v>0</v>
      </c>
      <c r="AV45" s="539" t="n">
        <v>0</v>
      </c>
      <c r="AW45" s="540" t="n">
        <v>87</v>
      </c>
      <c r="AX45" s="540" t="n">
        <v>54</v>
      </c>
      <c r="AY45" s="294"/>
      <c r="AZ45" s="250" t="n">
        <f aca="false">SUM(N45,P45:U45)</f>
        <v>5.31142179337192</v>
      </c>
      <c r="BA45" s="1" t="n">
        <v>0.511</v>
      </c>
      <c r="BB45" s="464" t="n">
        <v>5486</v>
      </c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</row>
    <row r="46" customFormat="false" ht="3" hidden="false" customHeight="true" outlineLevel="0" collapsed="false">
      <c r="A46" s="231"/>
      <c r="B46" s="505"/>
      <c r="C46" s="506"/>
      <c r="D46" s="231"/>
      <c r="E46" s="506"/>
      <c r="F46" s="507"/>
      <c r="G46" s="532"/>
      <c r="H46" s="532"/>
      <c r="I46" s="231"/>
      <c r="J46" s="231"/>
      <c r="K46" s="231"/>
      <c r="L46" s="231"/>
      <c r="M46" s="509"/>
      <c r="N46" s="231"/>
      <c r="O46" s="231"/>
      <c r="P46" s="510"/>
      <c r="Q46" s="510"/>
      <c r="R46" s="510"/>
      <c r="S46" s="510"/>
      <c r="T46" s="510"/>
      <c r="U46" s="511"/>
      <c r="V46" s="231"/>
      <c r="W46" s="231"/>
      <c r="X46" s="231"/>
      <c r="Y46" s="231"/>
      <c r="Z46" s="506"/>
      <c r="AA46" s="231"/>
      <c r="AB46" s="506"/>
      <c r="AC46" s="506"/>
      <c r="AD46" s="506"/>
      <c r="AE46" s="231" t="n">
        <v>178</v>
      </c>
      <c r="AF46" s="237"/>
      <c r="AG46" s="241"/>
      <c r="AH46" s="231"/>
      <c r="AI46" s="231"/>
      <c r="AJ46" s="231"/>
      <c r="AK46" s="231"/>
      <c r="AL46" s="231"/>
      <c r="AM46" s="231"/>
      <c r="AN46" s="533"/>
      <c r="AO46" s="336"/>
      <c r="AP46" s="336"/>
      <c r="AQ46" s="124"/>
      <c r="AR46" s="124"/>
      <c r="AS46" s="534"/>
      <c r="AT46" s="534"/>
      <c r="AU46" s="534"/>
      <c r="AV46" s="535"/>
      <c r="AW46" s="512"/>
      <c r="AX46" s="512"/>
      <c r="AY46" s="512"/>
      <c r="AZ46" s="512"/>
      <c r="BA46" s="512"/>
      <c r="BB46" s="512"/>
    </row>
    <row r="47" customFormat="false" ht="12.95" hidden="false" customHeight="true" outlineLevel="0" collapsed="false">
      <c r="A47" s="185" t="s">
        <v>101</v>
      </c>
      <c r="B47" s="520"/>
      <c r="D47" s="177"/>
      <c r="F47" s="277" t="n">
        <f aca="false">SUM(F15:F45)</f>
        <v>-4873.20393244265</v>
      </c>
      <c r="G47" s="443" t="n">
        <f aca="false">SUM(G15:G45)</f>
        <v>5555</v>
      </c>
      <c r="H47" s="177" t="n">
        <f aca="false">SUM(H15:H45)</f>
        <v>0</v>
      </c>
      <c r="I47" s="177" t="n">
        <f aca="false">SUM(I15:I45)</f>
        <v>5555</v>
      </c>
      <c r="J47" s="177" t="n">
        <f aca="false">SUM(J15:J45)</f>
        <v>515.448569132846</v>
      </c>
      <c r="K47" s="177" t="n">
        <f aca="false">SUM(K15:K45)</f>
        <v>6070.44856913285</v>
      </c>
      <c r="L47" s="177" t="n">
        <f aca="false">SUM(L15:L45)</f>
        <v>215.263151097349</v>
      </c>
      <c r="M47" s="523" t="n">
        <f aca="false">SUM(M15:M45)</f>
        <v>4523.2</v>
      </c>
      <c r="N47" s="177" t="n">
        <f aca="false">SUM(N15:N45)</f>
        <v>7.25</v>
      </c>
      <c r="O47" s="177" t="n">
        <f aca="false">SUM(O15:O45)</f>
        <v>51.912</v>
      </c>
      <c r="P47" s="8" t="n">
        <f aca="false">SUM(P15:P45)</f>
        <v>0</v>
      </c>
      <c r="Q47" s="182" t="n">
        <f aca="false">SUM(Q15:Q45)</f>
        <v>76.9685385988861</v>
      </c>
      <c r="R47" s="182" t="n">
        <f aca="false">SUM(R15:R45)</f>
        <v>119.76823344</v>
      </c>
      <c r="S47" s="182" t="n">
        <f aca="false">SUM(S15:S45)</f>
        <v>20.3832024</v>
      </c>
      <c r="T47" s="182" t="n">
        <f aca="false">SUM(T15:T45)</f>
        <v>32.07256416</v>
      </c>
      <c r="U47" s="522" t="n">
        <f aca="false">SUM(U15:U45)</f>
        <v>0</v>
      </c>
      <c r="V47" s="177" t="n">
        <f aca="false">SUM(V15:V45)</f>
        <v>3366.2</v>
      </c>
      <c r="W47" s="177" t="n">
        <f aca="false">SUM(W15:W45)</f>
        <v>1891.5</v>
      </c>
      <c r="X47" s="177" t="n">
        <f aca="false">SUM(X15:X45)</f>
        <v>9472.54546140112</v>
      </c>
      <c r="Y47" s="107" t="n">
        <f aca="false">SUM(Y15:Y45)</f>
        <v>9472.54546140112</v>
      </c>
      <c r="Z47" s="177"/>
      <c r="AA47" s="107"/>
      <c r="AB47" s="177"/>
      <c r="AE47" s="177" t="n">
        <f aca="false">SUM(AE15:AE45)</f>
        <v>375.96708354</v>
      </c>
      <c r="AF47" s="523" t="n">
        <f aca="false">SUM(AF15:AF45)</f>
        <v>52.7</v>
      </c>
      <c r="AG47" s="521" t="n">
        <f aca="false">SUM(AG15:AG45)</f>
        <v>40.3</v>
      </c>
      <c r="AH47" s="177" t="n">
        <f aca="false">SUM(AH15:AH45)</f>
        <v>486.6</v>
      </c>
      <c r="AI47" s="177"/>
      <c r="AJ47" s="177" t="n">
        <f aca="false">SUM(AJ15:AJ45)</f>
        <v>0</v>
      </c>
      <c r="AK47" s="177" t="n">
        <f aca="false">SUM(AK15:AK45)</f>
        <v>10643.46708354</v>
      </c>
      <c r="AL47" s="177" t="n">
        <f aca="false">SUM(AL15:AL45)</f>
        <v>300.185418035497</v>
      </c>
      <c r="AM47" s="177" t="n">
        <f aca="false">SUM(AM15:AM45)</f>
        <v>10943.6525015755</v>
      </c>
      <c r="AN47" s="524"/>
      <c r="AO47" s="177" t="n">
        <f aca="false">SUM(AO15:AO45)</f>
        <v>0</v>
      </c>
      <c r="AP47" s="179" t="n">
        <f aca="false">SUM(AP15:AP45)</f>
        <v>-4434.0418928</v>
      </c>
      <c r="AQ47" s="8"/>
      <c r="AR47" s="158" t="n">
        <f aca="false">SUM(AR15:AR45)</f>
        <v>0</v>
      </c>
      <c r="AS47" s="215" t="n">
        <f aca="false">SUM(AS15:AS45)</f>
        <v>279.6</v>
      </c>
      <c r="AT47" s="136" t="n">
        <f aca="false">SUM(AT15:AT45)</f>
        <v>0</v>
      </c>
      <c r="AU47" s="136" t="n">
        <f aca="false">SUM(AU15:AU45)</f>
        <v>51.912</v>
      </c>
      <c r="AV47" s="539" t="n">
        <f aca="false">SUM(AV15:AV45)</f>
        <v>1.72</v>
      </c>
      <c r="AW47" s="182" t="n">
        <f aca="false">AVERAGE(AW15:AW45)</f>
        <v>85.8709677419355</v>
      </c>
      <c r="AX47" s="182" t="n">
        <f aca="false">AVERAGE(AX15:AX45)</f>
        <v>54.6129032258065</v>
      </c>
      <c r="AY47" s="308" t="s">
        <v>126</v>
      </c>
      <c r="AZ47" s="530" t="n">
        <f aca="false">SUM(AZ15:AZ45)</f>
        <v>256.442538598886</v>
      </c>
      <c r="BA47" s="177" t="n">
        <f aca="false">SUM(BA15:BA45)</f>
        <v>1423.032</v>
      </c>
      <c r="BB47" s="274"/>
    </row>
    <row r="48" customFormat="false" ht="12.95" hidden="false" customHeight="true" outlineLevel="0" collapsed="false">
      <c r="A48" s="185" t="s">
        <v>103</v>
      </c>
      <c r="B48" s="520"/>
      <c r="D48" s="177" t="n">
        <f aca="false">SUM(D15:D45)</f>
        <v>-9666</v>
      </c>
      <c r="F48" s="277" t="n">
        <f aca="false">F47*$D$2</f>
        <v>-9666</v>
      </c>
      <c r="G48" s="443" t="n">
        <f aca="false">G47*$D$2</f>
        <v>11018.3425</v>
      </c>
      <c r="H48" s="177" t="n">
        <f aca="false">H47*$D$2</f>
        <v>0</v>
      </c>
      <c r="I48" s="177" t="n">
        <f aca="false">I47*$D$2</f>
        <v>11018.3425</v>
      </c>
      <c r="J48" s="177" t="n">
        <f aca="false">J47*$D$2</f>
        <v>1022.392236875</v>
      </c>
      <c r="K48" s="177" t="n">
        <f aca="false">K47*$D$2</f>
        <v>12040.734736875</v>
      </c>
      <c r="L48" s="177" t="n">
        <f aca="false">L47*$D$2</f>
        <v>426.974460201591</v>
      </c>
      <c r="M48" s="523" t="n">
        <f aca="false">M47*$D$2</f>
        <v>8971.7672</v>
      </c>
      <c r="N48" s="177" t="n">
        <f aca="false">N47*$D$2</f>
        <v>14.380375</v>
      </c>
      <c r="O48" s="177" t="n">
        <f aca="false">O47*$D$2</f>
        <v>102.967452</v>
      </c>
      <c r="P48" s="8" t="n">
        <f aca="false">P47*$D$2</f>
        <v>0</v>
      </c>
      <c r="Q48" s="182" t="n">
        <f aca="false">Q47*$D$2</f>
        <v>152.667096310891</v>
      </c>
      <c r="R48" s="182" t="n">
        <f aca="false">R47*$D$2</f>
        <v>237.56029102824</v>
      </c>
      <c r="S48" s="182" t="n">
        <f aca="false">S47*$D$2</f>
        <v>40.4300819604</v>
      </c>
      <c r="T48" s="182" t="n">
        <f aca="false">T47*$D$2</f>
        <v>63.61593101136</v>
      </c>
      <c r="U48" s="522" t="n">
        <f aca="false">U47*$D$2</f>
        <v>0</v>
      </c>
      <c r="V48" s="177" t="n">
        <f aca="false">V47*$D$2</f>
        <v>6676.8577</v>
      </c>
      <c r="W48" s="177" t="n">
        <f aca="false">W47*$D$2</f>
        <v>3751.79025</v>
      </c>
      <c r="X48" s="177" t="n">
        <f aca="false">X47*$D$2</f>
        <v>18788.7939226891</v>
      </c>
      <c r="Y48" s="107" t="n">
        <f aca="false">Y47*$D$2</f>
        <v>18788.7939226891</v>
      </c>
      <c r="Z48" s="177"/>
      <c r="AA48" s="107"/>
      <c r="AB48" s="177"/>
      <c r="AE48" s="177" t="n">
        <f aca="false">AE47*$D$2</f>
        <v>745.73071020159</v>
      </c>
      <c r="AF48" s="523" t="n">
        <f aca="false">AF47*$D$2</f>
        <v>104.53045</v>
      </c>
      <c r="AG48" s="521" t="n">
        <f aca="false">AG47*$D$2</f>
        <v>79.93505</v>
      </c>
      <c r="AH48" s="177" t="n">
        <f aca="false">AH47*$D$2</f>
        <v>965.1711</v>
      </c>
      <c r="AI48" s="177"/>
      <c r="AJ48" s="177" t="n">
        <f aca="false">AJ47*$D$2</f>
        <v>0</v>
      </c>
      <c r="AK48" s="177" t="n">
        <f aca="false">AK47*$D$2</f>
        <v>21111.3169602016</v>
      </c>
      <c r="AL48" s="177" t="n">
        <f aca="false">AL47*$D$2</f>
        <v>595.417776673409</v>
      </c>
      <c r="AM48" s="177" t="n">
        <f aca="false">AM47*$D$2</f>
        <v>21706.734736875</v>
      </c>
      <c r="AN48" s="524"/>
      <c r="AO48" s="177" t="n">
        <f aca="false">AO47*$D$2</f>
        <v>0</v>
      </c>
      <c r="AP48" s="183"/>
      <c r="AQ48" s="8" t="n">
        <f aca="false">SUM(AQ15:AQ45)</f>
        <v>121.68153104996</v>
      </c>
      <c r="AR48" s="136" t="n">
        <f aca="false">AR47*$D$2</f>
        <v>0</v>
      </c>
      <c r="AS48" s="215" t="n">
        <f aca="false">AS47*$D$2</f>
        <v>554.5866</v>
      </c>
      <c r="AT48" s="136" t="n">
        <f aca="false">AT47*$D$2</f>
        <v>0</v>
      </c>
      <c r="AU48" s="136" t="n">
        <f aca="false">AU47*$D$2</f>
        <v>102.967452</v>
      </c>
      <c r="AV48" s="525"/>
      <c r="AW48" s="182" t="n">
        <f aca="false">MAX(AW15:AW45)</f>
        <v>92</v>
      </c>
      <c r="AX48" s="182" t="n">
        <f aca="false">MAX(AX15:AX45)</f>
        <v>59</v>
      </c>
      <c r="AY48" s="308" t="s">
        <v>104</v>
      </c>
      <c r="AZ48" s="530" t="n">
        <f aca="false">AZ47*$D$2</f>
        <v>508.653775310891</v>
      </c>
      <c r="BA48" s="177" t="n">
        <f aca="false">BA47*$D$2</f>
        <v>2822.583972</v>
      </c>
      <c r="BB48" s="274"/>
    </row>
    <row r="49" customFormat="false" ht="3" hidden="false" customHeight="true" outlineLevel="0" collapsed="false">
      <c r="A49" s="231"/>
      <c r="B49" s="505"/>
      <c r="C49" s="506"/>
      <c r="D49" s="506"/>
      <c r="E49" s="506"/>
      <c r="F49" s="551"/>
      <c r="G49" s="506"/>
      <c r="H49" s="506"/>
      <c r="I49" s="506"/>
      <c r="J49" s="506"/>
      <c r="K49" s="506"/>
      <c r="L49" s="506"/>
      <c r="M49" s="552"/>
      <c r="N49" s="506"/>
      <c r="O49" s="506"/>
      <c r="P49" s="510"/>
      <c r="Q49" s="512"/>
      <c r="R49" s="512"/>
      <c r="S49" s="512"/>
      <c r="T49" s="512"/>
      <c r="U49" s="511"/>
      <c r="V49" s="506"/>
      <c r="W49" s="506"/>
      <c r="X49" s="506"/>
      <c r="Y49" s="233"/>
      <c r="Z49" s="506"/>
      <c r="AA49" s="233"/>
      <c r="AB49" s="506"/>
      <c r="AC49" s="506"/>
      <c r="AD49" s="506"/>
      <c r="AE49" s="506"/>
      <c r="AF49" s="552"/>
      <c r="AG49" s="553"/>
      <c r="AH49" s="506"/>
      <c r="AI49" s="231"/>
      <c r="AJ49" s="506"/>
      <c r="AK49" s="506"/>
      <c r="AL49" s="506"/>
      <c r="AM49" s="506"/>
      <c r="AN49" s="554"/>
      <c r="AO49" s="506"/>
      <c r="AP49" s="336"/>
      <c r="AQ49" s="510"/>
      <c r="AR49" s="238"/>
      <c r="AS49" s="243"/>
      <c r="AT49" s="240"/>
      <c r="AU49" s="534"/>
      <c r="AV49" s="554"/>
      <c r="AW49" s="506"/>
      <c r="AX49" s="506"/>
      <c r="AY49" s="506"/>
      <c r="AZ49" s="506"/>
      <c r="BA49" s="506"/>
      <c r="BB49" s="506"/>
    </row>
    <row r="50" customFormat="false" ht="12.95" hidden="false" customHeight="true" outlineLevel="0" collapsed="false">
      <c r="A50" s="185" t="s">
        <v>105</v>
      </c>
      <c r="B50" s="520"/>
      <c r="D50" s="177"/>
      <c r="F50" s="277" t="n">
        <f aca="false">F12+F47</f>
        <v>-12454.2475422233</v>
      </c>
      <c r="G50" s="177" t="n">
        <f aca="false">G12+G47</f>
        <v>48453</v>
      </c>
      <c r="H50" s="177" t="n">
        <f aca="false">H12+H47</f>
        <v>91.66</v>
      </c>
      <c r="I50" s="177" t="n">
        <f aca="false">I12+I47</f>
        <v>48544.66</v>
      </c>
      <c r="J50" s="177" t="n">
        <f aca="false">J12+J47</f>
        <v>1836.62742560691</v>
      </c>
      <c r="K50" s="177" t="n">
        <f aca="false">K12+K47</f>
        <v>50381.2774256069</v>
      </c>
      <c r="L50" s="177" t="n">
        <f aca="false">L12+L47</f>
        <v>-1808.65668417943</v>
      </c>
      <c r="M50" s="523" t="n">
        <f aca="false">M12+M47</f>
        <v>25515.82</v>
      </c>
      <c r="N50" s="177" t="n">
        <f aca="false">N12+N47</f>
        <v>80.6602935</v>
      </c>
      <c r="O50" s="177" t="n">
        <f aca="false">O12+O47</f>
        <v>3086.30991875</v>
      </c>
      <c r="P50" s="8" t="n">
        <f aca="false">P12+P47</f>
        <v>14.3788</v>
      </c>
      <c r="Q50" s="182"/>
      <c r="R50" s="182"/>
      <c r="S50" s="182"/>
      <c r="T50" s="182"/>
      <c r="U50" s="522"/>
      <c r="V50" s="177" t="n">
        <f aca="false">V12+V47</f>
        <v>14343.7</v>
      </c>
      <c r="W50" s="177" t="n">
        <f aca="false">W12+W47</f>
        <v>8351.15</v>
      </c>
      <c r="X50" s="177" t="n">
        <f aca="false">X12+X47</f>
        <v>44469.4008655149</v>
      </c>
      <c r="Y50" s="107" t="n">
        <f aca="false">Y12+Y47</f>
        <v>44469.4008655149</v>
      </c>
      <c r="Z50" s="80" t="n">
        <f aca="false">Z45</f>
        <v>0</v>
      </c>
      <c r="AA50" s="107"/>
      <c r="AB50" s="443"/>
      <c r="AE50" s="177" t="n">
        <f aca="false">AE12+AE47</f>
        <v>8394.51325654391</v>
      </c>
      <c r="AF50" s="523" t="n">
        <f aca="false">AF12+AF47</f>
        <v>260.1</v>
      </c>
      <c r="AG50" s="521" t="n">
        <f aca="false">AG12+AG47</f>
        <v>198.9</v>
      </c>
      <c r="AH50" s="177"/>
      <c r="AI50" s="443"/>
      <c r="AJ50" s="177" t="n">
        <f aca="false">AJ12+AJ47</f>
        <v>0</v>
      </c>
      <c r="AK50" s="177" t="n">
        <f aca="false">AK12+AK47</f>
        <v>59190.2408580439</v>
      </c>
      <c r="AL50" s="177" t="n">
        <f aca="false">AL12+AL47</f>
        <v>3645.28410978634</v>
      </c>
      <c r="AM50" s="177" t="n">
        <f aca="false">AM12+AM47</f>
        <v>62835.5249678303</v>
      </c>
      <c r="AN50" s="524"/>
      <c r="AO50" s="183"/>
      <c r="AP50" s="183"/>
      <c r="AQ50" s="8"/>
      <c r="AR50" s="136" t="n">
        <f aca="false">AR12+AR47</f>
        <v>608.016133098059</v>
      </c>
      <c r="AS50" s="215" t="n">
        <f aca="false">AS12+AS47</f>
        <v>777.256</v>
      </c>
      <c r="AT50" s="136" t="n">
        <f aca="false">AT12+AT47</f>
        <v>0</v>
      </c>
      <c r="AU50" s="136" t="n">
        <f aca="false">AU12+AU47</f>
        <v>464.914</v>
      </c>
      <c r="AV50" s="525" t="s">
        <v>131</v>
      </c>
      <c r="AW50" s="182" t="n">
        <f aca="false">MIN(AW15:AW45)</f>
        <v>73</v>
      </c>
      <c r="AX50" s="182" t="n">
        <f aca="false">MIN(AX15:AX45)</f>
        <v>48</v>
      </c>
      <c r="AY50" s="308" t="s">
        <v>106</v>
      </c>
      <c r="AZ50" s="530" t="n">
        <f aca="false">AZ12+AZ47</f>
        <v>256.442538598886</v>
      </c>
      <c r="BA50" s="177" t="n">
        <f aca="false">BA12+BA47</f>
        <v>2735.309</v>
      </c>
      <c r="BB50" s="274"/>
    </row>
    <row r="51" customFormat="false" ht="12.95" hidden="false" customHeight="true" outlineLevel="0" collapsed="false">
      <c r="A51" s="185" t="s">
        <v>107</v>
      </c>
      <c r="B51" s="520"/>
      <c r="D51" s="177"/>
      <c r="F51" s="277" t="n">
        <f aca="false">F50*$D$2</f>
        <v>-24703</v>
      </c>
      <c r="G51" s="177" t="n">
        <f aca="false">G50*$D$2</f>
        <v>96106.5255</v>
      </c>
      <c r="H51" s="177" t="n">
        <f aca="false">H50*$D$2</f>
        <v>181.80761</v>
      </c>
      <c r="I51" s="177" t="n">
        <f aca="false">I50*$D$2</f>
        <v>96288.33311</v>
      </c>
      <c r="J51" s="177" t="n">
        <f aca="false">J50*$D$2</f>
        <v>3642.95049869131</v>
      </c>
      <c r="K51" s="177" t="n">
        <f aca="false">K50*$D$2</f>
        <v>99931.2637736913</v>
      </c>
      <c r="L51" s="177" t="n">
        <f aca="false">L50*$D$2</f>
        <v>-3587.47053306989</v>
      </c>
      <c r="M51" s="523" t="n">
        <f aca="false">M50*$D$2</f>
        <v>50610.62897</v>
      </c>
      <c r="N51" s="177" t="n">
        <f aca="false">N50*$D$2</f>
        <v>159.98969215725</v>
      </c>
      <c r="O51" s="177" t="n">
        <f aca="false">O50*$D$2</f>
        <v>6121.69572384062</v>
      </c>
      <c r="P51" s="8" t="n">
        <f aca="false">P50*$D$2</f>
        <v>28.5203498</v>
      </c>
      <c r="Q51" s="182"/>
      <c r="R51" s="182"/>
      <c r="S51" s="182"/>
      <c r="T51" s="182"/>
      <c r="U51" s="522"/>
      <c r="V51" s="177" t="n">
        <f aca="false">V50*$D$2</f>
        <v>28450.72895</v>
      </c>
      <c r="W51" s="177" t="n">
        <f aca="false">W50*$D$2</f>
        <v>16564.506025</v>
      </c>
      <c r="X51" s="177" t="n">
        <f aca="false">X50*$D$2</f>
        <v>88205.0566167488</v>
      </c>
      <c r="Y51" s="107" t="n">
        <f aca="false">Y50*$D$2</f>
        <v>88205.0566167488</v>
      </c>
      <c r="Z51" s="80" t="n">
        <f aca="false">Z50*$D$2</f>
        <v>0</v>
      </c>
      <c r="AA51" s="107"/>
      <c r="AB51" s="177"/>
      <c r="AE51" s="521" t="n">
        <f aca="false">AE50*$D$2</f>
        <v>16650.5170443549</v>
      </c>
      <c r="AF51" s="177" t="n">
        <f aca="false">AF50*$D$2</f>
        <v>515.90835</v>
      </c>
      <c r="AG51" s="177" t="n">
        <f aca="false">AG50*$D$2</f>
        <v>394.51815</v>
      </c>
      <c r="AH51" s="523"/>
      <c r="AI51" s="177"/>
      <c r="AJ51" s="177" t="n">
        <f aca="false">AJ50*$D$2</f>
        <v>0</v>
      </c>
      <c r="AK51" s="177" t="n">
        <f aca="false">AK50*$D$2</f>
        <v>117403.84274193</v>
      </c>
      <c r="AL51" s="177" t="n">
        <f aca="false">AL50*$D$2</f>
        <v>7230.4210317612</v>
      </c>
      <c r="AM51" s="177" t="n">
        <f aca="false">AM50*$D$2</f>
        <v>124634.263773691</v>
      </c>
      <c r="AN51" s="524"/>
      <c r="AO51" s="183"/>
      <c r="AP51" s="183"/>
      <c r="AQ51" s="179" t="n">
        <f aca="false">AQ12+AQ48</f>
        <v>2406.77884673469</v>
      </c>
      <c r="AR51" s="136" t="n">
        <f aca="false">AR50*$D$2</f>
        <v>1206</v>
      </c>
      <c r="AS51" s="215" t="n">
        <f aca="false">AS50*$D$2</f>
        <v>1541.687276</v>
      </c>
      <c r="AT51" s="136" t="n">
        <f aca="false">AT50*$D$2</f>
        <v>0</v>
      </c>
      <c r="AU51" s="136" t="n">
        <f aca="false">AU50*$D$2</f>
        <v>922.156919</v>
      </c>
      <c r="AV51" s="525" t="n">
        <f aca="false">JUL!AV51+AV47</f>
        <v>3.581</v>
      </c>
      <c r="AW51" s="182"/>
      <c r="AX51" s="182"/>
      <c r="AY51" s="299"/>
      <c r="AZ51" s="530" t="n">
        <f aca="false">AZ50*$D$2</f>
        <v>508.653775310891</v>
      </c>
      <c r="BA51" s="177" t="n">
        <f aca="false">BA50*$D$2</f>
        <v>5425.4854015</v>
      </c>
      <c r="BB51" s="274"/>
    </row>
    <row r="52" customFormat="false" ht="3" hidden="false" customHeight="true" outlineLevel="0" collapsed="false">
      <c r="A52" s="231"/>
      <c r="B52" s="505"/>
      <c r="C52" s="506"/>
      <c r="D52" s="506"/>
      <c r="E52" s="506"/>
      <c r="F52" s="551"/>
      <c r="G52" s="506"/>
      <c r="H52" s="512"/>
      <c r="I52" s="506"/>
      <c r="J52" s="506"/>
      <c r="K52" s="506"/>
      <c r="L52" s="506"/>
      <c r="M52" s="552"/>
      <c r="N52" s="506"/>
      <c r="O52" s="506"/>
      <c r="P52" s="510"/>
      <c r="Q52" s="512"/>
      <c r="R52" s="512"/>
      <c r="S52" s="512"/>
      <c r="T52" s="512"/>
      <c r="U52" s="511"/>
      <c r="V52" s="506"/>
      <c r="W52" s="506"/>
      <c r="X52" s="506"/>
      <c r="Y52" s="233"/>
      <c r="Z52" s="506"/>
      <c r="AA52" s="233"/>
      <c r="AB52" s="506"/>
      <c r="AC52" s="506"/>
      <c r="AD52" s="506"/>
      <c r="AE52" s="553"/>
      <c r="AF52" s="233"/>
      <c r="AG52" s="233"/>
      <c r="AH52" s="552"/>
      <c r="AI52" s="506"/>
      <c r="AJ52" s="506"/>
      <c r="AK52" s="506"/>
      <c r="AL52" s="506"/>
      <c r="AM52" s="506"/>
      <c r="AN52" s="535"/>
      <c r="AO52" s="555"/>
      <c r="AP52" s="336"/>
      <c r="AQ52" s="510"/>
      <c r="AR52" s="510"/>
      <c r="AS52" s="336"/>
      <c r="AT52" s="534"/>
      <c r="AU52" s="534"/>
      <c r="AV52" s="535"/>
      <c r="AW52" s="555"/>
      <c r="AX52" s="555"/>
      <c r="AY52" s="555"/>
      <c r="AZ52" s="555"/>
      <c r="BA52" s="555"/>
      <c r="BB52" s="555"/>
    </row>
    <row r="53" customFormat="false" ht="12.95" hidden="false" customHeight="true" outlineLevel="0" collapsed="false">
      <c r="A53" s="185" t="s">
        <v>108</v>
      </c>
      <c r="B53" s="520"/>
      <c r="D53" s="177"/>
      <c r="F53" s="277" t="n">
        <f aca="false">F13+F47</f>
        <v>-15876.9851273002</v>
      </c>
      <c r="G53" s="177" t="n">
        <f aca="false">G13+G47</f>
        <v>53606</v>
      </c>
      <c r="H53" s="182" t="n">
        <f aca="false">H13+H47</f>
        <v>146.15</v>
      </c>
      <c r="I53" s="177" t="n">
        <f aca="false">I13+I47</f>
        <v>53751.53</v>
      </c>
      <c r="J53" s="177" t="n">
        <f aca="false">J13+J47</f>
        <v>3561.66464264749</v>
      </c>
      <c r="K53" s="177" t="n">
        <f aca="false">K13+K47</f>
        <v>57313.1846426475</v>
      </c>
      <c r="L53" s="177" t="n">
        <f aca="false">L13+L47</f>
        <v>-856.298769256311</v>
      </c>
      <c r="M53" s="523" t="n">
        <f aca="false">M13+M47</f>
        <v>26417.73</v>
      </c>
      <c r="N53" s="177" t="n">
        <f aca="false">N13+N47</f>
        <v>80.6602935</v>
      </c>
      <c r="O53" s="177" t="n">
        <f aca="false">O13+O47</f>
        <v>3086.30991875</v>
      </c>
      <c r="Q53" s="182" t="n">
        <f aca="false">Q13+Q47</f>
        <v>614.076646340243</v>
      </c>
      <c r="R53" s="182" t="n">
        <f aca="false">R13+R47</f>
        <v>817.21829056</v>
      </c>
      <c r="S53" s="182" t="n">
        <f aca="false">S13+S47</f>
        <v>113.04373408</v>
      </c>
      <c r="T53" s="182" t="n">
        <f aca="false">T13+T47</f>
        <v>249.61797536</v>
      </c>
      <c r="U53" s="556" t="n">
        <f aca="false">U13+U47</f>
        <v>77.8630613803556</v>
      </c>
      <c r="V53" s="177" t="n">
        <f aca="false">V13+V47</f>
        <v>18700.92</v>
      </c>
      <c r="W53" s="177" t="n">
        <f aca="false">W13+W47</f>
        <v>8435.55</v>
      </c>
      <c r="X53" s="177" t="n">
        <f aca="false">X13+X47</f>
        <v>49109.0474131275</v>
      </c>
      <c r="Y53" s="107" t="n">
        <f aca="false">Y13+Y47</f>
        <v>48785.0849726988</v>
      </c>
      <c r="Z53" s="177"/>
      <c r="AA53" s="107"/>
      <c r="AB53" s="177"/>
      <c r="AE53" s="521"/>
      <c r="AF53" s="107" t="n">
        <f aca="false">AF13+AF47</f>
        <v>260.1</v>
      </c>
      <c r="AG53" s="107" t="n">
        <f aca="false">AG13+AG47</f>
        <v>198.9</v>
      </c>
      <c r="AH53" s="523" t="n">
        <f aca="false">AH13+AH47</f>
        <v>6815.5</v>
      </c>
      <c r="AI53" s="177" t="n">
        <f aca="false">AI45</f>
        <v>3807.83684762418</v>
      </c>
      <c r="AJ53" s="177" t="n">
        <f aca="false">AJ13+AJ47</f>
        <v>0</v>
      </c>
      <c r="AK53" s="177" t="n">
        <f aca="false">AK13+AK47</f>
        <v>68772.2063580439</v>
      </c>
      <c r="AL53" s="177" t="n">
        <f aca="false">AL13+AL47</f>
        <v>4417.96341190381</v>
      </c>
      <c r="AM53" s="557" t="n">
        <f aca="false">AM13+AM47</f>
        <v>73190.1697699477</v>
      </c>
      <c r="AN53" s="177" t="n">
        <f aca="false">AN13+AN47</f>
        <v>8903.4116944076</v>
      </c>
      <c r="AO53" s="177" t="n">
        <f aca="false">AO13+AO47</f>
        <v>323.962440428619</v>
      </c>
      <c r="AP53" s="183"/>
      <c r="AQ53" s="8"/>
      <c r="AR53" s="8"/>
      <c r="AS53" s="177" t="n">
        <f aca="false">AS13+AS47</f>
        <v>777.256</v>
      </c>
      <c r="AT53" s="179" t="n">
        <f aca="false">AT12+AT47</f>
        <v>0</v>
      </c>
      <c r="AU53" s="557" t="n">
        <f aca="false">AU13+AU47</f>
        <v>464.914</v>
      </c>
      <c r="AV53" s="525" t="n">
        <f aca="false">AV13+AV47</f>
        <v>8.354</v>
      </c>
      <c r="AW53" s="182"/>
      <c r="AX53" s="182"/>
      <c r="AY53" s="299"/>
      <c r="AZ53" s="530" t="n">
        <f aca="false">AZ13+AZ47</f>
        <v>1966.8588012206</v>
      </c>
      <c r="BA53" s="177" t="n">
        <f aca="false">BA13+BA47</f>
        <v>2735.309</v>
      </c>
      <c r="BB53" s="274"/>
    </row>
    <row r="54" customFormat="false" ht="12.95" hidden="false" customHeight="true" outlineLevel="0" collapsed="false">
      <c r="A54" s="185" t="s">
        <v>109</v>
      </c>
      <c r="B54" s="520"/>
      <c r="D54" s="177" t="n">
        <f aca="false">D13+D48</f>
        <v>-31492</v>
      </c>
      <c r="E54" s="177" t="n">
        <f aca="false">E45</f>
        <v>11663</v>
      </c>
      <c r="F54" s="277" t="n">
        <f aca="false">F53*$D$2</f>
        <v>-31492</v>
      </c>
      <c r="G54" s="177" t="n">
        <f aca="false">G53*$D$2</f>
        <v>106327.501</v>
      </c>
      <c r="H54" s="182" t="n">
        <f aca="false">H53*$D$2</f>
        <v>289.888525</v>
      </c>
      <c r="I54" s="177" t="n">
        <f aca="false">I53*$D$2</f>
        <v>106616.159755</v>
      </c>
      <c r="J54" s="177" t="n">
        <f aca="false">J53*$D$2</f>
        <v>7064.56181869131</v>
      </c>
      <c r="K54" s="177" t="n">
        <f aca="false">K53*$D$2</f>
        <v>113680.701738691</v>
      </c>
      <c r="L54" s="177" t="n">
        <f aca="false">L53*$D$2</f>
        <v>-1698.46860881989</v>
      </c>
      <c r="M54" s="523" t="n">
        <f aca="false">M53*$D$2</f>
        <v>52399.567455</v>
      </c>
      <c r="N54" s="177" t="n">
        <f aca="false">N53*$D$2</f>
        <v>159.98969215725</v>
      </c>
      <c r="O54" s="177" t="n">
        <f aca="false">O53*$D$2</f>
        <v>6121.69572384062</v>
      </c>
      <c r="Q54" s="182" t="n">
        <f aca="false">Q53*$D$2</f>
        <v>1218.02102801587</v>
      </c>
      <c r="R54" s="182" t="n">
        <f aca="false">R53*$D$2</f>
        <v>1620.95247932576</v>
      </c>
      <c r="S54" s="558" t="n">
        <f aca="false">S53*$D$2</f>
        <v>224.22224654768</v>
      </c>
      <c r="T54" s="558" t="n">
        <f aca="false">T53*$D$2</f>
        <v>495.11725412656</v>
      </c>
      <c r="U54" s="528" t="n">
        <f aca="false">U53*$D$2</f>
        <v>154.441382247935</v>
      </c>
      <c r="V54" s="177" t="n">
        <f aca="false">V53*$D$2</f>
        <v>37093.27482</v>
      </c>
      <c r="W54" s="177" t="n">
        <f aca="false">W53*$D$2</f>
        <v>16731.913425</v>
      </c>
      <c r="X54" s="177" t="n">
        <f aca="false">X53*$D$2</f>
        <v>97407.7955439383</v>
      </c>
      <c r="Y54" s="107" t="n">
        <f aca="false">Y53*$D$2</f>
        <v>96765.2160433481</v>
      </c>
      <c r="Z54" s="177"/>
      <c r="AA54" s="107"/>
      <c r="AB54" s="177"/>
      <c r="AE54" s="521"/>
      <c r="AF54" s="107" t="n">
        <f aca="false">AF53*$D$2</f>
        <v>515.90835</v>
      </c>
      <c r="AG54" s="107" t="n">
        <f aca="false">AG53*$D$2</f>
        <v>394.51815</v>
      </c>
      <c r="AH54" s="523" t="n">
        <f aca="false">AH53*$D$2</f>
        <v>13518.54425</v>
      </c>
      <c r="AI54" s="177" t="n">
        <f aca="false">AI53*$D$2</f>
        <v>7552.84438726256</v>
      </c>
      <c r="AJ54" s="177" t="n">
        <f aca="false">AJ53*$D$2</f>
        <v>0</v>
      </c>
      <c r="AK54" s="177" t="n">
        <f aca="false">AK53*$D$2</f>
        <v>136409.67131118</v>
      </c>
      <c r="AL54" s="177" t="n">
        <f aca="false">AL53*$D$2</f>
        <v>8763.0304275112</v>
      </c>
      <c r="AM54" s="559" t="n">
        <f aca="false">AM53*$D$2</f>
        <v>145172.701738691</v>
      </c>
      <c r="AN54" s="177" t="n">
        <f aca="false">AN53*$D$2</f>
        <v>17659.9170958575</v>
      </c>
      <c r="AO54" s="177" t="n">
        <f aca="false">AO53*$D$2</f>
        <v>642.579500590166</v>
      </c>
      <c r="AP54" s="183"/>
      <c r="AQ54" s="179" t="n">
        <f aca="false">AQ13+AQ48</f>
        <v>2406.77884673469</v>
      </c>
      <c r="AR54" s="8"/>
      <c r="AS54" s="177" t="n">
        <f aca="false">AS53*$D$2</f>
        <v>1541.687276</v>
      </c>
      <c r="AT54" s="179" t="n">
        <f aca="false">AT53*$D$2</f>
        <v>0</v>
      </c>
      <c r="AU54" s="559" t="n">
        <f aca="false">AU53*$D$2</f>
        <v>922.156919</v>
      </c>
      <c r="AV54" s="525"/>
      <c r="AW54" s="182"/>
      <c r="AX54" s="182"/>
      <c r="AY54" s="299"/>
      <c r="AZ54" s="530" t="n">
        <f aca="false">AZ53*$D$2</f>
        <v>3901.26443222106</v>
      </c>
      <c r="BA54" s="177" t="n">
        <f aca="false">BA53*$D$2</f>
        <v>5425.4854015</v>
      </c>
      <c r="BB54" s="274"/>
    </row>
    <row r="55" customFormat="false" ht="3" hidden="false" customHeight="true" outlineLevel="0" collapsed="false">
      <c r="A55" s="231"/>
      <c r="B55" s="505"/>
      <c r="C55" s="506"/>
      <c r="D55" s="231"/>
      <c r="E55" s="506"/>
      <c r="F55" s="507"/>
      <c r="G55" s="231"/>
      <c r="H55" s="532"/>
      <c r="I55" s="231"/>
      <c r="J55" s="231"/>
      <c r="K55" s="560"/>
      <c r="L55" s="231"/>
      <c r="M55" s="509"/>
      <c r="N55" s="231"/>
      <c r="O55" s="231"/>
      <c r="P55" s="510"/>
      <c r="Q55" s="510"/>
      <c r="R55" s="561"/>
      <c r="S55" s="510"/>
      <c r="T55" s="510"/>
      <c r="U55" s="511"/>
      <c r="V55" s="231"/>
      <c r="W55" s="231"/>
      <c r="X55" s="231"/>
      <c r="Y55" s="231"/>
      <c r="Z55" s="506"/>
      <c r="AA55" s="231"/>
      <c r="AB55" s="506"/>
      <c r="AC55" s="506"/>
      <c r="AD55" s="506"/>
      <c r="AE55" s="562"/>
      <c r="AF55" s="234"/>
      <c r="AG55" s="234"/>
      <c r="AH55" s="509"/>
      <c r="AI55" s="506"/>
      <c r="AJ55" s="506"/>
      <c r="AK55" s="231"/>
      <c r="AL55" s="231"/>
      <c r="AM55" s="231"/>
      <c r="AN55" s="505"/>
      <c r="AO55" s="231"/>
      <c r="AP55" s="336"/>
      <c r="AQ55" s="510"/>
      <c r="AR55" s="510"/>
      <c r="AS55" s="534"/>
      <c r="AT55" s="534"/>
      <c r="AU55" s="534"/>
      <c r="AV55" s="505"/>
      <c r="AW55" s="231"/>
      <c r="AX55" s="231"/>
      <c r="AY55" s="231"/>
      <c r="AZ55" s="231"/>
      <c r="BA55" s="231"/>
      <c r="BB55" s="231"/>
    </row>
    <row r="56" customFormat="false" ht="11.1" hidden="false" customHeight="true" outlineLevel="0" collapsed="false">
      <c r="A56" s="563"/>
      <c r="B56" s="173"/>
      <c r="C56" s="2"/>
      <c r="D56" s="11"/>
      <c r="E56" s="479"/>
      <c r="F56" s="1"/>
      <c r="G56" s="1"/>
      <c r="H56" s="3"/>
      <c r="I56" s="11"/>
      <c r="J56" s="11"/>
      <c r="K56" s="480"/>
      <c r="L56" s="177"/>
      <c r="M56" s="11"/>
      <c r="N56" s="11"/>
      <c r="O56" s="11"/>
      <c r="P56" s="5"/>
      <c r="Q56" s="5"/>
      <c r="R56" s="5"/>
      <c r="S56" s="5"/>
      <c r="T56" s="5"/>
      <c r="U56" s="5"/>
      <c r="V56" s="11"/>
      <c r="W56" s="11"/>
      <c r="X56" s="11"/>
      <c r="Y56" s="11"/>
      <c r="Z56" s="1"/>
      <c r="AA56" s="11"/>
      <c r="AB56" s="1"/>
      <c r="AC56" s="1"/>
      <c r="AD56" s="2"/>
      <c r="AE56" s="11"/>
      <c r="AF56" s="11"/>
      <c r="AG56" s="11"/>
      <c r="AH56" s="11"/>
      <c r="AI56" s="479"/>
      <c r="AJ56" s="482"/>
      <c r="AK56" s="479"/>
      <c r="AL56" s="185"/>
      <c r="AM56" s="185"/>
      <c r="AN56" s="412"/>
      <c r="AO56" s="412"/>
      <c r="AQ56" s="385"/>
      <c r="AR56" s="385"/>
      <c r="AS56" s="408"/>
      <c r="AV56" s="8"/>
      <c r="AW56" s="182"/>
      <c r="AX56" s="182"/>
    </row>
    <row r="57" customFormat="false" ht="11.1" hidden="false" customHeight="true" outlineLevel="0" collapsed="false">
      <c r="A57" s="185"/>
      <c r="B57" s="564"/>
      <c r="C57" s="2"/>
      <c r="D57" s="1"/>
      <c r="E57" s="383"/>
      <c r="F57" s="188"/>
      <c r="G57" s="1"/>
      <c r="H57" s="3"/>
      <c r="I57" s="12"/>
      <c r="J57" s="11"/>
      <c r="K57" s="174"/>
      <c r="L57" s="179"/>
      <c r="M57" s="11"/>
      <c r="N57" s="11"/>
      <c r="O57" s="2"/>
      <c r="P57" s="5"/>
      <c r="Q57" s="5"/>
      <c r="R57" s="93"/>
      <c r="S57" s="93"/>
      <c r="T57" s="93"/>
      <c r="U57" s="93"/>
      <c r="V57" s="26"/>
      <c r="W57" s="130"/>
      <c r="X57" s="483"/>
      <c r="Y57" s="483"/>
      <c r="Z57" s="177"/>
      <c r="AA57" s="483"/>
      <c r="AB57" s="177"/>
      <c r="AC57" s="84"/>
      <c r="AD57" s="84"/>
      <c r="AE57" s="2"/>
      <c r="AF57" s="2"/>
      <c r="AG57" s="2"/>
      <c r="AH57" s="11"/>
      <c r="AI57" s="2"/>
      <c r="AJ57" s="105"/>
      <c r="AK57" s="2"/>
      <c r="AL57" s="185"/>
      <c r="AM57" s="8"/>
      <c r="AN57" s="565"/>
      <c r="AO57" s="565"/>
      <c r="AQ57" s="385"/>
      <c r="AR57" s="385"/>
      <c r="AS57" s="408"/>
      <c r="AV57" s="182"/>
      <c r="AW57" s="182"/>
      <c r="AX57" s="182"/>
    </row>
    <row r="58" customFormat="false" ht="11.1" hidden="false" customHeight="true" outlineLevel="0" collapsed="false">
      <c r="B58" s="177"/>
      <c r="E58" s="383"/>
      <c r="F58" s="225"/>
      <c r="G58" s="1"/>
      <c r="H58" s="3"/>
      <c r="I58" s="1"/>
      <c r="J58" s="1"/>
      <c r="K58" s="384"/>
      <c r="L58" s="443"/>
      <c r="M58" s="4"/>
      <c r="N58" s="4"/>
      <c r="O58" s="383"/>
      <c r="P58" s="486"/>
      <c r="Q58" s="486"/>
      <c r="R58" s="93"/>
      <c r="S58" s="93"/>
      <c r="T58" s="93"/>
      <c r="U58" s="93"/>
      <c r="V58" s="26"/>
      <c r="W58" s="130"/>
      <c r="X58" s="90"/>
      <c r="Y58" s="90"/>
      <c r="Z58" s="177"/>
      <c r="AA58" s="90"/>
      <c r="AB58" s="177"/>
      <c r="AE58" s="177"/>
      <c r="AF58" s="177"/>
      <c r="AG58" s="177"/>
      <c r="AH58" s="2"/>
      <c r="AI58" s="26"/>
      <c r="AJ58" s="487"/>
      <c r="AK58" s="26"/>
      <c r="AL58" s="176"/>
      <c r="AM58" s="8"/>
      <c r="AN58" s="180"/>
      <c r="AO58" s="180"/>
      <c r="AQ58" s="385"/>
      <c r="AR58" s="385"/>
      <c r="AS58" s="408"/>
      <c r="AV58" s="182"/>
      <c r="AW58" s="182"/>
      <c r="AX58" s="183"/>
    </row>
    <row r="59" customFormat="false" ht="11.1" hidden="false" customHeight="true" outlineLevel="0" collapsed="false">
      <c r="D59" s="177"/>
      <c r="E59" s="383"/>
      <c r="F59" s="1"/>
      <c r="G59" s="1"/>
      <c r="H59" s="177"/>
      <c r="I59" s="1"/>
      <c r="J59" s="1"/>
      <c r="K59" s="384"/>
      <c r="L59" s="182"/>
      <c r="M59" s="4"/>
      <c r="N59" s="4"/>
      <c r="O59" s="182"/>
      <c r="Q59" s="8"/>
      <c r="R59" s="93"/>
      <c r="S59" s="93"/>
      <c r="T59" s="93"/>
      <c r="U59" s="93"/>
      <c r="V59" s="26"/>
      <c r="W59" s="26"/>
      <c r="X59" s="90"/>
      <c r="Y59" s="90"/>
      <c r="Z59" s="182"/>
      <c r="AA59" s="90"/>
      <c r="AB59" s="182"/>
      <c r="AC59" s="182"/>
      <c r="AE59" s="177"/>
      <c r="AF59" s="177"/>
      <c r="AG59" s="177"/>
      <c r="AH59" s="2"/>
      <c r="AI59" s="177"/>
      <c r="AJ59" s="225"/>
      <c r="AK59" s="177"/>
      <c r="AL59" s="176"/>
      <c r="AM59" s="383"/>
      <c r="AN59" s="180"/>
      <c r="AO59" s="180"/>
      <c r="AQ59" s="385"/>
      <c r="AR59" s="385"/>
      <c r="AS59" s="408"/>
      <c r="AV59" s="182"/>
      <c r="AW59" s="182"/>
      <c r="AX59" s="183"/>
    </row>
    <row r="60" customFormat="false" ht="11.1" hidden="false" customHeight="true" outlineLevel="0" collapsed="false">
      <c r="G60" s="273"/>
      <c r="Q60" s="8"/>
      <c r="R60" s="8"/>
      <c r="S60" s="8"/>
      <c r="T60" s="8"/>
      <c r="W60" s="176"/>
      <c r="X60" s="1"/>
      <c r="Y60" s="1"/>
      <c r="Z60" s="177"/>
      <c r="AA60" s="1"/>
      <c r="AB60" s="177"/>
      <c r="AH60" s="177"/>
      <c r="AK60" s="176"/>
      <c r="AL60" s="176"/>
      <c r="AM60" s="8"/>
      <c r="AN60" s="180"/>
      <c r="AO60" s="180"/>
      <c r="AQ60" s="385"/>
      <c r="AR60" s="385"/>
      <c r="AS60" s="408"/>
      <c r="AV60" s="178"/>
      <c r="AW60" s="182"/>
      <c r="AX60" s="183"/>
    </row>
    <row r="61" customFormat="false" ht="11.1" hidden="false" customHeight="true" outlineLevel="0" collapsed="false">
      <c r="Q61" s="8"/>
      <c r="R61" s="8"/>
      <c r="S61" s="8"/>
      <c r="T61" s="8"/>
      <c r="W61" s="176"/>
      <c r="X61" s="177"/>
      <c r="Y61" s="177"/>
      <c r="Z61" s="177"/>
      <c r="AA61" s="177"/>
      <c r="AB61" s="177"/>
      <c r="AH61" s="177"/>
      <c r="AK61" s="176"/>
      <c r="AL61" s="176"/>
      <c r="AM61" s="8"/>
      <c r="AN61" s="180"/>
      <c r="AO61" s="180"/>
      <c r="AQ61" s="385"/>
      <c r="AR61" s="385"/>
      <c r="AS61" s="408"/>
      <c r="AV61" s="178"/>
      <c r="AW61" s="182"/>
      <c r="AX61" s="183"/>
    </row>
    <row r="62" customFormat="false" ht="11.1" hidden="false" customHeight="true" outlineLevel="0" collapsed="false">
      <c r="Q62" s="8"/>
      <c r="R62" s="8"/>
      <c r="S62" s="8"/>
      <c r="T62" s="8"/>
      <c r="W62" s="176"/>
      <c r="X62" s="177"/>
      <c r="Y62" s="177"/>
      <c r="Z62" s="177"/>
      <c r="AA62" s="177"/>
      <c r="AB62" s="177"/>
      <c r="AH62" s="177"/>
      <c r="AK62" s="176"/>
      <c r="AL62" s="176"/>
      <c r="AM62" s="8"/>
      <c r="AN62" s="180"/>
      <c r="AO62" s="180"/>
      <c r="AQ62" s="385"/>
      <c r="AR62" s="385"/>
      <c r="AS62" s="408"/>
      <c r="AV62" s="178"/>
      <c r="AW62" s="182"/>
      <c r="AX62" s="183"/>
    </row>
    <row r="63" customFormat="false" ht="11.1" hidden="false" customHeight="true" outlineLevel="0" collapsed="false">
      <c r="X63" s="177"/>
      <c r="Y63" s="177"/>
      <c r="AA63" s="177"/>
    </row>
  </sheetData>
  <mergeCells count="9">
    <mergeCell ref="K1:W1"/>
    <mergeCell ref="K2:W2"/>
    <mergeCell ref="Z2:AD2"/>
    <mergeCell ref="B4:F4"/>
    <mergeCell ref="G4:L4"/>
    <mergeCell ref="M4:AM4"/>
    <mergeCell ref="AN4:AU4"/>
    <mergeCell ref="AV4:AY4"/>
    <mergeCell ref="M5:U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84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X15" activeCellId="0" sqref="X15"/>
    </sheetView>
  </sheetViews>
  <sheetFormatPr defaultColWidth="9.328125" defaultRowHeight="11.1" zeroHeight="false" outlineLevelRow="0" outlineLevelCol="0"/>
  <cols>
    <col collapsed="false" customWidth="true" hidden="false" outlineLevel="0" max="1" min="1" style="176" width="4.66"/>
    <col collapsed="false" customWidth="true" hidden="false" outlineLevel="0" max="2" min="2" style="176" width="6.99"/>
    <col collapsed="false" customWidth="true" hidden="false" outlineLevel="0" max="3" min="3" style="177" width="6.32"/>
    <col collapsed="false" customWidth="true" hidden="false" outlineLevel="0" max="4" min="4" style="176" width="6.32"/>
    <col collapsed="false" customWidth="true" hidden="false" outlineLevel="0" max="5" min="5" style="177" width="6.99"/>
    <col collapsed="false" customWidth="true" hidden="false" outlineLevel="0" max="6" min="6" style="176" width="7.32"/>
    <col collapsed="false" customWidth="true" hidden="false" outlineLevel="0" max="7" min="7" style="176" width="6.82"/>
    <col collapsed="false" customWidth="true" hidden="false" outlineLevel="0" max="8" min="8" style="186" width="5.66"/>
    <col collapsed="false" customWidth="true" hidden="false" outlineLevel="0" max="11" min="9" style="176" width="6.32"/>
    <col collapsed="false" customWidth="true" hidden="false" outlineLevel="0" max="12" min="12" style="176" width="6.82"/>
    <col collapsed="false" customWidth="true" hidden="false" outlineLevel="0" max="13" min="13" style="179" width="5.49"/>
    <col collapsed="false" customWidth="true" hidden="false" outlineLevel="0" max="14" min="14" style="179" width="4.49"/>
    <col collapsed="false" customWidth="true" hidden="false" outlineLevel="0" max="15" min="15" style="179" width="5.49"/>
    <col collapsed="false" customWidth="true" hidden="false" outlineLevel="0" max="16" min="16" style="8" width="4.82"/>
    <col collapsed="false" customWidth="true" hidden="false" outlineLevel="0" max="20" min="17" style="8" width="4.32"/>
    <col collapsed="false" customWidth="true" hidden="false" outlineLevel="0" max="21" min="21" style="8" width="5.16"/>
    <col collapsed="false" customWidth="true" hidden="false" outlineLevel="0" max="22" min="22" style="176" width="5.49"/>
    <col collapsed="false" customWidth="true" hidden="false" outlineLevel="0" max="23" min="23" style="177" width="5.49"/>
    <col collapsed="false" customWidth="true" hidden="false" outlineLevel="0" max="25" min="24" style="176" width="6.32"/>
    <col collapsed="false" customWidth="true" hidden="false" outlineLevel="0" max="26" min="26" style="176" width="5.49"/>
    <col collapsed="false" customWidth="true" hidden="false" outlineLevel="0" max="27" min="27" style="176" width="6.32"/>
    <col collapsed="false" customWidth="true" hidden="false" outlineLevel="0" max="28" min="28" style="176" width="5.49"/>
    <col collapsed="false" customWidth="true" hidden="false" outlineLevel="0" max="29" min="29" style="177" width="5.82"/>
    <col collapsed="false" customWidth="true" hidden="false" outlineLevel="0" max="30" min="30" style="177" width="5.49"/>
    <col collapsed="false" customWidth="true" hidden="false" outlineLevel="0" max="33" min="31" style="176" width="5.49"/>
    <col collapsed="false" customWidth="true" hidden="false" outlineLevel="0" max="34" min="34" style="176" width="6.32"/>
    <col collapsed="false" customWidth="true" hidden="false" outlineLevel="0" max="35" min="35" style="176" width="5.49"/>
    <col collapsed="false" customWidth="true" hidden="false" outlineLevel="0" max="36" min="36" style="180" width="6.32"/>
    <col collapsed="false" customWidth="true" hidden="false" outlineLevel="0" max="37" min="37" style="8" width="6.32"/>
    <col collapsed="false" customWidth="true" hidden="false" outlineLevel="0" max="38" min="38" style="178" width="6.82"/>
    <col collapsed="false" customWidth="true" hidden="false" outlineLevel="0" max="39" min="39" style="182" width="6.82"/>
    <col collapsed="false" customWidth="true" hidden="false" outlineLevel="0" max="41" min="40" style="176" width="5.49"/>
    <col collapsed="false" customWidth="true" hidden="false" outlineLevel="0" max="42" min="42" style="179" width="6.32"/>
    <col collapsed="false" customWidth="true" hidden="false" outlineLevel="0" max="43" min="43" style="8" width="6.32"/>
    <col collapsed="false" customWidth="true" hidden="false" outlineLevel="0" max="44" min="44" style="8" width="5.49"/>
    <col collapsed="false" customWidth="true" hidden="false" outlineLevel="0" max="45" min="45" style="176" width="5.32"/>
    <col collapsed="false" customWidth="true" hidden="false" outlineLevel="0" max="46" min="46" style="176" width="5.82"/>
    <col collapsed="false" customWidth="true" hidden="false" outlineLevel="0" max="47" min="47" style="179" width="4.99"/>
    <col collapsed="false" customWidth="true" hidden="false" outlineLevel="0" max="48" min="48" style="183" width="5.32"/>
    <col collapsed="false" customWidth="true" hidden="false" outlineLevel="0" max="49" min="49" style="176" width="3.82"/>
    <col collapsed="false" customWidth="true" hidden="false" outlineLevel="0" max="50" min="50" style="8" width="3.82"/>
    <col collapsed="false" customWidth="true" hidden="false" outlineLevel="0" max="51" min="51" style="184" width="3.82"/>
    <col collapsed="false" customWidth="true" hidden="false" outlineLevel="0" max="52" min="52" style="184" width="5.49"/>
    <col collapsed="false" customWidth="false" hidden="false" outlineLevel="0" max="54" min="53" style="176" width="9.32"/>
    <col collapsed="false" customWidth="false" hidden="false" outlineLevel="0" max="257" min="55" style="184" width="9.32"/>
  </cols>
  <sheetData>
    <row r="1" customFormat="false" ht="14.1" hidden="false" customHeight="true" outlineLevel="0" collapsed="false">
      <c r="A1" s="185"/>
      <c r="B1" s="185"/>
      <c r="D1" s="185"/>
      <c r="F1" s="185"/>
      <c r="G1" s="185"/>
      <c r="I1" s="185"/>
      <c r="J1" s="185"/>
      <c r="K1" s="187" t="s">
        <v>0</v>
      </c>
      <c r="L1" s="185"/>
      <c r="M1" s="185"/>
      <c r="N1" s="185"/>
      <c r="O1" s="185"/>
      <c r="V1" s="185"/>
      <c r="W1" s="185"/>
      <c r="X1" s="177"/>
      <c r="Y1" s="177"/>
      <c r="Z1" s="185"/>
      <c r="AA1" s="177"/>
      <c r="AB1" s="185"/>
      <c r="AC1" s="185"/>
      <c r="AD1" s="185"/>
      <c r="AE1" s="185"/>
      <c r="AF1" s="185"/>
      <c r="AG1" s="185"/>
      <c r="AH1" s="177"/>
      <c r="AI1" s="185"/>
      <c r="AJ1" s="188"/>
      <c r="AK1" s="185"/>
      <c r="AL1" s="185"/>
      <c r="AM1" s="8"/>
      <c r="AN1" s="188"/>
      <c r="AO1" s="188"/>
      <c r="AP1" s="327"/>
      <c r="AQ1" s="193"/>
      <c r="AR1" s="193"/>
      <c r="AV1" s="178"/>
      <c r="AW1" s="182"/>
      <c r="AX1" s="183"/>
    </row>
    <row r="2" customFormat="false" ht="14.1" hidden="false" customHeight="true" outlineLevel="0" collapsed="false">
      <c r="A2" s="188" t="s">
        <v>1</v>
      </c>
      <c r="B2" s="185"/>
      <c r="D2" s="189" t="n">
        <v>1.9835</v>
      </c>
      <c r="F2" s="185"/>
      <c r="G2" s="185"/>
      <c r="I2" s="185"/>
      <c r="J2" s="185"/>
      <c r="K2" s="191" t="s">
        <v>144</v>
      </c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2"/>
      <c r="X2" s="84"/>
      <c r="Y2" s="84"/>
      <c r="Z2" s="192"/>
      <c r="AA2" s="84"/>
      <c r="AB2" s="192"/>
      <c r="AC2" s="192"/>
      <c r="AD2" s="192"/>
      <c r="AE2" s="185"/>
      <c r="AF2" s="185"/>
      <c r="AG2" s="185"/>
      <c r="AH2" s="177"/>
      <c r="AI2" s="185"/>
      <c r="AJ2" s="188"/>
      <c r="AK2" s="185"/>
      <c r="AL2" s="185"/>
      <c r="AM2" s="8"/>
      <c r="AN2" s="188"/>
      <c r="AO2" s="188"/>
      <c r="AP2" s="327"/>
      <c r="AQ2" s="193"/>
      <c r="AR2" s="193"/>
      <c r="AV2" s="178"/>
      <c r="AW2" s="182"/>
      <c r="AX2" s="183"/>
    </row>
    <row r="3" customFormat="false" ht="14.1" hidden="false" customHeight="true" outlineLevel="0" collapsed="false">
      <c r="A3" s="195"/>
      <c r="B3" s="195"/>
      <c r="C3" s="196"/>
      <c r="D3" s="197"/>
      <c r="E3" s="196"/>
      <c r="F3" s="195"/>
      <c r="G3" s="195"/>
      <c r="H3" s="198"/>
      <c r="I3" s="195"/>
      <c r="J3" s="195"/>
      <c r="K3" s="195"/>
      <c r="L3" s="195"/>
      <c r="M3" s="195"/>
      <c r="N3" s="195"/>
      <c r="O3" s="195"/>
      <c r="P3" s="199"/>
      <c r="Q3" s="199"/>
      <c r="R3" s="199"/>
      <c r="S3" s="199"/>
      <c r="T3" s="199"/>
      <c r="U3" s="199"/>
      <c r="V3" s="195"/>
      <c r="W3" s="195"/>
      <c r="X3" s="196"/>
      <c r="Y3" s="196"/>
      <c r="Z3" s="195"/>
      <c r="AA3" s="196"/>
      <c r="AB3" s="195"/>
      <c r="AC3" s="195"/>
      <c r="AD3" s="195"/>
      <c r="AE3" s="195"/>
      <c r="AF3" s="195"/>
      <c r="AG3" s="195"/>
      <c r="AH3" s="196"/>
      <c r="AI3" s="195"/>
      <c r="AJ3" s="201"/>
      <c r="AK3" s="195"/>
      <c r="AL3" s="195"/>
      <c r="AM3" s="199"/>
      <c r="AN3" s="201"/>
      <c r="AO3" s="201"/>
      <c r="AP3" s="329"/>
      <c r="AQ3" s="328"/>
      <c r="AR3" s="193"/>
      <c r="AS3" s="286"/>
      <c r="AV3" s="204"/>
      <c r="AW3" s="205"/>
      <c r="AX3" s="206"/>
      <c r="BA3" s="202"/>
    </row>
    <row r="4" s="176" customFormat="true" ht="14.1" hidden="false" customHeight="true" outlineLevel="0" collapsed="false">
      <c r="A4" s="185"/>
      <c r="B4" s="389"/>
      <c r="C4" s="390"/>
      <c r="D4" s="391" t="s">
        <v>3</v>
      </c>
      <c r="E4" s="390"/>
      <c r="F4" s="566"/>
      <c r="G4" s="185"/>
      <c r="H4" s="186"/>
      <c r="I4" s="563" t="s">
        <v>4</v>
      </c>
      <c r="J4" s="563"/>
      <c r="K4" s="185"/>
      <c r="L4" s="394"/>
      <c r="M4" s="185"/>
      <c r="N4" s="185"/>
      <c r="O4" s="185"/>
      <c r="P4" s="8"/>
      <c r="Q4" s="8"/>
      <c r="R4" s="8"/>
      <c r="S4" s="8"/>
      <c r="T4" s="8"/>
      <c r="U4" s="8"/>
      <c r="V4" s="399"/>
      <c r="W4" s="185"/>
      <c r="X4" s="399" t="s">
        <v>5</v>
      </c>
      <c r="Y4" s="177"/>
      <c r="Z4" s="185"/>
      <c r="AA4" s="177"/>
      <c r="AB4" s="185"/>
      <c r="AC4" s="185"/>
      <c r="AD4" s="185"/>
      <c r="AE4" s="185"/>
      <c r="AF4" s="185"/>
      <c r="AG4" s="185"/>
      <c r="AH4" s="177"/>
      <c r="AI4" s="185"/>
      <c r="AJ4" s="188"/>
      <c r="AK4" s="185"/>
      <c r="AL4" s="185"/>
      <c r="AM4" s="8"/>
      <c r="AN4" s="389"/>
      <c r="AO4" s="185"/>
      <c r="AP4" s="567" t="s">
        <v>6</v>
      </c>
      <c r="AQ4" s="567"/>
      <c r="AR4" s="568"/>
      <c r="AS4" s="569"/>
      <c r="AT4" s="570"/>
      <c r="AU4" s="392"/>
      <c r="AV4" s="401"/>
      <c r="AW4" s="402" t="s">
        <v>7</v>
      </c>
      <c r="AX4" s="403"/>
      <c r="AY4" s="404"/>
      <c r="AZ4" s="405"/>
      <c r="BB4" s="404"/>
    </row>
    <row r="5" customFormat="false" ht="12.95" hidden="false" customHeight="true" outlineLevel="0" collapsed="false">
      <c r="A5" s="325" t="s">
        <v>8</v>
      </c>
      <c r="B5" s="406" t="s">
        <v>9</v>
      </c>
      <c r="C5" s="407" t="s">
        <v>9</v>
      </c>
      <c r="D5" s="325" t="s">
        <v>10</v>
      </c>
      <c r="E5" s="407" t="s">
        <v>11</v>
      </c>
      <c r="F5" s="325" t="s">
        <v>12</v>
      </c>
      <c r="G5" s="406" t="s">
        <v>13</v>
      </c>
      <c r="H5" s="408" t="s">
        <v>14</v>
      </c>
      <c r="I5" s="325" t="s">
        <v>15</v>
      </c>
      <c r="J5" s="325" t="s">
        <v>16</v>
      </c>
      <c r="K5" s="325" t="s">
        <v>17</v>
      </c>
      <c r="L5" s="325" t="s">
        <v>16</v>
      </c>
      <c r="M5" s="409" t="s">
        <v>18</v>
      </c>
      <c r="N5" s="409"/>
      <c r="O5" s="409"/>
      <c r="P5" s="409"/>
      <c r="Q5" s="409"/>
      <c r="R5" s="409"/>
      <c r="S5" s="409"/>
      <c r="T5" s="409"/>
      <c r="U5" s="409"/>
      <c r="V5" s="325" t="s">
        <v>19</v>
      </c>
      <c r="W5" s="32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407" t="s">
        <v>22</v>
      </c>
      <c r="AD5" s="407" t="s">
        <v>21</v>
      </c>
      <c r="AE5" s="325" t="s">
        <v>23</v>
      </c>
      <c r="AF5" s="410" t="s">
        <v>128</v>
      </c>
      <c r="AG5" s="411"/>
      <c r="AH5" s="412" t="s">
        <v>25</v>
      </c>
      <c r="AI5" s="407" t="s">
        <v>129</v>
      </c>
      <c r="AJ5" s="407" t="s">
        <v>27</v>
      </c>
      <c r="AK5" s="325" t="s">
        <v>15</v>
      </c>
      <c r="AL5" s="325" t="s">
        <v>16</v>
      </c>
      <c r="AM5" s="325" t="s">
        <v>17</v>
      </c>
      <c r="AN5" s="456" t="s">
        <v>28</v>
      </c>
      <c r="AO5" s="61" t="s">
        <v>21</v>
      </c>
      <c r="AP5" s="67" t="s">
        <v>29</v>
      </c>
      <c r="AQ5" s="67" t="s">
        <v>29</v>
      </c>
      <c r="AR5" s="62" t="s">
        <v>30</v>
      </c>
      <c r="AS5" s="68" t="s">
        <v>31</v>
      </c>
      <c r="AT5" s="408" t="s">
        <v>32</v>
      </c>
      <c r="AU5" s="210" t="s">
        <v>33</v>
      </c>
      <c r="AV5" s="413" t="s">
        <v>34</v>
      </c>
      <c r="AW5" s="412" t="s">
        <v>35</v>
      </c>
      <c r="AX5" s="412" t="s">
        <v>36</v>
      </c>
      <c r="AY5" s="299"/>
      <c r="AZ5" s="295" t="s">
        <v>17</v>
      </c>
      <c r="BA5" s="69" t="s">
        <v>133</v>
      </c>
      <c r="BB5" s="458" t="s">
        <v>133</v>
      </c>
    </row>
    <row r="6" customFormat="false" ht="12.95" hidden="false" customHeight="true" outlineLevel="0" collapsed="false">
      <c r="A6" s="414" t="s">
        <v>145</v>
      </c>
      <c r="B6" s="406" t="s">
        <v>38</v>
      </c>
      <c r="C6" s="407"/>
      <c r="D6" s="325" t="s">
        <v>39</v>
      </c>
      <c r="E6" s="407" t="s">
        <v>40</v>
      </c>
      <c r="F6" s="325" t="s">
        <v>41</v>
      </c>
      <c r="G6" s="406" t="s">
        <v>42</v>
      </c>
      <c r="H6" s="408" t="s">
        <v>43</v>
      </c>
      <c r="I6" s="325" t="s">
        <v>44</v>
      </c>
      <c r="J6" s="325" t="s">
        <v>44</v>
      </c>
      <c r="K6" s="325" t="s">
        <v>44</v>
      </c>
      <c r="L6" s="325" t="s">
        <v>45</v>
      </c>
      <c r="M6" s="415" t="s">
        <v>46</v>
      </c>
      <c r="N6" s="69" t="s">
        <v>47</v>
      </c>
      <c r="O6" s="325" t="s">
        <v>48</v>
      </c>
      <c r="P6" s="69" t="s">
        <v>49</v>
      </c>
      <c r="Q6" s="58" t="s">
        <v>50</v>
      </c>
      <c r="R6" s="58" t="s">
        <v>51</v>
      </c>
      <c r="S6" s="58"/>
      <c r="T6" s="58" t="s">
        <v>48</v>
      </c>
      <c r="U6" s="416" t="s">
        <v>52</v>
      </c>
      <c r="V6" s="325" t="s">
        <v>53</v>
      </c>
      <c r="W6" s="32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407" t="s">
        <v>57</v>
      </c>
      <c r="AD6" s="407" t="s">
        <v>58</v>
      </c>
      <c r="AE6" s="418" t="s">
        <v>59</v>
      </c>
      <c r="AF6" s="58" t="s">
        <v>60</v>
      </c>
      <c r="AG6" s="58" t="s">
        <v>61</v>
      </c>
      <c r="AH6" s="519" t="s">
        <v>62</v>
      </c>
      <c r="AI6" s="407" t="s">
        <v>63</v>
      </c>
      <c r="AJ6" s="407"/>
      <c r="AK6" s="325" t="s">
        <v>64</v>
      </c>
      <c r="AL6" s="325" t="s">
        <v>64</v>
      </c>
      <c r="AM6" s="325" t="s">
        <v>64</v>
      </c>
      <c r="AN6" s="456" t="s">
        <v>65</v>
      </c>
      <c r="AO6" s="61" t="s">
        <v>66</v>
      </c>
      <c r="AP6" s="67" t="s">
        <v>67</v>
      </c>
      <c r="AQ6" s="67" t="s">
        <v>67</v>
      </c>
      <c r="AR6" s="62" t="s">
        <v>68</v>
      </c>
      <c r="AS6" s="68" t="s">
        <v>69</v>
      </c>
      <c r="AT6" s="408" t="s">
        <v>70</v>
      </c>
      <c r="AU6" s="210" t="s">
        <v>71</v>
      </c>
      <c r="AV6" s="417"/>
      <c r="AW6" s="412" t="s">
        <v>72</v>
      </c>
      <c r="AX6" s="412" t="s">
        <v>72</v>
      </c>
      <c r="AY6" s="299"/>
      <c r="AZ6" s="295" t="s">
        <v>73</v>
      </c>
      <c r="BA6" s="69" t="s">
        <v>135</v>
      </c>
      <c r="BB6" s="458" t="s">
        <v>136</v>
      </c>
    </row>
    <row r="7" customFormat="false" ht="12.95" hidden="false" customHeight="true" outlineLevel="0" collapsed="false">
      <c r="A7" s="325"/>
      <c r="B7" s="406"/>
      <c r="C7" s="407"/>
      <c r="D7" s="325"/>
      <c r="E7" s="407"/>
      <c r="F7" s="325"/>
      <c r="G7" s="406"/>
      <c r="H7" s="408"/>
      <c r="I7" s="325"/>
      <c r="J7" s="325"/>
      <c r="K7" s="325"/>
      <c r="L7" s="325"/>
      <c r="M7" s="415"/>
      <c r="N7" s="69" t="s">
        <v>74</v>
      </c>
      <c r="O7" s="325" t="s">
        <v>75</v>
      </c>
      <c r="P7" s="69"/>
      <c r="Q7" s="58" t="s">
        <v>76</v>
      </c>
      <c r="R7" s="58" t="s">
        <v>76</v>
      </c>
      <c r="S7" s="58" t="s">
        <v>61</v>
      </c>
      <c r="T7" s="58" t="s">
        <v>61</v>
      </c>
      <c r="U7" s="416" t="s">
        <v>77</v>
      </c>
      <c r="V7" s="325"/>
      <c r="W7" s="32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407"/>
      <c r="AD7" s="407"/>
      <c r="AE7" s="418"/>
      <c r="AF7" s="79" t="n">
        <v>1.7</v>
      </c>
      <c r="AG7" s="79" t="n">
        <v>1.3</v>
      </c>
      <c r="AH7" s="519"/>
      <c r="AI7" s="407"/>
      <c r="AJ7" s="407"/>
      <c r="AK7" s="325"/>
      <c r="AL7" s="325"/>
      <c r="AM7" s="325"/>
      <c r="AN7" s="456"/>
      <c r="AO7" s="61" t="s">
        <v>41</v>
      </c>
      <c r="AP7" s="67" t="s">
        <v>83</v>
      </c>
      <c r="AQ7" s="67" t="s">
        <v>84</v>
      </c>
      <c r="AR7" s="62" t="s">
        <v>85</v>
      </c>
      <c r="AS7" s="68" t="s">
        <v>86</v>
      </c>
      <c r="AT7" s="408" t="s">
        <v>87</v>
      </c>
      <c r="AU7" s="210" t="s">
        <v>88</v>
      </c>
      <c r="AV7" s="417"/>
      <c r="AW7" s="412"/>
      <c r="AX7" s="412"/>
      <c r="AY7" s="299"/>
      <c r="AZ7" s="295" t="s">
        <v>89</v>
      </c>
      <c r="BA7" s="8"/>
      <c r="BB7" s="274"/>
    </row>
    <row r="8" customFormat="false" ht="12.95" hidden="false" customHeight="true" outlineLevel="0" collapsed="false">
      <c r="A8" s="325"/>
      <c r="B8" s="406"/>
      <c r="C8" s="407"/>
      <c r="D8" s="325"/>
      <c r="E8" s="407"/>
      <c r="F8" s="325"/>
      <c r="G8" s="406"/>
      <c r="H8" s="408"/>
      <c r="I8" s="325"/>
      <c r="J8" s="325"/>
      <c r="K8" s="325"/>
      <c r="L8" s="325"/>
      <c r="M8" s="415"/>
      <c r="N8" s="69"/>
      <c r="O8" s="407"/>
      <c r="P8" s="69"/>
      <c r="Q8" s="58" t="s">
        <v>61</v>
      </c>
      <c r="R8" s="58" t="s">
        <v>61</v>
      </c>
      <c r="S8" s="58"/>
      <c r="T8" s="58"/>
      <c r="U8" s="416"/>
      <c r="V8" s="325"/>
      <c r="W8" s="32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407"/>
      <c r="AD8" s="407"/>
      <c r="AE8" s="418"/>
      <c r="AF8" s="192"/>
      <c r="AG8" s="192"/>
      <c r="AH8" s="519"/>
      <c r="AI8" s="407"/>
      <c r="AJ8" s="407"/>
      <c r="AK8" s="325"/>
      <c r="AL8" s="325"/>
      <c r="AM8" s="325"/>
      <c r="AN8" s="456"/>
      <c r="AO8" s="61"/>
      <c r="AP8" s="67"/>
      <c r="AQ8" s="67"/>
      <c r="AR8" s="62"/>
      <c r="AS8" s="68"/>
      <c r="AT8" s="408"/>
      <c r="AU8" s="210"/>
      <c r="AV8" s="417"/>
      <c r="AW8" s="412"/>
      <c r="AX8" s="412"/>
      <c r="AY8" s="299"/>
      <c r="AZ8" s="295"/>
      <c r="BA8" s="8"/>
      <c r="BB8" s="274"/>
    </row>
    <row r="9" customFormat="false" ht="12.95" hidden="false" customHeight="true" outlineLevel="0" collapsed="false">
      <c r="A9" s="325"/>
      <c r="B9" s="406"/>
      <c r="C9" s="407"/>
      <c r="D9" s="325"/>
      <c r="E9" s="407"/>
      <c r="F9" s="325"/>
      <c r="G9" s="406"/>
      <c r="H9" s="408"/>
      <c r="I9" s="325"/>
      <c r="J9" s="325"/>
      <c r="K9" s="325"/>
      <c r="L9" s="325"/>
      <c r="M9" s="415"/>
      <c r="N9" s="69"/>
      <c r="O9" s="407"/>
      <c r="P9" s="69"/>
      <c r="Q9" s="58"/>
      <c r="R9" s="81" t="n">
        <v>4.2</v>
      </c>
      <c r="S9" s="58"/>
      <c r="T9" s="58"/>
      <c r="U9" s="416"/>
      <c r="V9" s="325"/>
      <c r="W9" s="325"/>
      <c r="X9" s="65"/>
      <c r="Y9" s="57" t="s">
        <v>90</v>
      </c>
      <c r="Z9" s="61"/>
      <c r="AA9" s="57" t="s">
        <v>90</v>
      </c>
      <c r="AB9" s="61" t="s">
        <v>93</v>
      </c>
      <c r="AC9" s="407"/>
      <c r="AD9" s="407"/>
      <c r="AE9" s="325"/>
      <c r="AF9" s="419"/>
      <c r="AG9" s="420"/>
      <c r="AH9" s="412"/>
      <c r="AI9" s="407"/>
      <c r="AJ9" s="407"/>
      <c r="AK9" s="325"/>
      <c r="AL9" s="325"/>
      <c r="AM9" s="325"/>
      <c r="AN9" s="456"/>
      <c r="AO9" s="61"/>
      <c r="AP9" s="67"/>
      <c r="AQ9" s="67"/>
      <c r="AR9" s="62"/>
      <c r="AS9" s="68"/>
      <c r="AT9" s="408"/>
      <c r="AU9" s="210"/>
      <c r="AV9" s="417"/>
      <c r="AW9" s="412"/>
      <c r="AX9" s="412"/>
      <c r="AY9" s="299"/>
      <c r="AZ9" s="295"/>
      <c r="BA9" s="8"/>
      <c r="BB9" s="458" t="s">
        <v>137</v>
      </c>
    </row>
    <row r="10" customFormat="false" ht="12.95" hidden="false" customHeight="true" outlineLevel="0" collapsed="false">
      <c r="A10" s="325"/>
      <c r="B10" s="406"/>
      <c r="C10" s="407" t="s">
        <v>10</v>
      </c>
      <c r="D10" s="325"/>
      <c r="E10" s="407" t="s">
        <v>95</v>
      </c>
      <c r="F10" s="325"/>
      <c r="G10" s="406" t="s">
        <v>41</v>
      </c>
      <c r="H10" s="408" t="s">
        <v>41</v>
      </c>
      <c r="I10" s="408" t="s">
        <v>41</v>
      </c>
      <c r="J10" s="408" t="s">
        <v>41</v>
      </c>
      <c r="K10" s="408" t="s">
        <v>41</v>
      </c>
      <c r="L10" s="408" t="s">
        <v>41</v>
      </c>
      <c r="M10" s="422" t="s">
        <v>41</v>
      </c>
      <c r="N10" s="408" t="s">
        <v>41</v>
      </c>
      <c r="O10" s="408" t="s">
        <v>41</v>
      </c>
      <c r="P10" s="40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421" t="s">
        <v>41</v>
      </c>
      <c r="V10" s="408" t="s">
        <v>41</v>
      </c>
      <c r="W10" s="408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408" t="s">
        <v>41</v>
      </c>
      <c r="AD10" s="408" t="s">
        <v>41</v>
      </c>
      <c r="AE10" s="408" t="s">
        <v>41</v>
      </c>
      <c r="AF10" s="422" t="s">
        <v>41</v>
      </c>
      <c r="AG10" s="421" t="s">
        <v>41</v>
      </c>
      <c r="AH10" s="408" t="s">
        <v>41</v>
      </c>
      <c r="AI10" s="408" t="s">
        <v>41</v>
      </c>
      <c r="AJ10" s="408" t="s">
        <v>41</v>
      </c>
      <c r="AK10" s="408" t="s">
        <v>41</v>
      </c>
      <c r="AL10" s="408" t="s">
        <v>41</v>
      </c>
      <c r="AM10" s="408" t="s">
        <v>41</v>
      </c>
      <c r="AN10" s="456" t="s">
        <v>41</v>
      </c>
      <c r="AO10" s="61" t="s">
        <v>41</v>
      </c>
      <c r="AP10" s="61" t="s">
        <v>41</v>
      </c>
      <c r="AQ10" s="67" t="s">
        <v>96</v>
      </c>
      <c r="AR10" s="62" t="s">
        <v>41</v>
      </c>
      <c r="AS10" s="61" t="s">
        <v>41</v>
      </c>
      <c r="AT10" s="61" t="s">
        <v>41</v>
      </c>
      <c r="AU10" s="61" t="s">
        <v>41</v>
      </c>
      <c r="AV10" s="417"/>
      <c r="AW10" s="412"/>
      <c r="AX10" s="412"/>
      <c r="AY10" s="299"/>
      <c r="AZ10" s="295" t="s">
        <v>97</v>
      </c>
      <c r="BA10" s="69" t="s">
        <v>41</v>
      </c>
      <c r="BB10" s="458" t="s">
        <v>95</v>
      </c>
    </row>
    <row r="11" customFormat="false" ht="12.95" hidden="false" customHeight="true" outlineLevel="0" collapsed="false">
      <c r="A11" s="325"/>
      <c r="B11" s="406"/>
      <c r="C11" s="407"/>
      <c r="D11" s="325"/>
      <c r="E11" s="407"/>
      <c r="F11" s="325"/>
      <c r="G11" s="406"/>
      <c r="H11" s="408"/>
      <c r="I11" s="325"/>
      <c r="J11" s="325"/>
      <c r="K11" s="325"/>
      <c r="L11" s="325"/>
      <c r="M11" s="415"/>
      <c r="N11" s="69" t="n">
        <v>1.03</v>
      </c>
      <c r="O11" s="424" t="n">
        <v>1.05</v>
      </c>
      <c r="P11" s="69" t="n">
        <v>1.02</v>
      </c>
      <c r="Q11" s="82" t="n">
        <v>1.02</v>
      </c>
      <c r="R11" s="83" t="n">
        <v>1.04</v>
      </c>
      <c r="S11" s="58"/>
      <c r="T11" s="82" t="n">
        <v>1.04</v>
      </c>
      <c r="U11" s="416"/>
      <c r="V11" s="325"/>
      <c r="W11" s="32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407"/>
      <c r="AD11" s="407"/>
      <c r="AE11" s="325"/>
      <c r="AF11" s="419"/>
      <c r="AG11" s="420"/>
      <c r="AH11" s="412"/>
      <c r="AI11" s="407"/>
      <c r="AJ11" s="407"/>
      <c r="AK11" s="325"/>
      <c r="AL11" s="325"/>
      <c r="AM11" s="325"/>
      <c r="AN11" s="456"/>
      <c r="AO11" s="61"/>
      <c r="AP11" s="67"/>
      <c r="AQ11" s="67"/>
      <c r="AR11" s="62"/>
      <c r="AS11" s="87"/>
      <c r="AT11" s="327"/>
      <c r="AU11" s="180"/>
      <c r="AV11" s="417"/>
      <c r="AW11" s="412"/>
      <c r="AX11" s="412"/>
      <c r="AY11" s="299"/>
      <c r="AZ11" s="295" t="s">
        <v>41</v>
      </c>
      <c r="BA11" s="8"/>
      <c r="BB11" s="274"/>
    </row>
    <row r="12" customFormat="false" ht="12.95" hidden="false" customHeight="true" outlineLevel="0" collapsed="false">
      <c r="A12" s="188" t="s">
        <v>99</v>
      </c>
      <c r="B12" s="213"/>
      <c r="C12" s="571"/>
      <c r="D12" s="107"/>
      <c r="E12" s="107"/>
      <c r="F12" s="214" t="n">
        <f aca="false">AUG!F50</f>
        <v>-12454.2475422233</v>
      </c>
      <c r="G12" s="107" t="n">
        <f aca="false">AUG!G50</f>
        <v>48453</v>
      </c>
      <c r="H12" s="107" t="n">
        <f aca="false">AUG!H50</f>
        <v>91.66</v>
      </c>
      <c r="I12" s="107" t="n">
        <f aca="false">AUG!I50</f>
        <v>48544.66</v>
      </c>
      <c r="J12" s="107" t="n">
        <f aca="false">AUG!J50</f>
        <v>1836.62742560691</v>
      </c>
      <c r="K12" s="107" t="n">
        <f aca="false">AUG!K50</f>
        <v>50381.2774256069</v>
      </c>
      <c r="L12" s="107" t="n">
        <f aca="false">AUG!L50</f>
        <v>-1808.65668417943</v>
      </c>
      <c r="M12" s="216" t="n">
        <f aca="false">AUG!M50</f>
        <v>25515.82</v>
      </c>
      <c r="N12" s="107" t="n">
        <f aca="false">AUG!N50</f>
        <v>80.6602935</v>
      </c>
      <c r="O12" s="107" t="n">
        <f aca="false">AUG!O50</f>
        <v>3086.30991875</v>
      </c>
      <c r="P12" s="158" t="n">
        <f aca="false">AUG!P50</f>
        <v>14.3788</v>
      </c>
      <c r="Q12" s="158"/>
      <c r="R12" s="158"/>
      <c r="S12" s="158"/>
      <c r="T12" s="158"/>
      <c r="U12" s="217"/>
      <c r="V12" s="107" t="n">
        <f aca="false">AUG!V50</f>
        <v>14343.7</v>
      </c>
      <c r="W12" s="107" t="n">
        <f aca="false">AUG!W50</f>
        <v>8351.15</v>
      </c>
      <c r="X12" s="107" t="n">
        <f aca="false">AUG!X50</f>
        <v>44469.4008655149</v>
      </c>
      <c r="Y12" s="177" t="n">
        <f aca="false">AUG!Y50</f>
        <v>44469.4008655149</v>
      </c>
      <c r="Z12" s="107" t="n">
        <f aca="false">AUG!Z45</f>
        <v>0</v>
      </c>
      <c r="AA12" s="177"/>
      <c r="AB12" s="177"/>
      <c r="AC12" s="107" t="n">
        <f aca="false">AUG!AC45</f>
        <v>0</v>
      </c>
      <c r="AD12" s="107" t="n">
        <f aca="false">AUG!AD45</f>
        <v>2070.97328970903</v>
      </c>
      <c r="AE12" s="107" t="n">
        <f aca="false">AUG!AE50</f>
        <v>8394.51325654391</v>
      </c>
      <c r="AF12" s="216" t="n">
        <f aca="false">AUG!AF50</f>
        <v>260.1</v>
      </c>
      <c r="AG12" s="218" t="n">
        <f aca="false">AUG!AG50</f>
        <v>198.9</v>
      </c>
      <c r="AH12" s="107"/>
      <c r="AI12" s="107"/>
      <c r="AJ12" s="107"/>
      <c r="AK12" s="107" t="n">
        <f aca="false">AUG!AK50</f>
        <v>59190.2408580439</v>
      </c>
      <c r="AL12" s="107" t="n">
        <f aca="false">AUG!AL50</f>
        <v>3645.28410978634</v>
      </c>
      <c r="AM12" s="107" t="n">
        <f aca="false">AUG!AM50</f>
        <v>62835.5249678303</v>
      </c>
      <c r="AN12" s="220"/>
      <c r="AO12" s="215"/>
      <c r="AP12" s="136"/>
      <c r="AQ12" s="136" t="n">
        <f aca="false">AUG!AQ51</f>
        <v>2406.77884673469</v>
      </c>
      <c r="AR12" s="136" t="n">
        <f aca="false">AUG!AR50</f>
        <v>608.016133098059</v>
      </c>
      <c r="AS12" s="215" t="n">
        <f aca="false">AUG!AS50</f>
        <v>777.256</v>
      </c>
      <c r="AT12" s="215" t="n">
        <f aca="false">AUG!AT50</f>
        <v>0</v>
      </c>
      <c r="AU12" s="136" t="n">
        <f aca="false">AUG!AU50</f>
        <v>464.914</v>
      </c>
      <c r="AV12" s="222"/>
      <c r="AW12" s="215"/>
      <c r="AX12" s="215"/>
      <c r="AY12" s="299"/>
      <c r="AZ12" s="333"/>
      <c r="BA12" s="179" t="n">
        <f aca="false">AUG!BA50</f>
        <v>2735.309</v>
      </c>
      <c r="BB12" s="274"/>
    </row>
    <row r="13" s="230" customFormat="true" ht="12.95" hidden="false" customHeight="true" outlineLevel="0" collapsed="false">
      <c r="A13" s="225" t="s">
        <v>100</v>
      </c>
      <c r="B13" s="431" t="n">
        <f aca="false">AUG!B45</f>
        <v>6860.26</v>
      </c>
      <c r="C13" s="107" t="n">
        <f aca="false">AUG!C45</f>
        <v>163663</v>
      </c>
      <c r="D13" s="107" t="n">
        <f aca="false">AUG!D54</f>
        <v>-31492</v>
      </c>
      <c r="E13" s="107" t="n">
        <f aca="false">AUG!E54</f>
        <v>11663</v>
      </c>
      <c r="F13" s="214" t="n">
        <f aca="false">AUG!F53</f>
        <v>-15876.9851273002</v>
      </c>
      <c r="G13" s="107" t="n">
        <f aca="false">AUG!G53</f>
        <v>53606</v>
      </c>
      <c r="H13" s="107" t="n">
        <f aca="false">AUG!H53</f>
        <v>146.15</v>
      </c>
      <c r="I13" s="107" t="n">
        <f aca="false">AUG!I53</f>
        <v>53751.53</v>
      </c>
      <c r="J13" s="107" t="n">
        <f aca="false">AUG!J53</f>
        <v>3561.66464264749</v>
      </c>
      <c r="K13" s="107" t="n">
        <f aca="false">AUG!K53</f>
        <v>57313.1846426475</v>
      </c>
      <c r="L13" s="107" t="n">
        <f aca="false">AUG!L53</f>
        <v>-856.298769256311</v>
      </c>
      <c r="M13" s="216" t="n">
        <f aca="false">AUG!M53</f>
        <v>26417.73</v>
      </c>
      <c r="N13" s="107" t="n">
        <f aca="false">AUG!N53</f>
        <v>80.6602935</v>
      </c>
      <c r="O13" s="107" t="n">
        <f aca="false">AUG!O53</f>
        <v>3086.30991875</v>
      </c>
      <c r="P13" s="158"/>
      <c r="Q13" s="215" t="n">
        <f aca="false">AUG!Q53</f>
        <v>614.076646340243</v>
      </c>
      <c r="R13" s="215" t="n">
        <f aca="false">AUG!R53</f>
        <v>817.21829056</v>
      </c>
      <c r="S13" s="215" t="n">
        <f aca="false">AUG!S53</f>
        <v>113.04373408</v>
      </c>
      <c r="T13" s="215" t="n">
        <f aca="false">AUG!T53</f>
        <v>249.61797536</v>
      </c>
      <c r="U13" s="318" t="n">
        <f aca="false">AUG!U53</f>
        <v>77.8630613803556</v>
      </c>
      <c r="V13" s="107" t="n">
        <f aca="false">AUG!V53</f>
        <v>18700.92</v>
      </c>
      <c r="W13" s="107" t="n">
        <f aca="false">AUG!W53</f>
        <v>8435.55</v>
      </c>
      <c r="X13" s="107" t="n">
        <f aca="false">AUG!X53</f>
        <v>49109.0474131275</v>
      </c>
      <c r="Y13" s="177" t="n">
        <f aca="false">AUG!Y53</f>
        <v>48785.0849726988</v>
      </c>
      <c r="Z13" s="107"/>
      <c r="AA13" s="177"/>
      <c r="AB13" s="107"/>
      <c r="AC13" s="107"/>
      <c r="AD13" s="107"/>
      <c r="AE13" s="107" t="n">
        <f aca="false">AUG!AE51</f>
        <v>16650.5170443549</v>
      </c>
      <c r="AF13" s="98" t="n">
        <f aca="false">AF12</f>
        <v>260.1</v>
      </c>
      <c r="AG13" s="99" t="n">
        <f aca="false">AG12</f>
        <v>198.9</v>
      </c>
      <c r="AH13" s="107" t="n">
        <f aca="false">AUG!AH53</f>
        <v>6815.5</v>
      </c>
      <c r="AI13" s="107" t="n">
        <f aca="false">AUG!AI53</f>
        <v>3807.83684762418</v>
      </c>
      <c r="AJ13" s="107" t="n">
        <f aca="false">AUG!AJ53</f>
        <v>0</v>
      </c>
      <c r="AK13" s="107" t="n">
        <f aca="false">AUG!AK53</f>
        <v>68772.2063580439</v>
      </c>
      <c r="AL13" s="107" t="n">
        <f aca="false">AUG!AL53</f>
        <v>4417.96341190381</v>
      </c>
      <c r="AM13" s="107" t="n">
        <f aca="false">AUG!AM53</f>
        <v>73190.1697699477</v>
      </c>
      <c r="AN13" s="220" t="n">
        <f aca="false">AUG!AN53</f>
        <v>8903.4116944076</v>
      </c>
      <c r="AO13" s="215" t="n">
        <f aca="false">AUG!AO53</f>
        <v>323.962440428619</v>
      </c>
      <c r="AP13" s="136"/>
      <c r="AQ13" s="136" t="n">
        <f aca="false">AUG!AQ54</f>
        <v>2406.77884673469</v>
      </c>
      <c r="AR13" s="158"/>
      <c r="AS13" s="215" t="n">
        <f aca="false">AUG!AS53</f>
        <v>777.256</v>
      </c>
      <c r="AT13" s="215" t="n">
        <f aca="false">AUG!AT53</f>
        <v>0</v>
      </c>
      <c r="AU13" s="136"/>
      <c r="AV13" s="222" t="n">
        <f aca="false">AUG!AV53</f>
        <v>8.354</v>
      </c>
      <c r="AW13" s="215"/>
      <c r="AX13" s="215"/>
      <c r="AY13" s="302"/>
      <c r="AZ13" s="340" t="n">
        <f aca="false">AUG!AZ53</f>
        <v>1966.8588012206</v>
      </c>
      <c r="BA13" s="179" t="n">
        <f aca="false">AUG!BA53</f>
        <v>2735.309</v>
      </c>
      <c r="BB13" s="277"/>
    </row>
    <row r="14" customFormat="false" ht="3" hidden="false" customHeight="true" outlineLevel="0" collapsed="false">
      <c r="A14" s="231"/>
      <c r="B14" s="232"/>
      <c r="C14" s="233"/>
      <c r="D14" s="234"/>
      <c r="E14" s="233"/>
      <c r="F14" s="235"/>
      <c r="G14" s="234"/>
      <c r="H14" s="236"/>
      <c r="I14" s="234"/>
      <c r="J14" s="234"/>
      <c r="K14" s="234"/>
      <c r="L14" s="234"/>
      <c r="M14" s="237"/>
      <c r="N14" s="234"/>
      <c r="O14" s="234"/>
      <c r="P14" s="238"/>
      <c r="Q14" s="238"/>
      <c r="R14" s="238"/>
      <c r="S14" s="238"/>
      <c r="T14" s="238"/>
      <c r="U14" s="239"/>
      <c r="V14" s="234"/>
      <c r="W14" s="234"/>
      <c r="X14" s="234"/>
      <c r="Y14" s="234"/>
      <c r="Z14" s="233"/>
      <c r="AA14" s="234"/>
      <c r="AB14" s="233"/>
      <c r="AC14" s="233"/>
      <c r="AD14" s="233"/>
      <c r="AE14" s="234"/>
      <c r="AF14" s="120"/>
      <c r="AG14" s="121"/>
      <c r="AH14" s="234"/>
      <c r="AI14" s="233"/>
      <c r="AJ14" s="233"/>
      <c r="AK14" s="234"/>
      <c r="AL14" s="234"/>
      <c r="AM14" s="234"/>
      <c r="AN14" s="242"/>
      <c r="AO14" s="243"/>
      <c r="AP14" s="240"/>
      <c r="AQ14" s="238" t="s">
        <v>146</v>
      </c>
      <c r="AR14" s="238"/>
      <c r="AS14" s="238" t="s">
        <v>146</v>
      </c>
      <c r="AT14" s="238" t="s">
        <v>146</v>
      </c>
      <c r="AU14" s="240" t="s">
        <v>146</v>
      </c>
      <c r="AV14" s="245"/>
      <c r="AW14" s="243" t="n">
        <v>0</v>
      </c>
      <c r="AX14" s="243"/>
      <c r="AY14" s="243"/>
      <c r="AZ14" s="243"/>
      <c r="BA14" s="243"/>
      <c r="BB14" s="243"/>
    </row>
    <row r="15" customFormat="false" ht="12.95" hidden="false" customHeight="true" outlineLevel="0" collapsed="false">
      <c r="A15" s="183" t="n">
        <v>1</v>
      </c>
      <c r="B15" s="106" t="n">
        <v>6860.14</v>
      </c>
      <c r="C15" s="107" t="n">
        <v>163388</v>
      </c>
      <c r="D15" s="215" t="n">
        <f aca="false">C15-C13</f>
        <v>-275</v>
      </c>
      <c r="E15" s="107" t="n">
        <f aca="false">C15-152000</f>
        <v>11388</v>
      </c>
      <c r="F15" s="246" t="n">
        <f aca="false">D15/$D$2</f>
        <v>-138.643811444416</v>
      </c>
      <c r="G15" s="339" t="n">
        <v>181</v>
      </c>
      <c r="H15" s="572" t="n">
        <v>0</v>
      </c>
      <c r="I15" s="339" t="n">
        <f aca="false">G15+H15</f>
        <v>181</v>
      </c>
      <c r="J15" s="136" t="n">
        <f aca="false">IF(L15&gt;0,L15,0)</f>
        <v>12.8561885555836</v>
      </c>
      <c r="K15" s="135" t="n">
        <f aca="false">I15+J15</f>
        <v>193.856188555584</v>
      </c>
      <c r="L15" s="135" t="n">
        <f aca="false">F15-(I15-AK15)</f>
        <v>12.8561885555836</v>
      </c>
      <c r="M15" s="248" t="n">
        <v>136</v>
      </c>
      <c r="N15" s="158"/>
      <c r="O15" s="135" t="n">
        <f aca="false">0*1.05</f>
        <v>0</v>
      </c>
      <c r="P15" s="158" t="n">
        <v>0</v>
      </c>
      <c r="Q15" s="338" t="n">
        <f aca="false">1459400/325851/1.9835*1.02</f>
        <v>2.30315544656826</v>
      </c>
      <c r="R15" s="131" t="n">
        <f aca="false">(3.2*1.04)-T15</f>
        <v>2.40154304</v>
      </c>
      <c r="S15" s="131" t="n">
        <v>0</v>
      </c>
      <c r="T15" s="131" t="n">
        <f aca="false">(0.8404*1.06)*1.04</f>
        <v>0.92645696</v>
      </c>
      <c r="U15" s="357" t="n">
        <v>0</v>
      </c>
      <c r="V15" s="135" t="n">
        <v>123</v>
      </c>
      <c r="W15" s="135" t="n">
        <v>60.4</v>
      </c>
      <c r="X15" s="339" t="n">
        <f aca="false">M15-N15-O15-P15-Q15-R15-S15-T15-U15+V15+W15-AT15+AR15</f>
        <v>313.768844553432</v>
      </c>
      <c r="Y15" s="339" t="n">
        <f aca="false">X15-AO15</f>
        <v>313.768844553432</v>
      </c>
      <c r="Z15" s="435"/>
      <c r="AA15" s="339"/>
      <c r="AB15" s="435"/>
      <c r="AC15" s="435" t="n">
        <f aca="false">AS15-AS15</f>
        <v>0</v>
      </c>
      <c r="AD15" s="501" t="n">
        <f aca="false">AD12+AP15+AS15</f>
        <v>1931.79974666903</v>
      </c>
      <c r="AE15" s="339" t="n">
        <v>0</v>
      </c>
      <c r="AF15" s="137" t="n">
        <v>1.7</v>
      </c>
      <c r="AG15" s="138" t="n">
        <v>1.3</v>
      </c>
      <c r="AH15" s="135" t="n">
        <v>13.1</v>
      </c>
      <c r="AI15" s="107" t="n">
        <f aca="false">AI13-AH15</f>
        <v>3794.73684762418</v>
      </c>
      <c r="AJ15" s="107"/>
      <c r="AK15" s="134" t="n">
        <f aca="false">N15+O15+P15+Q15+R15+S15+T15+U15+X15+AE15+AH15-AR15</f>
        <v>332.5</v>
      </c>
      <c r="AL15" s="135" t="n">
        <f aca="false">IF(L15&lt;0,L15*-1,0)</f>
        <v>0</v>
      </c>
      <c r="AM15" s="135" t="n">
        <f aca="false">AK15+AL15</f>
        <v>332.5</v>
      </c>
      <c r="AN15" s="220"/>
      <c r="AO15" s="215"/>
      <c r="AP15" s="543" t="n">
        <f aca="false">I15-Q15-R15-X15-AF15</f>
        <v>-139.17354304</v>
      </c>
      <c r="AQ15" s="544" t="n">
        <f aca="false">30.656*(Z15*1.9835+AC15*1.9835)/E15</f>
        <v>0</v>
      </c>
      <c r="AR15" s="158"/>
      <c r="AS15" s="135"/>
      <c r="AU15" s="179" t="n">
        <f aca="false">O15</f>
        <v>0</v>
      </c>
      <c r="AV15" s="222" t="n">
        <v>0</v>
      </c>
      <c r="AW15" s="215" t="n">
        <v>89</v>
      </c>
      <c r="AX15" s="215" t="n">
        <v>55</v>
      </c>
      <c r="AY15" s="299"/>
      <c r="AZ15" s="250" t="n">
        <f aca="false">SUM(N15,P15:U15)</f>
        <v>5.63115544656826</v>
      </c>
      <c r="BA15" s="176" t="n">
        <v>0.664</v>
      </c>
      <c r="BB15" s="274" t="n">
        <v>5511</v>
      </c>
    </row>
    <row r="16" customFormat="false" ht="12.95" hidden="false" customHeight="true" outlineLevel="0" collapsed="false">
      <c r="A16" s="183" t="n">
        <v>2</v>
      </c>
      <c r="B16" s="106" t="n">
        <v>6859.98</v>
      </c>
      <c r="C16" s="107" t="n">
        <v>163021</v>
      </c>
      <c r="D16" s="215" t="n">
        <f aca="false">C16-C15</f>
        <v>-367</v>
      </c>
      <c r="E16" s="107" t="n">
        <f aca="false">C16-152000</f>
        <v>11021</v>
      </c>
      <c r="F16" s="246" t="n">
        <f aca="false">D16/$D$2</f>
        <v>-185.026468364003</v>
      </c>
      <c r="G16" s="339" t="n">
        <v>162</v>
      </c>
      <c r="H16" s="572" t="n">
        <v>0</v>
      </c>
      <c r="I16" s="339" t="n">
        <f aca="false">G16+H16</f>
        <v>162</v>
      </c>
      <c r="J16" s="136" t="n">
        <f aca="false">IF(L16&gt;0,L16,0)</f>
        <v>0</v>
      </c>
      <c r="K16" s="135" t="n">
        <f aca="false">I16+J16</f>
        <v>162</v>
      </c>
      <c r="L16" s="135" t="n">
        <f aca="false">F16-(I16-AK16)</f>
        <v>-5.72646836400301</v>
      </c>
      <c r="M16" s="248" t="n">
        <v>148</v>
      </c>
      <c r="N16" s="158"/>
      <c r="O16" s="135" t="n">
        <f aca="false">0*1.05</f>
        <v>0</v>
      </c>
      <c r="P16" s="158" t="n">
        <v>0</v>
      </c>
      <c r="Q16" s="338" t="n">
        <f aca="false">1690700/325851/1.9835*1.02</f>
        <v>2.66818207038026</v>
      </c>
      <c r="R16" s="131" t="n">
        <f aca="false">(3.2*1.04)-T16</f>
        <v>2.40154304</v>
      </c>
      <c r="S16" s="131" t="n">
        <v>0</v>
      </c>
      <c r="T16" s="131" t="n">
        <f aca="false">(0.8404*1.06)*1.04</f>
        <v>0.92645696</v>
      </c>
      <c r="U16" s="357" t="n">
        <v>0</v>
      </c>
      <c r="V16" s="135" t="n">
        <v>120</v>
      </c>
      <c r="W16" s="135" t="n">
        <v>60</v>
      </c>
      <c r="X16" s="339" t="n">
        <f aca="false">M16-N16-O16-P16-Q16-R16-S16-T16-U16+V16+W16-AT16+AR16</f>
        <v>322.00381792962</v>
      </c>
      <c r="Y16" s="339" t="n">
        <f aca="false">X16-AO16</f>
        <v>322.00381792962</v>
      </c>
      <c r="Z16" s="435"/>
      <c r="AA16" s="339"/>
      <c r="AB16" s="435"/>
      <c r="AC16" s="435" t="n">
        <f aca="false">AS16-AS16</f>
        <v>0</v>
      </c>
      <c r="AD16" s="501" t="n">
        <f aca="false">AD15+AP16+AS16</f>
        <v>1765.02620362903</v>
      </c>
      <c r="AE16" s="339" t="n">
        <v>0</v>
      </c>
      <c r="AF16" s="137" t="n">
        <v>1.7</v>
      </c>
      <c r="AG16" s="138" t="n">
        <v>1.3</v>
      </c>
      <c r="AH16" s="135" t="n">
        <v>13.3</v>
      </c>
      <c r="AI16" s="107" t="n">
        <f aca="false">AI15-AH16</f>
        <v>3781.43684762418</v>
      </c>
      <c r="AJ16" s="107"/>
      <c r="AK16" s="134" t="n">
        <f aca="false">N16+O16+P16+Q16+R16+S16+T16+U16+X16+AE16+AH16-AR16</f>
        <v>341.3</v>
      </c>
      <c r="AL16" s="135" t="n">
        <f aca="false">IF(L16&lt;0,L16*-1,0)</f>
        <v>5.72646836400301</v>
      </c>
      <c r="AM16" s="135" t="n">
        <f aca="false">AK16+AL16</f>
        <v>347.026468364003</v>
      </c>
      <c r="AN16" s="220"/>
      <c r="AO16" s="215"/>
      <c r="AP16" s="543" t="n">
        <f aca="false">I16-Q16-R16-X16-AF16</f>
        <v>-166.77354304</v>
      </c>
      <c r="AQ16" s="544" t="n">
        <f aca="false">26.144*(Z16*1.9835+AC16*1.9835)/E16</f>
        <v>0</v>
      </c>
      <c r="AR16" s="158"/>
      <c r="AS16" s="135"/>
      <c r="AU16" s="179" t="n">
        <f aca="false">O16</f>
        <v>0</v>
      </c>
      <c r="AV16" s="222" t="n">
        <v>0</v>
      </c>
      <c r="AW16" s="215" t="n">
        <v>87</v>
      </c>
      <c r="AX16" s="215" t="n">
        <v>56</v>
      </c>
      <c r="AY16" s="299"/>
      <c r="AZ16" s="250" t="n">
        <f aca="false">SUM(N16,P16:U16)</f>
        <v>5.99618207038026</v>
      </c>
      <c r="BA16" s="176" t="n">
        <v>0.857</v>
      </c>
      <c r="BB16" s="274" t="n">
        <v>5517</v>
      </c>
    </row>
    <row r="17" customFormat="false" ht="12.95" hidden="false" customHeight="true" outlineLevel="0" collapsed="false">
      <c r="A17" s="183" t="n">
        <v>3</v>
      </c>
      <c r="B17" s="106" t="n">
        <v>6859.77</v>
      </c>
      <c r="C17" s="107" t="n">
        <v>162546</v>
      </c>
      <c r="D17" s="215" t="n">
        <f aca="false">C17-C16</f>
        <v>-475</v>
      </c>
      <c r="E17" s="107" t="n">
        <f aca="false">C17-152000</f>
        <v>10546</v>
      </c>
      <c r="F17" s="246" t="n">
        <f aca="false">D17/$D$2</f>
        <v>-239.475674313083</v>
      </c>
      <c r="G17" s="339" t="n">
        <v>140</v>
      </c>
      <c r="H17" s="572" t="n">
        <v>0</v>
      </c>
      <c r="I17" s="339" t="n">
        <f aca="false">G17+H17</f>
        <v>140</v>
      </c>
      <c r="J17" s="136" t="n">
        <f aca="false">IF(L17&gt;0,L17,0)</f>
        <v>0</v>
      </c>
      <c r="K17" s="135" t="n">
        <f aca="false">I17+J17</f>
        <v>140</v>
      </c>
      <c r="L17" s="135" t="n">
        <f aca="false">F17-(I17-AK17)</f>
        <v>-27.2656743130829</v>
      </c>
      <c r="M17" s="248" t="n">
        <v>153</v>
      </c>
      <c r="N17" s="158"/>
      <c r="O17" s="135" t="n">
        <f aca="false">2.44*1.05</f>
        <v>2.562</v>
      </c>
      <c r="P17" s="158" t="n">
        <v>0</v>
      </c>
      <c r="Q17" s="338" t="n">
        <f aca="false">1482200/325851/1.9835*1.02</f>
        <v>2.33913731869499</v>
      </c>
      <c r="R17" s="131" t="n">
        <f aca="false">(3.2*1.04)-T17</f>
        <v>2.40154304</v>
      </c>
      <c r="S17" s="131" t="n">
        <v>0</v>
      </c>
      <c r="T17" s="131" t="n">
        <f aca="false">(0.8404*1.06)*1.04</f>
        <v>0.92645696</v>
      </c>
      <c r="U17" s="357" t="n">
        <v>0</v>
      </c>
      <c r="V17" s="135" t="n">
        <v>118</v>
      </c>
      <c r="W17" s="135" t="n">
        <v>59.9</v>
      </c>
      <c r="X17" s="339" t="n">
        <f aca="false">M17-N17-O17-P17-Q17-R17-S17-T17-U17+V17+W17-AT17+AR17</f>
        <v>322.670862681305</v>
      </c>
      <c r="Y17" s="339" t="n">
        <f aca="false">X17-AO17</f>
        <v>322.670862681305</v>
      </c>
      <c r="Z17" s="435"/>
      <c r="AA17" s="339"/>
      <c r="AB17" s="435"/>
      <c r="AC17" s="435" t="n">
        <f aca="false">AS17-AS17</f>
        <v>0</v>
      </c>
      <c r="AD17" s="501" t="n">
        <f aca="false">AD16+AP17+AS17</f>
        <v>1575.91466058903</v>
      </c>
      <c r="AE17" s="339" t="n">
        <v>8.01</v>
      </c>
      <c r="AF17" s="137" t="n">
        <v>1.7</v>
      </c>
      <c r="AG17" s="138" t="n">
        <v>1.3</v>
      </c>
      <c r="AH17" s="135" t="n">
        <v>13.3</v>
      </c>
      <c r="AI17" s="107" t="n">
        <f aca="false">AI16-AH17</f>
        <v>3768.13684762418</v>
      </c>
      <c r="AJ17" s="107"/>
      <c r="AK17" s="134" t="n">
        <f aca="false">N17+O17+P17+Q17+R17+S17+T17+U17+X17+AE17+AH17-AR17</f>
        <v>352.21</v>
      </c>
      <c r="AL17" s="135" t="n">
        <f aca="false">IF(L17&lt;0,L17*-1,0)</f>
        <v>27.2656743130829</v>
      </c>
      <c r="AM17" s="135" t="n">
        <f aca="false">AK17+AL17</f>
        <v>379.475674313083</v>
      </c>
      <c r="AN17" s="220"/>
      <c r="AO17" s="215"/>
      <c r="AP17" s="543" t="n">
        <f aca="false">I17-Q17-R17-X17-AF17</f>
        <v>-189.11154304</v>
      </c>
      <c r="AQ17" s="544" t="n">
        <f aca="false">51.225*(Z17*1.9835+AC17*1.9835)/E17</f>
        <v>0</v>
      </c>
      <c r="AR17" s="158"/>
      <c r="AS17" s="135"/>
      <c r="AU17" s="179" t="n">
        <f aca="false">O17</f>
        <v>2.562</v>
      </c>
      <c r="AV17" s="222" t="n">
        <v>0</v>
      </c>
      <c r="AW17" s="215" t="n">
        <v>88</v>
      </c>
      <c r="AX17" s="215" t="n">
        <v>55</v>
      </c>
      <c r="AY17" s="299"/>
      <c r="AZ17" s="250" t="n">
        <f aca="false">SUM(N17,P17:U17)</f>
        <v>5.66713731869499</v>
      </c>
      <c r="BA17" s="176" t="n">
        <v>0.96</v>
      </c>
      <c r="BB17" s="274" t="n">
        <v>5532</v>
      </c>
    </row>
    <row r="18" customFormat="false" ht="12.95" hidden="false" customHeight="true" outlineLevel="0" collapsed="false">
      <c r="A18" s="183" t="n">
        <v>4</v>
      </c>
      <c r="B18" s="106" t="n">
        <v>6859.59</v>
      </c>
      <c r="C18" s="107" t="n">
        <v>162138</v>
      </c>
      <c r="D18" s="215" t="n">
        <f aca="false">C18-C17</f>
        <v>-408</v>
      </c>
      <c r="E18" s="107" t="n">
        <f aca="false">C18-152000</f>
        <v>10138</v>
      </c>
      <c r="F18" s="246" t="n">
        <f aca="false">D18/$D$2</f>
        <v>-205.69700025208</v>
      </c>
      <c r="G18" s="339" t="n">
        <v>125</v>
      </c>
      <c r="H18" s="572" t="n">
        <v>0</v>
      </c>
      <c r="I18" s="339" t="n">
        <f aca="false">G18+H18</f>
        <v>125</v>
      </c>
      <c r="J18" s="136" t="n">
        <f aca="false">IF(L18&gt;0,L18,0)</f>
        <v>20.5029997479203</v>
      </c>
      <c r="K18" s="135" t="n">
        <f aca="false">I18+J18</f>
        <v>145.50299974792</v>
      </c>
      <c r="L18" s="135" t="n">
        <f aca="false">F18-(I18-AK18)</f>
        <v>20.5029997479203</v>
      </c>
      <c r="M18" s="248" t="n">
        <v>160</v>
      </c>
      <c r="N18" s="158"/>
      <c r="O18" s="135" t="n">
        <f aca="false">5.75*1.05</f>
        <v>6.0375</v>
      </c>
      <c r="P18" s="158" t="n">
        <v>0</v>
      </c>
      <c r="Q18" s="338" t="n">
        <f aca="false">1410200/325851/1.9835*1.02</f>
        <v>2.22551035408425</v>
      </c>
      <c r="R18" s="131" t="n">
        <f aca="false">(3.2*1.04)-T18</f>
        <v>2.40154304</v>
      </c>
      <c r="S18" s="131" t="n">
        <v>0</v>
      </c>
      <c r="T18" s="131" t="n">
        <f aca="false">(0.8404*1.06)*1.04</f>
        <v>0.92645696</v>
      </c>
      <c r="U18" s="357" t="n">
        <v>0</v>
      </c>
      <c r="V18" s="135" t="n">
        <v>118</v>
      </c>
      <c r="W18" s="135" t="n">
        <v>59.9</v>
      </c>
      <c r="X18" s="339" t="n">
        <f aca="false">M18-N18-O18-P18-Q18-R18-S18-T18-U18+V18+W18-AT18+AR18</f>
        <v>326.308989645916</v>
      </c>
      <c r="Y18" s="339" t="n">
        <f aca="false">X18-AO18</f>
        <v>326.308989645916</v>
      </c>
      <c r="Z18" s="435"/>
      <c r="AA18" s="339"/>
      <c r="AB18" s="435"/>
      <c r="AC18" s="435" t="n">
        <f aca="false">AS18-AS18</f>
        <v>0</v>
      </c>
      <c r="AD18" s="501" t="n">
        <f aca="false">AD17+AP18+AS18</f>
        <v>1368.27861754903</v>
      </c>
      <c r="AE18" s="339" t="n">
        <v>0</v>
      </c>
      <c r="AF18" s="137" t="n">
        <v>1.7</v>
      </c>
      <c r="AG18" s="138" t="n">
        <v>1.3</v>
      </c>
      <c r="AH18" s="135" t="n">
        <v>13.3</v>
      </c>
      <c r="AI18" s="107" t="n">
        <f aca="false">AI17-AH18</f>
        <v>3754.83684762418</v>
      </c>
      <c r="AJ18" s="107"/>
      <c r="AK18" s="134" t="n">
        <f aca="false">N18+O18+P18+Q18+R18+S18+T18+U18+X18+AE18+AH18-AR18</f>
        <v>351.2</v>
      </c>
      <c r="AL18" s="135" t="n">
        <f aca="false">IF(L18&lt;0,L18*-1,0)</f>
        <v>0</v>
      </c>
      <c r="AM18" s="135" t="n">
        <f aca="false">AK18+AL18</f>
        <v>351.2</v>
      </c>
      <c r="AN18" s="220"/>
      <c r="AO18" s="215"/>
      <c r="AP18" s="543" t="n">
        <f aca="false">I18-Q18-R18-X18-AF18</f>
        <v>-207.63604304</v>
      </c>
      <c r="AQ18" s="544" t="n">
        <f aca="false">37.822*(Z18*1.9835+AC18*1.9835)/E18</f>
        <v>0</v>
      </c>
      <c r="AR18" s="158"/>
      <c r="AS18" s="135"/>
      <c r="AU18" s="179" t="n">
        <f aca="false">O18</f>
        <v>6.0375</v>
      </c>
      <c r="AV18" s="222" t="n">
        <v>0</v>
      </c>
      <c r="AW18" s="215" t="n">
        <v>91</v>
      </c>
      <c r="AX18" s="215" t="n">
        <v>57</v>
      </c>
      <c r="AY18" s="299"/>
      <c r="AZ18" s="250" t="n">
        <f aca="false">SUM(N18,P18:U18)</f>
        <v>5.55351035408425</v>
      </c>
      <c r="BA18" s="176" t="n">
        <v>1.14</v>
      </c>
      <c r="BB18" s="274" t="n">
        <v>5541</v>
      </c>
    </row>
    <row r="19" customFormat="false" ht="12.95" hidden="false" customHeight="true" outlineLevel="0" collapsed="false">
      <c r="A19" s="183" t="n">
        <v>5</v>
      </c>
      <c r="B19" s="106" t="n">
        <v>6859.37</v>
      </c>
      <c r="C19" s="107" t="n">
        <v>161640</v>
      </c>
      <c r="D19" s="215" t="n">
        <f aca="false">C19-C18</f>
        <v>-498</v>
      </c>
      <c r="E19" s="107" t="n">
        <f aca="false">C19-152000</f>
        <v>9640</v>
      </c>
      <c r="F19" s="246" t="n">
        <f aca="false">D19/$D$2</f>
        <v>-251.07133854298</v>
      </c>
      <c r="G19" s="339" t="n">
        <v>118</v>
      </c>
      <c r="H19" s="572" t="n">
        <v>0</v>
      </c>
      <c r="I19" s="339" t="n">
        <f aca="false">G19+H19</f>
        <v>118</v>
      </c>
      <c r="J19" s="136" t="n">
        <f aca="false">IF(L19&gt;0,L19,0)</f>
        <v>0</v>
      </c>
      <c r="K19" s="135" t="n">
        <f aca="false">I19+J19</f>
        <v>118</v>
      </c>
      <c r="L19" s="135" t="n">
        <f aca="false">F19-(I19-AK19)</f>
        <v>-4.98133854297956</v>
      </c>
      <c r="M19" s="248" t="n">
        <v>165</v>
      </c>
      <c r="N19" s="158"/>
      <c r="O19" s="135" t="n">
        <f aca="false">5.88*1.05</f>
        <v>6.174</v>
      </c>
      <c r="P19" s="158" t="n">
        <v>0</v>
      </c>
      <c r="Q19" s="338" t="n">
        <f aca="false">1570900/325851/1.9835*1.02</f>
        <v>2.47911942648628</v>
      </c>
      <c r="R19" s="573" t="n">
        <v>4.2</v>
      </c>
      <c r="S19" s="131" t="n">
        <f aca="false">((5.2*1.04)-T19)-4.2</f>
        <v>0.28154304</v>
      </c>
      <c r="T19" s="131" t="n">
        <f aca="false">(0.8404*1.06)*1.04</f>
        <v>0.92645696</v>
      </c>
      <c r="U19" s="357" t="n">
        <v>0</v>
      </c>
      <c r="V19" s="135" t="n">
        <v>117</v>
      </c>
      <c r="W19" s="135" t="n">
        <v>59.7</v>
      </c>
      <c r="X19" s="339" t="n">
        <f aca="false">M19-N19-O19-P19-Q19-R19-S19-T19-U19+V19+W19-AT19+AR19</f>
        <v>327.638880573514</v>
      </c>
      <c r="Y19" s="339" t="n">
        <f aca="false">X19-AO19</f>
        <v>327.638880573514</v>
      </c>
      <c r="Z19" s="435"/>
      <c r="AA19" s="339"/>
      <c r="AB19" s="435"/>
      <c r="AC19" s="435" t="n">
        <f aca="false">AS19-AS19</f>
        <v>0</v>
      </c>
      <c r="AD19" s="501" t="n">
        <f aca="false">AD18+AP19+AS19</f>
        <v>1150.26061754903</v>
      </c>
      <c r="AE19" s="339" t="n">
        <v>8.99</v>
      </c>
      <c r="AF19" s="137" t="n">
        <v>1.7</v>
      </c>
      <c r="AG19" s="138" t="n">
        <v>1.3</v>
      </c>
      <c r="AH19" s="135" t="n">
        <v>13.4</v>
      </c>
      <c r="AI19" s="107" t="n">
        <f aca="false">AI18-AH19</f>
        <v>3741.43684762418</v>
      </c>
      <c r="AJ19" s="107"/>
      <c r="AK19" s="134" t="n">
        <f aca="false">N19+O19+P19+Q19+R19+S19+T19+U19+X19+AE19+AH19-AR19</f>
        <v>364.09</v>
      </c>
      <c r="AL19" s="135" t="n">
        <f aca="false">IF(L19&lt;0,L19*-1,0)</f>
        <v>4.98133854297956</v>
      </c>
      <c r="AM19" s="135" t="n">
        <f aca="false">AK19+AL19</f>
        <v>369.07133854298</v>
      </c>
      <c r="AN19" s="220"/>
      <c r="AO19" s="215"/>
      <c r="AP19" s="543" t="n">
        <f aca="false">I19-Q19-R19-X19-AF19</f>
        <v>-218.018</v>
      </c>
      <c r="AQ19" s="544" t="n">
        <f aca="false">31.134*(Z19*1.9835+AC19*1.9835)/E19</f>
        <v>0</v>
      </c>
      <c r="AR19" s="158"/>
      <c r="AS19" s="135"/>
      <c r="AU19" s="179" t="n">
        <f aca="false">O19</f>
        <v>6.174</v>
      </c>
      <c r="AV19" s="311" t="n">
        <v>0.03</v>
      </c>
      <c r="AW19" s="215" t="n">
        <v>90</v>
      </c>
      <c r="AX19" s="215" t="n">
        <v>61</v>
      </c>
      <c r="AY19" s="299"/>
      <c r="AZ19" s="250" t="n">
        <f aca="false">SUM(N19,P19:U19)</f>
        <v>7.88711942648628</v>
      </c>
      <c r="BA19" s="176" t="n">
        <v>0.842</v>
      </c>
      <c r="BB19" s="274" t="n">
        <v>5538</v>
      </c>
    </row>
    <row r="20" customFormat="false" ht="12.95" hidden="false" customHeight="true" outlineLevel="0" collapsed="false">
      <c r="A20" s="183" t="n">
        <v>6</v>
      </c>
      <c r="B20" s="106" t="n">
        <v>6859.15</v>
      </c>
      <c r="C20" s="107" t="n">
        <v>161143</v>
      </c>
      <c r="D20" s="215" t="n">
        <f aca="false">C20-C19</f>
        <v>-497</v>
      </c>
      <c r="E20" s="107" t="n">
        <f aca="false">C20-152000</f>
        <v>9143</v>
      </c>
      <c r="F20" s="246" t="n">
        <f aca="false">D20/$D$2</f>
        <v>-250.567179228636</v>
      </c>
      <c r="G20" s="339" t="n">
        <v>116</v>
      </c>
      <c r="H20" s="572" t="n">
        <v>0</v>
      </c>
      <c r="I20" s="339" t="n">
        <f aca="false">G20+H20</f>
        <v>116</v>
      </c>
      <c r="J20" s="136" t="n">
        <f aca="false">IF(L20&gt;0,L20,0)</f>
        <v>0</v>
      </c>
      <c r="K20" s="135" t="n">
        <f aca="false">I20+J20</f>
        <v>116</v>
      </c>
      <c r="L20" s="135" t="n">
        <f aca="false">F20-(I20-AK20)</f>
        <v>-3.76717922863628</v>
      </c>
      <c r="M20" s="248" t="n">
        <v>173</v>
      </c>
      <c r="N20" s="158"/>
      <c r="O20" s="135" t="n">
        <f aca="false">2.93*1.05</f>
        <v>3.0765</v>
      </c>
      <c r="P20" s="158" t="n">
        <v>0</v>
      </c>
      <c r="Q20" s="338" t="n">
        <f aca="false">1483100/325851/1.9835*1.02</f>
        <v>2.34055765575262</v>
      </c>
      <c r="R20" s="131" t="n">
        <f aca="false">(0*1.04)-T20</f>
        <v>-0.87354176</v>
      </c>
      <c r="S20" s="131" t="n">
        <v>0</v>
      </c>
      <c r="T20" s="131" t="n">
        <f aca="false">(0.7924*1.06)*1.04</f>
        <v>0.87354176</v>
      </c>
      <c r="U20" s="357" t="n">
        <v>0</v>
      </c>
      <c r="V20" s="135" t="n">
        <v>117</v>
      </c>
      <c r="W20" s="135" t="n">
        <v>59.4</v>
      </c>
      <c r="X20" s="339" t="n">
        <f aca="false">M20-N20-O20-P20-Q20-R20-S20-T20-U20+V20+W20-AT20+AR20</f>
        <v>343.982942344247</v>
      </c>
      <c r="Y20" s="339" t="n">
        <f aca="false">X20-AO20</f>
        <v>343.982942344247</v>
      </c>
      <c r="Z20" s="435"/>
      <c r="AA20" s="339"/>
      <c r="AB20" s="435"/>
      <c r="AC20" s="435" t="n">
        <f aca="false">AS20-AS20</f>
        <v>0</v>
      </c>
      <c r="AD20" s="501" t="n">
        <f aca="false">AD19+AP20+AS20</f>
        <v>919.110659309034</v>
      </c>
      <c r="AE20" s="339" t="n">
        <v>0</v>
      </c>
      <c r="AF20" s="137" t="n">
        <v>1.7</v>
      </c>
      <c r="AG20" s="138" t="n">
        <v>1.3</v>
      </c>
      <c r="AH20" s="135" t="n">
        <v>13.4</v>
      </c>
      <c r="AI20" s="107" t="n">
        <f aca="false">AI19-AH20</f>
        <v>3728.03684762418</v>
      </c>
      <c r="AJ20" s="107"/>
      <c r="AK20" s="134" t="n">
        <f aca="false">N20+O20+P20+Q20+R20+S20+T20+U20+X20+AE20+AH20-AR20</f>
        <v>362.8</v>
      </c>
      <c r="AL20" s="135" t="n">
        <f aca="false">IF(L20&lt;0,L20*-1,0)</f>
        <v>3.76717922863628</v>
      </c>
      <c r="AM20" s="135" t="n">
        <f aca="false">AK20+AL20</f>
        <v>366.567179228636</v>
      </c>
      <c r="AN20" s="220"/>
      <c r="AO20" s="215"/>
      <c r="AP20" s="543" t="n">
        <f aca="false">I20-Q20-R20-X20-AF20</f>
        <v>-231.14995824</v>
      </c>
      <c r="AQ20" s="544" t="n">
        <f aca="false">42.826*(Z20*1.9835+AC20*1.9835)/E20</f>
        <v>0</v>
      </c>
      <c r="AR20" s="158"/>
      <c r="AS20" s="135"/>
      <c r="AU20" s="179" t="n">
        <f aca="false">O20</f>
        <v>3.0765</v>
      </c>
      <c r="AV20" s="222" t="n">
        <v>0</v>
      </c>
      <c r="AW20" s="215" t="n">
        <v>90</v>
      </c>
      <c r="AX20" s="215" t="n">
        <v>56</v>
      </c>
      <c r="AY20" s="299"/>
      <c r="AZ20" s="250" t="n">
        <f aca="false">SUM(N20,P20:U20)</f>
        <v>2.34055765575262</v>
      </c>
      <c r="BA20" s="176" t="n">
        <v>0.709</v>
      </c>
      <c r="BB20" s="274" t="n">
        <v>5529</v>
      </c>
    </row>
    <row r="21" customFormat="false" ht="12.95" hidden="false" customHeight="true" outlineLevel="0" collapsed="false">
      <c r="A21" s="183" t="n">
        <v>7</v>
      </c>
      <c r="B21" s="106" t="n">
        <v>6858.94</v>
      </c>
      <c r="C21" s="107" t="n">
        <v>160669</v>
      </c>
      <c r="D21" s="215" t="n">
        <f aca="false">C21-C20</f>
        <v>-474</v>
      </c>
      <c r="E21" s="107" t="n">
        <f aca="false">C21-152000</f>
        <v>8669</v>
      </c>
      <c r="F21" s="246" t="n">
        <f aca="false">D21/$D$2</f>
        <v>-238.97151499874</v>
      </c>
      <c r="G21" s="339" t="n">
        <v>100</v>
      </c>
      <c r="H21" s="572" t="n">
        <v>0</v>
      </c>
      <c r="I21" s="339" t="n">
        <f aca="false">G21+H21</f>
        <v>100</v>
      </c>
      <c r="J21" s="136" t="n">
        <f aca="false">IF(L21&gt;0,L21,0)</f>
        <v>13.0284850012604</v>
      </c>
      <c r="K21" s="135" t="n">
        <f aca="false">I21+J21</f>
        <v>113.02848500126</v>
      </c>
      <c r="L21" s="135" t="n">
        <f aca="false">F21-(I21-AK21)</f>
        <v>13.0284850012604</v>
      </c>
      <c r="M21" s="248" t="n">
        <v>169</v>
      </c>
      <c r="N21" s="158"/>
      <c r="O21" s="135" t="n">
        <f aca="false">2.61*1.05</f>
        <v>2.7405</v>
      </c>
      <c r="P21" s="158" t="n">
        <v>0</v>
      </c>
      <c r="Q21" s="338" t="n">
        <f aca="false">1733000/325851/1.9835*1.02</f>
        <v>2.73493791208907</v>
      </c>
      <c r="R21" s="573" t="n">
        <v>4.2</v>
      </c>
      <c r="S21" s="131" t="n">
        <f aca="false">((5.2*1.04)-T21)-4.2</f>
        <v>0.33445824</v>
      </c>
      <c r="T21" s="131" t="n">
        <f aca="false">(0.7924*1.06)*1.04</f>
        <v>0.87354176</v>
      </c>
      <c r="U21" s="357" t="n">
        <v>0</v>
      </c>
      <c r="V21" s="135" t="n">
        <v>109</v>
      </c>
      <c r="W21" s="135" t="n">
        <v>60.7</v>
      </c>
      <c r="X21" s="339" t="n">
        <f aca="false">M21-N21-O21-P21-Q21-R21-S21-T21-U21+V21+W21-AT21+AR21</f>
        <v>327.816562087911</v>
      </c>
      <c r="Y21" s="339" t="n">
        <f aca="false">X21-AO21</f>
        <v>327.816562087911</v>
      </c>
      <c r="Z21" s="435"/>
      <c r="AA21" s="339"/>
      <c r="AB21" s="435"/>
      <c r="AC21" s="435" t="n">
        <f aca="false">AS21-AS21</f>
        <v>0</v>
      </c>
      <c r="AD21" s="501" t="n">
        <f aca="false">AD20+AP21+AS21</f>
        <v>682.659159309034</v>
      </c>
      <c r="AE21" s="339" t="n">
        <v>0</v>
      </c>
      <c r="AF21" s="137" t="n">
        <v>1.7</v>
      </c>
      <c r="AG21" s="138" t="n">
        <v>1.3</v>
      </c>
      <c r="AH21" s="135" t="n">
        <v>13.3</v>
      </c>
      <c r="AI21" s="107" t="n">
        <f aca="false">AI20-AH21</f>
        <v>3714.73684762418</v>
      </c>
      <c r="AJ21" s="107"/>
      <c r="AK21" s="134" t="n">
        <f aca="false">N21+O21+P21+Q21+R21+S21+T21+U21+X21+AE21+AH21-AR21</f>
        <v>352</v>
      </c>
      <c r="AL21" s="135" t="n">
        <f aca="false">IF(L21&lt;0,L21*-1,0)</f>
        <v>0</v>
      </c>
      <c r="AM21" s="135" t="n">
        <f aca="false">AK21+AL21</f>
        <v>352</v>
      </c>
      <c r="AN21" s="220"/>
      <c r="AO21" s="215"/>
      <c r="AP21" s="543" t="n">
        <f aca="false">I21-Q21-R21-X21-AF21</f>
        <v>-236.4515</v>
      </c>
      <c r="AQ21" s="544" t="n">
        <f aca="false">39.935*(Z21*1.9835+AC21*1.9835)/E21</f>
        <v>0</v>
      </c>
      <c r="AR21" s="158"/>
      <c r="AS21" s="135"/>
      <c r="AU21" s="179" t="n">
        <f aca="false">O21</f>
        <v>2.7405</v>
      </c>
      <c r="AV21" s="222" t="n">
        <v>0</v>
      </c>
      <c r="AW21" s="215" t="n">
        <v>90</v>
      </c>
      <c r="AX21" s="215" t="n">
        <v>57</v>
      </c>
      <c r="AY21" s="299"/>
      <c r="AZ21" s="250" t="n">
        <f aca="false">SUM(N21,P21:U21)</f>
        <v>8.14293791208907</v>
      </c>
      <c r="BA21" s="176" t="n">
        <v>0.842</v>
      </c>
      <c r="BB21" s="274" t="n">
        <v>5501</v>
      </c>
    </row>
    <row r="22" customFormat="false" ht="12.95" hidden="false" customHeight="true" outlineLevel="0" collapsed="false">
      <c r="A22" s="183" t="n">
        <v>8</v>
      </c>
      <c r="B22" s="431" t="n">
        <v>6858.7</v>
      </c>
      <c r="C22" s="107" t="n">
        <v>160131</v>
      </c>
      <c r="D22" s="215" t="n">
        <f aca="false">C22-C21</f>
        <v>-538</v>
      </c>
      <c r="E22" s="107" t="n">
        <f aca="false">C22-152000</f>
        <v>8131</v>
      </c>
      <c r="F22" s="246" t="n">
        <f aca="false">D22/$D$2</f>
        <v>-271.237711116713</v>
      </c>
      <c r="G22" s="339" t="n">
        <v>94</v>
      </c>
      <c r="H22" s="572" t="n">
        <v>0</v>
      </c>
      <c r="I22" s="339" t="n">
        <f aca="false">G22+H22</f>
        <v>94</v>
      </c>
      <c r="J22" s="136" t="n">
        <f aca="false">IF(L22&gt;0,L22,0)</f>
        <v>0</v>
      </c>
      <c r="K22" s="135" t="n">
        <f aca="false">I22+J22</f>
        <v>94</v>
      </c>
      <c r="L22" s="135" t="n">
        <f aca="false">F22-(I22-AK22)</f>
        <v>-22.9377111167128</v>
      </c>
      <c r="M22" s="248" t="n">
        <v>164</v>
      </c>
      <c r="N22" s="158"/>
      <c r="O22" s="135" t="n">
        <f aca="false">4.88*1.05</f>
        <v>5.124</v>
      </c>
      <c r="P22" s="158" t="n">
        <v>0</v>
      </c>
      <c r="Q22" s="338" t="n">
        <f aca="false">1611000/325851/1.9835*1.02</f>
        <v>2.54240333316531</v>
      </c>
      <c r="R22" s="573" t="n">
        <v>4.2</v>
      </c>
      <c r="S22" s="131" t="n">
        <f aca="false">((5.2*1.04)-T22)-4.2</f>
        <v>0.33445824</v>
      </c>
      <c r="T22" s="131" t="n">
        <f aca="false">(0.7924*1.06)*1.04</f>
        <v>0.87354176</v>
      </c>
      <c r="U22" s="357" t="n">
        <v>0</v>
      </c>
      <c r="V22" s="135" t="n">
        <v>104</v>
      </c>
      <c r="W22" s="135" t="n">
        <v>61</v>
      </c>
      <c r="X22" s="339" t="n">
        <f aca="false">M22-N22-O22-P22-Q22-R22-S22-T22-U22+V22+W22-AT22+AR22</f>
        <v>315.925596666835</v>
      </c>
      <c r="Y22" s="339" t="n">
        <f aca="false">X22-AO22</f>
        <v>315.925596666835</v>
      </c>
      <c r="Z22" s="435"/>
      <c r="AA22" s="339"/>
      <c r="AB22" s="435"/>
      <c r="AC22" s="435" t="n">
        <f aca="false">AS22-AS22</f>
        <v>0</v>
      </c>
      <c r="AD22" s="501" t="n">
        <f aca="false">AD21+AP22+AS22</f>
        <v>452.291159309034</v>
      </c>
      <c r="AE22" s="339" t="n">
        <v>0</v>
      </c>
      <c r="AF22" s="137" t="n">
        <v>1.7</v>
      </c>
      <c r="AG22" s="138" t="n">
        <v>1.3</v>
      </c>
      <c r="AH22" s="135" t="n">
        <v>13.3</v>
      </c>
      <c r="AI22" s="107" t="n">
        <f aca="false">AI21-AH22</f>
        <v>3701.43684762418</v>
      </c>
      <c r="AJ22" s="107"/>
      <c r="AK22" s="134" t="n">
        <f aca="false">N22+O22+P22+Q22+R22+S22+T22+U22+X22+AE22+AH22-AR22</f>
        <v>342.3</v>
      </c>
      <c r="AL22" s="135" t="n">
        <f aca="false">IF(L22&lt;0,L22*-1,0)</f>
        <v>22.9377111167128</v>
      </c>
      <c r="AM22" s="135" t="n">
        <f aca="false">AK22+AL22</f>
        <v>365.237711116713</v>
      </c>
      <c r="AN22" s="220"/>
      <c r="AO22" s="215"/>
      <c r="AP22" s="543" t="n">
        <f aca="false">I22-Q22-R22-X22-AF22</f>
        <v>-230.368</v>
      </c>
      <c r="AQ22" s="544" t="n">
        <f aca="false">23.646*(Z22*1.9835+AC22*1.9835)/E22</f>
        <v>0</v>
      </c>
      <c r="AR22" s="158"/>
      <c r="AS22" s="135"/>
      <c r="AU22" s="179" t="n">
        <f aca="false">O22</f>
        <v>5.124</v>
      </c>
      <c r="AV22" s="222" t="n">
        <v>0</v>
      </c>
      <c r="AW22" s="215" t="n">
        <v>80</v>
      </c>
      <c r="AX22" s="215" t="n">
        <v>56</v>
      </c>
      <c r="AY22" s="299"/>
      <c r="AZ22" s="250" t="n">
        <f aca="false">SUM(N22,P22:U22)</f>
        <v>7.95040333316531</v>
      </c>
      <c r="BA22" s="176" t="n">
        <v>0.879</v>
      </c>
      <c r="BB22" s="274" t="n">
        <v>5494</v>
      </c>
    </row>
    <row r="23" customFormat="false" ht="12.95" hidden="false" customHeight="true" outlineLevel="0" collapsed="false">
      <c r="A23" s="183" t="n">
        <v>9</v>
      </c>
      <c r="B23" s="106" t="n">
        <v>6858.59</v>
      </c>
      <c r="C23" s="107" t="n">
        <v>159884</v>
      </c>
      <c r="D23" s="215" t="n">
        <f aca="false">C23-C22</f>
        <v>-247</v>
      </c>
      <c r="E23" s="107" t="n">
        <f aca="false">C23-152000</f>
        <v>7884</v>
      </c>
      <c r="F23" s="246" t="n">
        <f aca="false">D23/$D$2</f>
        <v>-124.527350642803</v>
      </c>
      <c r="G23" s="339" t="n">
        <v>97</v>
      </c>
      <c r="H23" s="572" t="n">
        <v>0.001</v>
      </c>
      <c r="I23" s="339" t="n">
        <f aca="false">G23+H23</f>
        <v>97.001</v>
      </c>
      <c r="J23" s="136" t="n">
        <f aca="false">IF(L23&gt;0,L23,0)</f>
        <v>108.641649357197</v>
      </c>
      <c r="K23" s="135" t="n">
        <f aca="false">I23+J23</f>
        <v>205.642649357197</v>
      </c>
      <c r="L23" s="135" t="n">
        <f aca="false">F23-(I23-AK23)</f>
        <v>108.641649357197</v>
      </c>
      <c r="M23" s="248" t="n">
        <v>151</v>
      </c>
      <c r="N23" s="158"/>
      <c r="O23" s="135" t="n">
        <f aca="false">1.93*1.05</f>
        <v>2.0265</v>
      </c>
      <c r="P23" s="158" t="n">
        <v>0</v>
      </c>
      <c r="Q23" s="338" t="n">
        <f aca="false">1302600/325851/1.9835*1.02</f>
        <v>2.05570116808264</v>
      </c>
      <c r="R23" s="573" t="n">
        <v>4.2</v>
      </c>
      <c r="S23" s="131" t="n">
        <f aca="false">((5.2*1.04)-T23)-4.2</f>
        <v>0.33445824</v>
      </c>
      <c r="T23" s="131" t="n">
        <f aca="false">(0.7924*1.06)*1.04</f>
        <v>0.87354176</v>
      </c>
      <c r="U23" s="357" t="n">
        <v>0</v>
      </c>
      <c r="V23" s="135" t="n">
        <v>99.5</v>
      </c>
      <c r="W23" s="135" t="n">
        <v>60.7</v>
      </c>
      <c r="X23" s="339" t="n">
        <f aca="false">M23-N23-O23-P23-Q23-R23-S23-T23-U23+V23+W23-AT23+AR23</f>
        <v>301.709798831917</v>
      </c>
      <c r="Y23" s="339" t="n">
        <f aca="false">X23-AO23</f>
        <v>301.709798831917</v>
      </c>
      <c r="Z23" s="435"/>
      <c r="AA23" s="339"/>
      <c r="AB23" s="435"/>
      <c r="AC23" s="435" t="n">
        <f aca="false">AS23-AS23</f>
        <v>0</v>
      </c>
      <c r="AD23" s="501" t="n">
        <f aca="false">AD22+AP23+AS23</f>
        <v>239.626659309033</v>
      </c>
      <c r="AE23" s="339" t="n">
        <v>5.17</v>
      </c>
      <c r="AF23" s="137" t="n">
        <v>1.7</v>
      </c>
      <c r="AG23" s="138" t="n">
        <v>1.3</v>
      </c>
      <c r="AH23" s="135" t="n">
        <v>13.8</v>
      </c>
      <c r="AI23" s="107" t="n">
        <f aca="false">AI22-AH23</f>
        <v>3687.63684762418</v>
      </c>
      <c r="AJ23" s="107"/>
      <c r="AK23" s="134" t="n">
        <f aca="false">N23+O23+P23+Q23+R23+S23+T23+U23+X23+AE23+AH23-AR23</f>
        <v>330.17</v>
      </c>
      <c r="AL23" s="135" t="n">
        <f aca="false">IF(L23&lt;0,L23*-1,0)</f>
        <v>0</v>
      </c>
      <c r="AM23" s="135" t="n">
        <f aca="false">AK23+AL23</f>
        <v>330.17</v>
      </c>
      <c r="AN23" s="220"/>
      <c r="AO23" s="215"/>
      <c r="AP23" s="543" t="n">
        <f aca="false">I23-Q23-R23-X23-AF23</f>
        <v>-212.6645</v>
      </c>
      <c r="AQ23" s="544" t="n">
        <f aca="false">22.726*(Z23*1.9835+AC23*1.9835)/E23</f>
        <v>0</v>
      </c>
      <c r="AR23" s="158"/>
      <c r="AS23" s="135"/>
      <c r="AU23" s="179" t="n">
        <f aca="false">O23</f>
        <v>2.0265</v>
      </c>
      <c r="AV23" s="222" t="n">
        <v>0.62</v>
      </c>
      <c r="AW23" s="215" t="n">
        <v>76</v>
      </c>
      <c r="AX23" s="215" t="n">
        <v>53</v>
      </c>
      <c r="AY23" s="299"/>
      <c r="AZ23" s="250" t="n">
        <f aca="false">SUM(N23,P23:U23)</f>
        <v>7.46370116808264</v>
      </c>
      <c r="BA23" s="176" t="n">
        <v>0.694</v>
      </c>
      <c r="BB23" s="274" t="n">
        <v>5507</v>
      </c>
    </row>
    <row r="24" customFormat="false" ht="12.95" hidden="false" customHeight="true" outlineLevel="0" collapsed="false">
      <c r="A24" s="183" t="n">
        <v>10</v>
      </c>
      <c r="B24" s="106" t="n">
        <v>6858.57</v>
      </c>
      <c r="C24" s="107" t="n">
        <v>159840</v>
      </c>
      <c r="D24" s="215" t="n">
        <f aca="false">C24-C23</f>
        <v>-44</v>
      </c>
      <c r="E24" s="107" t="n">
        <f aca="false">C24-152000</f>
        <v>7840</v>
      </c>
      <c r="F24" s="246" t="n">
        <f aca="false">D24/$D$2</f>
        <v>-22.1830098311066</v>
      </c>
      <c r="G24" s="135" t="n">
        <v>183</v>
      </c>
      <c r="H24" s="247" t="n">
        <v>0</v>
      </c>
      <c r="I24" s="135" t="n">
        <f aca="false">G24+H24</f>
        <v>183</v>
      </c>
      <c r="J24" s="136" t="n">
        <f aca="false">IF(L24&gt;0,L24,0)</f>
        <v>38.5169901688934</v>
      </c>
      <c r="K24" s="135" t="n">
        <f aca="false">I24+J24</f>
        <v>221.516990168893</v>
      </c>
      <c r="L24" s="135" t="n">
        <f aca="false">F24-(I24-AK24)</f>
        <v>38.5169901688934</v>
      </c>
      <c r="M24" s="248" t="n">
        <v>85.5</v>
      </c>
      <c r="N24" s="158"/>
      <c r="O24" s="135" t="n">
        <f aca="false">1.58*1.05</f>
        <v>1.659</v>
      </c>
      <c r="P24" s="158" t="n">
        <v>0</v>
      </c>
      <c r="Q24" s="338" t="n">
        <f aca="false">1099400/325851/1.9835*1.02</f>
        <v>1.73502062351455</v>
      </c>
      <c r="R24" s="573" t="n">
        <v>4.2</v>
      </c>
      <c r="S24" s="131" t="n">
        <f aca="false">((5.2*1.04)-T24)-4.2</f>
        <v>0.33445824</v>
      </c>
      <c r="T24" s="131" t="n">
        <f aca="false">(0.7924*1.06)*1.04</f>
        <v>0.87354176</v>
      </c>
      <c r="U24" s="357" t="n">
        <v>0</v>
      </c>
      <c r="V24" s="135" t="n">
        <v>89.9</v>
      </c>
      <c r="W24" s="135" t="n">
        <v>54.7</v>
      </c>
      <c r="X24" s="339" t="n">
        <f aca="false">M24-N24-O24-P24-Q24-R24-S24-T24-U24+V24+W24-AT24+AR24</f>
        <v>221.297979376485</v>
      </c>
      <c r="Y24" s="339" t="n">
        <f aca="false">X24-AO24</f>
        <v>221.297979376485</v>
      </c>
      <c r="Z24" s="435"/>
      <c r="AA24" s="339"/>
      <c r="AB24" s="435"/>
      <c r="AC24" s="435" t="n">
        <f aca="false">AS24-AS24</f>
        <v>0</v>
      </c>
      <c r="AD24" s="501" t="n">
        <f aca="false">AD23+AP24+AS24</f>
        <v>193.693659309033</v>
      </c>
      <c r="AE24" s="339" t="n">
        <v>0</v>
      </c>
      <c r="AF24" s="137" t="n">
        <v>1.7</v>
      </c>
      <c r="AG24" s="138" t="n">
        <v>1.3</v>
      </c>
      <c r="AH24" s="135" t="n">
        <v>13.6</v>
      </c>
      <c r="AI24" s="107" t="n">
        <f aca="false">AI23-AH24</f>
        <v>3674.03684762418</v>
      </c>
      <c r="AJ24" s="107"/>
      <c r="AK24" s="134" t="n">
        <f aca="false">N24+O24+P24+Q24+R24+S24+T24+U24+X24+AE24+AH24-AR24</f>
        <v>243.7</v>
      </c>
      <c r="AL24" s="135" t="n">
        <f aca="false">IF(L24&lt;0,L24*-1,0)</f>
        <v>0</v>
      </c>
      <c r="AM24" s="135" t="n">
        <f aca="false">AK24+AL24</f>
        <v>243.7</v>
      </c>
      <c r="AN24" s="220"/>
      <c r="AO24" s="215"/>
      <c r="AP24" s="543" t="n">
        <f aca="false">I24-Q24-R24-X24-AF24</f>
        <v>-45.933</v>
      </c>
      <c r="AQ24" s="544" t="n">
        <f aca="false">0.657*(Z24*1.9835+AC24*1.9835)/E24</f>
        <v>0</v>
      </c>
      <c r="AR24" s="158"/>
      <c r="AS24" s="135"/>
      <c r="AU24" s="179" t="n">
        <f aca="false">O24</f>
        <v>1.659</v>
      </c>
      <c r="AV24" s="222" t="n">
        <v>0.16</v>
      </c>
      <c r="AW24" s="215" t="n">
        <v>69</v>
      </c>
      <c r="AX24" s="215" t="n">
        <v>55</v>
      </c>
      <c r="AY24" s="299"/>
      <c r="AZ24" s="250" t="n">
        <f aca="false">SUM(N24,P24:U24)</f>
        <v>7.14302062351455</v>
      </c>
      <c r="BA24" s="176" t="n">
        <v>0.681</v>
      </c>
      <c r="BB24" s="274" t="n">
        <v>5528</v>
      </c>
    </row>
    <row r="25" customFormat="false" ht="12.95" hidden="false" customHeight="true" outlineLevel="0" collapsed="false">
      <c r="A25" s="183" t="n">
        <v>11</v>
      </c>
      <c r="B25" s="106" t="n">
        <v>6858.68</v>
      </c>
      <c r="C25" s="107" t="n">
        <v>160086</v>
      </c>
      <c r="D25" s="215" t="n">
        <f aca="false">C25-C24</f>
        <v>246</v>
      </c>
      <c r="E25" s="107" t="n">
        <f aca="false">C25-152000</f>
        <v>8086</v>
      </c>
      <c r="F25" s="246" t="n">
        <f aca="false">D25/$D$2</f>
        <v>124.02319132846</v>
      </c>
      <c r="G25" s="135" t="n">
        <v>359</v>
      </c>
      <c r="H25" s="247" t="n">
        <v>0</v>
      </c>
      <c r="I25" s="135" t="n">
        <f aca="false">G25+H25</f>
        <v>359</v>
      </c>
      <c r="J25" s="136" t="n">
        <f aca="false">IF(L25&gt;0,L25,0)</f>
        <v>0</v>
      </c>
      <c r="K25" s="135" t="n">
        <f aca="false">I25+J25</f>
        <v>359</v>
      </c>
      <c r="L25" s="135" t="n">
        <f aca="false">F25-(I25-AK25)</f>
        <v>-17.7768086715402</v>
      </c>
      <c r="M25" s="248" t="n">
        <v>74.3</v>
      </c>
      <c r="N25" s="158"/>
      <c r="O25" s="135" t="n">
        <f aca="false">0*1.05</f>
        <v>0</v>
      </c>
      <c r="P25" s="158" t="n">
        <v>0</v>
      </c>
      <c r="Q25" s="338" t="n">
        <f aca="false">1001900/325851/1.9835*1.02</f>
        <v>1.58115077560418</v>
      </c>
      <c r="R25" s="573" t="n">
        <v>4.2</v>
      </c>
      <c r="S25" s="131" t="n">
        <f aca="false">((5.2*1.04)-T25)-4.2</f>
        <v>0.33445824</v>
      </c>
      <c r="T25" s="131" t="n">
        <f aca="false">(0.7924*1.06)*1.04</f>
        <v>0.87354176</v>
      </c>
      <c r="U25" s="357" t="n">
        <v>0</v>
      </c>
      <c r="V25" s="135" t="n">
        <v>77</v>
      </c>
      <c r="W25" s="135" t="n">
        <v>52.5</v>
      </c>
      <c r="X25" s="339" t="n">
        <f aca="false">M25-N25-O25-P25-Q25-R25-S25-T25-U25+V25+W25-AT25+AR25</f>
        <v>196.810849224396</v>
      </c>
      <c r="Y25" s="135" t="n">
        <f aca="false">X25-AO25</f>
        <v>196.810849224396</v>
      </c>
      <c r="Z25" s="107"/>
      <c r="AA25" s="135"/>
      <c r="AB25" s="107"/>
      <c r="AC25" s="107" t="n">
        <f aca="false">AS25-AS25</f>
        <v>0</v>
      </c>
      <c r="AD25" s="215" t="n">
        <f aca="false">AD24+AP25+AS25</f>
        <v>193.693659309033</v>
      </c>
      <c r="AE25" s="135" t="n">
        <v>0</v>
      </c>
      <c r="AF25" s="137" t="n">
        <v>1.7</v>
      </c>
      <c r="AG25" s="138" t="n">
        <v>1.3</v>
      </c>
      <c r="AH25" s="135" t="n">
        <v>13.4</v>
      </c>
      <c r="AI25" s="107" t="n">
        <f aca="false">AI24-AH25</f>
        <v>3660.63684762418</v>
      </c>
      <c r="AJ25" s="107"/>
      <c r="AK25" s="134" t="n">
        <f aca="false">N25+O25+P25+Q25+R25+S25+T25+U25+X25+AE25+AH25-AR25</f>
        <v>217.2</v>
      </c>
      <c r="AL25" s="135" t="n">
        <f aca="false">IF(L25&lt;0,L25*-1,0)</f>
        <v>17.7768086715402</v>
      </c>
      <c r="AM25" s="135" t="n">
        <f aca="false">AK25+AL25</f>
        <v>234.97680867154</v>
      </c>
      <c r="AN25" s="220"/>
      <c r="AO25" s="215"/>
      <c r="AP25" s="502" t="n">
        <f aca="false">IF((I25-Q25-R25-X25-AF25)&gt;0,0,I25-Q25-R25-X25-AF25)</f>
        <v>0</v>
      </c>
      <c r="AQ25" s="544" t="n">
        <f aca="false">11.823*(Z25*1.9835+AC25*1.9835)/E25</f>
        <v>0</v>
      </c>
      <c r="AR25" s="158"/>
      <c r="AS25" s="135"/>
      <c r="AU25" s="179" t="n">
        <f aca="false">O25</f>
        <v>0</v>
      </c>
      <c r="AV25" s="222" t="n">
        <v>0.03</v>
      </c>
      <c r="AW25" s="215" t="n">
        <v>76</v>
      </c>
      <c r="AX25" s="215" t="n">
        <v>53</v>
      </c>
      <c r="AY25" s="299"/>
      <c r="AZ25" s="250" t="n">
        <f aca="false">SUM(N25,P25:U25)</f>
        <v>6.98915077560418</v>
      </c>
      <c r="BA25" s="176" t="n">
        <v>0.631</v>
      </c>
      <c r="BB25" s="274" t="n">
        <v>5542</v>
      </c>
    </row>
    <row r="26" customFormat="false" ht="12.95" hidden="false" customHeight="true" outlineLevel="0" collapsed="false">
      <c r="A26" s="183" t="n">
        <v>12</v>
      </c>
      <c r="B26" s="106" t="n">
        <v>6859.12</v>
      </c>
      <c r="C26" s="107" t="n">
        <v>161075</v>
      </c>
      <c r="D26" s="215" t="n">
        <f aca="false">C26-C25</f>
        <v>989</v>
      </c>
      <c r="E26" s="107" t="n">
        <f aca="false">C26-152000</f>
        <v>9075</v>
      </c>
      <c r="F26" s="246" t="n">
        <f aca="false">D26/$D$2</f>
        <v>498.613561885556</v>
      </c>
      <c r="G26" s="135" t="n">
        <v>493</v>
      </c>
      <c r="H26" s="247" t="n">
        <v>0</v>
      </c>
      <c r="I26" s="135" t="n">
        <f aca="false">G26+H26</f>
        <v>493</v>
      </c>
      <c r="J26" s="136" t="n">
        <f aca="false">IF(L26&gt;0,L26,0)</f>
        <v>231.513561885556</v>
      </c>
      <c r="K26" s="135" t="n">
        <f aca="false">I26+J26</f>
        <v>724.513561885556</v>
      </c>
      <c r="L26" s="135" t="n">
        <f aca="false">F26-(I26-AK26)</f>
        <v>231.513561885556</v>
      </c>
      <c r="M26" s="248" t="n">
        <v>84.9</v>
      </c>
      <c r="N26" s="158"/>
      <c r="O26" s="135" t="n">
        <f aca="false">0*1.05</f>
        <v>0</v>
      </c>
      <c r="P26" s="158" t="n">
        <v>0</v>
      </c>
      <c r="Q26" s="338" t="n">
        <f aca="false">1087400/325851/1.9835*1.02</f>
        <v>1.71608279607943</v>
      </c>
      <c r="R26" s="573" t="n">
        <v>4.2</v>
      </c>
      <c r="S26" s="131" t="n">
        <f aca="false">((5.2*1.04)-T26)-4.2</f>
        <v>0.33445824</v>
      </c>
      <c r="T26" s="131" t="n">
        <f aca="false">(0.7924*1.06)*1.04</f>
        <v>0.87354176</v>
      </c>
      <c r="U26" s="357" t="n">
        <v>0</v>
      </c>
      <c r="V26" s="135" t="n">
        <v>73.8</v>
      </c>
      <c r="W26" s="135" t="n">
        <v>53.6</v>
      </c>
      <c r="X26" s="339" t="n">
        <f aca="false">M26-N26-O26-P26-Q26-R26-S26-T26-U26+V26+W26-AT26+AR26</f>
        <v>205.175917203921</v>
      </c>
      <c r="Y26" s="135" t="n">
        <f aca="false">X26-AO26</f>
        <v>205.175917203921</v>
      </c>
      <c r="Z26" s="107"/>
      <c r="AA26" s="135"/>
      <c r="AB26" s="107"/>
      <c r="AC26" s="107" t="n">
        <f aca="false">AS26-AS26</f>
        <v>0</v>
      </c>
      <c r="AD26" s="215" t="n">
        <f aca="false">AD25+AP26+AS26</f>
        <v>193.693659309033</v>
      </c>
      <c r="AE26" s="135" t="n">
        <v>0</v>
      </c>
      <c r="AF26" s="137" t="n">
        <v>1.7</v>
      </c>
      <c r="AG26" s="138" t="n">
        <v>1.3</v>
      </c>
      <c r="AH26" s="135" t="n">
        <v>13.6</v>
      </c>
      <c r="AI26" s="107" t="n">
        <f aca="false">AI25-AH26</f>
        <v>3647.03684762418</v>
      </c>
      <c r="AJ26" s="107"/>
      <c r="AK26" s="134" t="n">
        <f aca="false">N26+O26+P26+Q26+R26+S26+T26+U26+X26+AE26+AH26-AR26</f>
        <v>225.9</v>
      </c>
      <c r="AL26" s="135" t="n">
        <f aca="false">IF(L26&lt;0,L26*-1,0)</f>
        <v>0</v>
      </c>
      <c r="AM26" s="135" t="n">
        <f aca="false">AK26+AL26</f>
        <v>225.9</v>
      </c>
      <c r="AN26" s="220"/>
      <c r="AO26" s="215"/>
      <c r="AP26" s="502" t="n">
        <f aca="false">IF((I26-Q26-R26-X26-AF26)&gt;0,0,I26-Q26-R26-X26-AF26)</f>
        <v>0</v>
      </c>
      <c r="AQ26" s="158" t="n">
        <f aca="false">0*(Z26*1.9835+AC26*1.9835)/E26</f>
        <v>0</v>
      </c>
      <c r="AR26" s="158"/>
      <c r="AS26" s="135"/>
      <c r="AU26" s="179" t="n">
        <f aca="false">O26</f>
        <v>0</v>
      </c>
      <c r="AV26" s="222" t="n">
        <v>0.25</v>
      </c>
      <c r="AW26" s="215" t="n">
        <v>76</v>
      </c>
      <c r="AX26" s="215" t="n">
        <v>52</v>
      </c>
      <c r="AY26" s="299"/>
      <c r="AZ26" s="250" t="n">
        <f aca="false">SUM(N26,P26:U26)</f>
        <v>7.12408279607943</v>
      </c>
      <c r="BA26" s="176" t="n">
        <v>0.602</v>
      </c>
      <c r="BB26" s="274" t="n">
        <v>5555</v>
      </c>
    </row>
    <row r="27" customFormat="false" ht="12.95" hidden="false" customHeight="true" outlineLevel="0" collapsed="false">
      <c r="A27" s="183" t="n">
        <v>13</v>
      </c>
      <c r="B27" s="106" t="n">
        <v>6859.7</v>
      </c>
      <c r="C27" s="107" t="n">
        <v>162387</v>
      </c>
      <c r="D27" s="215" t="n">
        <f aca="false">C27-C26</f>
        <v>1312</v>
      </c>
      <c r="E27" s="107" t="n">
        <f aca="false">C27-152000</f>
        <v>10387</v>
      </c>
      <c r="F27" s="246" t="n">
        <f aca="false">D27/$D$2</f>
        <v>661.457020418452</v>
      </c>
      <c r="G27" s="135" t="n">
        <v>867</v>
      </c>
      <c r="H27" s="247" t="n">
        <v>0</v>
      </c>
      <c r="I27" s="135" t="n">
        <f aca="false">G27+H27</f>
        <v>867</v>
      </c>
      <c r="J27" s="136" t="n">
        <f aca="false">IF(L27&gt;0,L27,0)</f>
        <v>0</v>
      </c>
      <c r="K27" s="135" t="n">
        <f aca="false">I27+J27</f>
        <v>867</v>
      </c>
      <c r="L27" s="135" t="n">
        <f aca="false">F27-(I27-AK27)</f>
        <v>-1.94297958154789</v>
      </c>
      <c r="M27" s="248" t="n">
        <v>73.8</v>
      </c>
      <c r="N27" s="158"/>
      <c r="O27" s="135" t="n">
        <f aca="false">1.65*1.05</f>
        <v>1.7325</v>
      </c>
      <c r="P27" s="158" t="n">
        <v>0</v>
      </c>
      <c r="Q27" s="338" t="n">
        <f aca="false">1080200/325851/1.9835*1.02</f>
        <v>1.70472009961836</v>
      </c>
      <c r="R27" s="131" t="n">
        <f aca="false">(3.4*1.04)-T27</f>
        <v>2.82065264</v>
      </c>
      <c r="S27" s="131" t="n">
        <v>0</v>
      </c>
      <c r="T27" s="131" t="n">
        <f aca="false">(0.6489*1.06)*1.04</f>
        <v>0.71534736</v>
      </c>
      <c r="U27" s="357" t="n">
        <v>0</v>
      </c>
      <c r="V27" s="135" t="n">
        <v>68.3</v>
      </c>
      <c r="W27" s="135" t="n">
        <v>48.1</v>
      </c>
      <c r="X27" s="339" t="n">
        <f aca="false">M27-N27-O27-P27-Q27-R27-S27-T27-U27+V27+W27-AT27+AR27</f>
        <v>183.226779900382</v>
      </c>
      <c r="Y27" s="135" t="n">
        <f aca="false">X27-AO27</f>
        <v>183.226779900382</v>
      </c>
      <c r="Z27" s="107"/>
      <c r="AA27" s="135"/>
      <c r="AB27" s="107"/>
      <c r="AC27" s="107" t="n">
        <f aca="false">AS27-AS27</f>
        <v>0</v>
      </c>
      <c r="AD27" s="215" t="n">
        <f aca="false">AD26+AP27+AS27</f>
        <v>193.693659309033</v>
      </c>
      <c r="AE27" s="135" t="n">
        <v>0</v>
      </c>
      <c r="AF27" s="137" t="n">
        <v>1.7</v>
      </c>
      <c r="AG27" s="138" t="n">
        <v>1.3</v>
      </c>
      <c r="AH27" s="135" t="n">
        <v>13.4</v>
      </c>
      <c r="AI27" s="107" t="n">
        <f aca="false">AI26-AH27</f>
        <v>3633.63684762418</v>
      </c>
      <c r="AJ27" s="107"/>
      <c r="AK27" s="134" t="n">
        <f aca="false">N27+O27+P27+Q27+R27+S27+T27+U27+X27+AE27+AH27-AR27</f>
        <v>203.6</v>
      </c>
      <c r="AL27" s="135" t="n">
        <f aca="false">IF(L27&lt;0,L27*-1,0)</f>
        <v>1.94297958154789</v>
      </c>
      <c r="AM27" s="135" t="n">
        <f aca="false">AK27+AL27</f>
        <v>205.542979581548</v>
      </c>
      <c r="AN27" s="220"/>
      <c r="AO27" s="215"/>
      <c r="AP27" s="502" t="n">
        <f aca="false">IF((I27-Q27-R27-X27-AF27)&gt;0,0,I27-Q27-R27-X27-AF27)</f>
        <v>0</v>
      </c>
      <c r="AQ27" s="158" t="n">
        <f aca="false">18.048*(Z27*1.9835+AC27*1.9835)/E27</f>
        <v>0</v>
      </c>
      <c r="AR27" s="158"/>
      <c r="AS27" s="135"/>
      <c r="AU27" s="179" t="n">
        <f aca="false">O27</f>
        <v>1.7325</v>
      </c>
      <c r="AV27" s="222" t="n">
        <v>0</v>
      </c>
      <c r="AW27" s="215" t="n">
        <v>77</v>
      </c>
      <c r="AX27" s="215" t="n">
        <v>51</v>
      </c>
      <c r="AY27" s="299"/>
      <c r="AZ27" s="250" t="n">
        <f aca="false">SUM(N27,P27:U27)</f>
        <v>5.24072009961836</v>
      </c>
      <c r="BA27" s="176" t="n">
        <v>0.901</v>
      </c>
      <c r="BB27" s="274" t="n">
        <v>5585</v>
      </c>
    </row>
    <row r="28" customFormat="false" ht="12.95" hidden="false" customHeight="true" outlineLevel="0" collapsed="false">
      <c r="A28" s="183" t="n">
        <v>14</v>
      </c>
      <c r="B28" s="106" t="n">
        <v>6860.27</v>
      </c>
      <c r="C28" s="107" t="n">
        <v>163686</v>
      </c>
      <c r="D28" s="215" t="n">
        <f aca="false">C28-C27</f>
        <v>1299</v>
      </c>
      <c r="E28" s="107" t="n">
        <f aca="false">C28-152000</f>
        <v>11686</v>
      </c>
      <c r="F28" s="246" t="n">
        <f aca="false">D28/$D$2</f>
        <v>654.902949331989</v>
      </c>
      <c r="G28" s="135" t="n">
        <v>670</v>
      </c>
      <c r="H28" s="247" t="n">
        <v>0.005</v>
      </c>
      <c r="I28" s="135" t="n">
        <f aca="false">G28+H28</f>
        <v>670.005</v>
      </c>
      <c r="J28" s="136" t="n">
        <f aca="false">IF(L28&gt;0,L28,0)</f>
        <v>176.097949331989</v>
      </c>
      <c r="K28" s="135" t="n">
        <f aca="false">I28+J28</f>
        <v>846.102949331989</v>
      </c>
      <c r="L28" s="135" t="n">
        <f aca="false">F28-(I28-AK28)</f>
        <v>176.097949331989</v>
      </c>
      <c r="M28" s="248" t="n">
        <v>64.2</v>
      </c>
      <c r="N28" s="158"/>
      <c r="O28" s="135" t="n">
        <f aca="false">0.229*1.05</f>
        <v>0.24045</v>
      </c>
      <c r="P28" s="158" t="n">
        <v>0</v>
      </c>
      <c r="Q28" s="338" t="n">
        <f aca="false">1047600/325851/1.9835*1.02</f>
        <v>1.65327233508627</v>
      </c>
      <c r="R28" s="131" t="n">
        <f aca="false">(3.4*1.04)-T28</f>
        <v>2.82065264</v>
      </c>
      <c r="S28" s="131" t="n">
        <v>0</v>
      </c>
      <c r="T28" s="131" t="n">
        <f aca="false">(0.6489*1.06)*1.04</f>
        <v>0.71534736</v>
      </c>
      <c r="U28" s="357" t="n">
        <v>0</v>
      </c>
      <c r="V28" s="135" t="n">
        <v>66.8</v>
      </c>
      <c r="W28" s="135" t="n">
        <v>45.8</v>
      </c>
      <c r="X28" s="339" t="n">
        <f aca="false">M28-N28-O28-P28-Q28-R28-S28-T28-U28+V28+W28-AT28+AR28</f>
        <v>171.370277664914</v>
      </c>
      <c r="Y28" s="135" t="n">
        <f aca="false">X28-AO28</f>
        <v>171.370277664914</v>
      </c>
      <c r="Z28" s="107"/>
      <c r="AA28" s="135"/>
      <c r="AB28" s="107"/>
      <c r="AC28" s="107" t="n">
        <f aca="false">AS28-AS28</f>
        <v>0</v>
      </c>
      <c r="AD28" s="215" t="n">
        <f aca="false">AD27+AP28+AS28</f>
        <v>193.693659309033</v>
      </c>
      <c r="AE28" s="135" t="n">
        <v>0</v>
      </c>
      <c r="AF28" s="137" t="n">
        <v>1.7</v>
      </c>
      <c r="AG28" s="138" t="n">
        <v>1.3</v>
      </c>
      <c r="AH28" s="135" t="n">
        <v>14.4</v>
      </c>
      <c r="AI28" s="107" t="n">
        <f aca="false">AI27-AH28</f>
        <v>3619.23684762418</v>
      </c>
      <c r="AJ28" s="107"/>
      <c r="AK28" s="134" t="n">
        <f aca="false">N28+O28+P28+Q28+R28+S28+T28+U28+X28+AE28+AH28-AR28</f>
        <v>191.2</v>
      </c>
      <c r="AL28" s="135" t="n">
        <f aca="false">IF(L28&lt;0,L28*-1,0)</f>
        <v>0</v>
      </c>
      <c r="AM28" s="135" t="n">
        <f aca="false">AK28+AL28</f>
        <v>191.2</v>
      </c>
      <c r="AN28" s="220"/>
      <c r="AO28" s="215"/>
      <c r="AP28" s="502" t="n">
        <f aca="false">IF((I28-Q28-R28-X28-AF28)&gt;0,0,I28-Q28-R28-X28-AF28)</f>
        <v>0</v>
      </c>
      <c r="AQ28" s="158" t="n">
        <f aca="false">0*(Z28*1.9835+AC28*1.9835)/E28</f>
        <v>0</v>
      </c>
      <c r="AR28" s="158"/>
      <c r="AS28" s="135"/>
      <c r="AU28" s="179" t="n">
        <f aca="false">O28</f>
        <v>0.24045</v>
      </c>
      <c r="AV28" s="222" t="n">
        <v>0.31</v>
      </c>
      <c r="AW28" s="215" t="n">
        <v>76</v>
      </c>
      <c r="AX28" s="215" t="n">
        <v>47</v>
      </c>
      <c r="AY28" s="299"/>
      <c r="AZ28" s="250" t="n">
        <f aca="false">SUM(N28,P28:U28)</f>
        <v>5.18927233508627</v>
      </c>
      <c r="BA28" s="176" t="n">
        <v>0.862</v>
      </c>
      <c r="BB28" s="274" t="n">
        <v>5614</v>
      </c>
    </row>
    <row r="29" customFormat="false" ht="12.95" hidden="false" customHeight="true" outlineLevel="0" collapsed="false">
      <c r="A29" s="183" t="n">
        <v>15</v>
      </c>
      <c r="B29" s="106" t="n">
        <v>6860.85</v>
      </c>
      <c r="C29" s="107" t="n">
        <v>165018</v>
      </c>
      <c r="D29" s="215" t="n">
        <f aca="false">C29-C28</f>
        <v>1332</v>
      </c>
      <c r="E29" s="107" t="n">
        <f aca="false">C29-152000</f>
        <v>13018</v>
      </c>
      <c r="F29" s="246" t="n">
        <f aca="false">D29/$D$2</f>
        <v>671.540206705319</v>
      </c>
      <c r="G29" s="135" t="n">
        <v>932</v>
      </c>
      <c r="H29" s="247" t="n">
        <v>0.002</v>
      </c>
      <c r="I29" s="135" t="n">
        <f aca="false">G29+H29</f>
        <v>932.002</v>
      </c>
      <c r="J29" s="136" t="n">
        <f aca="false">IF(L29&gt;0,L29,0)</f>
        <v>0</v>
      </c>
      <c r="K29" s="135" t="n">
        <f aca="false">I29+J29</f>
        <v>932.002</v>
      </c>
      <c r="L29" s="135" t="n">
        <f aca="false">F29-(I29-AK29)</f>
        <v>-78.0617932946811</v>
      </c>
      <c r="M29" s="248" t="n">
        <v>60.9</v>
      </c>
      <c r="N29" s="158"/>
      <c r="O29" s="135" t="n">
        <f aca="false">0*1.05</f>
        <v>0</v>
      </c>
      <c r="P29" s="158" t="n">
        <v>0</v>
      </c>
      <c r="Q29" s="338" t="n">
        <f aca="false">1148900/325851/1.9835*1.02</f>
        <v>1.81313916168444</v>
      </c>
      <c r="R29" s="131" t="n">
        <f aca="false">(3.4*1.04)-T29</f>
        <v>2.82065264</v>
      </c>
      <c r="S29" s="131" t="n">
        <v>0</v>
      </c>
      <c r="T29" s="131" t="n">
        <f aca="false">(0.6489*1.06)*1.04</f>
        <v>0.71534736</v>
      </c>
      <c r="U29" s="357" t="n">
        <v>0</v>
      </c>
      <c r="V29" s="135" t="n">
        <v>59.1</v>
      </c>
      <c r="W29" s="135" t="n">
        <v>48.1</v>
      </c>
      <c r="X29" s="339" t="n">
        <f aca="false">M29-N29-O29-P29-Q29-R29-S29-T29-U29+V29+W29-AT29+AR29</f>
        <v>162.750860838316</v>
      </c>
      <c r="Y29" s="135" t="n">
        <f aca="false">X29-AO29</f>
        <v>162.750860838316</v>
      </c>
      <c r="Z29" s="107"/>
      <c r="AA29" s="135"/>
      <c r="AB29" s="107"/>
      <c r="AC29" s="107" t="n">
        <f aca="false">AS29-AS29</f>
        <v>0</v>
      </c>
      <c r="AD29" s="215" t="n">
        <f aca="false">AD28+AP29+AS29</f>
        <v>193.693659309033</v>
      </c>
      <c r="AE29" s="135" t="n">
        <v>0</v>
      </c>
      <c r="AF29" s="137" t="n">
        <v>1.7</v>
      </c>
      <c r="AG29" s="138" t="n">
        <v>1.3</v>
      </c>
      <c r="AH29" s="135" t="n">
        <v>14.3</v>
      </c>
      <c r="AI29" s="107" t="n">
        <f aca="false">AI28-AH29</f>
        <v>3604.93684762418</v>
      </c>
      <c r="AJ29" s="107"/>
      <c r="AK29" s="134" t="n">
        <f aca="false">N29+O29+P29+Q29+R29+S29+T29+U29+X29+AE29+AH29-AR29</f>
        <v>182.4</v>
      </c>
      <c r="AL29" s="135" t="n">
        <f aca="false">IF(L29&lt;0,L29*-1,0)</f>
        <v>78.0617932946811</v>
      </c>
      <c r="AM29" s="135" t="n">
        <f aca="false">AK29+AL29</f>
        <v>260.461793294681</v>
      </c>
      <c r="AN29" s="220"/>
      <c r="AO29" s="215"/>
      <c r="AP29" s="502" t="n">
        <f aca="false">IF((I29-Q29-R29-X29-AF29)&gt;0,0,I29-Q29-R29-X29-AF29)</f>
        <v>0</v>
      </c>
      <c r="AQ29" s="158" t="n">
        <f aca="false">0*(Z29*1.9835+AC29*1.9835)/E29</f>
        <v>0</v>
      </c>
      <c r="AR29" s="158"/>
      <c r="AS29" s="135"/>
      <c r="AU29" s="179" t="n">
        <f aca="false">O29</f>
        <v>0</v>
      </c>
      <c r="AV29" s="222" t="n">
        <v>0.32</v>
      </c>
      <c r="AW29" s="215" t="n">
        <v>75</v>
      </c>
      <c r="AX29" s="215" t="n">
        <v>49</v>
      </c>
      <c r="AY29" s="299"/>
      <c r="AZ29" s="250" t="n">
        <f aca="false">SUM(N29,P29:U29)</f>
        <v>5.34913916168444</v>
      </c>
      <c r="BA29" s="176" t="n">
        <v>0.733</v>
      </c>
      <c r="BB29" s="274" t="n">
        <v>5651</v>
      </c>
    </row>
    <row r="30" customFormat="false" ht="12.95" hidden="false" customHeight="true" outlineLevel="0" collapsed="false">
      <c r="A30" s="183" t="n">
        <v>16</v>
      </c>
      <c r="B30" s="106" t="n">
        <v>6861.33</v>
      </c>
      <c r="C30" s="107" t="n">
        <v>166133</v>
      </c>
      <c r="D30" s="215" t="n">
        <f aca="false">C30-C29</f>
        <v>1115</v>
      </c>
      <c r="E30" s="107" t="n">
        <f aca="false">C30-152000</f>
        <v>14133</v>
      </c>
      <c r="F30" s="246" t="n">
        <f aca="false">D30/$D$2</f>
        <v>562.137635492816</v>
      </c>
      <c r="G30" s="135" t="n">
        <v>882</v>
      </c>
      <c r="H30" s="247" t="n">
        <v>0</v>
      </c>
      <c r="I30" s="135" t="n">
        <f aca="false">G30+H30</f>
        <v>882</v>
      </c>
      <c r="J30" s="136" t="n">
        <f aca="false">IF(L30&gt;0,L30,0)</f>
        <v>0</v>
      </c>
      <c r="K30" s="135" t="n">
        <f aca="false">I30+J30</f>
        <v>882</v>
      </c>
      <c r="L30" s="135" t="n">
        <f aca="false">F30-(I30-AK30)</f>
        <v>-149.562364507184</v>
      </c>
      <c r="M30" s="248" t="n">
        <v>59.5</v>
      </c>
      <c r="N30" s="158"/>
      <c r="O30" s="135" t="n">
        <f aca="false">0*1.05</f>
        <v>0</v>
      </c>
      <c r="P30" s="158" t="n">
        <v>0</v>
      </c>
      <c r="Q30" s="338" t="n">
        <f aca="false">1139700/325851/1.9835*1.02</f>
        <v>1.79862016065084</v>
      </c>
      <c r="R30" s="131" t="n">
        <f aca="false">(3.4*1.04)-T30</f>
        <v>2.82065264</v>
      </c>
      <c r="S30" s="131" t="n">
        <v>0</v>
      </c>
      <c r="T30" s="131" t="n">
        <f aca="false">(0.6489*1.06)*1.04</f>
        <v>0.71534736</v>
      </c>
      <c r="U30" s="357" t="n">
        <v>0</v>
      </c>
      <c r="V30" s="135" t="n">
        <v>51.2</v>
      </c>
      <c r="W30" s="135" t="n">
        <v>45.7</v>
      </c>
      <c r="X30" s="339" t="n">
        <f aca="false">M30-N30-O30-P30-Q30-R30-S30-T30-U30+V30+W30-AT30+AR30</f>
        <v>151.065379839349</v>
      </c>
      <c r="Y30" s="135" t="n">
        <f aca="false">X30-AO30</f>
        <v>151.065379839349</v>
      </c>
      <c r="Z30" s="107"/>
      <c r="AA30" s="135"/>
      <c r="AB30" s="107"/>
      <c r="AC30" s="107" t="n">
        <f aca="false">AS30-AS30</f>
        <v>0</v>
      </c>
      <c r="AD30" s="215" t="n">
        <f aca="false">AD29+AP30+AS30</f>
        <v>193.693659309033</v>
      </c>
      <c r="AE30" s="135" t="n">
        <v>0</v>
      </c>
      <c r="AF30" s="137" t="n">
        <v>1.7</v>
      </c>
      <c r="AG30" s="138" t="n">
        <v>1.3</v>
      </c>
      <c r="AH30" s="135" t="n">
        <v>13.9</v>
      </c>
      <c r="AI30" s="107" t="n">
        <f aca="false">AI29-AH30</f>
        <v>3591.03684762418</v>
      </c>
      <c r="AJ30" s="107"/>
      <c r="AK30" s="134" t="n">
        <f aca="false">N30+O30+P30+Q30+R30+S30+T30+U30+X30+AE30+AH30-AR30</f>
        <v>170.3</v>
      </c>
      <c r="AL30" s="135" t="n">
        <f aca="false">IF(L30&lt;0,L30*-1,0)</f>
        <v>149.562364507184</v>
      </c>
      <c r="AM30" s="135" t="n">
        <f aca="false">AK30+AL30</f>
        <v>319.862364507184</v>
      </c>
      <c r="AN30" s="220"/>
      <c r="AO30" s="215"/>
      <c r="AP30" s="502" t="n">
        <f aca="false">IF((I30-Q30-R30-X30-AF30)&gt;0,0,I30-Q30-R30-X30-AF30)</f>
        <v>0</v>
      </c>
      <c r="AQ30" s="158" t="n">
        <f aca="false">48.636*(Z30*1.9835+AC30*1.9835)/E30</f>
        <v>0</v>
      </c>
      <c r="AR30" s="158"/>
      <c r="AS30" s="135"/>
      <c r="AU30" s="179" t="n">
        <f aca="false">O30</f>
        <v>0</v>
      </c>
      <c r="AV30" s="222" t="n">
        <v>0</v>
      </c>
      <c r="AW30" s="215" t="n">
        <v>78</v>
      </c>
      <c r="AX30" s="215" t="n">
        <v>50</v>
      </c>
      <c r="AY30" s="299"/>
      <c r="AZ30" s="250" t="n">
        <f aca="false">SUM(N30,P30:U30)</f>
        <v>5.33462016065084</v>
      </c>
      <c r="BA30" s="176" t="n">
        <v>0.94</v>
      </c>
      <c r="BB30" s="274" t="n">
        <v>5681</v>
      </c>
    </row>
    <row r="31" customFormat="false" ht="12.95" hidden="false" customHeight="true" outlineLevel="0" collapsed="false">
      <c r="A31" s="183" t="n">
        <v>17</v>
      </c>
      <c r="B31" s="106" t="n">
        <v>6861.74</v>
      </c>
      <c r="C31" s="107" t="n">
        <v>167091</v>
      </c>
      <c r="D31" s="215" t="n">
        <f aca="false">C31-C30</f>
        <v>958</v>
      </c>
      <c r="E31" s="107" t="n">
        <f aca="false">C31-152000</f>
        <v>15091</v>
      </c>
      <c r="F31" s="246" t="n">
        <f aca="false">D31/$D$2</f>
        <v>482.984623140912</v>
      </c>
      <c r="G31" s="135" t="n">
        <v>658</v>
      </c>
      <c r="H31" s="247" t="n">
        <v>0</v>
      </c>
      <c r="I31" s="135" t="n">
        <f aca="false">G31+H31</f>
        <v>658</v>
      </c>
      <c r="J31" s="136" t="n">
        <f aca="false">IF(L31&gt;0,L31,0)</f>
        <v>0</v>
      </c>
      <c r="K31" s="135" t="n">
        <f aca="false">I31+J31</f>
        <v>658</v>
      </c>
      <c r="L31" s="135" t="n">
        <f aca="false">F31-(I31-AK31)</f>
        <v>-12.9153768590875</v>
      </c>
      <c r="M31" s="248" t="n">
        <v>58.2</v>
      </c>
      <c r="N31" s="158"/>
      <c r="O31" s="135" t="n">
        <f aca="false">0*1.05</f>
        <v>0</v>
      </c>
      <c r="P31" s="158" t="n">
        <v>0</v>
      </c>
      <c r="Q31" s="338" t="n">
        <f aca="false">1158700/325851/1.9835*1.02</f>
        <v>1.82860505408979</v>
      </c>
      <c r="R31" s="131" t="n">
        <f aca="false">(3.4*1.04)-T31</f>
        <v>2.82065264</v>
      </c>
      <c r="S31" s="131" t="n">
        <v>0</v>
      </c>
      <c r="T31" s="131" t="n">
        <f aca="false">(0.6489*1.06)*1.04</f>
        <v>0.71534736</v>
      </c>
      <c r="U31" s="357" t="n">
        <v>0</v>
      </c>
      <c r="V31" s="135" t="n">
        <v>48.6</v>
      </c>
      <c r="W31" s="135" t="n">
        <v>41.2</v>
      </c>
      <c r="X31" s="339" t="n">
        <f aca="false">M31-N31-O31-P31-Q31-R31-S31-T31-U31+V31+W31-AT31+AR31</f>
        <v>142.63539494591</v>
      </c>
      <c r="Y31" s="135" t="n">
        <f aca="false">X31-AO31</f>
        <v>142.63539494591</v>
      </c>
      <c r="Z31" s="107"/>
      <c r="AA31" s="135"/>
      <c r="AB31" s="107"/>
      <c r="AC31" s="107" t="n">
        <f aca="false">AS31-AS31</f>
        <v>0</v>
      </c>
      <c r="AD31" s="215" t="n">
        <f aca="false">AD30+AP31+AS31</f>
        <v>193.693659309033</v>
      </c>
      <c r="AE31" s="135" t="n">
        <v>0</v>
      </c>
      <c r="AF31" s="137" t="n">
        <v>1.7</v>
      </c>
      <c r="AG31" s="138" t="n">
        <v>1.3</v>
      </c>
      <c r="AH31" s="135" t="n">
        <v>14.1</v>
      </c>
      <c r="AI31" s="107" t="n">
        <f aca="false">AI30-AH31</f>
        <v>3576.93684762418</v>
      </c>
      <c r="AJ31" s="107"/>
      <c r="AK31" s="134" t="n">
        <f aca="false">N31+O31+P31+Q31+R31+S31+T31+U31+X31+AE31+AH31-AR31</f>
        <v>162.1</v>
      </c>
      <c r="AL31" s="135" t="n">
        <f aca="false">IF(L31&lt;0,L31*-1,0)</f>
        <v>12.9153768590875</v>
      </c>
      <c r="AM31" s="135" t="n">
        <f aca="false">AK31+AL31</f>
        <v>175.015376859087</v>
      </c>
      <c r="AN31" s="220"/>
      <c r="AO31" s="215"/>
      <c r="AP31" s="502" t="n">
        <f aca="false">IF((I31-Q31-R31-X31-AF31)&gt;0,0,I31-Q31-R31-X31-AF31)</f>
        <v>0</v>
      </c>
      <c r="AQ31" s="158" t="n">
        <f aca="false">21.861*(Z31*1.9835+AC31*1.9835)/E31</f>
        <v>0</v>
      </c>
      <c r="AR31" s="158"/>
      <c r="AS31" s="135"/>
      <c r="AU31" s="179" t="n">
        <f aca="false">O31</f>
        <v>0</v>
      </c>
      <c r="AV31" s="222" t="n">
        <v>0</v>
      </c>
      <c r="AW31" s="215" t="n">
        <v>79</v>
      </c>
      <c r="AX31" s="215" t="n">
        <v>54</v>
      </c>
      <c r="AY31" s="299"/>
      <c r="AZ31" s="250" t="n">
        <f aca="false">SUM(N31,P31:U31)</f>
        <v>5.36460505408979</v>
      </c>
      <c r="BA31" s="176" t="n">
        <v>1.09</v>
      </c>
      <c r="BB31" s="274" t="n">
        <v>5709</v>
      </c>
    </row>
    <row r="32" customFormat="false" ht="12.95" hidden="false" customHeight="true" outlineLevel="0" collapsed="false">
      <c r="A32" s="183" t="n">
        <v>18</v>
      </c>
      <c r="B32" s="106" t="n">
        <v>6862.16</v>
      </c>
      <c r="C32" s="107" t="n">
        <v>168079</v>
      </c>
      <c r="D32" s="215" t="n">
        <f aca="false">C32-C31</f>
        <v>988</v>
      </c>
      <c r="E32" s="107" t="n">
        <f aca="false">C32-152000</f>
        <v>16079</v>
      </c>
      <c r="F32" s="246" t="n">
        <f aca="false">D32/$D$2</f>
        <v>498.109402571213</v>
      </c>
      <c r="G32" s="135" t="n">
        <v>538</v>
      </c>
      <c r="H32" s="247" t="n">
        <v>0.001</v>
      </c>
      <c r="I32" s="135" t="n">
        <f aca="false">G32+H32</f>
        <v>538.001</v>
      </c>
      <c r="J32" s="136" t="n">
        <f aca="false">IF(L32&gt;0,L32,0)</f>
        <v>125.308402571213</v>
      </c>
      <c r="K32" s="135" t="n">
        <f aca="false">I32+J32</f>
        <v>663.309402571213</v>
      </c>
      <c r="L32" s="135" t="n">
        <f aca="false">F32-(I32-AK32)</f>
        <v>125.308402571213</v>
      </c>
      <c r="M32" s="248" t="n">
        <v>58.1</v>
      </c>
      <c r="N32" s="158"/>
      <c r="O32" s="135" t="n">
        <f aca="false">0*1.05</f>
        <v>0</v>
      </c>
      <c r="P32" s="158" t="n">
        <v>0</v>
      </c>
      <c r="Q32" s="338" t="n">
        <f aca="false">989600/325851/1.9835*1.02</f>
        <v>1.56173950248318</v>
      </c>
      <c r="R32" s="131" t="n">
        <f aca="false">(3.4*1.04)-T32</f>
        <v>2.82065264</v>
      </c>
      <c r="S32" s="131" t="n">
        <v>0</v>
      </c>
      <c r="T32" s="131" t="n">
        <f aca="false">(0.6489*1.06)*1.04</f>
        <v>0.71534736</v>
      </c>
      <c r="U32" s="357" t="n">
        <v>0</v>
      </c>
      <c r="V32" s="135" t="n">
        <v>51.4</v>
      </c>
      <c r="W32" s="135" t="n">
        <v>41.4</v>
      </c>
      <c r="X32" s="339" t="n">
        <f aca="false">M32-N32-O32-P32-Q32-R32-S32-T32-U32+V32+W32-AT32+AR32</f>
        <v>145.802260497517</v>
      </c>
      <c r="Y32" s="135" t="n">
        <f aca="false">X32-AO32</f>
        <v>145.802260497517</v>
      </c>
      <c r="Z32" s="107"/>
      <c r="AA32" s="135"/>
      <c r="AB32" s="107"/>
      <c r="AC32" s="107" t="n">
        <f aca="false">AS32-AS32</f>
        <v>0</v>
      </c>
      <c r="AD32" s="215" t="n">
        <f aca="false">AD31+AP32+AS32</f>
        <v>193.693659309033</v>
      </c>
      <c r="AE32" s="135" t="n">
        <v>0</v>
      </c>
      <c r="AF32" s="137" t="n">
        <v>1.7</v>
      </c>
      <c r="AG32" s="138" t="n">
        <v>1.3</v>
      </c>
      <c r="AH32" s="135" t="n">
        <v>14.3</v>
      </c>
      <c r="AI32" s="107" t="n">
        <f aca="false">AI31-AH32</f>
        <v>3562.63684762418</v>
      </c>
      <c r="AJ32" s="107"/>
      <c r="AK32" s="134" t="n">
        <f aca="false">N32+O32+P32+Q32+R32+S32+T32+U32+X32+AE32+AH32-AR32</f>
        <v>165.2</v>
      </c>
      <c r="AL32" s="135" t="n">
        <f aca="false">IF(L32&lt;0,L32*-1,0)</f>
        <v>0</v>
      </c>
      <c r="AM32" s="135" t="n">
        <f aca="false">AK32+AL32</f>
        <v>165.2</v>
      </c>
      <c r="AN32" s="220"/>
      <c r="AO32" s="215"/>
      <c r="AP32" s="502" t="n">
        <f aca="false">IF((I32-Q32-R32-X32-AF32)&gt;0,0,I32-Q32-R32-X32-AF32)</f>
        <v>0</v>
      </c>
      <c r="AQ32" s="158" t="n">
        <f aca="false">24.611*(Z32*1.9835+AC32*1.9835)/E32</f>
        <v>0</v>
      </c>
      <c r="AR32" s="158"/>
      <c r="AS32" s="135"/>
      <c r="AU32" s="179" t="n">
        <f aca="false">O32</f>
        <v>0</v>
      </c>
      <c r="AV32" s="222" t="n">
        <v>0</v>
      </c>
      <c r="AW32" s="215" t="n">
        <v>79</v>
      </c>
      <c r="AX32" s="215" t="n">
        <v>54</v>
      </c>
      <c r="AY32" s="299"/>
      <c r="AZ32" s="250" t="n">
        <f aca="false">SUM(N32,P32:U32)</f>
        <v>5.09773950248318</v>
      </c>
      <c r="BA32" s="176" t="n">
        <v>0.619</v>
      </c>
      <c r="BB32" s="274" t="n">
        <v>5738</v>
      </c>
    </row>
    <row r="33" customFormat="false" ht="12.95" hidden="false" customHeight="true" outlineLevel="0" collapsed="false">
      <c r="A33" s="183" t="n">
        <v>19</v>
      </c>
      <c r="B33" s="106" t="n">
        <v>6862.52</v>
      </c>
      <c r="C33" s="107" t="n">
        <v>168935</v>
      </c>
      <c r="D33" s="215" t="n">
        <f aca="false">C33-C32</f>
        <v>856</v>
      </c>
      <c r="E33" s="107" t="n">
        <f aca="false">C33-152000</f>
        <v>16935</v>
      </c>
      <c r="F33" s="246" t="n">
        <f aca="false">D33/$D$2</f>
        <v>431.560373077893</v>
      </c>
      <c r="G33" s="135" t="n">
        <v>698</v>
      </c>
      <c r="H33" s="247" t="n">
        <v>0</v>
      </c>
      <c r="I33" s="135" t="n">
        <f aca="false">G33+H33</f>
        <v>698</v>
      </c>
      <c r="J33" s="136" t="n">
        <f aca="false">IF(L33&gt;0,L33,0)</f>
        <v>0</v>
      </c>
      <c r="K33" s="135" t="n">
        <f aca="false">I33+J33</f>
        <v>698</v>
      </c>
      <c r="L33" s="135" t="n">
        <f aca="false">F33-(I33-AK33)</f>
        <v>-98.6396269221074</v>
      </c>
      <c r="M33" s="248" t="n">
        <v>56.9</v>
      </c>
      <c r="N33" s="158"/>
      <c r="O33" s="135" t="n">
        <f aca="false">0*1.05</f>
        <v>0</v>
      </c>
      <c r="P33" s="158" t="n">
        <v>0</v>
      </c>
      <c r="Q33" s="338" t="n">
        <f aca="false">1153700/325851/1.9835*1.02</f>
        <v>1.82071429265849</v>
      </c>
      <c r="R33" s="131" t="n">
        <f aca="false">(3.4*1.04)-T33</f>
        <v>2.82065264</v>
      </c>
      <c r="S33" s="131" t="n">
        <v>0</v>
      </c>
      <c r="T33" s="131" t="n">
        <f aca="false">(0.6489*1.06)*1.04</f>
        <v>0.71534736</v>
      </c>
      <c r="U33" s="357" t="n">
        <v>0</v>
      </c>
      <c r="V33" s="135" t="n">
        <v>55.5</v>
      </c>
      <c r="W33" s="135" t="n">
        <v>41</v>
      </c>
      <c r="X33" s="339" t="n">
        <f aca="false">M33-N33-O33-P33-Q33-R33-S33-T33-U33+V33+W33-AT33+AR33</f>
        <v>148.043285707342</v>
      </c>
      <c r="Y33" s="135" t="n">
        <f aca="false">X33-AO33</f>
        <v>148.043285707342</v>
      </c>
      <c r="Z33" s="107"/>
      <c r="AA33" s="135"/>
      <c r="AB33" s="107"/>
      <c r="AC33" s="107" t="n">
        <f aca="false">AS33-AS33</f>
        <v>0</v>
      </c>
      <c r="AD33" s="215" t="n">
        <f aca="false">AD32+AP33+AS33</f>
        <v>193.693659309033</v>
      </c>
      <c r="AE33" s="135" t="n">
        <v>0</v>
      </c>
      <c r="AF33" s="137" t="n">
        <v>1.7</v>
      </c>
      <c r="AG33" s="138" t="n">
        <v>1.3</v>
      </c>
      <c r="AH33" s="135" t="n">
        <v>14.4</v>
      </c>
      <c r="AI33" s="107" t="n">
        <f aca="false">AI32-AH33</f>
        <v>3548.23684762418</v>
      </c>
      <c r="AJ33" s="107"/>
      <c r="AK33" s="134" t="n">
        <f aca="false">N33+O33+P33+Q33+R33+S33+T33+U33+X33+AE33+AH33-AR33</f>
        <v>167.8</v>
      </c>
      <c r="AL33" s="135" t="n">
        <f aca="false">IF(L33&lt;0,L33*-1,0)</f>
        <v>98.6396269221074</v>
      </c>
      <c r="AM33" s="135" t="n">
        <f aca="false">AK33+AL33</f>
        <v>266.439626922107</v>
      </c>
      <c r="AN33" s="220"/>
      <c r="AO33" s="215"/>
      <c r="AP33" s="502" t="n">
        <f aca="false">IF((I33-Q33-R33-X33-AF33)&gt;0,0,I33-Q33-R33-X33-AF33)</f>
        <v>0</v>
      </c>
      <c r="AQ33" s="158" t="n">
        <f aca="false">26.007*(Z33*1.9835+AC33*1.9835)/E33</f>
        <v>0</v>
      </c>
      <c r="AR33" s="158"/>
      <c r="AS33" s="135"/>
      <c r="AU33" s="179" t="n">
        <f aca="false">O33</f>
        <v>0</v>
      </c>
      <c r="AV33" s="222" t="n">
        <v>0</v>
      </c>
      <c r="AW33" s="215" t="n">
        <v>77</v>
      </c>
      <c r="AX33" s="215" t="n">
        <v>47</v>
      </c>
      <c r="AY33" s="299"/>
      <c r="AZ33" s="250" t="n">
        <f aca="false">SUM(N33,P33:U33)</f>
        <v>5.35671429265849</v>
      </c>
      <c r="BA33" s="176" t="n">
        <v>0.432</v>
      </c>
      <c r="BB33" s="274" t="n">
        <v>5768</v>
      </c>
    </row>
    <row r="34" customFormat="false" ht="12.95" hidden="false" customHeight="true" outlineLevel="0" collapsed="false">
      <c r="A34" s="183" t="n">
        <v>20</v>
      </c>
      <c r="B34" s="106" t="n">
        <v>6862.85</v>
      </c>
      <c r="C34" s="107" t="n">
        <v>169720</v>
      </c>
      <c r="D34" s="215" t="n">
        <f aca="false">C34-C33</f>
        <v>785</v>
      </c>
      <c r="E34" s="107" t="n">
        <f aca="false">C34-152000</f>
        <v>17720</v>
      </c>
      <c r="F34" s="246" t="n">
        <f aca="false">D34/$D$2</f>
        <v>395.765061759516</v>
      </c>
      <c r="G34" s="135" t="n">
        <v>518</v>
      </c>
      <c r="H34" s="247" t="n">
        <v>0</v>
      </c>
      <c r="I34" s="135" t="n">
        <f aca="false">G34+H34</f>
        <v>518</v>
      </c>
      <c r="J34" s="136" t="n">
        <f aca="false">IF(L34&gt;0,L34,0)</f>
        <v>43.265061759516</v>
      </c>
      <c r="K34" s="135" t="n">
        <f aca="false">I34+J34</f>
        <v>561.265061759516</v>
      </c>
      <c r="L34" s="135" t="n">
        <f aca="false">F34-(I34-AK34)</f>
        <v>43.265061759516</v>
      </c>
      <c r="M34" s="248" t="n">
        <v>56.3</v>
      </c>
      <c r="N34" s="158"/>
      <c r="O34" s="135" t="n">
        <f aca="false">0.004*1.05</f>
        <v>0.0042</v>
      </c>
      <c r="P34" s="158" t="n">
        <v>0</v>
      </c>
      <c r="Q34" s="338" t="n">
        <f aca="false">935300/325851/1.9835*1.02</f>
        <v>1.47604583333924</v>
      </c>
      <c r="R34" s="131" t="n">
        <f aca="false">(2.6*1.04)-T34</f>
        <v>2.01566144</v>
      </c>
      <c r="S34" s="131" t="n">
        <v>0</v>
      </c>
      <c r="T34" s="131" t="n">
        <f aca="false">(0.6244*1.06)*1.04</f>
        <v>0.68833856</v>
      </c>
      <c r="U34" s="357" t="n">
        <v>0</v>
      </c>
      <c r="V34" s="135" t="n">
        <v>54.2</v>
      </c>
      <c r="W34" s="135" t="n">
        <v>40.6</v>
      </c>
      <c r="X34" s="339" t="n">
        <f aca="false">M34-N34-O34-P34-Q34-R34-S34-T34-U34+V34+W34-AT34+AR34</f>
        <v>146.915754166661</v>
      </c>
      <c r="Y34" s="135" t="n">
        <f aca="false">X34-AO34</f>
        <v>146.915754166661</v>
      </c>
      <c r="Z34" s="107"/>
      <c r="AA34" s="135"/>
      <c r="AB34" s="107"/>
      <c r="AC34" s="107" t="n">
        <f aca="false">AS34-AS34</f>
        <v>0</v>
      </c>
      <c r="AD34" s="215" t="n">
        <f aca="false">AD33+AP34+AS34</f>
        <v>193.693659309033</v>
      </c>
      <c r="AE34" s="135" t="n">
        <v>0</v>
      </c>
      <c r="AF34" s="137" t="n">
        <v>1.7</v>
      </c>
      <c r="AG34" s="138" t="n">
        <v>1.3</v>
      </c>
      <c r="AH34" s="135" t="n">
        <v>14.4</v>
      </c>
      <c r="AI34" s="107" t="n">
        <f aca="false">AI33-AH34</f>
        <v>3533.83684762418</v>
      </c>
      <c r="AJ34" s="107"/>
      <c r="AK34" s="134" t="n">
        <f aca="false">N34+O34+P34+Q34+R34+S34+T34+U34+X34+AE34+AH34-AR34</f>
        <v>165.5</v>
      </c>
      <c r="AL34" s="135" t="n">
        <f aca="false">IF(L34&lt;0,L34*-1,0)</f>
        <v>0</v>
      </c>
      <c r="AM34" s="135" t="n">
        <f aca="false">AK34+AL34</f>
        <v>165.5</v>
      </c>
      <c r="AN34" s="220"/>
      <c r="AO34" s="215"/>
      <c r="AP34" s="502" t="n">
        <f aca="false">IF((I34-Q34-R34-X34-AF34)&gt;0,0,I34-Q34-R34-X34-AF34)</f>
        <v>0</v>
      </c>
      <c r="AQ34" s="158" t="n">
        <f aca="false">17.338*(Z34*1.9835+AC34*1.9835)/E34</f>
        <v>0</v>
      </c>
      <c r="AR34" s="158"/>
      <c r="AS34" s="135"/>
      <c r="AU34" s="179" t="n">
        <f aca="false">O34</f>
        <v>0.0042</v>
      </c>
      <c r="AV34" s="222" t="n">
        <v>0</v>
      </c>
      <c r="AW34" s="215" t="n">
        <v>80</v>
      </c>
      <c r="AX34" s="215" t="n">
        <v>45</v>
      </c>
      <c r="AY34" s="299"/>
      <c r="AZ34" s="250" t="n">
        <f aca="false">SUM(N34,P34:U34)</f>
        <v>4.18004583333924</v>
      </c>
      <c r="BA34" s="176" t="n">
        <v>0.814</v>
      </c>
      <c r="BB34" s="274" t="n">
        <v>5787</v>
      </c>
    </row>
    <row r="35" customFormat="false" ht="12.95" hidden="false" customHeight="true" outlineLevel="0" collapsed="false">
      <c r="A35" s="183" t="n">
        <v>21</v>
      </c>
      <c r="B35" s="106" t="n">
        <v>6863.19</v>
      </c>
      <c r="C35" s="107" t="n">
        <v>170536</v>
      </c>
      <c r="D35" s="215" t="n">
        <f aca="false">C35-C34</f>
        <v>816</v>
      </c>
      <c r="E35" s="107" t="n">
        <f aca="false">C35-152000</f>
        <v>18536</v>
      </c>
      <c r="F35" s="246" t="n">
        <f aca="false">D35/$D$2</f>
        <v>411.394000504159</v>
      </c>
      <c r="G35" s="135" t="n">
        <v>408</v>
      </c>
      <c r="H35" s="247" t="n">
        <v>0</v>
      </c>
      <c r="I35" s="135" t="n">
        <f aca="false">G35+H35</f>
        <v>408</v>
      </c>
      <c r="J35" s="136" t="n">
        <f aca="false">IF(L35&gt;0,L35,0)</f>
        <v>166.094000504159</v>
      </c>
      <c r="K35" s="135" t="n">
        <f aca="false">I35+J35</f>
        <v>574.094000504159</v>
      </c>
      <c r="L35" s="135" t="n">
        <f aca="false">F35-(I35-AK35)</f>
        <v>166.094000504159</v>
      </c>
      <c r="M35" s="248" t="n">
        <v>56.3</v>
      </c>
      <c r="N35" s="158"/>
      <c r="O35" s="135" t="n">
        <f aca="false">0*1.05</f>
        <v>0</v>
      </c>
      <c r="P35" s="158" t="n">
        <v>0</v>
      </c>
      <c r="Q35" s="338" t="n">
        <f aca="false">1156400/325851/1.9835*1.02</f>
        <v>1.82497530383139</v>
      </c>
      <c r="R35" s="131" t="n">
        <f aca="false">(2.6*1.04)-T35</f>
        <v>2.01566144</v>
      </c>
      <c r="S35" s="131" t="n">
        <v>0</v>
      </c>
      <c r="T35" s="131" t="n">
        <f aca="false">(0.6244*1.06)*1.04</f>
        <v>0.68833856</v>
      </c>
      <c r="U35" s="357" t="n">
        <v>0</v>
      </c>
      <c r="V35" s="135" t="n">
        <v>52.3</v>
      </c>
      <c r="W35" s="135" t="n">
        <v>39.8</v>
      </c>
      <c r="X35" s="339" t="n">
        <f aca="false">M35-N35-O35-P35-Q35-R35-S35-T35-U35+V35+W35-AT35+AR35</f>
        <v>143.871024696169</v>
      </c>
      <c r="Y35" s="135" t="n">
        <f aca="false">X35-AO35</f>
        <v>143.871024696169</v>
      </c>
      <c r="Z35" s="107"/>
      <c r="AA35" s="135"/>
      <c r="AB35" s="107"/>
      <c r="AC35" s="107" t="n">
        <f aca="false">AS35-AS35</f>
        <v>0</v>
      </c>
      <c r="AD35" s="215" t="n">
        <f aca="false">AD34+AP35+AS35</f>
        <v>193.693659309033</v>
      </c>
      <c r="AE35" s="135" t="n">
        <v>0</v>
      </c>
      <c r="AF35" s="137" t="n">
        <v>1.7</v>
      </c>
      <c r="AG35" s="138" t="n">
        <v>1.3</v>
      </c>
      <c r="AH35" s="135" t="n">
        <v>14.3</v>
      </c>
      <c r="AI35" s="107" t="n">
        <f aca="false">AI34-AH35</f>
        <v>3519.53684762418</v>
      </c>
      <c r="AJ35" s="107"/>
      <c r="AK35" s="134" t="n">
        <f aca="false">N35+O35+P35+Q35+R35+S35+T35+U35+X35+AE35+AH35-AR35</f>
        <v>162.7</v>
      </c>
      <c r="AL35" s="135" t="n">
        <f aca="false">IF(L35&lt;0,L35*-1,0)</f>
        <v>0</v>
      </c>
      <c r="AM35" s="135" t="n">
        <f aca="false">AK35+AL35</f>
        <v>162.7</v>
      </c>
      <c r="AN35" s="220"/>
      <c r="AO35" s="215"/>
      <c r="AP35" s="502" t="n">
        <f aca="false">IF((I35-Q35-R35-X35-AF35)&gt;0,0,I35-Q35-R35-X35-AF35)</f>
        <v>0</v>
      </c>
      <c r="AQ35" s="158" t="n">
        <f aca="false">30.062*(Z35*1.9835+AC35*1.9835)/E35</f>
        <v>0</v>
      </c>
      <c r="AR35" s="158"/>
      <c r="AS35" s="135"/>
      <c r="AU35" s="179" t="n">
        <f aca="false">O35</f>
        <v>0</v>
      </c>
      <c r="AV35" s="222" t="n">
        <v>0</v>
      </c>
      <c r="AW35" s="215" t="n">
        <v>79</v>
      </c>
      <c r="AX35" s="215" t="n">
        <v>50</v>
      </c>
      <c r="AY35" s="299"/>
      <c r="AZ35" s="250" t="n">
        <f aca="false">SUM(N35,P35:U35)</f>
        <v>4.52897530383139</v>
      </c>
      <c r="BA35" s="176" t="n">
        <v>1.01</v>
      </c>
      <c r="BB35" s="274" t="n">
        <v>5802</v>
      </c>
    </row>
    <row r="36" customFormat="false" ht="12.95" hidden="false" customHeight="true" outlineLevel="0" collapsed="false">
      <c r="A36" s="183" t="n">
        <v>22</v>
      </c>
      <c r="B36" s="106" t="n">
        <v>6863.52</v>
      </c>
      <c r="C36" s="107" t="n">
        <v>171333</v>
      </c>
      <c r="D36" s="215" t="n">
        <f aca="false">C36-C35</f>
        <v>797</v>
      </c>
      <c r="E36" s="107" t="n">
        <f aca="false">C36-152000</f>
        <v>19333</v>
      </c>
      <c r="F36" s="246" t="n">
        <f aca="false">D36/$D$2</f>
        <v>401.814973531636</v>
      </c>
      <c r="G36" s="135" t="n">
        <v>423</v>
      </c>
      <c r="H36" s="247" t="n">
        <v>0.001</v>
      </c>
      <c r="I36" s="135" t="n">
        <f aca="false">G36+H36</f>
        <v>423.001</v>
      </c>
      <c r="J36" s="136" t="n">
        <f aca="false">IF(L36&gt;0,L36,0)</f>
        <v>141.213973531636</v>
      </c>
      <c r="K36" s="135" t="n">
        <f aca="false">I36+J36</f>
        <v>564.214973531636</v>
      </c>
      <c r="L36" s="135" t="n">
        <f aca="false">F36-(I36-AK36)</f>
        <v>141.213973531636</v>
      </c>
      <c r="M36" s="248" t="n">
        <v>56.3</v>
      </c>
      <c r="N36" s="158"/>
      <c r="O36" s="135" t="n">
        <f aca="false">0.093*1.05</f>
        <v>0.09765</v>
      </c>
      <c r="P36" s="158" t="n">
        <v>0</v>
      </c>
      <c r="Q36" s="338" t="n">
        <f aca="false">1178100/325851/1.9835*1.02</f>
        <v>1.85922120844324</v>
      </c>
      <c r="R36" s="131" t="n">
        <f aca="false">(2.6*1.04)-T36</f>
        <v>2.01566144</v>
      </c>
      <c r="S36" s="131" t="n">
        <v>0</v>
      </c>
      <c r="T36" s="131" t="n">
        <f aca="false">(0.6244*1.06)*1.04</f>
        <v>0.68833856</v>
      </c>
      <c r="U36" s="357" t="n">
        <v>0</v>
      </c>
      <c r="V36" s="135" t="n">
        <v>52.2</v>
      </c>
      <c r="W36" s="135" t="n">
        <v>39.4</v>
      </c>
      <c r="X36" s="339" t="n">
        <f aca="false">M36-N36-O36-P36-Q36-R36-S36-T36-U36+V36+W36-AT36+AR36</f>
        <v>143.239128791557</v>
      </c>
      <c r="Y36" s="135" t="n">
        <f aca="false">X36-AO36</f>
        <v>143.239128791557</v>
      </c>
      <c r="Z36" s="107"/>
      <c r="AA36" s="135"/>
      <c r="AB36" s="107"/>
      <c r="AC36" s="107" t="n">
        <f aca="false">AS36-AS36</f>
        <v>0</v>
      </c>
      <c r="AD36" s="215" t="n">
        <f aca="false">AD35+AP36+AS36</f>
        <v>193.693659309033</v>
      </c>
      <c r="AE36" s="135" t="n">
        <v>0</v>
      </c>
      <c r="AF36" s="137" t="n">
        <v>1.7</v>
      </c>
      <c r="AG36" s="138" t="n">
        <v>1.3</v>
      </c>
      <c r="AH36" s="135" t="n">
        <v>14.5</v>
      </c>
      <c r="AI36" s="107" t="n">
        <f aca="false">AI35-AH36</f>
        <v>3505.03684762418</v>
      </c>
      <c r="AJ36" s="107"/>
      <c r="AK36" s="134" t="n">
        <f aca="false">N36+O36+P36+Q36+R36+S36+T36+U36+X36+AE36+AH36-AR36</f>
        <v>162.4</v>
      </c>
      <c r="AL36" s="135" t="n">
        <f aca="false">IF(L36&lt;0,L36*-1,0)</f>
        <v>0</v>
      </c>
      <c r="AM36" s="135" t="n">
        <f aca="false">AK36+AL36</f>
        <v>162.4</v>
      </c>
      <c r="AN36" s="220"/>
      <c r="AO36" s="215"/>
      <c r="AP36" s="502" t="n">
        <f aca="false">IF((I36-Q36-R36-X36-AF36)&gt;0,0,I36-Q36-R36-X36-AF36)</f>
        <v>0</v>
      </c>
      <c r="AQ36" s="158" t="n">
        <f aca="false">0*(Z36*1.9835+AC36*1.9835)/E36</f>
        <v>0</v>
      </c>
      <c r="AR36" s="158"/>
      <c r="AS36" s="135"/>
      <c r="AU36" s="179" t="n">
        <f aca="false">O36</f>
        <v>0.09765</v>
      </c>
      <c r="AV36" s="222" t="n">
        <v>0.22</v>
      </c>
      <c r="AW36" s="215" t="n">
        <v>69</v>
      </c>
      <c r="AX36" s="215" t="n">
        <v>43</v>
      </c>
      <c r="AY36" s="299"/>
      <c r="AZ36" s="250" t="n">
        <f aca="false">SUM(N36,P36:U36)</f>
        <v>4.56322120844324</v>
      </c>
      <c r="BA36" s="176" t="n">
        <v>0.77</v>
      </c>
      <c r="BB36" s="274" t="n">
        <v>5827</v>
      </c>
    </row>
    <row r="37" customFormat="false" ht="12.95" hidden="false" customHeight="true" outlineLevel="0" collapsed="false">
      <c r="A37" s="183" t="n">
        <v>23</v>
      </c>
      <c r="B37" s="106" t="n">
        <v>6863.88</v>
      </c>
      <c r="C37" s="107" t="n">
        <v>172203</v>
      </c>
      <c r="D37" s="215" t="n">
        <f aca="false">C37-C36</f>
        <v>870</v>
      </c>
      <c r="E37" s="107" t="n">
        <f aca="false">C37-152000</f>
        <v>20203</v>
      </c>
      <c r="F37" s="246" t="n">
        <f aca="false">D37/$D$2</f>
        <v>438.618603478699</v>
      </c>
      <c r="G37" s="135" t="n">
        <v>786</v>
      </c>
      <c r="H37" s="247" t="n">
        <v>0</v>
      </c>
      <c r="I37" s="135" t="n">
        <f aca="false">G37+H37</f>
        <v>786</v>
      </c>
      <c r="J37" s="136" t="n">
        <f aca="false">IF(L37&gt;0,L37,0)</f>
        <v>0</v>
      </c>
      <c r="K37" s="135" t="n">
        <f aca="false">I37+J37</f>
        <v>786</v>
      </c>
      <c r="L37" s="135" t="n">
        <f aca="false">F37-(I37-AK37)</f>
        <v>-185.181396521301</v>
      </c>
      <c r="M37" s="248" t="n">
        <v>56.1</v>
      </c>
      <c r="N37" s="158"/>
      <c r="O37" s="135" t="n">
        <f aca="false">0.078*1.05</f>
        <v>0.0819</v>
      </c>
      <c r="P37" s="158" t="n">
        <v>0</v>
      </c>
      <c r="Q37" s="338" t="n">
        <f aca="false">1158000/325851/1.9835*1.02</f>
        <v>1.82750034748941</v>
      </c>
      <c r="R37" s="131" t="n">
        <f aca="false">(2.6*1.04)-T37</f>
        <v>2.01566144</v>
      </c>
      <c r="S37" s="131" t="n">
        <v>0</v>
      </c>
      <c r="T37" s="131" t="n">
        <f aca="false">(0.6244*1.06)*1.04</f>
        <v>0.68833856</v>
      </c>
      <c r="U37" s="357" t="n">
        <v>0</v>
      </c>
      <c r="V37" s="135" t="n">
        <v>52.8</v>
      </c>
      <c r="W37" s="135" t="n">
        <v>38.9</v>
      </c>
      <c r="X37" s="339" t="n">
        <f aca="false">M37-N37-O37-P37-Q37-R37-S37-T37-U37+V37+W37-AT37+AR37</f>
        <v>143.186599652511</v>
      </c>
      <c r="Y37" s="135" t="n">
        <f aca="false">X37-AO37</f>
        <v>143.186599652511</v>
      </c>
      <c r="Z37" s="107"/>
      <c r="AA37" s="135"/>
      <c r="AB37" s="107"/>
      <c r="AC37" s="107" t="n">
        <f aca="false">AS37-AS37</f>
        <v>0</v>
      </c>
      <c r="AD37" s="215" t="n">
        <f aca="false">AD36+AP37+AS37</f>
        <v>193.693659309033</v>
      </c>
      <c r="AE37" s="135" t="n">
        <v>0</v>
      </c>
      <c r="AF37" s="137" t="n">
        <v>1.7</v>
      </c>
      <c r="AG37" s="138" t="n">
        <v>1.3</v>
      </c>
      <c r="AH37" s="135" t="n">
        <v>14.4</v>
      </c>
      <c r="AI37" s="107" t="n">
        <f aca="false">AI36-AH37</f>
        <v>3490.63684762418</v>
      </c>
      <c r="AJ37" s="107"/>
      <c r="AK37" s="134" t="n">
        <f aca="false">N37+O37+P37+Q37+R37+S37+T37+U37+X37+AE37+AH37-AR37</f>
        <v>162.2</v>
      </c>
      <c r="AL37" s="135" t="n">
        <f aca="false">IF(L37&lt;0,L37*-1,0)</f>
        <v>185.181396521301</v>
      </c>
      <c r="AM37" s="135" t="n">
        <f aca="false">AK37+AL37</f>
        <v>347.381396521301</v>
      </c>
      <c r="AN37" s="220"/>
      <c r="AO37" s="215"/>
      <c r="AP37" s="502" t="n">
        <f aca="false">IF((I37-Q37-R37-X37-AF37)&gt;0,0,I37-Q37-R37-X37-AF37)</f>
        <v>0</v>
      </c>
      <c r="AQ37" s="158" t="n">
        <f aca="false">41.795*(Z37*1.9835+AC37*1.9835)/E37</f>
        <v>0</v>
      </c>
      <c r="AR37" s="158"/>
      <c r="AS37" s="135"/>
      <c r="AU37" s="179" t="n">
        <f aca="false">O37</f>
        <v>0.0819</v>
      </c>
      <c r="AV37" s="222" t="n">
        <v>0</v>
      </c>
      <c r="AW37" s="215" t="n">
        <v>65</v>
      </c>
      <c r="AX37" s="215" t="n">
        <v>37</v>
      </c>
      <c r="AY37" s="299"/>
      <c r="AZ37" s="250" t="n">
        <f aca="false">SUM(N37,P37:U37)</f>
        <v>4.53150034748941</v>
      </c>
      <c r="BA37" s="176" t="n">
        <v>0.513</v>
      </c>
      <c r="BB37" s="274" t="n">
        <v>5884</v>
      </c>
    </row>
    <row r="38" customFormat="false" ht="12.75" hidden="false" customHeight="true" outlineLevel="0" collapsed="false">
      <c r="A38" s="183" t="n">
        <v>24</v>
      </c>
      <c r="B38" s="106" t="n">
        <v>6864.26</v>
      </c>
      <c r="C38" s="107" t="n">
        <v>173132</v>
      </c>
      <c r="D38" s="215" t="n">
        <f aca="false">C38-C37</f>
        <v>929</v>
      </c>
      <c r="E38" s="107" t="n">
        <f aca="false">C38-152000</f>
        <v>21132</v>
      </c>
      <c r="F38" s="246" t="n">
        <f aca="false">D38/$D$2</f>
        <v>468.364003024956</v>
      </c>
      <c r="G38" s="135" t="n">
        <v>715</v>
      </c>
      <c r="H38" s="247" t="n">
        <v>0</v>
      </c>
      <c r="I38" s="135" t="n">
        <f aca="false">G38+H38</f>
        <v>715</v>
      </c>
      <c r="J38" s="136" t="n">
        <f aca="false">IF(L38&gt;0,L38,0)</f>
        <v>0</v>
      </c>
      <c r="K38" s="135" t="n">
        <f aca="false">I38+J38</f>
        <v>715</v>
      </c>
      <c r="L38" s="135" t="n">
        <f aca="false">F38-(I38-AK38)</f>
        <v>-40.1359969750441</v>
      </c>
      <c r="M38" s="248" t="n">
        <v>25.3</v>
      </c>
      <c r="N38" s="158"/>
      <c r="O38" s="135" t="n">
        <f aca="false">7.6*1.05</f>
        <v>7.98</v>
      </c>
      <c r="P38" s="158" t="n">
        <v>0</v>
      </c>
      <c r="Q38" s="338" t="n">
        <f aca="false">1137700/325851/1.9835*1.02</f>
        <v>1.79546385607832</v>
      </c>
      <c r="R38" s="131" t="n">
        <f aca="false">(2.6*1.04)-T38</f>
        <v>2.01566144</v>
      </c>
      <c r="S38" s="131" t="n">
        <v>0</v>
      </c>
      <c r="T38" s="131" t="n">
        <f aca="false">(0.6244*1.06)*1.04</f>
        <v>0.68833856</v>
      </c>
      <c r="U38" s="357" t="n">
        <v>0</v>
      </c>
      <c r="V38" s="135" t="n">
        <v>156</v>
      </c>
      <c r="W38" s="135" t="n">
        <v>11</v>
      </c>
      <c r="X38" s="339" t="n">
        <f aca="false">M38-N38-O38-P38-Q38-R38-S38-T38-U38+V38+W38-AT38+AR38</f>
        <v>179.820536143922</v>
      </c>
      <c r="Y38" s="135" t="n">
        <f aca="false">X38-AO38</f>
        <v>179.820536143922</v>
      </c>
      <c r="Z38" s="107"/>
      <c r="AA38" s="135"/>
      <c r="AB38" s="107"/>
      <c r="AC38" s="107" t="n">
        <f aca="false">AS38-AS38</f>
        <v>0</v>
      </c>
      <c r="AD38" s="215" t="n">
        <f aca="false">AD37+AP38+AS38</f>
        <v>193.693659309033</v>
      </c>
      <c r="AE38" s="135" t="n">
        <v>0</v>
      </c>
      <c r="AF38" s="137" t="n">
        <v>1.7</v>
      </c>
      <c r="AG38" s="138" t="n">
        <v>1.3</v>
      </c>
      <c r="AH38" s="135" t="n">
        <v>14.2</v>
      </c>
      <c r="AI38" s="107" t="n">
        <f aca="false">AI37-AH38</f>
        <v>3476.43684762418</v>
      </c>
      <c r="AJ38" s="107"/>
      <c r="AK38" s="134" t="n">
        <f aca="false">N38+O38+P38+Q38+R38+S38+T38+U38+X38+AE38+AH38-AR38</f>
        <v>206.5</v>
      </c>
      <c r="AL38" s="135" t="n">
        <f aca="false">IF(L38&lt;0,L38*-1,0)</f>
        <v>40.1359969750441</v>
      </c>
      <c r="AM38" s="135" t="n">
        <f aca="false">AK38+AL38</f>
        <v>246.635996975044</v>
      </c>
      <c r="AN38" s="220"/>
      <c r="AO38" s="215"/>
      <c r="AP38" s="502" t="n">
        <f aca="false">IF((I38-Q38-R38-X38-AF38)&gt;0,0,I38-Q38-R38-X38-AF38)</f>
        <v>0</v>
      </c>
      <c r="AQ38" s="158" t="n">
        <f aca="false">13.079*(Z38*1.9835+AC38*1.9835)/E38</f>
        <v>0</v>
      </c>
      <c r="AR38" s="158"/>
      <c r="AS38" s="135"/>
      <c r="AU38" s="179" t="n">
        <f aca="false">O38</f>
        <v>7.98</v>
      </c>
      <c r="AV38" s="222" t="n">
        <v>0</v>
      </c>
      <c r="AW38" s="215" t="n">
        <v>74</v>
      </c>
      <c r="AX38" s="215" t="n">
        <v>38</v>
      </c>
      <c r="AY38" s="299"/>
      <c r="AZ38" s="250" t="n">
        <f aca="false">SUM(N38,P38:U38)</f>
        <v>4.49946385607832</v>
      </c>
      <c r="BA38" s="176" t="n">
        <v>0.865</v>
      </c>
      <c r="BB38" s="274" t="n">
        <v>5903</v>
      </c>
    </row>
    <row r="39" customFormat="false" ht="12.95" hidden="false" customHeight="true" outlineLevel="0" collapsed="false">
      <c r="A39" s="183" t="n">
        <v>25</v>
      </c>
      <c r="B39" s="106" t="n">
        <v>6864.54</v>
      </c>
      <c r="C39" s="107" t="n">
        <v>173820</v>
      </c>
      <c r="D39" s="215" t="n">
        <f aca="false">C39-C38</f>
        <v>688</v>
      </c>
      <c r="E39" s="107" t="n">
        <f aca="false">C39-152000</f>
        <v>21820</v>
      </c>
      <c r="F39" s="246" t="n">
        <f aca="false">D39/$D$2</f>
        <v>346.861608268213</v>
      </c>
      <c r="G39" s="135" t="n">
        <v>554</v>
      </c>
      <c r="H39" s="247" t="n">
        <v>0</v>
      </c>
      <c r="I39" s="135" t="n">
        <f aca="false">G39+H39</f>
        <v>554</v>
      </c>
      <c r="J39" s="136" t="n">
        <f aca="false">IF(L39&gt;0,L39,0)</f>
        <v>113.614608268213</v>
      </c>
      <c r="K39" s="135" t="n">
        <f aca="false">I39+J39</f>
        <v>667.614608268213</v>
      </c>
      <c r="L39" s="135" t="n">
        <f aca="false">F39-(I39-AK39)</f>
        <v>113.614608268213</v>
      </c>
      <c r="M39" s="248" t="n">
        <v>12.7</v>
      </c>
      <c r="N39" s="158"/>
      <c r="O39" s="135" t="n">
        <f aca="false">17.5*1.05</f>
        <v>18.375</v>
      </c>
      <c r="P39" s="158" t="n">
        <v>0</v>
      </c>
      <c r="Q39" s="338" t="n">
        <f aca="false">1180600/325851/1.9835*1.02</f>
        <v>1.86316658915889</v>
      </c>
      <c r="R39" s="131" t="n">
        <f aca="false">(2.6*1.04)-T39</f>
        <v>2.01566144</v>
      </c>
      <c r="S39" s="131" t="n">
        <v>0</v>
      </c>
      <c r="T39" s="131" t="n">
        <f aca="false">(0.6244*1.06)*1.04</f>
        <v>0.68833856</v>
      </c>
      <c r="U39" s="357" t="n">
        <v>0</v>
      </c>
      <c r="V39" s="135" t="n">
        <v>294</v>
      </c>
      <c r="W39" s="135" t="n">
        <v>0.153</v>
      </c>
      <c r="X39" s="339" t="n">
        <f aca="false">M39-N39-O39-P39-Q39-R39-S39-T39-U39+V39+W39-AT39+AR39</f>
        <v>283.910833410841</v>
      </c>
      <c r="Y39" s="135" t="n">
        <f aca="false">X39-AO39</f>
        <v>283.910833410841</v>
      </c>
      <c r="Z39" s="107"/>
      <c r="AA39" s="135"/>
      <c r="AB39" s="107"/>
      <c r="AC39" s="107" t="n">
        <f aca="false">AS39-AS39</f>
        <v>0</v>
      </c>
      <c r="AD39" s="215"/>
      <c r="AE39" s="135" t="n">
        <v>0</v>
      </c>
      <c r="AF39" s="137" t="n">
        <v>1.7</v>
      </c>
      <c r="AG39" s="138" t="n">
        <v>1.3</v>
      </c>
      <c r="AH39" s="135" t="n">
        <v>13.9</v>
      </c>
      <c r="AI39" s="107" t="n">
        <f aca="false">AI38-AH39</f>
        <v>3462.53684762418</v>
      </c>
      <c r="AJ39" s="107"/>
      <c r="AK39" s="134" t="n">
        <f aca="false">N39+O39+P39+Q39+R39+S39+T39+U39+X39+AE39+AH39-AR39</f>
        <v>320.753</v>
      </c>
      <c r="AL39" s="135" t="n">
        <f aca="false">IF(L39&lt;0,L39*-1,0)</f>
        <v>0</v>
      </c>
      <c r="AM39" s="135" t="n">
        <f aca="false">AK39+AL39</f>
        <v>320.753</v>
      </c>
      <c r="AN39" s="220" t="n">
        <f aca="false">V39</f>
        <v>294</v>
      </c>
      <c r="AO39" s="215"/>
      <c r="AP39" s="502" t="n">
        <f aca="false">IF((I39-Q39-R39-X39-AF39)&gt;0,0,I39-Q39-R39-X39-AF39)</f>
        <v>0</v>
      </c>
      <c r="AQ39" s="158" t="n">
        <f aca="false">46.219*(Z39*1.9835+AC39*1.9835)/E39</f>
        <v>0</v>
      </c>
      <c r="AR39" s="158"/>
      <c r="AS39" s="135"/>
      <c r="AU39" s="179" t="n">
        <f aca="false">O39</f>
        <v>18.375</v>
      </c>
      <c r="AV39" s="222" t="n">
        <v>0</v>
      </c>
      <c r="AW39" s="215" t="n">
        <v>78</v>
      </c>
      <c r="AX39" s="215" t="n">
        <v>46</v>
      </c>
      <c r="AY39" s="299"/>
      <c r="AZ39" s="250" t="n">
        <f aca="false">SUM(N39,P39:U39)</f>
        <v>4.56716658915889</v>
      </c>
      <c r="BA39" s="176" t="n">
        <v>0.864</v>
      </c>
      <c r="BB39" s="274" t="n">
        <v>5920</v>
      </c>
    </row>
    <row r="40" customFormat="false" ht="12.95" hidden="false" customHeight="true" outlineLevel="0" collapsed="false">
      <c r="A40" s="183" t="n">
        <v>26</v>
      </c>
      <c r="B40" s="106" t="n">
        <v>6864.63</v>
      </c>
      <c r="C40" s="107" t="n">
        <v>174041</v>
      </c>
      <c r="D40" s="215" t="n">
        <f aca="false">C40-C39</f>
        <v>221</v>
      </c>
      <c r="E40" s="107" t="n">
        <f aca="false">C40-152000</f>
        <v>22041</v>
      </c>
      <c r="F40" s="246" t="n">
        <f aca="false">D40/$D$2</f>
        <v>111.419208469876</v>
      </c>
      <c r="G40" s="135" t="n">
        <v>456</v>
      </c>
      <c r="H40" s="247" t="n">
        <v>0</v>
      </c>
      <c r="I40" s="135" t="n">
        <f aca="false">G40+H40</f>
        <v>456</v>
      </c>
      <c r="J40" s="136" t="n">
        <f aca="false">IF(L40&gt;0,L40,0)</f>
        <v>19.8602084698765</v>
      </c>
      <c r="K40" s="135" t="n">
        <f aca="false">I40+J40</f>
        <v>475.860208469877</v>
      </c>
      <c r="L40" s="135" t="n">
        <f aca="false">F40-(I40-AK40)</f>
        <v>19.8602084698765</v>
      </c>
      <c r="M40" s="248" t="n">
        <v>34.5</v>
      </c>
      <c r="N40" s="158"/>
      <c r="O40" s="135" t="n">
        <f aca="false">22.9*1.05</f>
        <v>24.045</v>
      </c>
      <c r="P40" s="158" t="n">
        <v>0</v>
      </c>
      <c r="Q40" s="338" t="n">
        <f aca="false">1092400/325851/1.9835*1.02</f>
        <v>1.72397355751073</v>
      </c>
      <c r="R40" s="131" t="n">
        <f aca="false">((1659189/646272)*1.04)-T40</f>
        <v>1.98167740850862</v>
      </c>
      <c r="S40" s="131" t="n">
        <v>0</v>
      </c>
      <c r="T40" s="131" t="n">
        <f aca="false">(0.6244*1.06)*1.04</f>
        <v>0.68833856</v>
      </c>
      <c r="U40" s="357" t="n">
        <v>0</v>
      </c>
      <c r="V40" s="135" t="n">
        <v>316</v>
      </c>
      <c r="W40" s="135" t="n">
        <v>0.141</v>
      </c>
      <c r="X40" s="339" t="n">
        <f aca="false">M40-N40-O40-P40-Q40-R40-S40-T40-U40+V40+W40-AT40+AR40</f>
        <v>322.202010473981</v>
      </c>
      <c r="Y40" s="135" t="n">
        <f aca="false">X40-AO40</f>
        <v>322.202010473981</v>
      </c>
      <c r="Z40" s="107"/>
      <c r="AA40" s="135"/>
      <c r="AB40" s="107"/>
      <c r="AC40" s="107" t="n">
        <f aca="false">AS40-AS40</f>
        <v>0</v>
      </c>
      <c r="AD40" s="215"/>
      <c r="AE40" s="135" t="n">
        <v>0</v>
      </c>
      <c r="AF40" s="137" t="n">
        <v>1.7</v>
      </c>
      <c r="AG40" s="138" t="n">
        <v>1.3</v>
      </c>
      <c r="AH40" s="135" t="n">
        <v>13.8</v>
      </c>
      <c r="AI40" s="107" t="n">
        <f aca="false">AI39-AH40</f>
        <v>3448.73684762418</v>
      </c>
      <c r="AJ40" s="107"/>
      <c r="AK40" s="134" t="n">
        <f aca="false">N40+O40+P40+Q40+R40+S40+T40+U40+X40+AE40+AH40-AR40</f>
        <v>364.441</v>
      </c>
      <c r="AL40" s="135" t="n">
        <f aca="false">IF(L40&lt;0,L40*-1,0)</f>
        <v>0</v>
      </c>
      <c r="AM40" s="135" t="n">
        <f aca="false">AK40+AL40</f>
        <v>364.441</v>
      </c>
      <c r="AN40" s="220" t="n">
        <f aca="false">V40</f>
        <v>316</v>
      </c>
      <c r="AO40" s="215"/>
      <c r="AP40" s="502" t="n">
        <f aca="false">IF((I40-Q40-R40-X40-AF40)&gt;0,0,I40-Q40-R40-X40-AF40)</f>
        <v>0</v>
      </c>
      <c r="AQ40" s="158" t="n">
        <f aca="false">42.608*(Z40*1.9835+AC40*1.9835)/E40</f>
        <v>0</v>
      </c>
      <c r="AR40" s="158"/>
      <c r="AS40" s="135"/>
      <c r="AU40" s="179" t="n">
        <f aca="false">O40</f>
        <v>24.045</v>
      </c>
      <c r="AV40" s="222" t="n">
        <v>0.01</v>
      </c>
      <c r="AW40" s="215" t="n">
        <v>76</v>
      </c>
      <c r="AX40" s="215" t="n">
        <v>50</v>
      </c>
      <c r="AY40" s="299"/>
      <c r="AZ40" s="250" t="n">
        <f aca="false">SUM(N40,P40:U40)</f>
        <v>4.39398952601935</v>
      </c>
      <c r="BA40" s="176" t="n">
        <v>0.611</v>
      </c>
      <c r="BB40" s="274" t="n">
        <v>5937</v>
      </c>
    </row>
    <row r="41" customFormat="false" ht="12.95" hidden="false" customHeight="true" outlineLevel="0" collapsed="false">
      <c r="A41" s="183" t="n">
        <v>27</v>
      </c>
      <c r="B41" s="106" t="n">
        <v>6864.66</v>
      </c>
      <c r="C41" s="107" t="n">
        <v>174115</v>
      </c>
      <c r="D41" s="215" t="n">
        <f aca="false">C41-C40</f>
        <v>74</v>
      </c>
      <c r="E41" s="107" t="n">
        <f aca="false">C41-152000</f>
        <v>22115</v>
      </c>
      <c r="F41" s="246" t="n">
        <f aca="false">D41/$D$2</f>
        <v>37.3077892614066</v>
      </c>
      <c r="G41" s="135" t="n">
        <v>438</v>
      </c>
      <c r="H41" s="247" t="n">
        <v>0</v>
      </c>
      <c r="I41" s="135" t="n">
        <f aca="false">G41+H41</f>
        <v>438</v>
      </c>
      <c r="J41" s="136" t="n">
        <f aca="false">IF(L41&gt;0,L41,0)</f>
        <v>0</v>
      </c>
      <c r="K41" s="135" t="n">
        <f aca="false">I41+J41</f>
        <v>438</v>
      </c>
      <c r="L41" s="135" t="n">
        <f aca="false">F41-(I41-AK41)</f>
        <v>-31.2102107385934</v>
      </c>
      <c r="M41" s="248" t="n">
        <v>39.4</v>
      </c>
      <c r="N41" s="158"/>
      <c r="O41" s="135" t="n">
        <f aca="false">30*1.05</f>
        <v>31.5</v>
      </c>
      <c r="P41" s="158" t="n">
        <v>0</v>
      </c>
      <c r="Q41" s="338" t="n">
        <f aca="false">982500/325851/1.9835*1.02</f>
        <v>1.55053462125073</v>
      </c>
      <c r="R41" s="131" t="n">
        <f aca="false">((1645940/646272)*1.04)-T41</f>
        <v>2.09694408619529</v>
      </c>
      <c r="S41" s="131" t="n">
        <v>0</v>
      </c>
      <c r="T41" s="131" t="n">
        <f aca="false">(0.5005*1.06)*1.04</f>
        <v>0.5517512</v>
      </c>
      <c r="U41" s="357" t="n">
        <v>0</v>
      </c>
      <c r="V41" s="135" t="n">
        <v>316</v>
      </c>
      <c r="W41" s="135" t="n">
        <v>0.082</v>
      </c>
      <c r="X41" s="339" t="n">
        <f aca="false">M41-N41-O41-P41-Q41-R41-S41-T41-U41+V41+W41-AT41+AR41</f>
        <v>319.782770092554</v>
      </c>
      <c r="Y41" s="135" t="n">
        <f aca="false">X41-AO41</f>
        <v>319.782770092554</v>
      </c>
      <c r="Z41" s="107"/>
      <c r="AA41" s="135"/>
      <c r="AB41" s="107"/>
      <c r="AC41" s="107" t="n">
        <f aca="false">AS41-AS41</f>
        <v>0</v>
      </c>
      <c r="AD41" s="215"/>
      <c r="AE41" s="135" t="n">
        <v>0</v>
      </c>
      <c r="AF41" s="137" t="n">
        <v>1.7</v>
      </c>
      <c r="AG41" s="138" t="n">
        <v>1.3</v>
      </c>
      <c r="AH41" s="135" t="n">
        <v>14</v>
      </c>
      <c r="AI41" s="107" t="n">
        <f aca="false">AI40-AH41</f>
        <v>3434.73684762418</v>
      </c>
      <c r="AJ41" s="107"/>
      <c r="AK41" s="134" t="n">
        <f aca="false">N41+O41+P41+Q41+R41+S41+T41+U41+X41+AE41+AH41-AR41</f>
        <v>369.482</v>
      </c>
      <c r="AL41" s="135" t="n">
        <f aca="false">IF(L41&lt;0,L41*-1,0)</f>
        <v>31.2102107385934</v>
      </c>
      <c r="AM41" s="135" t="n">
        <f aca="false">AK41+AL41</f>
        <v>400.692210738593</v>
      </c>
      <c r="AN41" s="220" t="n">
        <f aca="false">V41</f>
        <v>316</v>
      </c>
      <c r="AO41" s="215"/>
      <c r="AP41" s="502" t="n">
        <f aca="false">IF((I41-Q41-R41-X41-AF41)&gt;0,0,I41-Q41-R41-X41-AF41)</f>
        <v>0</v>
      </c>
      <c r="AQ41" s="158" t="n">
        <f aca="false">0*(Z41*1.9835+AC41*1.9835)/E41</f>
        <v>0</v>
      </c>
      <c r="AR41" s="158"/>
      <c r="AS41" s="135"/>
      <c r="AU41" s="179" t="n">
        <f aca="false">O41</f>
        <v>31.5</v>
      </c>
      <c r="AV41" s="222" t="n">
        <v>0.23</v>
      </c>
      <c r="AW41" s="215" t="n">
        <v>57</v>
      </c>
      <c r="AX41" s="215" t="n">
        <v>38</v>
      </c>
      <c r="AY41" s="299"/>
      <c r="AZ41" s="250" t="n">
        <f aca="false">SUM(N41,P41:U41)</f>
        <v>4.19922990744601</v>
      </c>
      <c r="BA41" s="176" t="n">
        <v>0.394</v>
      </c>
      <c r="BB41" s="274" t="n">
        <v>5961</v>
      </c>
    </row>
    <row r="42" customFormat="false" ht="12.95" hidden="false" customHeight="true" outlineLevel="0" collapsed="false">
      <c r="A42" s="183" t="n">
        <v>28</v>
      </c>
      <c r="B42" s="106" t="n">
        <v>6864.69</v>
      </c>
      <c r="C42" s="107" t="n">
        <v>174188</v>
      </c>
      <c r="D42" s="215" t="n">
        <f aca="false">C42-C41</f>
        <v>73</v>
      </c>
      <c r="E42" s="107" t="n">
        <f aca="false">C42-152000</f>
        <v>22188</v>
      </c>
      <c r="F42" s="246" t="n">
        <f aca="false">D42/$D$2</f>
        <v>36.8036299470633</v>
      </c>
      <c r="G42" s="135" t="n">
        <v>404</v>
      </c>
      <c r="H42" s="247" t="n">
        <v>0</v>
      </c>
      <c r="I42" s="135" t="n">
        <f aca="false">G42+H42</f>
        <v>404</v>
      </c>
      <c r="J42" s="136" t="n">
        <f aca="false">IF(L42&gt;0,L42,0)</f>
        <v>0</v>
      </c>
      <c r="K42" s="135" t="n">
        <f aca="false">I42+J42</f>
        <v>404</v>
      </c>
      <c r="L42" s="135" t="n">
        <f aca="false">F42-(I42-AK42)</f>
        <v>-6.05937005293673</v>
      </c>
      <c r="M42" s="248" t="n">
        <v>33.1</v>
      </c>
      <c r="N42" s="158"/>
      <c r="O42" s="135" t="n">
        <f aca="false">30.1*1.05</f>
        <v>31.605</v>
      </c>
      <c r="P42" s="158" t="n">
        <v>0</v>
      </c>
      <c r="Q42" s="338" t="n">
        <f aca="false">1008400/325851/1.9835*1.02</f>
        <v>1.59140876546487</v>
      </c>
      <c r="R42" s="131" t="n">
        <f aca="false">((1633856/646272)*1.04)-T42</f>
        <v>2.07749815630818</v>
      </c>
      <c r="S42" s="131" t="n">
        <v>0</v>
      </c>
      <c r="T42" s="131" t="n">
        <f aca="false">(0.5005*1.06)*1.04</f>
        <v>0.5517512</v>
      </c>
      <c r="U42" s="357" t="n">
        <v>0</v>
      </c>
      <c r="V42" s="135" t="n">
        <v>314</v>
      </c>
      <c r="W42" s="135" t="n">
        <v>0.137</v>
      </c>
      <c r="X42" s="339" t="n">
        <f aca="false">M42-N42-O42-P42-Q42-R42-S42-T42-U42+V42+W42-AT42+AR42</f>
        <v>311.411341878227</v>
      </c>
      <c r="Y42" s="135" t="n">
        <f aca="false">X42-AO42</f>
        <v>311.411341878227</v>
      </c>
      <c r="Z42" s="107"/>
      <c r="AA42" s="135"/>
      <c r="AB42" s="107"/>
      <c r="AC42" s="107" t="n">
        <f aca="false">AS42-AS42</f>
        <v>0</v>
      </c>
      <c r="AD42" s="215"/>
      <c r="AE42" s="135" t="n">
        <v>0</v>
      </c>
      <c r="AF42" s="137" t="n">
        <v>1.7</v>
      </c>
      <c r="AG42" s="138" t="n">
        <v>1.3</v>
      </c>
      <c r="AH42" s="135" t="n">
        <v>13.9</v>
      </c>
      <c r="AI42" s="107" t="n">
        <f aca="false">AI41-AH42</f>
        <v>3420.83684762418</v>
      </c>
      <c r="AJ42" s="107"/>
      <c r="AK42" s="134" t="n">
        <f aca="false">N42+O42+P42+Q42+R42+S42+T42+U42+X42+AE42+AH42-AR42</f>
        <v>361.137</v>
      </c>
      <c r="AL42" s="135" t="n">
        <f aca="false">IF(L42&lt;0,L42*-1,0)</f>
        <v>6.05937005293673</v>
      </c>
      <c r="AM42" s="135" t="n">
        <f aca="false">AK42+AL42</f>
        <v>367.196370052937</v>
      </c>
      <c r="AN42" s="220" t="n">
        <f aca="false">V42</f>
        <v>314</v>
      </c>
      <c r="AO42" s="215"/>
      <c r="AP42" s="502" t="n">
        <f aca="false">IF((I42-Q42-R42-X42-AF42)&gt;0,0,I42-Q42-R42-X42-AF42)</f>
        <v>0</v>
      </c>
      <c r="AQ42" s="158" t="n">
        <f aca="false">8.81*(Z42*1.9835+AC42*1.9835)/E42</f>
        <v>0</v>
      </c>
      <c r="AR42" s="158"/>
      <c r="AS42" s="135"/>
      <c r="AU42" s="179" t="n">
        <f aca="false">O42</f>
        <v>31.605</v>
      </c>
      <c r="AV42" s="222" t="n">
        <v>0</v>
      </c>
      <c r="AW42" s="215" t="n">
        <v>63</v>
      </c>
      <c r="AX42" s="215" t="n">
        <v>32</v>
      </c>
      <c r="AY42" s="299"/>
      <c r="AZ42" s="250" t="n">
        <f aca="false">SUM(N42,P42:U42)</f>
        <v>4.22065812177305</v>
      </c>
      <c r="BA42" s="176" t="n">
        <v>0.557</v>
      </c>
      <c r="BB42" s="274" t="n">
        <v>5981</v>
      </c>
    </row>
    <row r="43" customFormat="false" ht="12.95" hidden="false" customHeight="true" outlineLevel="0" collapsed="false">
      <c r="A43" s="183" t="n">
        <v>29</v>
      </c>
      <c r="B43" s="106" t="n">
        <v>6864.72</v>
      </c>
      <c r="C43" s="107" t="n">
        <v>174262</v>
      </c>
      <c r="D43" s="215" t="n">
        <f aca="false">C43-C42</f>
        <v>74</v>
      </c>
      <c r="E43" s="107" t="n">
        <f aca="false">C43-152000</f>
        <v>22262</v>
      </c>
      <c r="F43" s="246" t="n">
        <f aca="false">D43/$D$2</f>
        <v>37.3077892614066</v>
      </c>
      <c r="G43" s="135" t="n">
        <v>353</v>
      </c>
      <c r="H43" s="247" t="n">
        <v>0</v>
      </c>
      <c r="I43" s="135" t="n">
        <f aca="false">G43+H43</f>
        <v>353</v>
      </c>
      <c r="J43" s="136" t="n">
        <f aca="false">IF(L43&gt;0,L43,0)</f>
        <v>30.6547892614066</v>
      </c>
      <c r="K43" s="135" t="n">
        <f aca="false">I43+J43</f>
        <v>383.654789261407</v>
      </c>
      <c r="L43" s="135" t="n">
        <f aca="false">F43-(I43-AK43)</f>
        <v>30.6547892614066</v>
      </c>
      <c r="M43" s="248" t="n">
        <v>23.4</v>
      </c>
      <c r="N43" s="158"/>
      <c r="O43" s="135" t="n">
        <f aca="false">29*1.05</f>
        <v>30.45</v>
      </c>
      <c r="P43" s="158" t="n">
        <v>0</v>
      </c>
      <c r="Q43" s="338" t="n">
        <f aca="false">1128100/325851/1.9835*1.02</f>
        <v>1.78031359413022</v>
      </c>
      <c r="R43" s="131" t="n">
        <f aca="false">((1702771/646272)*1.04)-T43</f>
        <v>2.18839821077441</v>
      </c>
      <c r="S43" s="131" t="n">
        <v>0</v>
      </c>
      <c r="T43" s="131" t="n">
        <f aca="false">(0.5005*1.06)*1.04</f>
        <v>0.5517512</v>
      </c>
      <c r="U43" s="357" t="n">
        <v>0</v>
      </c>
      <c r="V43" s="135" t="n">
        <v>309</v>
      </c>
      <c r="W43" s="135" t="n">
        <v>0.047</v>
      </c>
      <c r="X43" s="339" t="n">
        <f aca="false">M43-N43-O43-P43-Q43-R43-S43-T43-U43+V43+W43-AT43+AR43</f>
        <v>297.476536995095</v>
      </c>
      <c r="Y43" s="135" t="n">
        <f aca="false">X43-AO43</f>
        <v>297.476536995095</v>
      </c>
      <c r="Z43" s="107"/>
      <c r="AA43" s="135"/>
      <c r="AB43" s="107"/>
      <c r="AC43" s="107" t="n">
        <f aca="false">AS43-AS43</f>
        <v>0</v>
      </c>
      <c r="AD43" s="215"/>
      <c r="AE43" s="135" t="n">
        <v>0</v>
      </c>
      <c r="AF43" s="137" t="n">
        <v>1.7</v>
      </c>
      <c r="AG43" s="138" t="n">
        <v>1.3</v>
      </c>
      <c r="AH43" s="135" t="n">
        <v>13.9</v>
      </c>
      <c r="AI43" s="107" t="n">
        <f aca="false">AI42-AH43</f>
        <v>3406.93684762418</v>
      </c>
      <c r="AJ43" s="107"/>
      <c r="AK43" s="134" t="n">
        <f aca="false">N43+O43+P43+Q43+R43+S43+T43+U43+X43+AE43+AH43-AR43</f>
        <v>346.347</v>
      </c>
      <c r="AL43" s="135" t="n">
        <f aca="false">IF(L43&lt;0,L43*-1,0)</f>
        <v>0</v>
      </c>
      <c r="AM43" s="135" t="n">
        <f aca="false">AK43+AL43</f>
        <v>346.347</v>
      </c>
      <c r="AN43" s="220" t="n">
        <f aca="false">V43</f>
        <v>309</v>
      </c>
      <c r="AO43" s="215"/>
      <c r="AP43" s="502" t="n">
        <f aca="false">IF((I43-Q43-R43-X43-AF43)&gt;0,0,I43-Q43-R43-X43-AF43)</f>
        <v>0</v>
      </c>
      <c r="AQ43" s="158" t="n">
        <f aca="false">19.643*(Z43*1.9835+AC43*1.9835)/E43</f>
        <v>0</v>
      </c>
      <c r="AR43" s="158"/>
      <c r="AS43" s="135"/>
      <c r="AU43" s="179" t="n">
        <f aca="false">O43</f>
        <v>30.45</v>
      </c>
      <c r="AV43" s="222" t="n">
        <v>0</v>
      </c>
      <c r="AW43" s="215" t="n">
        <v>70</v>
      </c>
      <c r="AX43" s="215" t="n">
        <v>35</v>
      </c>
      <c r="AY43" s="299"/>
      <c r="AZ43" s="250" t="n">
        <f aca="false">SUM(N43,P43:U43)</f>
        <v>4.52046300490464</v>
      </c>
      <c r="BA43" s="176" t="n">
        <v>0.813</v>
      </c>
      <c r="BB43" s="274" t="n">
        <v>5997</v>
      </c>
    </row>
    <row r="44" customFormat="false" ht="12.95" hidden="false" customHeight="true" outlineLevel="0" collapsed="false">
      <c r="A44" s="183" t="n">
        <v>30</v>
      </c>
      <c r="B44" s="106" t="n">
        <v>6864.68</v>
      </c>
      <c r="C44" s="107" t="n">
        <v>174164</v>
      </c>
      <c r="D44" s="215" t="n">
        <f aca="false">C44-C43</f>
        <v>-98</v>
      </c>
      <c r="E44" s="107" t="n">
        <f aca="false">C44-152000</f>
        <v>22164</v>
      </c>
      <c r="F44" s="246" t="n">
        <f aca="false">D44/$D$2</f>
        <v>-49.4076128056466</v>
      </c>
      <c r="G44" s="135" t="n">
        <v>304</v>
      </c>
      <c r="H44" s="247" t="n">
        <v>0</v>
      </c>
      <c r="I44" s="135" t="n">
        <f aca="false">G44+H44</f>
        <v>304</v>
      </c>
      <c r="J44" s="136" t="n">
        <f aca="false">IF(L44&gt;0,L44,0)</f>
        <v>0</v>
      </c>
      <c r="K44" s="135" t="n">
        <f aca="false">I44+J44</f>
        <v>304</v>
      </c>
      <c r="L44" s="135" t="n">
        <f aca="false">F44-(I44-AK44)</f>
        <v>-18.0136128056466</v>
      </c>
      <c r="M44" s="248" t="n">
        <v>18.4</v>
      </c>
      <c r="N44" s="158"/>
      <c r="O44" s="135" t="n">
        <f aca="false">25.3*1.05</f>
        <v>26.565</v>
      </c>
      <c r="P44" s="158" t="n">
        <v>0</v>
      </c>
      <c r="Q44" s="338" t="n">
        <f aca="false">1256800/325851/1.9835*1.02</f>
        <v>1.98342179337192</v>
      </c>
      <c r="R44" s="131" t="n">
        <f aca="false">((1961585/646272)*1.04)-T44</f>
        <v>2.6048893476332</v>
      </c>
      <c r="S44" s="131" t="n">
        <v>0</v>
      </c>
      <c r="T44" s="131" t="n">
        <f aca="false">(0.5005*1.06)*1.04</f>
        <v>0.5517512</v>
      </c>
      <c r="U44" s="357" t="n">
        <v>0</v>
      </c>
      <c r="V44" s="135" t="n">
        <v>303</v>
      </c>
      <c r="W44" s="135" t="n">
        <v>0.094</v>
      </c>
      <c r="X44" s="339" t="n">
        <f aca="false">M44-N44-O44-P44-Q44-R44-S44-T44-U44+V44+W44-AT44+AR44</f>
        <v>289.788937658995</v>
      </c>
      <c r="Y44" s="135" t="n">
        <f aca="false">X44-AO44</f>
        <v>289.788937658995</v>
      </c>
      <c r="Z44" s="107"/>
      <c r="AA44" s="135"/>
      <c r="AB44" s="107"/>
      <c r="AC44" s="107" t="n">
        <f aca="false">AS44-AS44</f>
        <v>0</v>
      </c>
      <c r="AD44" s="215"/>
      <c r="AE44" s="135" t="n">
        <v>0</v>
      </c>
      <c r="AF44" s="137" t="n">
        <v>1.7</v>
      </c>
      <c r="AG44" s="138" t="n">
        <v>1.3</v>
      </c>
      <c r="AH44" s="135" t="n">
        <v>13.9</v>
      </c>
      <c r="AI44" s="107" t="n">
        <f aca="false">AI43-AH44</f>
        <v>3393.03684762418</v>
      </c>
      <c r="AJ44" s="107"/>
      <c r="AK44" s="134" t="n">
        <f aca="false">N44+O44+P44+Q44+R44+S44+T44+U44+X44+AE44+AH44-AR44</f>
        <v>335.394</v>
      </c>
      <c r="AL44" s="135" t="n">
        <f aca="false">IF(L44&lt;0,L44*-1,0)</f>
        <v>18.0136128056466</v>
      </c>
      <c r="AM44" s="135" t="n">
        <f aca="false">AK44+AL44</f>
        <v>353.407612805647</v>
      </c>
      <c r="AN44" s="220" t="n">
        <f aca="false">V44</f>
        <v>303</v>
      </c>
      <c r="AO44" s="215"/>
      <c r="AP44" s="502" t="n">
        <f aca="false">IF((I44-Q44-R44-X44-AF44)&gt;0,0,I44-Q44-R44-X44-AF44)</f>
        <v>0</v>
      </c>
      <c r="AQ44" s="158" t="n">
        <f aca="false">21.376*(Z44*1.9835+AC44*1.9835)/E44</f>
        <v>0</v>
      </c>
      <c r="AR44" s="158"/>
      <c r="AS44" s="135"/>
      <c r="AU44" s="179" t="n">
        <f aca="false">O44</f>
        <v>26.565</v>
      </c>
      <c r="AV44" s="222" t="n">
        <v>0</v>
      </c>
      <c r="AW44" s="501" t="n">
        <v>74</v>
      </c>
      <c r="AX44" s="215" t="n">
        <v>41</v>
      </c>
      <c r="AY44" s="299"/>
      <c r="AZ44" s="250" t="n">
        <f aca="false">SUM(N44,P44:U44)</f>
        <v>5.14006234100512</v>
      </c>
      <c r="BA44" s="176" t="n">
        <v>0.965</v>
      </c>
      <c r="BB44" s="274" t="n">
        <v>6012</v>
      </c>
    </row>
    <row r="45" customFormat="false" ht="3" hidden="false" customHeight="true" outlineLevel="0" collapsed="false">
      <c r="A45" s="231"/>
      <c r="B45" s="252"/>
      <c r="C45" s="233"/>
      <c r="D45" s="234"/>
      <c r="E45" s="233"/>
      <c r="F45" s="235"/>
      <c r="G45" s="234"/>
      <c r="H45" s="236"/>
      <c r="I45" s="234"/>
      <c r="J45" s="234"/>
      <c r="K45" s="234"/>
      <c r="L45" s="234"/>
      <c r="M45" s="237"/>
      <c r="N45" s="234"/>
      <c r="O45" s="234"/>
      <c r="P45" s="238"/>
      <c r="Q45" s="238"/>
      <c r="R45" s="238"/>
      <c r="S45" s="238"/>
      <c r="T45" s="238"/>
      <c r="U45" s="239"/>
      <c r="V45" s="234"/>
      <c r="W45" s="234"/>
      <c r="X45" s="234"/>
      <c r="Y45" s="234"/>
      <c r="Z45" s="233"/>
      <c r="AA45" s="234"/>
      <c r="AB45" s="233"/>
      <c r="AC45" s="233"/>
      <c r="AD45" s="233"/>
      <c r="AE45" s="234"/>
      <c r="AF45" s="120"/>
      <c r="AG45" s="121"/>
      <c r="AH45" s="234"/>
      <c r="AI45" s="234"/>
      <c r="AJ45" s="234"/>
      <c r="AK45" s="234"/>
      <c r="AL45" s="234"/>
      <c r="AM45" s="234"/>
      <c r="AN45" s="242"/>
      <c r="AO45" s="243"/>
      <c r="AP45" s="240"/>
      <c r="AQ45" s="238"/>
      <c r="AR45" s="238"/>
      <c r="AS45" s="238"/>
      <c r="AT45" s="238"/>
      <c r="AU45" s="240"/>
      <c r="AV45" s="245"/>
      <c r="AW45" s="243"/>
      <c r="AX45" s="243"/>
      <c r="AY45" s="243"/>
      <c r="AZ45" s="243"/>
      <c r="BA45" s="243"/>
      <c r="BB45" s="243"/>
    </row>
    <row r="46" customFormat="false" ht="12.95" hidden="false" customHeight="true" outlineLevel="0" collapsed="false">
      <c r="A46" s="185" t="s">
        <v>101</v>
      </c>
      <c r="B46" s="213"/>
      <c r="C46" s="107"/>
      <c r="D46" s="107"/>
      <c r="E46" s="107"/>
      <c r="F46" s="214" t="n">
        <f aca="false">SUM(F15:F44)</f>
        <v>5294.17695991933</v>
      </c>
      <c r="G46" s="107" t="n">
        <f aca="false">SUM(G15:G44)</f>
        <v>12772</v>
      </c>
      <c r="H46" s="107" t="n">
        <f aca="false">SUM(H15:H44)</f>
        <v>0.01</v>
      </c>
      <c r="I46" s="107" t="n">
        <f aca="false">SUM(I15:I44)</f>
        <v>12772.01</v>
      </c>
      <c r="J46" s="107" t="n">
        <f aca="false">SUM(J15:J44)</f>
        <v>1241.16886841442</v>
      </c>
      <c r="K46" s="107" t="n">
        <f aca="false">SUM(K15:K44)</f>
        <v>14013.1788684144</v>
      </c>
      <c r="L46" s="107" t="n">
        <f aca="false">SUM(L15:L44)</f>
        <v>536.990959919334</v>
      </c>
      <c r="M46" s="216" t="n">
        <f aca="false">SUM(M15:M44)</f>
        <v>2507.1</v>
      </c>
      <c r="N46" s="107" t="n">
        <f aca="false">SUM(N15:N44)</f>
        <v>0</v>
      </c>
      <c r="O46" s="107" t="n">
        <f aca="false">SUM(O15:O44)</f>
        <v>202.0767</v>
      </c>
      <c r="P46" s="158" t="n">
        <f aca="false">SUM(P15:P44)</f>
        <v>0</v>
      </c>
      <c r="Q46" s="215" t="n">
        <f aca="false">SUM(Q15:Q44)</f>
        <v>58.1777949568422</v>
      </c>
      <c r="R46" s="215" t="n">
        <f aca="false">SUM(R15:R44)</f>
        <v>80.9205747294197</v>
      </c>
      <c r="S46" s="215" t="n">
        <f aca="false">SUM(S15:S44)</f>
        <v>2.28829248</v>
      </c>
      <c r="T46" s="215" t="n">
        <f aca="false">SUM(T15:T44)</f>
        <v>22.77988336</v>
      </c>
      <c r="U46" s="217" t="n">
        <f aca="false">SUM(U15:U44)</f>
        <v>0</v>
      </c>
      <c r="V46" s="107" t="n">
        <f aca="false">SUM(V15:V44)</f>
        <v>3886.6</v>
      </c>
      <c r="W46" s="107" t="n">
        <f aca="false">SUM(W15:W44)</f>
        <v>1184.154</v>
      </c>
      <c r="X46" s="107" t="n">
        <f aca="false">SUM(X15:X44)</f>
        <v>7211.61075447374</v>
      </c>
      <c r="Y46" s="107" t="n">
        <f aca="false">SUM(Y15:Y44)</f>
        <v>7211.61075447374</v>
      </c>
      <c r="Z46" s="107"/>
      <c r="AA46" s="107"/>
      <c r="AB46" s="107"/>
      <c r="AC46" s="107"/>
      <c r="AE46" s="107" t="n">
        <f aca="false">SUM(AE15:AE44)</f>
        <v>22.17</v>
      </c>
      <c r="AF46" s="216" t="n">
        <f aca="false">SUM(AF15:AF44)</f>
        <v>51</v>
      </c>
      <c r="AG46" s="218" t="n">
        <f aca="false">SUM(AG15:AG44)</f>
        <v>39</v>
      </c>
      <c r="AH46" s="107" t="n">
        <f aca="false">SUM(AH15:AH44)</f>
        <v>414.8</v>
      </c>
      <c r="AI46" s="107"/>
      <c r="AJ46" s="107" t="n">
        <f aca="false">SUM(AJ15:AJ44)</f>
        <v>0</v>
      </c>
      <c r="AK46" s="107" t="n">
        <f aca="false">SUM(AK15:AK44)</f>
        <v>8014.824</v>
      </c>
      <c r="AL46" s="107" t="n">
        <f aca="false">SUM(AL15:AL44)</f>
        <v>704.177908495085</v>
      </c>
      <c r="AM46" s="504" t="n">
        <f aca="false">SUM(AM15:AM44)</f>
        <v>8719.00190849509</v>
      </c>
      <c r="AN46" s="107" t="n">
        <f aca="false">SUM(AN15:AN44)</f>
        <v>1852</v>
      </c>
      <c r="AO46" s="107" t="n">
        <f aca="false">SUM(AO15:AO44)</f>
        <v>0</v>
      </c>
      <c r="AP46" s="136"/>
      <c r="AQ46" s="158"/>
      <c r="AR46" s="158" t="n">
        <f aca="false">SUM(AR15:AR44)</f>
        <v>0</v>
      </c>
      <c r="AS46" s="215" t="n">
        <f aca="false">SUM(AS15:AS44)</f>
        <v>0</v>
      </c>
      <c r="AT46" s="215" t="n">
        <f aca="false">SUM(AT15:AT44)</f>
        <v>0</v>
      </c>
      <c r="AU46" s="215" t="n">
        <f aca="false">SUM(AU15:AU44)</f>
        <v>202.0767</v>
      </c>
      <c r="AV46" s="222" t="n">
        <f aca="false">SUM(AV15:AV44)</f>
        <v>2.18</v>
      </c>
      <c r="AW46" s="215" t="n">
        <f aca="false">AVERAGE(AW15:AW44)</f>
        <v>77.6</v>
      </c>
      <c r="AX46" s="215" t="n">
        <f aca="false">AVERAGE(AX15:AX44)</f>
        <v>49.1</v>
      </c>
      <c r="AY46" s="223" t="s">
        <v>126</v>
      </c>
      <c r="AZ46" s="340" t="n">
        <f aca="false">SUM(AZ15:AZ44)</f>
        <v>164.166545526262</v>
      </c>
      <c r="BA46" s="177" t="n">
        <f aca="false">SUM(BA14:BA44)</f>
        <v>23.254</v>
      </c>
      <c r="BB46" s="274"/>
    </row>
    <row r="47" customFormat="false" ht="12.95" hidden="false" customHeight="true" outlineLevel="0" collapsed="false">
      <c r="A47" s="185" t="s">
        <v>103</v>
      </c>
      <c r="B47" s="213"/>
      <c r="C47" s="107"/>
      <c r="D47" s="107" t="n">
        <f aca="false">SUM(D15:D44)</f>
        <v>10501</v>
      </c>
      <c r="E47" s="107"/>
      <c r="F47" s="214" t="n">
        <f aca="false">F46*$D$2</f>
        <v>10501</v>
      </c>
      <c r="G47" s="107" t="n">
        <f aca="false">G46*$D$2</f>
        <v>25333.262</v>
      </c>
      <c r="H47" s="107" t="n">
        <f aca="false">H46*$D$2</f>
        <v>0.019835</v>
      </c>
      <c r="I47" s="107" t="n">
        <f aca="false">I46*$D$2</f>
        <v>25333.281835</v>
      </c>
      <c r="J47" s="107" t="n">
        <f aca="false">J46*$D$2</f>
        <v>2461.8584505</v>
      </c>
      <c r="K47" s="107" t="n">
        <f aca="false">K46*$D$2</f>
        <v>27795.1402855</v>
      </c>
      <c r="L47" s="107" t="n">
        <f aca="false">L46*$D$2</f>
        <v>1065.121569</v>
      </c>
      <c r="M47" s="216" t="n">
        <f aca="false">M46*$D$2</f>
        <v>4972.83285</v>
      </c>
      <c r="N47" s="107" t="n">
        <f aca="false">N46*$D$2</f>
        <v>0</v>
      </c>
      <c r="O47" s="107" t="n">
        <f aca="false">O46*$D$2</f>
        <v>400.81913445</v>
      </c>
      <c r="P47" s="158" t="n">
        <f aca="false">P46*$D$2</f>
        <v>0</v>
      </c>
      <c r="Q47" s="215" t="n">
        <f aca="false">Q46*$D$2</f>
        <v>115.395656296896</v>
      </c>
      <c r="R47" s="215" t="n">
        <f aca="false">R46*$D$2</f>
        <v>160.505959975804</v>
      </c>
      <c r="S47" s="215" t="n">
        <f aca="false">S46*$D$2</f>
        <v>4.53882813408</v>
      </c>
      <c r="T47" s="215" t="n">
        <f aca="false">T46*$D$2</f>
        <v>45.18389864456</v>
      </c>
      <c r="U47" s="217" t="n">
        <f aca="false">U46*$D$2</f>
        <v>0</v>
      </c>
      <c r="V47" s="107" t="n">
        <f aca="false">V46*$D$2</f>
        <v>7709.0711</v>
      </c>
      <c r="W47" s="107" t="n">
        <f aca="false">W46*$D$2</f>
        <v>2348.769459</v>
      </c>
      <c r="X47" s="107" t="n">
        <f aca="false">X46*$D$2</f>
        <v>14304.2299314987</v>
      </c>
      <c r="Y47" s="107" t="n">
        <f aca="false">Y46*$D$2</f>
        <v>14304.2299314987</v>
      </c>
      <c r="Z47" s="107"/>
      <c r="AA47" s="107"/>
      <c r="AB47" s="107"/>
      <c r="AC47" s="107"/>
      <c r="AE47" s="107" t="n">
        <f aca="false">AE46*$D$2</f>
        <v>43.974195</v>
      </c>
      <c r="AF47" s="216" t="n">
        <f aca="false">AF46*$D$2</f>
        <v>101.1585</v>
      </c>
      <c r="AG47" s="218" t="n">
        <f aca="false">AG46*$D$2</f>
        <v>77.3565</v>
      </c>
      <c r="AH47" s="107" t="n">
        <f aca="false">AH46*$D$2</f>
        <v>822.7558</v>
      </c>
      <c r="AI47" s="107"/>
      <c r="AJ47" s="107" t="n">
        <f aca="false">AJ46*$D$2</f>
        <v>0</v>
      </c>
      <c r="AK47" s="107" t="n">
        <f aca="false">AK46*$D$2</f>
        <v>15897.403404</v>
      </c>
      <c r="AL47" s="107" t="n">
        <f aca="false">AL46*$D$2</f>
        <v>1396.7368815</v>
      </c>
      <c r="AM47" s="268" t="n">
        <f aca="false">AM46*$D$2</f>
        <v>17294.1402855</v>
      </c>
      <c r="AN47" s="107" t="n">
        <f aca="false">AN46*$D$2</f>
        <v>3673.442</v>
      </c>
      <c r="AO47" s="107" t="n">
        <f aca="false">AO46*$D$2</f>
        <v>0</v>
      </c>
      <c r="AP47" s="136"/>
      <c r="AQ47" s="158" t="n">
        <f aca="false">SUM(AQ15:AQ44)</f>
        <v>0</v>
      </c>
      <c r="AR47" s="136" t="n">
        <f aca="false">AR46*$D$2</f>
        <v>0</v>
      </c>
      <c r="AS47" s="215" t="n">
        <f aca="false">AS46*$D$2</f>
        <v>0</v>
      </c>
      <c r="AT47" s="215" t="n">
        <f aca="false">AT46*$D$2</f>
        <v>0</v>
      </c>
      <c r="AU47" s="215" t="n">
        <f aca="false">AU46*$D$2</f>
        <v>400.81913445</v>
      </c>
      <c r="AV47" s="222"/>
      <c r="AW47" s="215" t="n">
        <f aca="false">MAX(AW15:AW44)</f>
        <v>91</v>
      </c>
      <c r="AX47" s="215" t="n">
        <f aca="false">MAX(AX15:AX44)</f>
        <v>61</v>
      </c>
      <c r="AY47" s="223" t="s">
        <v>104</v>
      </c>
      <c r="AZ47" s="340" t="n">
        <f aca="false">AZ46*$D$2</f>
        <v>325.62434305134</v>
      </c>
      <c r="BA47" s="177" t="n">
        <f aca="false">BA46*$D$2</f>
        <v>46.124309</v>
      </c>
      <c r="BB47" s="274"/>
    </row>
    <row r="48" customFormat="false" ht="3" hidden="false" customHeight="true" outlineLevel="0" collapsed="false">
      <c r="A48" s="231"/>
      <c r="B48" s="252"/>
      <c r="C48" s="233"/>
      <c r="D48" s="233"/>
      <c r="E48" s="233"/>
      <c r="F48" s="257"/>
      <c r="G48" s="233"/>
      <c r="H48" s="233"/>
      <c r="I48" s="233"/>
      <c r="J48" s="233"/>
      <c r="K48" s="233"/>
      <c r="L48" s="233"/>
      <c r="M48" s="258"/>
      <c r="N48" s="233"/>
      <c r="O48" s="233"/>
      <c r="P48" s="238"/>
      <c r="Q48" s="243"/>
      <c r="R48" s="243"/>
      <c r="S48" s="243"/>
      <c r="T48" s="243"/>
      <c r="U48" s="239"/>
      <c r="V48" s="233"/>
      <c r="W48" s="233"/>
      <c r="X48" s="233"/>
      <c r="Y48" s="233"/>
      <c r="Z48" s="233"/>
      <c r="AA48" s="233"/>
      <c r="AB48" s="233"/>
      <c r="AC48" s="233"/>
      <c r="AD48" s="506"/>
      <c r="AE48" s="233"/>
      <c r="AF48" s="258"/>
      <c r="AG48" s="259"/>
      <c r="AH48" s="233"/>
      <c r="AI48" s="234"/>
      <c r="AJ48" s="233"/>
      <c r="AK48" s="233"/>
      <c r="AL48" s="233"/>
      <c r="AM48" s="233"/>
      <c r="AN48" s="261"/>
      <c r="AO48" s="233"/>
      <c r="AP48" s="240"/>
      <c r="AQ48" s="238"/>
      <c r="AR48" s="238"/>
      <c r="AS48" s="243"/>
      <c r="AT48" s="243"/>
      <c r="AU48" s="240"/>
      <c r="AV48" s="261"/>
      <c r="AW48" s="233"/>
      <c r="AX48" s="233"/>
      <c r="AY48" s="233"/>
      <c r="AZ48" s="233"/>
      <c r="BA48" s="233"/>
      <c r="BB48" s="233"/>
    </row>
    <row r="49" customFormat="false" ht="12.95" hidden="false" customHeight="true" outlineLevel="0" collapsed="false">
      <c r="A49" s="185" t="s">
        <v>105</v>
      </c>
      <c r="B49" s="213"/>
      <c r="C49" s="107"/>
      <c r="D49" s="107"/>
      <c r="E49" s="107"/>
      <c r="F49" s="214" t="n">
        <f aca="false">F12+F46</f>
        <v>-7160.07058230401</v>
      </c>
      <c r="G49" s="107" t="n">
        <f aca="false">G12+G46</f>
        <v>61225</v>
      </c>
      <c r="H49" s="107" t="n">
        <f aca="false">H12+H46</f>
        <v>91.67</v>
      </c>
      <c r="I49" s="107" t="n">
        <f aca="false">I12+I46</f>
        <v>61316.67</v>
      </c>
      <c r="J49" s="107" t="n">
        <f aca="false">J12+J46</f>
        <v>3077.79629402133</v>
      </c>
      <c r="K49" s="107" t="n">
        <f aca="false">K12+K46</f>
        <v>64394.4562940213</v>
      </c>
      <c r="L49" s="107" t="n">
        <f aca="false">L12+L46</f>
        <v>-1271.66572426009</v>
      </c>
      <c r="M49" s="216" t="n">
        <f aca="false">M12+M46</f>
        <v>28022.92</v>
      </c>
      <c r="N49" s="107" t="n">
        <f aca="false">N12+N46</f>
        <v>80.6602935</v>
      </c>
      <c r="O49" s="107" t="n">
        <f aca="false">O12+O46</f>
        <v>3288.38661875</v>
      </c>
      <c r="P49" s="158" t="n">
        <f aca="false">P12+P46</f>
        <v>14.3788</v>
      </c>
      <c r="Q49" s="215"/>
      <c r="R49" s="215"/>
      <c r="S49" s="215"/>
      <c r="T49" s="215"/>
      <c r="U49" s="217"/>
      <c r="V49" s="107" t="n">
        <f aca="false">V12+V46</f>
        <v>18230.3</v>
      </c>
      <c r="W49" s="107" t="n">
        <f aca="false">W12+W46</f>
        <v>9535.304</v>
      </c>
      <c r="X49" s="107" t="n">
        <f aca="false">X12+X46</f>
        <v>51681.0116199886</v>
      </c>
      <c r="Y49" s="107" t="n">
        <f aca="false">Y12+Y46</f>
        <v>51681.0116199886</v>
      </c>
      <c r="Z49" s="80"/>
      <c r="AA49" s="107"/>
      <c r="AB49" s="107"/>
      <c r="AC49" s="107"/>
      <c r="AE49" s="107" t="n">
        <f aca="false">AE12+AE46</f>
        <v>8416.68325654391</v>
      </c>
      <c r="AF49" s="216" t="n">
        <f aca="false">AF12+AF46</f>
        <v>311.1</v>
      </c>
      <c r="AG49" s="218" t="n">
        <f aca="false">AG12+AG46</f>
        <v>237.9</v>
      </c>
      <c r="AH49" s="107"/>
      <c r="AI49" s="107"/>
      <c r="AJ49" s="107" t="n">
        <f aca="false">AJ12+AJ46</f>
        <v>0</v>
      </c>
      <c r="AK49" s="107" t="n">
        <f aca="false">AK12+AK46</f>
        <v>67205.0648580439</v>
      </c>
      <c r="AL49" s="107" t="n">
        <f aca="false">AL12+AL46</f>
        <v>4349.46201828142</v>
      </c>
      <c r="AM49" s="107" t="n">
        <f aca="false">AM12+AM46</f>
        <v>71554.5268763253</v>
      </c>
      <c r="AN49" s="220"/>
      <c r="AO49" s="215"/>
      <c r="AP49" s="136"/>
      <c r="AQ49" s="158"/>
      <c r="AR49" s="136" t="n">
        <f aca="false">AR12+AR46</f>
        <v>608.016133098059</v>
      </c>
      <c r="AS49" s="215" t="n">
        <f aca="false">AS12+AS46</f>
        <v>777.256</v>
      </c>
      <c r="AT49" s="215" t="n">
        <f aca="false">AT12+AT46</f>
        <v>0</v>
      </c>
      <c r="AU49" s="215" t="n">
        <f aca="false">AU12+AU46</f>
        <v>666.9907</v>
      </c>
      <c r="AV49" s="222" t="s">
        <v>131</v>
      </c>
      <c r="AW49" s="215" t="n">
        <f aca="false">MIN(AW15:AW44)</f>
        <v>57</v>
      </c>
      <c r="AX49" s="215" t="n">
        <f aca="false">MIN(AX15:AX44)</f>
        <v>32</v>
      </c>
      <c r="AY49" s="223" t="s">
        <v>106</v>
      </c>
      <c r="AZ49" s="340" t="n">
        <f aca="false">AZ12+AZ46</f>
        <v>164.166545526262</v>
      </c>
      <c r="BA49" s="177" t="n">
        <f aca="false">BA11+BA46</f>
        <v>23.254</v>
      </c>
      <c r="BB49" s="274"/>
    </row>
    <row r="50" customFormat="false" ht="12.95" hidden="false" customHeight="true" outlineLevel="0" collapsed="false">
      <c r="A50" s="185" t="s">
        <v>107</v>
      </c>
      <c r="B50" s="213"/>
      <c r="C50" s="107"/>
      <c r="D50" s="107"/>
      <c r="E50" s="107"/>
      <c r="F50" s="214" t="n">
        <f aca="false">F49*$D$2</f>
        <v>-14202</v>
      </c>
      <c r="G50" s="107" t="n">
        <f aca="false">G49*$D$2</f>
        <v>121439.7875</v>
      </c>
      <c r="H50" s="107" t="n">
        <f aca="false">H49*$D$2</f>
        <v>181.827445</v>
      </c>
      <c r="I50" s="107" t="n">
        <f aca="false">I49*$D$2</f>
        <v>121621.614945</v>
      </c>
      <c r="J50" s="107" t="n">
        <f aca="false">J49*$D$2</f>
        <v>6104.80894919131</v>
      </c>
      <c r="K50" s="107" t="n">
        <f aca="false">K49*$D$2</f>
        <v>127726.404059191</v>
      </c>
      <c r="L50" s="107" t="n">
        <f aca="false">L49*$D$2</f>
        <v>-2522.34896406989</v>
      </c>
      <c r="M50" s="216" t="n">
        <f aca="false">M49*$D$2</f>
        <v>55583.46182</v>
      </c>
      <c r="N50" s="107" t="n">
        <f aca="false">N49*$D$2</f>
        <v>159.98969215725</v>
      </c>
      <c r="O50" s="107" t="n">
        <f aca="false">O49*$D$2</f>
        <v>6522.51485829063</v>
      </c>
      <c r="P50" s="158" t="n">
        <f aca="false">P49*$D$2</f>
        <v>28.5203498</v>
      </c>
      <c r="Q50" s="215"/>
      <c r="R50" s="215"/>
      <c r="S50" s="215"/>
      <c r="T50" s="215"/>
      <c r="U50" s="217"/>
      <c r="V50" s="107" t="n">
        <f aca="false">V49*$D$2</f>
        <v>36159.80005</v>
      </c>
      <c r="W50" s="107" t="n">
        <f aca="false">W49*$D$2</f>
        <v>18913.275484</v>
      </c>
      <c r="X50" s="107" t="n">
        <f aca="false">X49*$D$2</f>
        <v>102509.286548247</v>
      </c>
      <c r="Y50" s="107" t="n">
        <f aca="false">Y49*$D$2</f>
        <v>102509.286548247</v>
      </c>
      <c r="Z50" s="80"/>
      <c r="AA50" s="107"/>
      <c r="AB50" s="107"/>
      <c r="AC50" s="107"/>
      <c r="AE50" s="218" t="n">
        <f aca="false">AE49*$D$2</f>
        <v>16694.4912393549</v>
      </c>
      <c r="AF50" s="107" t="n">
        <f aca="false">AF49*$D$2</f>
        <v>617.06685</v>
      </c>
      <c r="AG50" s="218" t="n">
        <f aca="false">AG49*$D$2</f>
        <v>471.87465</v>
      </c>
      <c r="AH50" s="107"/>
      <c r="AI50" s="107"/>
      <c r="AJ50" s="107" t="n">
        <f aca="false">AJ49*$D$2</f>
        <v>0</v>
      </c>
      <c r="AK50" s="107" t="n">
        <f aca="false">AK49*$D$2</f>
        <v>133301.24614593</v>
      </c>
      <c r="AL50" s="107" t="n">
        <f aca="false">AL49*$D$2</f>
        <v>8627.1579132612</v>
      </c>
      <c r="AM50" s="107" t="n">
        <f aca="false">AM49*$D$2</f>
        <v>141928.404059191</v>
      </c>
      <c r="AN50" s="220"/>
      <c r="AO50" s="215"/>
      <c r="AP50" s="136"/>
      <c r="AQ50" s="158" t="n">
        <f aca="false">AQ12+AQ47</f>
        <v>2406.77884673469</v>
      </c>
      <c r="AR50" s="136" t="n">
        <f aca="false">AR49*$D$2</f>
        <v>1206</v>
      </c>
      <c r="AS50" s="215" t="n">
        <f aca="false">AS49*$D$2</f>
        <v>1541.687276</v>
      </c>
      <c r="AT50" s="215" t="n">
        <f aca="false">AT49*$D$2</f>
        <v>0</v>
      </c>
      <c r="AU50" s="215" t="n">
        <f aca="false">AU49*$D$2</f>
        <v>1322.97605345</v>
      </c>
      <c r="AV50" s="222" t="n">
        <f aca="false">AUG!AV51+AV46</f>
        <v>5.761</v>
      </c>
      <c r="AW50" s="215"/>
      <c r="AX50" s="215"/>
      <c r="AY50" s="299"/>
      <c r="AZ50" s="340" t="n">
        <f aca="false">AZ49*$D$2</f>
        <v>325.62434305134</v>
      </c>
      <c r="BA50" s="177" t="n">
        <f aca="false">BA49*$D$2</f>
        <v>46.124309</v>
      </c>
      <c r="BB50" s="274"/>
    </row>
    <row r="51" customFormat="false" ht="3" hidden="false" customHeight="true" outlineLevel="0" collapsed="false">
      <c r="A51" s="231"/>
      <c r="B51" s="252"/>
      <c r="C51" s="233"/>
      <c r="D51" s="233"/>
      <c r="E51" s="233"/>
      <c r="F51" s="257"/>
      <c r="G51" s="233"/>
      <c r="H51" s="243"/>
      <c r="I51" s="233"/>
      <c r="J51" s="233"/>
      <c r="K51" s="233"/>
      <c r="L51" s="233"/>
      <c r="M51" s="258"/>
      <c r="N51" s="233"/>
      <c r="O51" s="233"/>
      <c r="P51" s="238"/>
      <c r="Q51" s="243"/>
      <c r="R51" s="243"/>
      <c r="S51" s="243"/>
      <c r="T51" s="243"/>
      <c r="U51" s="239"/>
      <c r="V51" s="233"/>
      <c r="W51" s="233"/>
      <c r="X51" s="233"/>
      <c r="Y51" s="233"/>
      <c r="Z51" s="233"/>
      <c r="AA51" s="233"/>
      <c r="AB51" s="233"/>
      <c r="AC51" s="233"/>
      <c r="AD51" s="233"/>
      <c r="AE51" s="259"/>
      <c r="AF51" s="119"/>
      <c r="AG51" s="155"/>
      <c r="AH51" s="233"/>
      <c r="AI51" s="233"/>
      <c r="AJ51" s="233"/>
      <c r="AK51" s="233"/>
      <c r="AL51" s="233"/>
      <c r="AM51" s="233"/>
      <c r="AN51" s="245"/>
      <c r="AO51" s="263"/>
      <c r="AP51" s="240"/>
      <c r="AQ51" s="238"/>
      <c r="AR51" s="238"/>
      <c r="AS51" s="243"/>
      <c r="AT51" s="243"/>
      <c r="AU51" s="240"/>
      <c r="AV51" s="245"/>
      <c r="AW51" s="263"/>
      <c r="AX51" s="263"/>
      <c r="AY51" s="263"/>
      <c r="AZ51" s="263"/>
      <c r="BA51" s="263"/>
      <c r="BB51" s="263"/>
    </row>
    <row r="52" customFormat="false" ht="12.95" hidden="false" customHeight="true" outlineLevel="0" collapsed="false">
      <c r="A52" s="185" t="s">
        <v>108</v>
      </c>
      <c r="B52" s="213"/>
      <c r="C52" s="107"/>
      <c r="D52" s="107"/>
      <c r="E52" s="107"/>
      <c r="F52" s="214" t="n">
        <f aca="false">F13+F46</f>
        <v>-10582.8081673809</v>
      </c>
      <c r="G52" s="107" t="n">
        <f aca="false">G13+G46</f>
        <v>66378</v>
      </c>
      <c r="H52" s="215" t="n">
        <f aca="false">H13+H46</f>
        <v>146.16</v>
      </c>
      <c r="I52" s="107" t="n">
        <f aca="false">I13+I46</f>
        <v>66523.54</v>
      </c>
      <c r="J52" s="107" t="n">
        <f aca="false">J13+J46</f>
        <v>4802.83351106191</v>
      </c>
      <c r="K52" s="107" t="n">
        <f aca="false">K13+K46</f>
        <v>71326.3635110619</v>
      </c>
      <c r="L52" s="107" t="n">
        <f aca="false">L13+L46</f>
        <v>-319.307809336976</v>
      </c>
      <c r="M52" s="216" t="n">
        <f aca="false">M13+M46</f>
        <v>28924.83</v>
      </c>
      <c r="N52" s="107" t="n">
        <f aca="false">N13+N46</f>
        <v>80.6602935</v>
      </c>
      <c r="O52" s="107" t="n">
        <f aca="false">O13+O46</f>
        <v>3288.38661875</v>
      </c>
      <c r="P52" s="158"/>
      <c r="Q52" s="215" t="n">
        <f aca="false">Q13+Q46</f>
        <v>672.254441297085</v>
      </c>
      <c r="R52" s="215" t="n">
        <f aca="false">R13+R46</f>
        <v>898.13886528942</v>
      </c>
      <c r="S52" s="215" t="n">
        <f aca="false">S13+S46</f>
        <v>115.33202656</v>
      </c>
      <c r="T52" s="215" t="n">
        <f aca="false">T13+T46</f>
        <v>272.39785872</v>
      </c>
      <c r="U52" s="318" t="n">
        <f aca="false">U13+U46</f>
        <v>77.8630613803556</v>
      </c>
      <c r="V52" s="107" t="n">
        <f aca="false">V13+V46</f>
        <v>22587.52</v>
      </c>
      <c r="W52" s="107" t="n">
        <f aca="false">W13+W46</f>
        <v>9619.704</v>
      </c>
      <c r="X52" s="107" t="n">
        <f aca="false">X13+X46</f>
        <v>56320.6581676012</v>
      </c>
      <c r="Y52" s="107" t="n">
        <f aca="false">Y13+Y46</f>
        <v>55996.6957271726</v>
      </c>
      <c r="Z52" s="107"/>
      <c r="AA52" s="107"/>
      <c r="AB52" s="107"/>
      <c r="AC52" s="107"/>
      <c r="AD52" s="107"/>
      <c r="AE52" s="218"/>
      <c r="AF52" s="107" t="n">
        <f aca="false">AF13+AF46</f>
        <v>311.1</v>
      </c>
      <c r="AG52" s="218" t="n">
        <f aca="false">AG13+AG46</f>
        <v>237.9</v>
      </c>
      <c r="AH52" s="107" t="n">
        <f aca="false">AH13+AH46</f>
        <v>7230.3</v>
      </c>
      <c r="AI52" s="107" t="n">
        <f aca="false">AI44</f>
        <v>3393.03684762418</v>
      </c>
      <c r="AJ52" s="107" t="n">
        <f aca="false">AJ13+AJ46</f>
        <v>0</v>
      </c>
      <c r="AK52" s="107" t="n">
        <f aca="false">AK13+AK46</f>
        <v>76787.0303580439</v>
      </c>
      <c r="AL52" s="107" t="n">
        <f aca="false">AL13+AL46</f>
        <v>5122.14132039889</v>
      </c>
      <c r="AM52" s="504" t="n">
        <f aca="false">AM13+AM46</f>
        <v>81909.1716784428</v>
      </c>
      <c r="AN52" s="107" t="n">
        <f aca="false">AN13+AN46</f>
        <v>10755.4116944076</v>
      </c>
      <c r="AO52" s="107" t="n">
        <f aca="false">AO13+AO46</f>
        <v>323.962440428619</v>
      </c>
      <c r="AP52" s="136"/>
      <c r="AQ52" s="158"/>
      <c r="AR52" s="158"/>
      <c r="AS52" s="215"/>
      <c r="AT52" s="215"/>
      <c r="AV52" s="222" t="n">
        <f aca="false">AV13+AV46</f>
        <v>10.534</v>
      </c>
      <c r="AW52" s="215"/>
      <c r="AX52" s="215"/>
      <c r="AY52" s="299"/>
      <c r="AZ52" s="340" t="n">
        <f aca="false">AZ13+AZ46</f>
        <v>2131.02534674686</v>
      </c>
      <c r="BA52" s="177" t="n">
        <f aca="false">BA12+BA46</f>
        <v>2758.563</v>
      </c>
      <c r="BB52" s="274"/>
    </row>
    <row r="53" customFormat="false" ht="12.95" hidden="false" customHeight="true" outlineLevel="0" collapsed="false">
      <c r="A53" s="185" t="s">
        <v>109</v>
      </c>
      <c r="B53" s="213"/>
      <c r="C53" s="107"/>
      <c r="D53" s="107" t="n">
        <f aca="false">D13+D47</f>
        <v>-20991</v>
      </c>
      <c r="E53" s="107" t="n">
        <f aca="false">E44</f>
        <v>22164</v>
      </c>
      <c r="F53" s="214" t="n">
        <f aca="false">F52*$D$2</f>
        <v>-20991</v>
      </c>
      <c r="G53" s="107" t="n">
        <f aca="false">G52*$D$2</f>
        <v>131660.763</v>
      </c>
      <c r="H53" s="215" t="n">
        <f aca="false">H52*$D$2</f>
        <v>289.90836</v>
      </c>
      <c r="I53" s="107" t="n">
        <f aca="false">I52*$D$2</f>
        <v>131949.44159</v>
      </c>
      <c r="J53" s="107" t="n">
        <f aca="false">J52*$D$2</f>
        <v>9526.42026919131</v>
      </c>
      <c r="K53" s="107" t="n">
        <f aca="false">K52*$D$2</f>
        <v>141475.842024191</v>
      </c>
      <c r="L53" s="107" t="n">
        <f aca="false">L52*$D$2</f>
        <v>-633.347039819892</v>
      </c>
      <c r="M53" s="216" t="n">
        <f aca="false">M52*$D$2</f>
        <v>57372.400305</v>
      </c>
      <c r="N53" s="107" t="n">
        <f aca="false">N52*$D$2</f>
        <v>159.98969215725</v>
      </c>
      <c r="O53" s="107" t="n">
        <f aca="false">O52*$D$2</f>
        <v>6522.51485829063</v>
      </c>
      <c r="P53" s="158"/>
      <c r="Q53" s="215" t="n">
        <f aca="false">Q52*$D$2</f>
        <v>1333.41668431277</v>
      </c>
      <c r="R53" s="215" t="n">
        <f aca="false">R52*$D$2</f>
        <v>1781.45843930156</v>
      </c>
      <c r="S53" s="215" t="n">
        <f aca="false">S52*$D$2</f>
        <v>228.76107468176</v>
      </c>
      <c r="T53" s="215" t="n">
        <f aca="false">T52*$D$2</f>
        <v>540.30115277112</v>
      </c>
      <c r="U53" s="318" t="n">
        <f aca="false">U52*$D$2</f>
        <v>154.441382247935</v>
      </c>
      <c r="V53" s="107" t="n">
        <f aca="false">V52*$D$2</f>
        <v>44802.34592</v>
      </c>
      <c r="W53" s="107" t="n">
        <f aca="false">W52*$D$2</f>
        <v>19080.682884</v>
      </c>
      <c r="X53" s="107" t="n">
        <f aca="false">X52*$D$2</f>
        <v>111712.025475437</v>
      </c>
      <c r="Y53" s="107" t="n">
        <f aca="false">Y52*$D$2</f>
        <v>111069.445974847</v>
      </c>
      <c r="Z53" s="107"/>
      <c r="AA53" s="107"/>
      <c r="AB53" s="107"/>
      <c r="AC53" s="107"/>
      <c r="AD53" s="107"/>
      <c r="AE53" s="267"/>
      <c r="AF53" s="107" t="n">
        <f aca="false">AF52*$D$2</f>
        <v>617.06685</v>
      </c>
      <c r="AG53" s="267" t="n">
        <f aca="false">AG52*$D$2</f>
        <v>471.87465</v>
      </c>
      <c r="AH53" s="107" t="n">
        <f aca="false">AH52*$D$2</f>
        <v>14341.30005</v>
      </c>
      <c r="AI53" s="107" t="n">
        <f aca="false">AI52*$D$2</f>
        <v>6730.08858726255</v>
      </c>
      <c r="AJ53" s="107" t="n">
        <f aca="false">AJ52*$D$2</f>
        <v>0</v>
      </c>
      <c r="AK53" s="107" t="n">
        <f aca="false">AK52*$D$2</f>
        <v>152307.07471518</v>
      </c>
      <c r="AL53" s="107" t="n">
        <f aca="false">AL52*$D$2</f>
        <v>10159.7673090112</v>
      </c>
      <c r="AM53" s="214" t="n">
        <f aca="false">AM52*$D$2</f>
        <v>162466.842024191</v>
      </c>
      <c r="AN53" s="107" t="n">
        <f aca="false">AN52*$D$2</f>
        <v>21333.3590958575</v>
      </c>
      <c r="AO53" s="107" t="n">
        <f aca="false">AO52*$D$2</f>
        <v>642.579500590166</v>
      </c>
      <c r="AP53" s="136"/>
      <c r="AQ53" s="158" t="n">
        <f aca="false">AQ13+AQ47</f>
        <v>2406.77884673469</v>
      </c>
      <c r="AR53" s="158"/>
      <c r="AS53" s="215"/>
      <c r="AT53" s="215"/>
      <c r="AV53" s="222"/>
      <c r="AW53" s="215"/>
      <c r="AX53" s="215"/>
      <c r="AY53" s="299"/>
      <c r="AZ53" s="340" t="n">
        <f aca="false">AZ52*$D$2</f>
        <v>4226.8887752724</v>
      </c>
      <c r="BA53" s="177" t="n">
        <f aca="false">BA52*$D$2</f>
        <v>5471.6097105</v>
      </c>
      <c r="BB53" s="274"/>
    </row>
    <row r="54" customFormat="false" ht="3" hidden="false" customHeight="true" outlineLevel="0" collapsed="false">
      <c r="A54" s="231"/>
      <c r="B54" s="252"/>
      <c r="C54" s="233"/>
      <c r="D54" s="234"/>
      <c r="E54" s="233"/>
      <c r="F54" s="235"/>
      <c r="G54" s="234"/>
      <c r="H54" s="236"/>
      <c r="I54" s="234"/>
      <c r="J54" s="234"/>
      <c r="K54" s="234"/>
      <c r="L54" s="234"/>
      <c r="M54" s="237"/>
      <c r="N54" s="234"/>
      <c r="O54" s="234"/>
      <c r="P54" s="238"/>
      <c r="Q54" s="238"/>
      <c r="R54" s="238"/>
      <c r="S54" s="238"/>
      <c r="T54" s="238"/>
      <c r="U54" s="239"/>
      <c r="V54" s="234"/>
      <c r="W54" s="234"/>
      <c r="X54" s="234"/>
      <c r="Y54" s="234"/>
      <c r="Z54" s="233"/>
      <c r="AA54" s="234"/>
      <c r="AB54" s="233"/>
      <c r="AC54" s="233"/>
      <c r="AD54" s="233"/>
      <c r="AE54" s="234"/>
      <c r="AF54" s="114"/>
      <c r="AG54" s="165"/>
      <c r="AH54" s="234"/>
      <c r="AI54" s="233"/>
      <c r="AJ54" s="304"/>
      <c r="AK54" s="234"/>
      <c r="AL54" s="234"/>
      <c r="AM54" s="235"/>
      <c r="AN54" s="234"/>
      <c r="AO54" s="234"/>
      <c r="AP54" s="240"/>
      <c r="AQ54" s="238"/>
      <c r="AR54" s="238"/>
      <c r="AS54" s="238"/>
      <c r="AT54" s="238"/>
      <c r="AU54" s="240"/>
      <c r="AV54" s="252"/>
      <c r="AW54" s="234"/>
      <c r="AX54" s="234"/>
      <c r="AY54" s="234"/>
      <c r="AZ54" s="234"/>
      <c r="BA54" s="234"/>
      <c r="BB54" s="234"/>
    </row>
    <row r="55" customFormat="false" ht="11.1" hidden="false" customHeight="true" outlineLevel="0" collapsed="false">
      <c r="G55" s="186"/>
      <c r="I55" s="174"/>
      <c r="N55" s="2"/>
      <c r="W55" s="176"/>
      <c r="X55" s="1"/>
      <c r="Y55" s="1"/>
      <c r="Z55" s="177"/>
      <c r="AA55" s="1"/>
      <c r="AB55" s="177"/>
      <c r="AE55" s="179"/>
      <c r="AF55" s="179"/>
      <c r="AG55" s="179"/>
      <c r="AH55" s="177"/>
      <c r="AK55" s="176"/>
      <c r="AL55" s="176"/>
      <c r="AM55" s="8"/>
      <c r="AN55" s="180"/>
      <c r="AO55" s="180"/>
      <c r="AP55" s="327"/>
      <c r="AQ55" s="193"/>
      <c r="AR55" s="193"/>
      <c r="AV55" s="178"/>
      <c r="AW55" s="182"/>
      <c r="AX55" s="183"/>
    </row>
    <row r="56" customFormat="false" ht="11.1" hidden="false" customHeight="true" outlineLevel="0" collapsed="false">
      <c r="A56" s="185"/>
      <c r="B56" s="564"/>
      <c r="C56" s="2"/>
      <c r="D56" s="1"/>
      <c r="E56" s="383"/>
      <c r="F56" s="188"/>
      <c r="G56" s="1"/>
      <c r="H56" s="3"/>
      <c r="I56" s="12"/>
      <c r="J56" s="11"/>
      <c r="K56" s="174"/>
      <c r="L56" s="179"/>
      <c r="M56" s="11"/>
      <c r="N56" s="0"/>
      <c r="O56" s="2"/>
      <c r="P56" s="486"/>
      <c r="Q56" s="486"/>
      <c r="R56" s="93"/>
      <c r="S56" s="93"/>
      <c r="T56" s="93"/>
      <c r="U56" s="93"/>
      <c r="V56" s="26"/>
      <c r="W56" s="130"/>
      <c r="X56" s="90"/>
      <c r="Y56" s="90"/>
      <c r="Z56" s="177"/>
      <c r="AA56" s="90"/>
      <c r="AB56" s="177"/>
      <c r="AC56" s="84"/>
      <c r="AD56" s="84"/>
      <c r="AE56" s="2"/>
      <c r="AF56" s="2"/>
      <c r="AG56" s="2"/>
      <c r="AH56" s="11"/>
      <c r="AI56" s="2"/>
      <c r="AJ56" s="105"/>
      <c r="AK56" s="2"/>
      <c r="AL56" s="185"/>
      <c r="AM56" s="8"/>
      <c r="AN56" s="574"/>
      <c r="AO56" s="574"/>
      <c r="AP56" s="327"/>
      <c r="AQ56" s="385"/>
      <c r="AR56" s="385"/>
      <c r="AS56" s="194"/>
      <c r="AV56" s="182"/>
      <c r="AW56" s="182"/>
      <c r="AX56" s="182"/>
    </row>
    <row r="57" customFormat="false" ht="11.1" hidden="false" customHeight="true" outlineLevel="0" collapsed="false">
      <c r="B57" s="177"/>
      <c r="E57" s="383"/>
      <c r="F57" s="225"/>
      <c r="G57" s="1"/>
      <c r="H57" s="3"/>
      <c r="I57" s="1"/>
      <c r="J57" s="1"/>
      <c r="K57" s="384"/>
      <c r="L57" s="443"/>
      <c r="M57" s="4"/>
      <c r="N57" s="4"/>
      <c r="O57" s="90"/>
      <c r="R57" s="93"/>
      <c r="S57" s="93"/>
      <c r="T57" s="93"/>
      <c r="U57" s="93"/>
      <c r="V57" s="26"/>
      <c r="W57" s="26"/>
      <c r="X57" s="90"/>
      <c r="Y57" s="90"/>
      <c r="Z57" s="177"/>
      <c r="AA57" s="90"/>
      <c r="AB57" s="177"/>
      <c r="AE57" s="177"/>
      <c r="AF57" s="177"/>
      <c r="AG57" s="177"/>
      <c r="AH57" s="2"/>
      <c r="AI57" s="26"/>
      <c r="AJ57" s="487"/>
      <c r="AK57" s="26"/>
      <c r="AL57" s="176"/>
      <c r="AM57" s="8"/>
      <c r="AN57" s="180"/>
      <c r="AO57" s="180"/>
      <c r="AP57" s="327"/>
      <c r="AS57" s="194"/>
      <c r="AV57" s="182"/>
      <c r="AW57" s="182"/>
      <c r="AX57" s="183"/>
    </row>
    <row r="58" customFormat="false" ht="11.1" hidden="false" customHeight="true" outlineLevel="0" collapsed="false">
      <c r="D58" s="177"/>
      <c r="E58" s="383"/>
      <c r="F58" s="1"/>
      <c r="G58" s="1"/>
      <c r="H58" s="177"/>
      <c r="I58" s="1"/>
      <c r="J58" s="1"/>
      <c r="K58" s="384"/>
      <c r="L58" s="182"/>
      <c r="M58" s="4"/>
      <c r="N58" s="4"/>
      <c r="O58" s="182"/>
      <c r="W58" s="176"/>
      <c r="X58" s="1"/>
      <c r="Y58" s="1"/>
      <c r="Z58" s="182"/>
      <c r="AA58" s="1"/>
      <c r="AB58" s="182"/>
      <c r="AC58" s="182"/>
      <c r="AD58" s="182"/>
      <c r="AE58" s="177"/>
      <c r="AF58" s="177"/>
      <c r="AG58" s="177"/>
      <c r="AH58" s="2"/>
      <c r="AI58" s="177"/>
      <c r="AJ58" s="225"/>
      <c r="AK58" s="177"/>
      <c r="AL58" s="176"/>
      <c r="AM58" s="383"/>
      <c r="AN58" s="180"/>
      <c r="AO58" s="180"/>
      <c r="AP58" s="327"/>
      <c r="AS58" s="194"/>
      <c r="AV58" s="182"/>
      <c r="AW58" s="182"/>
      <c r="AX58" s="183"/>
    </row>
    <row r="59" customFormat="false" ht="11.1" hidden="false" customHeight="true" outlineLevel="0" collapsed="false">
      <c r="G59" s="273"/>
      <c r="O59" s="182"/>
      <c r="W59" s="176"/>
      <c r="X59" s="1"/>
      <c r="Y59" s="1"/>
      <c r="Z59" s="177"/>
      <c r="AA59" s="1"/>
      <c r="AB59" s="177"/>
      <c r="AH59" s="177"/>
      <c r="AK59" s="176"/>
      <c r="AL59" s="176"/>
      <c r="AM59" s="8"/>
      <c r="AN59" s="180"/>
      <c r="AO59" s="180"/>
      <c r="AP59" s="327"/>
      <c r="AS59" s="194"/>
      <c r="AV59" s="178"/>
      <c r="AW59" s="182"/>
      <c r="AX59" s="183"/>
    </row>
    <row r="60" customFormat="false" ht="11.1" hidden="false" customHeight="true" outlineLevel="0" collapsed="false">
      <c r="W60" s="176"/>
      <c r="X60" s="177"/>
      <c r="Y60" s="177"/>
      <c r="Z60" s="177"/>
      <c r="AA60" s="177"/>
      <c r="AB60" s="177"/>
      <c r="AH60" s="177"/>
      <c r="AK60" s="176"/>
      <c r="AL60" s="176"/>
      <c r="AM60" s="8"/>
      <c r="AN60" s="180"/>
      <c r="AO60" s="180"/>
      <c r="AS60" s="194"/>
      <c r="AV60" s="178"/>
      <c r="AW60" s="182"/>
      <c r="AX60" s="183"/>
    </row>
    <row r="61" customFormat="false" ht="11.1" hidden="false" customHeight="true" outlineLevel="0" collapsed="false">
      <c r="W61" s="176"/>
      <c r="X61" s="177"/>
      <c r="Y61" s="177"/>
      <c r="AA61" s="177"/>
      <c r="AC61" s="176"/>
      <c r="AD61" s="176"/>
      <c r="AH61" s="177"/>
      <c r="AK61" s="176"/>
      <c r="AL61" s="176"/>
      <c r="AM61" s="8"/>
      <c r="AQ61" s="193"/>
      <c r="AR61" s="193"/>
      <c r="AV61" s="178"/>
      <c r="AW61" s="182"/>
      <c r="AX61" s="183"/>
    </row>
  </sheetData>
  <mergeCells count="2">
    <mergeCell ref="K2:V2"/>
    <mergeCell ref="M5:U5"/>
  </mergeCells>
  <printOptions headings="true" gridLines="true" gridLinesSet="true" horizontalCentered="false" verticalCentered="true"/>
  <pageMargins left="0.25" right="0.25" top="0.25" bottom="0" header="0.511811023622047" footer="0.511811023622047"/>
  <pageSetup paperSize="3" scale="84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C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X15" activeCellId="0" sqref="X15"/>
    </sheetView>
  </sheetViews>
  <sheetFormatPr defaultColWidth="9.328125" defaultRowHeight="11.1" zeroHeight="false" outlineLevelRow="0" outlineLevelCol="0"/>
  <cols>
    <col collapsed="false" customWidth="true" hidden="false" outlineLevel="0" max="1" min="1" style="176" width="4.66"/>
    <col collapsed="false" customWidth="true" hidden="false" outlineLevel="0" max="2" min="2" style="176" width="6.99"/>
    <col collapsed="false" customWidth="true" hidden="false" outlineLevel="0" max="3" min="3" style="177" width="6.32"/>
    <col collapsed="false" customWidth="true" hidden="false" outlineLevel="0" max="4" min="4" style="176" width="6.32"/>
    <col collapsed="false" customWidth="true" hidden="false" outlineLevel="0" max="5" min="5" style="177" width="6.99"/>
    <col collapsed="false" customWidth="true" hidden="false" outlineLevel="0" max="6" min="6" style="176" width="7.32"/>
    <col collapsed="false" customWidth="true" hidden="false" outlineLevel="0" max="7" min="7" style="176" width="6.82"/>
    <col collapsed="false" customWidth="true" hidden="false" outlineLevel="0" max="8" min="8" style="575" width="5.66"/>
    <col collapsed="false" customWidth="true" hidden="false" outlineLevel="0" max="11" min="9" style="176" width="6.32"/>
    <col collapsed="false" customWidth="true" hidden="false" outlineLevel="0" max="12" min="12" style="176" width="6.82"/>
    <col collapsed="false" customWidth="true" hidden="false" outlineLevel="0" max="13" min="13" style="179" width="5.49"/>
    <col collapsed="false" customWidth="true" hidden="false" outlineLevel="0" max="14" min="14" style="179" width="4.49"/>
    <col collapsed="false" customWidth="true" hidden="false" outlineLevel="0" max="15" min="15" style="179" width="5.49"/>
    <col collapsed="false" customWidth="true" hidden="false" outlineLevel="0" max="16" min="16" style="8" width="4.82"/>
    <col collapsed="false" customWidth="true" hidden="false" outlineLevel="0" max="20" min="17" style="176" width="4.32"/>
    <col collapsed="false" customWidth="true" hidden="false" outlineLevel="0" max="21" min="21" style="8" width="5.16"/>
    <col collapsed="false" customWidth="true" hidden="false" outlineLevel="0" max="22" min="22" style="176" width="5.49"/>
    <col collapsed="false" customWidth="true" hidden="false" outlineLevel="0" max="23" min="23" style="177" width="5.49"/>
    <col collapsed="false" customWidth="true" hidden="false" outlineLevel="0" max="25" min="24" style="176" width="6.32"/>
    <col collapsed="false" customWidth="true" hidden="false" outlineLevel="0" max="26" min="26" style="176" width="5.49"/>
    <col collapsed="false" customWidth="true" hidden="false" outlineLevel="0" max="27" min="27" style="176" width="6.32"/>
    <col collapsed="false" customWidth="true" hidden="false" outlineLevel="0" max="28" min="28" style="176" width="5.49"/>
    <col collapsed="false" customWidth="true" hidden="false" outlineLevel="0" max="29" min="29" style="177" width="5.82"/>
    <col collapsed="false" customWidth="true" hidden="false" outlineLevel="0" max="30" min="30" style="177" width="5.49"/>
    <col collapsed="false" customWidth="true" hidden="false" outlineLevel="0" max="33" min="31" style="176" width="5.49"/>
    <col collapsed="false" customWidth="true" hidden="false" outlineLevel="0" max="34" min="34" style="176" width="6.32"/>
    <col collapsed="false" customWidth="true" hidden="false" outlineLevel="0" max="35" min="35" style="176" width="5.49"/>
    <col collapsed="false" customWidth="true" hidden="false" outlineLevel="0" max="36" min="36" style="180" width="6.32"/>
    <col collapsed="false" customWidth="true" hidden="false" outlineLevel="0" max="37" min="37" style="385" width="6.32"/>
    <col collapsed="false" customWidth="true" hidden="false" outlineLevel="0" max="39" min="38" style="288" width="6.82"/>
    <col collapsed="false" customWidth="true" hidden="false" outlineLevel="0" max="40" min="40" style="180" width="5.49"/>
    <col collapsed="false" customWidth="true" hidden="false" outlineLevel="0" max="41" min="41" style="327" width="5.49"/>
    <col collapsed="false" customWidth="true" hidden="false" outlineLevel="0" max="42" min="42" style="327" width="6.32"/>
    <col collapsed="false" customWidth="true" hidden="false" outlineLevel="0" max="43" min="43" style="385" width="6.32"/>
    <col collapsed="false" customWidth="true" hidden="false" outlineLevel="0" max="44" min="44" style="385" width="5.49"/>
    <col collapsed="false" customWidth="true" hidden="false" outlineLevel="0" max="45" min="45" style="385" width="4.32"/>
    <col collapsed="false" customWidth="true" hidden="false" outlineLevel="0" max="46" min="46" style="180" width="5.32"/>
    <col collapsed="false" customWidth="true" hidden="false" outlineLevel="0" max="47" min="47" style="180" width="5.82"/>
    <col collapsed="false" customWidth="true" hidden="false" outlineLevel="0" max="48" min="48" style="288" width="4.99"/>
    <col collapsed="false" customWidth="true" hidden="false" outlineLevel="0" max="49" min="49" style="412" width="5.32"/>
    <col collapsed="false" customWidth="true" hidden="false" outlineLevel="0" max="50" min="50" style="180" width="3.82"/>
    <col collapsed="false" customWidth="true" hidden="false" outlineLevel="0" max="51" min="51" style="385" width="3.82"/>
    <col collapsed="false" customWidth="true" hidden="false" outlineLevel="0" max="52" min="52" style="184" width="3.82"/>
    <col collapsed="false" customWidth="true" hidden="false" outlineLevel="0" max="53" min="53" style="184" width="5.49"/>
    <col collapsed="false" customWidth="false" hidden="false" outlineLevel="0" max="257" min="54" style="184" width="9.32"/>
  </cols>
  <sheetData>
    <row r="1" customFormat="false" ht="14.1" hidden="false" customHeight="true" outlineLevel="0" collapsed="false">
      <c r="A1" s="185"/>
      <c r="B1" s="185"/>
      <c r="D1" s="185"/>
      <c r="F1" s="185"/>
      <c r="G1" s="185"/>
      <c r="I1" s="185"/>
      <c r="J1" s="185"/>
      <c r="K1" s="187" t="s">
        <v>0</v>
      </c>
      <c r="L1" s="185"/>
      <c r="M1" s="185"/>
      <c r="N1" s="185"/>
      <c r="O1" s="185"/>
      <c r="Q1" s="185"/>
      <c r="R1" s="185"/>
      <c r="S1" s="185"/>
      <c r="T1" s="185"/>
      <c r="V1" s="185"/>
      <c r="W1" s="185"/>
      <c r="X1" s="177"/>
      <c r="Y1" s="177"/>
      <c r="Z1" s="185"/>
      <c r="AA1" s="177"/>
      <c r="AB1" s="185"/>
      <c r="AC1" s="185"/>
      <c r="AD1" s="185"/>
      <c r="AE1" s="185"/>
      <c r="AF1" s="185"/>
      <c r="AG1" s="185"/>
      <c r="AH1" s="177"/>
      <c r="AI1" s="185"/>
      <c r="AJ1" s="188"/>
      <c r="AK1" s="188"/>
      <c r="AL1" s="188"/>
      <c r="AM1" s="385"/>
      <c r="AN1" s="188"/>
      <c r="AW1" s="288"/>
      <c r="AX1" s="288"/>
      <c r="AY1" s="412"/>
    </row>
    <row r="2" customFormat="false" ht="14.1" hidden="false" customHeight="true" outlineLevel="0" collapsed="false">
      <c r="A2" s="188" t="s">
        <v>1</v>
      </c>
      <c r="B2" s="185"/>
      <c r="D2" s="189" t="n">
        <v>1.9835</v>
      </c>
      <c r="F2" s="185"/>
      <c r="G2" s="185"/>
      <c r="I2" s="185"/>
      <c r="J2" s="185"/>
      <c r="K2" s="190" t="s">
        <v>147</v>
      </c>
      <c r="L2" s="191"/>
      <c r="M2" s="192"/>
      <c r="N2" s="192"/>
      <c r="O2" s="192"/>
      <c r="P2" s="193"/>
      <c r="Q2" s="192"/>
      <c r="R2" s="192"/>
      <c r="S2" s="192"/>
      <c r="T2" s="192"/>
      <c r="U2" s="193"/>
      <c r="V2" s="192"/>
      <c r="W2" s="192"/>
      <c r="X2" s="84"/>
      <c r="Y2" s="84"/>
      <c r="Z2" s="192"/>
      <c r="AA2" s="84"/>
      <c r="AB2" s="192"/>
      <c r="AC2" s="192"/>
      <c r="AD2" s="192"/>
      <c r="AE2" s="185"/>
      <c r="AF2" s="185"/>
      <c r="AG2" s="185"/>
      <c r="AH2" s="177"/>
      <c r="AI2" s="185"/>
      <c r="AJ2" s="188"/>
      <c r="AK2" s="188"/>
      <c r="AL2" s="188"/>
      <c r="AM2" s="385"/>
      <c r="AN2" s="188"/>
      <c r="AW2" s="288"/>
      <c r="AX2" s="288"/>
      <c r="AY2" s="412"/>
    </row>
    <row r="3" customFormat="false" ht="14.1" hidden="false" customHeight="true" outlineLevel="0" collapsed="false">
      <c r="A3" s="195"/>
      <c r="B3" s="195"/>
      <c r="C3" s="196"/>
      <c r="D3" s="197"/>
      <c r="E3" s="196"/>
      <c r="F3" s="195"/>
      <c r="G3" s="195"/>
      <c r="H3" s="576"/>
      <c r="I3" s="195"/>
      <c r="J3" s="195"/>
      <c r="K3" s="195"/>
      <c r="L3" s="195"/>
      <c r="M3" s="195"/>
      <c r="N3" s="195"/>
      <c r="O3" s="195"/>
      <c r="P3" s="199"/>
      <c r="Q3" s="195"/>
      <c r="R3" s="195"/>
      <c r="S3" s="195"/>
      <c r="T3" s="195"/>
      <c r="U3" s="199"/>
      <c r="V3" s="195"/>
      <c r="W3" s="195"/>
      <c r="X3" s="196"/>
      <c r="Y3" s="196"/>
      <c r="Z3" s="195"/>
      <c r="AA3" s="196"/>
      <c r="AB3" s="195"/>
      <c r="AC3" s="195"/>
      <c r="AD3" s="195"/>
      <c r="AE3" s="195"/>
      <c r="AF3" s="195"/>
      <c r="AG3" s="195"/>
      <c r="AH3" s="196"/>
      <c r="AI3" s="195"/>
      <c r="AJ3" s="201"/>
      <c r="AK3" s="201"/>
      <c r="AL3" s="201"/>
      <c r="AM3" s="514"/>
      <c r="AN3" s="201"/>
      <c r="AO3" s="329"/>
      <c r="AP3" s="329"/>
      <c r="AQ3" s="514"/>
      <c r="AW3" s="291"/>
      <c r="AX3" s="291"/>
      <c r="AY3" s="513"/>
      <c r="BB3" s="577"/>
    </row>
    <row r="4" s="176" customFormat="true" ht="14.1" hidden="false" customHeight="true" outlineLevel="0" collapsed="false">
      <c r="A4" s="185"/>
      <c r="B4" s="389"/>
      <c r="C4" s="390"/>
      <c r="D4" s="391" t="s">
        <v>3</v>
      </c>
      <c r="E4" s="390"/>
      <c r="F4" s="566"/>
      <c r="G4" s="185"/>
      <c r="H4" s="186"/>
      <c r="I4" s="563" t="s">
        <v>4</v>
      </c>
      <c r="J4" s="185"/>
      <c r="K4" s="185"/>
      <c r="L4" s="394"/>
      <c r="M4" s="185"/>
      <c r="N4" s="185"/>
      <c r="O4" s="185"/>
      <c r="P4" s="8"/>
      <c r="Q4" s="8"/>
      <c r="R4" s="8"/>
      <c r="S4" s="8"/>
      <c r="T4" s="8"/>
      <c r="U4" s="8"/>
      <c r="V4" s="399"/>
      <c r="W4" s="185"/>
      <c r="X4" s="399" t="s">
        <v>5</v>
      </c>
      <c r="Y4" s="177"/>
      <c r="Z4" s="185"/>
      <c r="AA4" s="177"/>
      <c r="AB4" s="185"/>
      <c r="AC4" s="185"/>
      <c r="AD4" s="185"/>
      <c r="AE4" s="185"/>
      <c r="AF4" s="185"/>
      <c r="AG4" s="185"/>
      <c r="AH4" s="177"/>
      <c r="AI4" s="185"/>
      <c r="AJ4" s="188"/>
      <c r="AK4" s="188"/>
      <c r="AL4" s="188"/>
      <c r="AM4" s="385"/>
      <c r="AN4" s="578"/>
      <c r="AO4" s="327"/>
      <c r="AP4" s="579" t="s">
        <v>6</v>
      </c>
      <c r="AQ4" s="579"/>
      <c r="AR4" s="580"/>
      <c r="AS4" s="580"/>
      <c r="AT4" s="581"/>
      <c r="AU4" s="582"/>
      <c r="AV4" s="583"/>
      <c r="AW4" s="584"/>
      <c r="AX4" s="585" t="s">
        <v>7</v>
      </c>
      <c r="AY4" s="586"/>
      <c r="AZ4" s="404"/>
      <c r="BA4" s="405"/>
      <c r="BC4" s="404"/>
    </row>
    <row r="5" customFormat="false" ht="12.95" hidden="false" customHeight="true" outlineLevel="0" collapsed="false">
      <c r="A5" s="325" t="s">
        <v>8</v>
      </c>
      <c r="B5" s="406" t="s">
        <v>9</v>
      </c>
      <c r="C5" s="407" t="s">
        <v>9</v>
      </c>
      <c r="D5" s="325" t="s">
        <v>10</v>
      </c>
      <c r="E5" s="407" t="s">
        <v>11</v>
      </c>
      <c r="F5" s="325" t="s">
        <v>12</v>
      </c>
      <c r="G5" s="406" t="s">
        <v>13</v>
      </c>
      <c r="H5" s="408" t="s">
        <v>14</v>
      </c>
      <c r="I5" s="325" t="s">
        <v>15</v>
      </c>
      <c r="J5" s="325" t="s">
        <v>16</v>
      </c>
      <c r="K5" s="325" t="s">
        <v>17</v>
      </c>
      <c r="L5" s="325" t="s">
        <v>16</v>
      </c>
      <c r="M5" s="409" t="s">
        <v>18</v>
      </c>
      <c r="N5" s="409"/>
      <c r="O5" s="409"/>
      <c r="P5" s="409"/>
      <c r="Q5" s="409"/>
      <c r="R5" s="409"/>
      <c r="S5" s="409"/>
      <c r="T5" s="409"/>
      <c r="U5" s="409"/>
      <c r="V5" s="325" t="s">
        <v>19</v>
      </c>
      <c r="W5" s="325" t="s">
        <v>20</v>
      </c>
      <c r="X5" s="55" t="s">
        <v>17</v>
      </c>
      <c r="Y5" s="55" t="s">
        <v>17</v>
      </c>
      <c r="Z5" s="61" t="s">
        <v>21</v>
      </c>
      <c r="AA5" s="55" t="s">
        <v>21</v>
      </c>
      <c r="AB5" s="61" t="s">
        <v>21</v>
      </c>
      <c r="AC5" s="407" t="s">
        <v>22</v>
      </c>
      <c r="AD5" s="407" t="s">
        <v>21</v>
      </c>
      <c r="AE5" s="325" t="s">
        <v>23</v>
      </c>
      <c r="AF5" s="410" t="s">
        <v>128</v>
      </c>
      <c r="AG5" s="411"/>
      <c r="AH5" s="412" t="s">
        <v>25</v>
      </c>
      <c r="AI5" s="407" t="s">
        <v>129</v>
      </c>
      <c r="AJ5" s="407" t="s">
        <v>27</v>
      </c>
      <c r="AK5" s="325" t="s">
        <v>15</v>
      </c>
      <c r="AL5" s="325" t="s">
        <v>16</v>
      </c>
      <c r="AM5" s="325" t="s">
        <v>17</v>
      </c>
      <c r="AN5" s="456" t="s">
        <v>28</v>
      </c>
      <c r="AO5" s="61" t="s">
        <v>21</v>
      </c>
      <c r="AP5" s="67" t="s">
        <v>29</v>
      </c>
      <c r="AQ5" s="67" t="s">
        <v>29</v>
      </c>
      <c r="AR5" s="62" t="s">
        <v>30</v>
      </c>
      <c r="AS5" s="62" t="s">
        <v>21</v>
      </c>
      <c r="AT5" s="68" t="s">
        <v>31</v>
      </c>
      <c r="AU5" s="408" t="s">
        <v>32</v>
      </c>
      <c r="AV5" s="210" t="s">
        <v>33</v>
      </c>
      <c r="AW5" s="413" t="s">
        <v>34</v>
      </c>
      <c r="AX5" s="412" t="s">
        <v>35</v>
      </c>
      <c r="AY5" s="412" t="s">
        <v>36</v>
      </c>
      <c r="AZ5" s="299"/>
      <c r="BA5" s="295" t="s">
        <v>17</v>
      </c>
      <c r="BB5" s="69" t="s">
        <v>133</v>
      </c>
      <c r="BC5" s="458" t="s">
        <v>133</v>
      </c>
    </row>
    <row r="6" customFormat="false" ht="12.95" hidden="false" customHeight="true" outlineLevel="0" collapsed="false">
      <c r="A6" s="414" t="s">
        <v>148</v>
      </c>
      <c r="B6" s="406" t="s">
        <v>38</v>
      </c>
      <c r="C6" s="407"/>
      <c r="D6" s="325" t="s">
        <v>39</v>
      </c>
      <c r="E6" s="407" t="s">
        <v>40</v>
      </c>
      <c r="F6" s="325" t="s">
        <v>41</v>
      </c>
      <c r="G6" s="406" t="s">
        <v>42</v>
      </c>
      <c r="H6" s="408" t="s">
        <v>43</v>
      </c>
      <c r="I6" s="325" t="s">
        <v>44</v>
      </c>
      <c r="J6" s="325" t="s">
        <v>44</v>
      </c>
      <c r="K6" s="325" t="s">
        <v>44</v>
      </c>
      <c r="L6" s="325" t="s">
        <v>45</v>
      </c>
      <c r="M6" s="415" t="s">
        <v>46</v>
      </c>
      <c r="N6" s="69" t="s">
        <v>47</v>
      </c>
      <c r="O6" s="325" t="s">
        <v>48</v>
      </c>
      <c r="P6" s="69" t="s">
        <v>49</v>
      </c>
      <c r="Q6" s="58" t="s">
        <v>50</v>
      </c>
      <c r="R6" s="58" t="s">
        <v>51</v>
      </c>
      <c r="S6" s="58"/>
      <c r="T6" s="58" t="s">
        <v>48</v>
      </c>
      <c r="U6" s="416" t="s">
        <v>52</v>
      </c>
      <c r="V6" s="325" t="s">
        <v>53</v>
      </c>
      <c r="W6" s="325" t="s">
        <v>54</v>
      </c>
      <c r="X6" s="55" t="s">
        <v>21</v>
      </c>
      <c r="Y6" s="55" t="s">
        <v>21</v>
      </c>
      <c r="Z6" s="61" t="s">
        <v>55</v>
      </c>
      <c r="AA6" s="55" t="s">
        <v>55</v>
      </c>
      <c r="AB6" s="61" t="s">
        <v>56</v>
      </c>
      <c r="AC6" s="407" t="s">
        <v>57</v>
      </c>
      <c r="AD6" s="407" t="s">
        <v>58</v>
      </c>
      <c r="AE6" s="418" t="s">
        <v>59</v>
      </c>
      <c r="AF6" s="58" t="s">
        <v>60</v>
      </c>
      <c r="AG6" s="58" t="s">
        <v>61</v>
      </c>
      <c r="AH6" s="519" t="s">
        <v>62</v>
      </c>
      <c r="AI6" s="407" t="s">
        <v>63</v>
      </c>
      <c r="AJ6" s="407"/>
      <c r="AK6" s="325" t="s">
        <v>64</v>
      </c>
      <c r="AL6" s="325" t="s">
        <v>64</v>
      </c>
      <c r="AM6" s="325" t="s">
        <v>64</v>
      </c>
      <c r="AN6" s="456" t="s">
        <v>65</v>
      </c>
      <c r="AO6" s="61" t="s">
        <v>66</v>
      </c>
      <c r="AP6" s="67" t="s">
        <v>67</v>
      </c>
      <c r="AQ6" s="67" t="s">
        <v>67</v>
      </c>
      <c r="AR6" s="62" t="s">
        <v>68</v>
      </c>
      <c r="AS6" s="587" t="n">
        <v>0.3</v>
      </c>
      <c r="AT6" s="68" t="s">
        <v>69</v>
      </c>
      <c r="AU6" s="408" t="s">
        <v>70</v>
      </c>
      <c r="AV6" s="210" t="s">
        <v>71</v>
      </c>
      <c r="AW6" s="417"/>
      <c r="AX6" s="412" t="s">
        <v>72</v>
      </c>
      <c r="AY6" s="412" t="s">
        <v>72</v>
      </c>
      <c r="AZ6" s="299"/>
      <c r="BA6" s="295" t="s">
        <v>73</v>
      </c>
      <c r="BB6" s="69" t="s">
        <v>135</v>
      </c>
      <c r="BC6" s="458" t="s">
        <v>136</v>
      </c>
    </row>
    <row r="7" customFormat="false" ht="12.95" hidden="false" customHeight="true" outlineLevel="0" collapsed="false">
      <c r="A7" s="325"/>
      <c r="B7" s="406"/>
      <c r="C7" s="407"/>
      <c r="D7" s="325"/>
      <c r="E7" s="407"/>
      <c r="F7" s="325"/>
      <c r="G7" s="406"/>
      <c r="H7" s="408"/>
      <c r="I7" s="325"/>
      <c r="J7" s="325"/>
      <c r="K7" s="325"/>
      <c r="L7" s="325"/>
      <c r="M7" s="415"/>
      <c r="N7" s="69" t="s">
        <v>74</v>
      </c>
      <c r="O7" s="325" t="s">
        <v>75</v>
      </c>
      <c r="P7" s="69"/>
      <c r="Q7" s="58" t="s">
        <v>76</v>
      </c>
      <c r="R7" s="58" t="s">
        <v>76</v>
      </c>
      <c r="S7" s="58" t="s">
        <v>61</v>
      </c>
      <c r="T7" s="58" t="s">
        <v>61</v>
      </c>
      <c r="U7" s="416" t="s">
        <v>77</v>
      </c>
      <c r="V7" s="325"/>
      <c r="W7" s="325"/>
      <c r="X7" s="65" t="s">
        <v>78</v>
      </c>
      <c r="Y7" s="57" t="s">
        <v>79</v>
      </c>
      <c r="Z7" s="61" t="s">
        <v>80</v>
      </c>
      <c r="AA7" s="55" t="s">
        <v>81</v>
      </c>
      <c r="AB7" s="61" t="s">
        <v>82</v>
      </c>
      <c r="AC7" s="407"/>
      <c r="AD7" s="407"/>
      <c r="AE7" s="418"/>
      <c r="AF7" s="79" t="n">
        <v>1.7</v>
      </c>
      <c r="AG7" s="79" t="n">
        <v>1.3</v>
      </c>
      <c r="AH7" s="519"/>
      <c r="AI7" s="407"/>
      <c r="AJ7" s="407"/>
      <c r="AK7" s="325"/>
      <c r="AL7" s="325"/>
      <c r="AM7" s="325"/>
      <c r="AN7" s="456"/>
      <c r="AO7" s="61" t="s">
        <v>41</v>
      </c>
      <c r="AP7" s="67" t="s">
        <v>83</v>
      </c>
      <c r="AQ7" s="67" t="s">
        <v>84</v>
      </c>
      <c r="AR7" s="62" t="s">
        <v>85</v>
      </c>
      <c r="AS7" s="62" t="s">
        <v>149</v>
      </c>
      <c r="AT7" s="68" t="s">
        <v>86</v>
      </c>
      <c r="AU7" s="408" t="s">
        <v>87</v>
      </c>
      <c r="AV7" s="210" t="s">
        <v>88</v>
      </c>
      <c r="AW7" s="417"/>
      <c r="AX7" s="412"/>
      <c r="AY7" s="412"/>
      <c r="AZ7" s="299"/>
      <c r="BA7" s="295" t="s">
        <v>89</v>
      </c>
      <c r="BB7" s="8"/>
      <c r="BC7" s="274"/>
    </row>
    <row r="8" customFormat="false" ht="12.95" hidden="false" customHeight="true" outlineLevel="0" collapsed="false">
      <c r="A8" s="325"/>
      <c r="B8" s="406"/>
      <c r="C8" s="407"/>
      <c r="D8" s="325"/>
      <c r="E8" s="407"/>
      <c r="F8" s="325"/>
      <c r="G8" s="406"/>
      <c r="H8" s="408"/>
      <c r="I8" s="325"/>
      <c r="J8" s="325"/>
      <c r="K8" s="325"/>
      <c r="L8" s="325"/>
      <c r="M8" s="415"/>
      <c r="N8" s="69"/>
      <c r="O8" s="407"/>
      <c r="P8" s="69"/>
      <c r="Q8" s="58" t="s">
        <v>61</v>
      </c>
      <c r="R8" s="58" t="s">
        <v>61</v>
      </c>
      <c r="S8" s="58"/>
      <c r="T8" s="58"/>
      <c r="U8" s="416"/>
      <c r="V8" s="325"/>
      <c r="W8" s="325"/>
      <c r="X8" s="65" t="s">
        <v>90</v>
      </c>
      <c r="Y8" s="57" t="s">
        <v>78</v>
      </c>
      <c r="Z8" s="61"/>
      <c r="AA8" s="57" t="s">
        <v>91</v>
      </c>
      <c r="AB8" s="61" t="s">
        <v>92</v>
      </c>
      <c r="AC8" s="407"/>
      <c r="AD8" s="407"/>
      <c r="AE8" s="418"/>
      <c r="AF8" s="192"/>
      <c r="AG8" s="192"/>
      <c r="AH8" s="519"/>
      <c r="AI8" s="407"/>
      <c r="AJ8" s="407"/>
      <c r="AK8" s="325"/>
      <c r="AL8" s="325"/>
      <c r="AM8" s="325"/>
      <c r="AN8" s="456"/>
      <c r="AO8" s="61"/>
      <c r="AP8" s="67"/>
      <c r="AQ8" s="67"/>
      <c r="AR8" s="62"/>
      <c r="AS8" s="62" t="s">
        <v>150</v>
      </c>
      <c r="AT8" s="62"/>
      <c r="AU8" s="408"/>
      <c r="AV8" s="210"/>
      <c r="AW8" s="417"/>
      <c r="AX8" s="412"/>
      <c r="AY8" s="412"/>
      <c r="AZ8" s="299"/>
      <c r="BA8" s="295"/>
      <c r="BB8" s="8"/>
      <c r="BC8" s="274"/>
    </row>
    <row r="9" customFormat="false" ht="12.95" hidden="false" customHeight="true" outlineLevel="0" collapsed="false">
      <c r="A9" s="325"/>
      <c r="B9" s="406"/>
      <c r="C9" s="407"/>
      <c r="D9" s="325"/>
      <c r="E9" s="407"/>
      <c r="F9" s="325"/>
      <c r="G9" s="406"/>
      <c r="H9" s="408"/>
      <c r="I9" s="325"/>
      <c r="J9" s="325"/>
      <c r="K9" s="325"/>
      <c r="L9" s="325"/>
      <c r="M9" s="415"/>
      <c r="N9" s="69"/>
      <c r="O9" s="407"/>
      <c r="P9" s="69"/>
      <c r="Q9" s="58"/>
      <c r="R9" s="81" t="n">
        <v>4.2</v>
      </c>
      <c r="S9" s="58"/>
      <c r="T9" s="58"/>
      <c r="U9" s="416"/>
      <c r="V9" s="325"/>
      <c r="W9" s="325"/>
      <c r="X9" s="65"/>
      <c r="Y9" s="57" t="s">
        <v>90</v>
      </c>
      <c r="Z9" s="61"/>
      <c r="AA9" s="57" t="s">
        <v>90</v>
      </c>
      <c r="AB9" s="61" t="s">
        <v>93</v>
      </c>
      <c r="AC9" s="407"/>
      <c r="AD9" s="407"/>
      <c r="AE9" s="325"/>
      <c r="AF9" s="419"/>
      <c r="AG9" s="420"/>
      <c r="AH9" s="412"/>
      <c r="AI9" s="407"/>
      <c r="AJ9" s="407"/>
      <c r="AK9" s="325"/>
      <c r="AL9" s="325"/>
      <c r="AM9" s="325"/>
      <c r="AN9" s="456"/>
      <c r="AO9" s="61"/>
      <c r="AP9" s="67"/>
      <c r="AQ9" s="67"/>
      <c r="AR9" s="62"/>
      <c r="AS9" s="62"/>
      <c r="AT9" s="68"/>
      <c r="AU9" s="408"/>
      <c r="AV9" s="210"/>
      <c r="AW9" s="417"/>
      <c r="AX9" s="412"/>
      <c r="AY9" s="412"/>
      <c r="AZ9" s="299"/>
      <c r="BA9" s="295"/>
      <c r="BB9" s="8"/>
      <c r="BC9" s="458" t="s">
        <v>137</v>
      </c>
    </row>
    <row r="10" customFormat="false" ht="12.95" hidden="false" customHeight="true" outlineLevel="0" collapsed="false">
      <c r="A10" s="325"/>
      <c r="B10" s="406"/>
      <c r="C10" s="407" t="s">
        <v>10</v>
      </c>
      <c r="D10" s="325"/>
      <c r="E10" s="407" t="s">
        <v>95</v>
      </c>
      <c r="F10" s="325"/>
      <c r="G10" s="406" t="s">
        <v>41</v>
      </c>
      <c r="H10" s="408" t="s">
        <v>41</v>
      </c>
      <c r="I10" s="408" t="s">
        <v>41</v>
      </c>
      <c r="J10" s="408" t="s">
        <v>41</v>
      </c>
      <c r="K10" s="408" t="s">
        <v>41</v>
      </c>
      <c r="L10" s="408" t="s">
        <v>41</v>
      </c>
      <c r="M10" s="422" t="s">
        <v>41</v>
      </c>
      <c r="N10" s="408" t="s">
        <v>41</v>
      </c>
      <c r="O10" s="408" t="s">
        <v>41</v>
      </c>
      <c r="P10" s="408" t="s">
        <v>41</v>
      </c>
      <c r="Q10" s="58" t="s">
        <v>41</v>
      </c>
      <c r="R10" s="58" t="s">
        <v>41</v>
      </c>
      <c r="S10" s="58" t="s">
        <v>41</v>
      </c>
      <c r="T10" s="58" t="s">
        <v>41</v>
      </c>
      <c r="U10" s="421" t="s">
        <v>41</v>
      </c>
      <c r="V10" s="408" t="s">
        <v>41</v>
      </c>
      <c r="W10" s="408" t="s">
        <v>41</v>
      </c>
      <c r="X10" s="57" t="n">
        <v>153400</v>
      </c>
      <c r="Y10" s="57" t="n">
        <v>150400</v>
      </c>
      <c r="Z10" s="58" t="s">
        <v>41</v>
      </c>
      <c r="AA10" s="57"/>
      <c r="AB10" s="57" t="n">
        <v>72000</v>
      </c>
      <c r="AC10" s="408" t="s">
        <v>41</v>
      </c>
      <c r="AD10" s="408" t="s">
        <v>41</v>
      </c>
      <c r="AE10" s="408" t="s">
        <v>41</v>
      </c>
      <c r="AF10" s="422" t="s">
        <v>41</v>
      </c>
      <c r="AG10" s="421" t="s">
        <v>41</v>
      </c>
      <c r="AH10" s="408" t="s">
        <v>41</v>
      </c>
      <c r="AI10" s="408" t="s">
        <v>41</v>
      </c>
      <c r="AJ10" s="408" t="s">
        <v>41</v>
      </c>
      <c r="AK10" s="408" t="s">
        <v>41</v>
      </c>
      <c r="AL10" s="408" t="s">
        <v>41</v>
      </c>
      <c r="AM10" s="408" t="s">
        <v>41</v>
      </c>
      <c r="AN10" s="456" t="s">
        <v>41</v>
      </c>
      <c r="AO10" s="61" t="s">
        <v>41</v>
      </c>
      <c r="AP10" s="61" t="s">
        <v>41</v>
      </c>
      <c r="AQ10" s="67" t="s">
        <v>96</v>
      </c>
      <c r="AR10" s="62" t="s">
        <v>41</v>
      </c>
      <c r="AS10" s="62" t="s">
        <v>41</v>
      </c>
      <c r="AT10" s="61" t="s">
        <v>41</v>
      </c>
      <c r="AU10" s="61" t="s">
        <v>41</v>
      </c>
      <c r="AV10" s="61" t="s">
        <v>41</v>
      </c>
      <c r="AW10" s="417"/>
      <c r="AX10" s="412"/>
      <c r="AY10" s="412"/>
      <c r="AZ10" s="299"/>
      <c r="BA10" s="295" t="s">
        <v>97</v>
      </c>
      <c r="BB10" s="69" t="s">
        <v>41</v>
      </c>
      <c r="BC10" s="458" t="s">
        <v>95</v>
      </c>
    </row>
    <row r="11" customFormat="false" ht="12.95" hidden="false" customHeight="true" outlineLevel="0" collapsed="false">
      <c r="A11" s="325"/>
      <c r="B11" s="406"/>
      <c r="C11" s="407"/>
      <c r="D11" s="325"/>
      <c r="E11" s="407"/>
      <c r="F11" s="325"/>
      <c r="G11" s="406"/>
      <c r="H11" s="408"/>
      <c r="I11" s="325"/>
      <c r="J11" s="325"/>
      <c r="K11" s="325"/>
      <c r="L11" s="325"/>
      <c r="M11" s="415"/>
      <c r="N11" s="69" t="n">
        <v>1.03</v>
      </c>
      <c r="O11" s="424" t="n">
        <v>1.05</v>
      </c>
      <c r="P11" s="69" t="n">
        <v>1.02</v>
      </c>
      <c r="Q11" s="82" t="n">
        <v>1.02</v>
      </c>
      <c r="R11" s="83" t="n">
        <v>1.04</v>
      </c>
      <c r="S11" s="58"/>
      <c r="T11" s="82" t="n">
        <v>1.04</v>
      </c>
      <c r="U11" s="416"/>
      <c r="V11" s="325"/>
      <c r="W11" s="325"/>
      <c r="X11" s="58" t="s">
        <v>41</v>
      </c>
      <c r="Y11" s="58" t="s">
        <v>41</v>
      </c>
      <c r="Z11" s="58" t="s">
        <v>41</v>
      </c>
      <c r="AA11" s="57" t="s">
        <v>41</v>
      </c>
      <c r="AB11" s="84" t="s">
        <v>98</v>
      </c>
      <c r="AC11" s="407"/>
      <c r="AD11" s="407"/>
      <c r="AE11" s="325"/>
      <c r="AF11" s="419"/>
      <c r="AG11" s="420"/>
      <c r="AH11" s="412"/>
      <c r="AI11" s="407"/>
      <c r="AJ11" s="407"/>
      <c r="AK11" s="325"/>
      <c r="AL11" s="325"/>
      <c r="AM11" s="325"/>
      <c r="AN11" s="456"/>
      <c r="AO11" s="61"/>
      <c r="AP11" s="67"/>
      <c r="AQ11" s="67"/>
      <c r="AR11" s="62"/>
      <c r="AS11" s="62"/>
      <c r="AT11" s="87"/>
      <c r="AU11" s="327"/>
      <c r="AV11" s="180"/>
      <c r="AW11" s="417"/>
      <c r="AX11" s="412"/>
      <c r="AY11" s="412"/>
      <c r="AZ11" s="299"/>
      <c r="BA11" s="295" t="s">
        <v>41</v>
      </c>
      <c r="BB11" s="8"/>
      <c r="BC11" s="274"/>
    </row>
    <row r="12" customFormat="false" ht="12.95" hidden="false" customHeight="true" outlineLevel="0" collapsed="false">
      <c r="A12" s="188" t="s">
        <v>99</v>
      </c>
      <c r="B12" s="213"/>
      <c r="C12" s="107"/>
      <c r="D12" s="107"/>
      <c r="E12" s="107"/>
      <c r="F12" s="214" t="n">
        <f aca="false">SEP!F49</f>
        <v>-7160.07058230401</v>
      </c>
      <c r="G12" s="107" t="n">
        <f aca="false">SEP!G49</f>
        <v>61225</v>
      </c>
      <c r="H12" s="588" t="n">
        <f aca="false">SEP!H49</f>
        <v>91.67</v>
      </c>
      <c r="I12" s="107" t="n">
        <f aca="false">SEP!I49</f>
        <v>61316.67</v>
      </c>
      <c r="J12" s="107" t="n">
        <f aca="false">SEP!J49</f>
        <v>3077.79629402133</v>
      </c>
      <c r="K12" s="107" t="n">
        <f aca="false">SEP!K49</f>
        <v>64394.4562940213</v>
      </c>
      <c r="L12" s="107" t="n">
        <f aca="false">SEP!L49</f>
        <v>-1271.66572426009</v>
      </c>
      <c r="M12" s="216" t="n">
        <f aca="false">SEP!M49</f>
        <v>28022.92</v>
      </c>
      <c r="N12" s="107" t="n">
        <f aca="false">SEP!N49</f>
        <v>80.6602935</v>
      </c>
      <c r="O12" s="107" t="n">
        <f aca="false">SEP!O49</f>
        <v>3288.38661875</v>
      </c>
      <c r="P12" s="158" t="n">
        <f aca="false">SEP!P49</f>
        <v>14.3788</v>
      </c>
      <c r="Q12" s="107"/>
      <c r="R12" s="107"/>
      <c r="S12" s="107"/>
      <c r="T12" s="107"/>
      <c r="U12" s="217"/>
      <c r="V12" s="107" t="n">
        <f aca="false">SEP!V49</f>
        <v>18230.3</v>
      </c>
      <c r="W12" s="107" t="n">
        <f aca="false">SEP!W49</f>
        <v>9535.304</v>
      </c>
      <c r="X12" s="107" t="n">
        <f aca="false">SEP!X49</f>
        <v>51681.0116199886</v>
      </c>
      <c r="Y12" s="107" t="n">
        <f aca="false">SEP!Y49</f>
        <v>51681.0116199886</v>
      </c>
      <c r="Z12" s="107" t="n">
        <f aca="false">SEP!Z44</f>
        <v>0</v>
      </c>
      <c r="AA12" s="107"/>
      <c r="AB12" s="107" t="n">
        <f aca="false">SEP!AB12</f>
        <v>0</v>
      </c>
      <c r="AC12" s="107" t="n">
        <f aca="false">SEP!AC44</f>
        <v>0</v>
      </c>
      <c r="AD12" s="107" t="n">
        <f aca="false">SEP!AD44</f>
        <v>0</v>
      </c>
      <c r="AE12" s="107" t="n">
        <f aca="false">SEP!AE49</f>
        <v>8416.68325654391</v>
      </c>
      <c r="AF12" s="216" t="n">
        <f aca="false">SEP!AF49</f>
        <v>311.1</v>
      </c>
      <c r="AG12" s="218" t="n">
        <f aca="false">SEP!AG49</f>
        <v>237.9</v>
      </c>
      <c r="AH12" s="107"/>
      <c r="AI12" s="107"/>
      <c r="AJ12" s="107"/>
      <c r="AK12" s="107" t="n">
        <f aca="false">SEP!AK49</f>
        <v>67205.0648580439</v>
      </c>
      <c r="AL12" s="107" t="n">
        <f aca="false">SEP!AL49</f>
        <v>4349.46201828142</v>
      </c>
      <c r="AM12" s="107" t="n">
        <f aca="false">SEP!AM49</f>
        <v>71554.5268763253</v>
      </c>
      <c r="AN12" s="220"/>
      <c r="AO12" s="136"/>
      <c r="AP12" s="136"/>
      <c r="AQ12" s="136" t="n">
        <f aca="false">SEP!AQ50</f>
        <v>2406.77884673469</v>
      </c>
      <c r="AR12" s="136" t="n">
        <f aca="false">SEP!AR49</f>
        <v>608.016133098059</v>
      </c>
      <c r="AS12" s="136"/>
      <c r="AT12" s="215" t="n">
        <f aca="false">SEP!AS49</f>
        <v>777.256</v>
      </c>
      <c r="AU12" s="215" t="n">
        <f aca="false">SEP!AT49</f>
        <v>0</v>
      </c>
      <c r="AV12" s="215"/>
      <c r="AW12" s="322"/>
      <c r="AX12" s="215"/>
      <c r="AY12" s="215"/>
      <c r="AZ12" s="299"/>
      <c r="BA12" s="333"/>
      <c r="BB12" s="179" t="n">
        <f aca="false">SEP!BA49</f>
        <v>23.254</v>
      </c>
      <c r="BC12" s="274"/>
    </row>
    <row r="13" s="230" customFormat="true" ht="12.95" hidden="false" customHeight="true" outlineLevel="0" collapsed="false">
      <c r="A13" s="177" t="s">
        <v>100</v>
      </c>
      <c r="B13" s="106" t="n">
        <f aca="false">SEP!B44</f>
        <v>6864.68</v>
      </c>
      <c r="C13" s="107" t="n">
        <f aca="false">SEP!C44</f>
        <v>174164</v>
      </c>
      <c r="D13" s="107" t="n">
        <f aca="false">SEP!D53</f>
        <v>-20991</v>
      </c>
      <c r="E13" s="107" t="n">
        <f aca="false">SEP!E53</f>
        <v>22164</v>
      </c>
      <c r="F13" s="214" t="n">
        <f aca="false">SEP!F52</f>
        <v>-10582.8081673809</v>
      </c>
      <c r="G13" s="107" t="n">
        <f aca="false">SEP!G52</f>
        <v>66378</v>
      </c>
      <c r="H13" s="588" t="n">
        <f aca="false">SEP!H52</f>
        <v>146.16</v>
      </c>
      <c r="I13" s="107" t="n">
        <f aca="false">SEP!I52</f>
        <v>66523.54</v>
      </c>
      <c r="J13" s="107" t="n">
        <f aca="false">SEP!J52</f>
        <v>4802.83351106191</v>
      </c>
      <c r="K13" s="107" t="n">
        <f aca="false">SEP!K52</f>
        <v>71326.3635110619</v>
      </c>
      <c r="L13" s="107" t="n">
        <f aca="false">SEP!L52</f>
        <v>-319.307809336976</v>
      </c>
      <c r="M13" s="216" t="n">
        <f aca="false">SEP!M52</f>
        <v>28924.83</v>
      </c>
      <c r="N13" s="107" t="n">
        <f aca="false">SEP!N52</f>
        <v>80.6602935</v>
      </c>
      <c r="O13" s="107" t="n">
        <f aca="false">SEP!O52</f>
        <v>3288.38661875</v>
      </c>
      <c r="P13" s="158"/>
      <c r="Q13" s="107" t="n">
        <f aca="false">SEP!Q52</f>
        <v>672.254441297085</v>
      </c>
      <c r="R13" s="215" t="n">
        <f aca="false">SEP!R52</f>
        <v>898.13886528942</v>
      </c>
      <c r="S13" s="107" t="n">
        <f aca="false">SEP!S52</f>
        <v>115.33202656</v>
      </c>
      <c r="T13" s="107" t="n">
        <f aca="false">SEP!T52</f>
        <v>272.39785872</v>
      </c>
      <c r="U13" s="318" t="n">
        <f aca="false">SEP!U52</f>
        <v>77.8630613803556</v>
      </c>
      <c r="V13" s="107" t="n">
        <f aca="false">SEP!V52</f>
        <v>22587.52</v>
      </c>
      <c r="W13" s="107" t="n">
        <f aca="false">SEP!W52</f>
        <v>9619.704</v>
      </c>
      <c r="X13" s="107" t="n">
        <f aca="false">SEP!X52</f>
        <v>56320.6581676012</v>
      </c>
      <c r="Y13" s="107" t="n">
        <f aca="false">SEP!Y52</f>
        <v>55996.6957271726</v>
      </c>
      <c r="Z13" s="107"/>
      <c r="AA13" s="107"/>
      <c r="AB13" s="107"/>
      <c r="AC13" s="107" t="n">
        <f aca="false">SEP!AC52</f>
        <v>0</v>
      </c>
      <c r="AD13" s="107"/>
      <c r="AE13" s="107" t="n">
        <f aca="false">SEP!AE52</f>
        <v>0</v>
      </c>
      <c r="AF13" s="266" t="n">
        <f aca="false">AF12</f>
        <v>311.1</v>
      </c>
      <c r="AG13" s="267" t="n">
        <f aca="false">AG12</f>
        <v>237.9</v>
      </c>
      <c r="AH13" s="107" t="n">
        <f aca="false">SEP!AH52</f>
        <v>7230.3</v>
      </c>
      <c r="AI13" s="107" t="n">
        <f aca="false">SEP!AI52</f>
        <v>3393.03684762418</v>
      </c>
      <c r="AJ13" s="107" t="n">
        <f aca="false">SEP!AJ52</f>
        <v>0</v>
      </c>
      <c r="AK13" s="107" t="n">
        <f aca="false">SEP!AK52</f>
        <v>76787.0303580439</v>
      </c>
      <c r="AL13" s="107" t="n">
        <f aca="false">SEP!AL52</f>
        <v>5122.14132039889</v>
      </c>
      <c r="AM13" s="107" t="n">
        <f aca="false">SEP!AM52</f>
        <v>81909.1716784428</v>
      </c>
      <c r="AN13" s="220" t="n">
        <f aca="false">SEP!AN52</f>
        <v>10755.4116944076</v>
      </c>
      <c r="AO13" s="136" t="n">
        <f aca="false">SEP!AO52</f>
        <v>323.962440428619</v>
      </c>
      <c r="AP13" s="136"/>
      <c r="AQ13" s="136" t="n">
        <f aca="false">SEP!AQ53</f>
        <v>2406.77884673469</v>
      </c>
      <c r="AR13" s="158"/>
      <c r="AS13" s="158"/>
      <c r="AT13" s="215" t="n">
        <f aca="false">SEP!AS52</f>
        <v>0</v>
      </c>
      <c r="AU13" s="215" t="n">
        <f aca="false">SEP!AT52</f>
        <v>0</v>
      </c>
      <c r="AV13" s="215" t="n">
        <f aca="false">SEP!AU49</f>
        <v>666.9907</v>
      </c>
      <c r="AW13" s="322" t="n">
        <f aca="false">SEP!AV52</f>
        <v>10.534</v>
      </c>
      <c r="AX13" s="215"/>
      <c r="AY13" s="215"/>
      <c r="AZ13" s="302"/>
      <c r="BA13" s="340" t="n">
        <f aca="false">SEP!AZ52</f>
        <v>2131.02534674686</v>
      </c>
      <c r="BB13" s="179" t="n">
        <f aca="false">SEP!BA52</f>
        <v>2758.563</v>
      </c>
      <c r="BC13" s="277"/>
    </row>
    <row r="14" customFormat="false" ht="3" hidden="false" customHeight="true" outlineLevel="0" collapsed="false">
      <c r="A14" s="231"/>
      <c r="B14" s="232"/>
      <c r="C14" s="233"/>
      <c r="D14" s="234"/>
      <c r="E14" s="233"/>
      <c r="F14" s="235"/>
      <c r="G14" s="234"/>
      <c r="H14" s="589"/>
      <c r="I14" s="234"/>
      <c r="J14" s="234"/>
      <c r="K14" s="234"/>
      <c r="L14" s="234"/>
      <c r="M14" s="237"/>
      <c r="N14" s="234"/>
      <c r="O14" s="234"/>
      <c r="P14" s="238"/>
      <c r="Q14" s="234"/>
      <c r="R14" s="234"/>
      <c r="S14" s="234"/>
      <c r="T14" s="234"/>
      <c r="U14" s="239"/>
      <c r="V14" s="234"/>
      <c r="W14" s="234"/>
      <c r="X14" s="234"/>
      <c r="Y14" s="234"/>
      <c r="Z14" s="233"/>
      <c r="AA14" s="234"/>
      <c r="AB14" s="233"/>
      <c r="AC14" s="233"/>
      <c r="AD14" s="233"/>
      <c r="AE14" s="234"/>
      <c r="AF14" s="237"/>
      <c r="AG14" s="241"/>
      <c r="AH14" s="234"/>
      <c r="AI14" s="233"/>
      <c r="AJ14" s="233"/>
      <c r="AK14" s="234"/>
      <c r="AL14" s="234"/>
      <c r="AM14" s="234"/>
      <c r="AN14" s="242"/>
      <c r="AO14" s="240"/>
      <c r="AP14" s="240"/>
      <c r="AQ14" s="238"/>
      <c r="AR14" s="238"/>
      <c r="AS14" s="238"/>
      <c r="AT14" s="238"/>
      <c r="AU14" s="238"/>
      <c r="AV14" s="243" t="s">
        <v>146</v>
      </c>
      <c r="AW14" s="500"/>
      <c r="AX14" s="243"/>
      <c r="AY14" s="243"/>
      <c r="AZ14" s="243"/>
      <c r="BA14" s="243"/>
      <c r="BB14" s="243"/>
      <c r="BC14" s="243"/>
    </row>
    <row r="15" customFormat="false" ht="12.95" hidden="false" customHeight="true" outlineLevel="0" collapsed="false">
      <c r="A15" s="183" t="n">
        <v>1</v>
      </c>
      <c r="B15" s="106" t="n">
        <v>6864.59</v>
      </c>
      <c r="C15" s="107" t="n">
        <v>173943</v>
      </c>
      <c r="D15" s="215" t="n">
        <f aca="false">C15-C13</f>
        <v>-221</v>
      </c>
      <c r="E15" s="107" t="n">
        <f aca="false">C15-152000</f>
        <v>21943</v>
      </c>
      <c r="F15" s="246" t="n">
        <f aca="false">D15/$D$2</f>
        <v>-111.419208469876</v>
      </c>
      <c r="G15" s="135" t="n">
        <v>274</v>
      </c>
      <c r="H15" s="590" t="n">
        <v>0</v>
      </c>
      <c r="I15" s="135" t="n">
        <f aca="false">G15+H15</f>
        <v>274</v>
      </c>
      <c r="J15" s="136" t="n">
        <f aca="false">IF(L15&gt;0,L15,0)</f>
        <v>0</v>
      </c>
      <c r="K15" s="135" t="n">
        <f aca="false">I15+J15</f>
        <v>274</v>
      </c>
      <c r="L15" s="135" t="n">
        <f aca="false">F15-(I15-AK15)</f>
        <v>-17.6132084698765</v>
      </c>
      <c r="M15" s="248" t="n">
        <v>52</v>
      </c>
      <c r="N15" s="158"/>
      <c r="O15" s="135" t="n">
        <f aca="false">42.4*1.05</f>
        <v>44.52</v>
      </c>
      <c r="P15" s="158" t="n">
        <v>0</v>
      </c>
      <c r="Q15" s="338" t="n">
        <f aca="false">1108600/325851/1.9835*1.02</f>
        <v>1.74953962454815</v>
      </c>
      <c r="R15" s="131" t="n">
        <f aca="false">((2511592/646272)*1.04)-T15</f>
        <v>3.27302454496336</v>
      </c>
      <c r="S15" s="131" t="n">
        <v>0</v>
      </c>
      <c r="T15" s="131" t="n">
        <f aca="false">(0.6973*1.06)*1.04</f>
        <v>0.76870352</v>
      </c>
      <c r="U15" s="357" t="n">
        <v>0</v>
      </c>
      <c r="V15" s="135" t="n">
        <v>302</v>
      </c>
      <c r="W15" s="135" t="n">
        <v>0.106</v>
      </c>
      <c r="X15" s="135" t="n">
        <f aca="false">M15-N15-O15-P15-Q15-R15-S15-T15-U15+V15+W15-AU15+AR15</f>
        <v>303.794732310488</v>
      </c>
      <c r="Y15" s="135" t="n">
        <f aca="false">X15-AO15</f>
        <v>303.794732310488</v>
      </c>
      <c r="Z15" s="107"/>
      <c r="AA15" s="135"/>
      <c r="AB15" s="107"/>
      <c r="AC15" s="107"/>
      <c r="AD15" s="501"/>
      <c r="AE15" s="135" t="n">
        <v>0</v>
      </c>
      <c r="AF15" s="137" t="n">
        <v>1.7</v>
      </c>
      <c r="AG15" s="138" t="n">
        <v>1.3</v>
      </c>
      <c r="AH15" s="135" t="n">
        <v>13.7</v>
      </c>
      <c r="AI15" s="107" t="n">
        <f aca="false">AI13-AH15</f>
        <v>3379.33684762418</v>
      </c>
      <c r="AJ15" s="107"/>
      <c r="AK15" s="134" t="n">
        <f aca="false">N15+O15+P15+Q15+R15+S15+T15+U15+X15+AE15+AH15</f>
        <v>367.806</v>
      </c>
      <c r="AL15" s="135" t="n">
        <f aca="false">IF(L15&lt;0,L15*-1,0)</f>
        <v>17.6132084698765</v>
      </c>
      <c r="AM15" s="135" t="n">
        <f aca="false">AK15+AL15</f>
        <v>385.419208469876</v>
      </c>
      <c r="AN15" s="281" t="n">
        <f aca="false">V15</f>
        <v>302</v>
      </c>
      <c r="AO15" s="136"/>
      <c r="AP15" s="543" t="n">
        <f aca="false">I15-Q15-R15-X15-AF15</f>
        <v>-36.51729648</v>
      </c>
      <c r="AQ15" s="158" t="n">
        <f aca="false">25.131*(Z15*1.9835+AC15*1.9835)/E15</f>
        <v>0</v>
      </c>
      <c r="AR15" s="158"/>
      <c r="AS15" s="158"/>
      <c r="AT15" s="107"/>
      <c r="AU15" s="176"/>
      <c r="AV15" s="179" t="n">
        <f aca="false">O15</f>
        <v>44.52</v>
      </c>
      <c r="AW15" s="322" t="n">
        <v>0</v>
      </c>
      <c r="AX15" s="215" t="n">
        <v>75</v>
      </c>
      <c r="AY15" s="215" t="n">
        <v>41</v>
      </c>
      <c r="AZ15" s="299"/>
      <c r="BA15" s="250" t="n">
        <f aca="false">SUM(N15,P15:U15)</f>
        <v>5.79126768951151</v>
      </c>
      <c r="BB15" s="184" t="n">
        <v>0.564</v>
      </c>
      <c r="BC15" s="299" t="n">
        <v>6023</v>
      </c>
    </row>
    <row r="16" customFormat="false" ht="12.95" hidden="false" customHeight="true" outlineLevel="0" collapsed="false">
      <c r="A16" s="183" t="n">
        <f aca="false">A15+1</f>
        <v>2</v>
      </c>
      <c r="B16" s="106" t="n">
        <v>6864.5</v>
      </c>
      <c r="C16" s="107" t="n">
        <v>173722</v>
      </c>
      <c r="D16" s="215" t="n">
        <f aca="false">C16-C15</f>
        <v>-221</v>
      </c>
      <c r="E16" s="107" t="n">
        <f aca="false">C16-152000</f>
        <v>21722</v>
      </c>
      <c r="F16" s="246" t="n">
        <f aca="false">D16/$D$2</f>
        <v>-111.419208469876</v>
      </c>
      <c r="G16" s="135" t="n">
        <v>248</v>
      </c>
      <c r="H16" s="590" t="n">
        <v>0</v>
      </c>
      <c r="I16" s="135" t="n">
        <f aca="false">G16+H16</f>
        <v>248</v>
      </c>
      <c r="J16" s="136" t="n">
        <f aca="false">IF(L16&gt;0,L16,0)</f>
        <v>16.8627915301235</v>
      </c>
      <c r="K16" s="135" t="n">
        <f aca="false">I16+J16</f>
        <v>264.862791530123</v>
      </c>
      <c r="L16" s="135" t="n">
        <f aca="false">F16-(I16-AK16)</f>
        <v>16.8627915301235</v>
      </c>
      <c r="M16" s="248" t="n">
        <v>63.3</v>
      </c>
      <c r="N16" s="158"/>
      <c r="O16" s="135" t="n">
        <f aca="false">53.3*1.05</f>
        <v>55.965</v>
      </c>
      <c r="P16" s="158" t="n">
        <v>0</v>
      </c>
      <c r="Q16" s="338" t="n">
        <f aca="false">1011200/325851/1.9835*1.02</f>
        <v>1.5958275918664</v>
      </c>
      <c r="R16" s="131" t="n">
        <f aca="false">((2530126/646272)*1.04)-T16</f>
        <v>3.30285000545058</v>
      </c>
      <c r="S16" s="131" t="n">
        <v>0</v>
      </c>
      <c r="T16" s="131" t="n">
        <f aca="false">(0.6973*1.06)*1.04</f>
        <v>0.76870352</v>
      </c>
      <c r="U16" s="357" t="n">
        <v>0</v>
      </c>
      <c r="V16" s="135" t="n">
        <v>300</v>
      </c>
      <c r="W16" s="135" t="n">
        <v>0.082</v>
      </c>
      <c r="X16" s="135" t="n">
        <f aca="false">M16-N16-O16-P16-Q16-R16-S16-T16-U16+V16+W16-AU16+AR16</f>
        <v>301.749618882683</v>
      </c>
      <c r="Y16" s="135" t="n">
        <f aca="false">X16-AO16</f>
        <v>301.749618882683</v>
      </c>
      <c r="Z16" s="107"/>
      <c r="AA16" s="135"/>
      <c r="AB16" s="107"/>
      <c r="AC16" s="107"/>
      <c r="AD16" s="501"/>
      <c r="AE16" s="135" t="n">
        <v>0</v>
      </c>
      <c r="AF16" s="137" t="n">
        <v>1.7</v>
      </c>
      <c r="AG16" s="138" t="n">
        <v>1.3</v>
      </c>
      <c r="AH16" s="135" t="n">
        <v>12.9</v>
      </c>
      <c r="AI16" s="107" t="n">
        <f aca="false">AI15-AH16</f>
        <v>3366.43684762418</v>
      </c>
      <c r="AJ16" s="107"/>
      <c r="AK16" s="134" t="n">
        <f aca="false">N16+O16+P16+Q16+R16+S16+T16+U16+X16+AE16+AH16</f>
        <v>376.282</v>
      </c>
      <c r="AL16" s="135" t="n">
        <f aca="false">IF(L16&lt;0,L16*-1,0)</f>
        <v>0</v>
      </c>
      <c r="AM16" s="135" t="n">
        <f aca="false">AK16+AL16</f>
        <v>376.282</v>
      </c>
      <c r="AN16" s="281" t="n">
        <f aca="false">V16</f>
        <v>300</v>
      </c>
      <c r="AO16" s="136"/>
      <c r="AP16" s="543" t="n">
        <f aca="false">I16-Q16-R16-X16-AF16</f>
        <v>-60.34829648</v>
      </c>
      <c r="AQ16" s="158" t="n">
        <f aca="false">23.398*(Z16*1.9835+AC16*1.9835)/E16</f>
        <v>0</v>
      </c>
      <c r="AR16" s="158"/>
      <c r="AS16" s="158"/>
      <c r="AT16" s="107"/>
      <c r="AU16" s="176"/>
      <c r="AV16" s="179" t="n">
        <f aca="false">O16</f>
        <v>55.965</v>
      </c>
      <c r="AW16" s="322" t="n">
        <v>0</v>
      </c>
      <c r="AX16" s="215" t="n">
        <v>73</v>
      </c>
      <c r="AY16" s="215" t="n">
        <v>40</v>
      </c>
      <c r="AZ16" s="299"/>
      <c r="BA16" s="250" t="n">
        <f aca="false">SUM(N16,P16:U16)</f>
        <v>5.66738111731698</v>
      </c>
      <c r="BB16" s="184" t="n">
        <v>0</v>
      </c>
      <c r="BC16" s="299" t="n">
        <v>6036</v>
      </c>
    </row>
    <row r="17" customFormat="false" ht="12.95" hidden="false" customHeight="true" outlineLevel="0" collapsed="false">
      <c r="A17" s="183" t="n">
        <f aca="false">A16+1</f>
        <v>3</v>
      </c>
      <c r="B17" s="106" t="n">
        <v>6864.35</v>
      </c>
      <c r="C17" s="107" t="n">
        <v>173353</v>
      </c>
      <c r="D17" s="215" t="n">
        <f aca="false">C17-C16</f>
        <v>-369</v>
      </c>
      <c r="E17" s="107" t="n">
        <f aca="false">C17-152000</f>
        <v>21353</v>
      </c>
      <c r="F17" s="246" t="n">
        <f aca="false">D17/$D$2</f>
        <v>-186.03478699269</v>
      </c>
      <c r="G17" s="135" t="n">
        <v>226</v>
      </c>
      <c r="H17" s="590" t="n">
        <v>0</v>
      </c>
      <c r="I17" s="135" t="n">
        <f aca="false">G17+H17</f>
        <v>226</v>
      </c>
      <c r="J17" s="136" t="n">
        <f aca="false">IF(L17&gt;0,L17,0)</f>
        <v>0</v>
      </c>
      <c r="K17" s="135" t="n">
        <f aca="false">I17+J17</f>
        <v>226</v>
      </c>
      <c r="L17" s="135" t="n">
        <f aca="false">F17-(I17-AK17)</f>
        <v>-44.7837869926896</v>
      </c>
      <c r="M17" s="248" t="n">
        <v>56.6</v>
      </c>
      <c r="N17" s="158"/>
      <c r="O17" s="135" t="n">
        <f aca="false">43.2*1.05</f>
        <v>45.36</v>
      </c>
      <c r="P17" s="158" t="n">
        <v>0</v>
      </c>
      <c r="Q17" s="338" t="n">
        <f aca="false">1036100/325851/1.9835*1.02</f>
        <v>1.63512358379428</v>
      </c>
      <c r="R17" s="131" t="n">
        <f aca="false">((2889384/646272)*1.04)-T17</f>
        <v>3.88097859527035</v>
      </c>
      <c r="S17" s="131" t="n">
        <v>0</v>
      </c>
      <c r="T17" s="131" t="n">
        <f aca="false">(0.6973*1.06)*1.04</f>
        <v>0.76870352</v>
      </c>
      <c r="U17" s="357" t="n">
        <v>0</v>
      </c>
      <c r="V17" s="135" t="n">
        <v>298</v>
      </c>
      <c r="W17" s="135" t="n">
        <v>0.051</v>
      </c>
      <c r="X17" s="135" t="n">
        <f aca="false">M17-N17-O17-P17-Q17-R17-S17-T17-U17+V17+W17-AU17+AR17</f>
        <v>303.006194300935</v>
      </c>
      <c r="Y17" s="135" t="n">
        <f aca="false">X17-AO17</f>
        <v>303.006194300935</v>
      </c>
      <c r="Z17" s="107"/>
      <c r="AA17" s="135"/>
      <c r="AB17" s="107"/>
      <c r="AC17" s="107"/>
      <c r="AD17" s="501"/>
      <c r="AE17" s="135" t="n">
        <v>0</v>
      </c>
      <c r="AF17" s="137" t="n">
        <v>1.7</v>
      </c>
      <c r="AG17" s="138" t="n">
        <v>1.3</v>
      </c>
      <c r="AH17" s="135" t="n">
        <v>12.6</v>
      </c>
      <c r="AI17" s="107" t="n">
        <f aca="false">AI16-AH17</f>
        <v>3353.83684762418</v>
      </c>
      <c r="AJ17" s="107"/>
      <c r="AK17" s="134" t="n">
        <f aca="false">N17+O17+P17+Q17+R17+S17+T17+U17+X17+AE17+AH17</f>
        <v>367.251</v>
      </c>
      <c r="AL17" s="135" t="n">
        <f aca="false">IF(L17&lt;0,L17*-1,0)</f>
        <v>44.7837869926896</v>
      </c>
      <c r="AM17" s="135" t="n">
        <f aca="false">AK17+AL17</f>
        <v>412.03478699269</v>
      </c>
      <c r="AN17" s="281" t="n">
        <f aca="false">V17</f>
        <v>298</v>
      </c>
      <c r="AO17" s="136"/>
      <c r="AP17" s="543" t="n">
        <f aca="false">I17-Q17-R17-X17-AF17</f>
        <v>-84.22229648</v>
      </c>
      <c r="AQ17" s="158" t="n">
        <f aca="false">36.535*(Z17*1.9835+AC17*1.9835)/E17</f>
        <v>0</v>
      </c>
      <c r="AR17" s="158"/>
      <c r="AS17" s="158"/>
      <c r="AT17" s="107"/>
      <c r="AU17" s="176"/>
      <c r="AV17" s="179" t="n">
        <f aca="false">O17</f>
        <v>45.36</v>
      </c>
      <c r="AW17" s="322" t="n">
        <v>0</v>
      </c>
      <c r="AX17" s="215" t="n">
        <v>70</v>
      </c>
      <c r="AY17" s="215" t="n">
        <v>37</v>
      </c>
      <c r="AZ17" s="299"/>
      <c r="BA17" s="250" t="n">
        <f aca="false">SUM(N17,P17:U17)</f>
        <v>6.28480569906463</v>
      </c>
      <c r="BB17" s="184" t="n">
        <v>0</v>
      </c>
      <c r="BC17" s="299" t="n">
        <v>6050</v>
      </c>
    </row>
    <row r="18" customFormat="false" ht="12.95" hidden="false" customHeight="true" outlineLevel="0" collapsed="false">
      <c r="A18" s="183" t="n">
        <f aca="false">A17+1</f>
        <v>4</v>
      </c>
      <c r="B18" s="106" t="n">
        <v>6864.22</v>
      </c>
      <c r="C18" s="107" t="n">
        <v>173034</v>
      </c>
      <c r="D18" s="215" t="n">
        <f aca="false">C18-C17</f>
        <v>-319</v>
      </c>
      <c r="E18" s="107" t="n">
        <f aca="false">C18-152000</f>
        <v>21034</v>
      </c>
      <c r="F18" s="246" t="n">
        <f aca="false">D18/$D$2</f>
        <v>-160.826821275523</v>
      </c>
      <c r="G18" s="135" t="n">
        <v>214</v>
      </c>
      <c r="H18" s="590" t="n">
        <v>0</v>
      </c>
      <c r="I18" s="135" t="n">
        <f aca="false">G18+H18</f>
        <v>214</v>
      </c>
      <c r="J18" s="136" t="n">
        <f aca="false">IF(L18&gt;0,L18,0)</f>
        <v>3.07117872447697</v>
      </c>
      <c r="K18" s="135" t="n">
        <f aca="false">I18+J18</f>
        <v>217.071178724477</v>
      </c>
      <c r="L18" s="135" t="n">
        <f aca="false">F18-(I18-AK18)</f>
        <v>3.07117872447697</v>
      </c>
      <c r="M18" s="248" t="n">
        <v>47.1</v>
      </c>
      <c r="N18" s="158"/>
      <c r="O18" s="135" t="n">
        <f aca="false">27.2*1.05</f>
        <v>28.56</v>
      </c>
      <c r="P18" s="158" t="n">
        <v>0</v>
      </c>
      <c r="Q18" s="338" t="n">
        <f aca="false">917100/325851/1.9835*1.02</f>
        <v>1.4473234617293</v>
      </c>
      <c r="R18" s="131" t="n">
        <f aca="false">((3000310/646272)*1.04)-T18</f>
        <v>4.13521887237869</v>
      </c>
      <c r="S18" s="131" t="n">
        <v>0</v>
      </c>
      <c r="T18" s="131" t="n">
        <f aca="false">(0.6286*1.06)*1.04</f>
        <v>0.69296864</v>
      </c>
      <c r="U18" s="357" t="n">
        <v>0</v>
      </c>
      <c r="V18" s="135" t="n">
        <v>318</v>
      </c>
      <c r="W18" s="135" t="n">
        <v>0.098</v>
      </c>
      <c r="X18" s="135" t="n">
        <f aca="false">M18-N18-O18-P18-Q18-R18-S18-T18-U18+V18+W18-AU18+AR18</f>
        <v>330.362489025892</v>
      </c>
      <c r="Y18" s="135" t="n">
        <f aca="false">X18-AO18</f>
        <v>330.362489025892</v>
      </c>
      <c r="Z18" s="107"/>
      <c r="AA18" s="135"/>
      <c r="AB18" s="107"/>
      <c r="AC18" s="107"/>
      <c r="AD18" s="501"/>
      <c r="AE18" s="135" t="n">
        <v>0</v>
      </c>
      <c r="AF18" s="137" t="n">
        <v>1.7</v>
      </c>
      <c r="AG18" s="138" t="n">
        <v>1.3</v>
      </c>
      <c r="AH18" s="135" t="n">
        <v>12.7</v>
      </c>
      <c r="AI18" s="107" t="n">
        <f aca="false">AI17-AH18</f>
        <v>3341.13684762418</v>
      </c>
      <c r="AJ18" s="107"/>
      <c r="AK18" s="134" t="n">
        <f aca="false">N18+O18+P18+Q18+R18+S18+T18+U18+X18+AE18+AH18</f>
        <v>377.898</v>
      </c>
      <c r="AL18" s="135" t="n">
        <f aca="false">IF(L18&lt;0,L18*-1,0)</f>
        <v>0</v>
      </c>
      <c r="AM18" s="135" t="n">
        <f aca="false">AK18+AL18</f>
        <v>377.898</v>
      </c>
      <c r="AN18" s="281" t="n">
        <f aca="false">V18</f>
        <v>318</v>
      </c>
      <c r="AO18" s="136"/>
      <c r="AP18" s="543" t="n">
        <f aca="false">I18-Q18-R18-X18-AF18</f>
        <v>-123.64503136</v>
      </c>
      <c r="AQ18" s="158" t="n">
        <f aca="false">15.069*(Z18*1.9835+AC18*1.9835)/E18</f>
        <v>0</v>
      </c>
      <c r="AR18" s="158"/>
      <c r="AS18" s="158"/>
      <c r="AT18" s="107"/>
      <c r="AU18" s="176"/>
      <c r="AV18" s="179" t="n">
        <f aca="false">O18</f>
        <v>28.56</v>
      </c>
      <c r="AW18" s="322" t="n">
        <v>0</v>
      </c>
      <c r="AX18" s="215" t="n">
        <v>49</v>
      </c>
      <c r="AY18" s="215" t="n">
        <v>28</v>
      </c>
      <c r="AZ18" s="299"/>
      <c r="BA18" s="250" t="n">
        <f aca="false">SUM(N18,P18:U18)</f>
        <v>6.27551097410799</v>
      </c>
      <c r="BB18" s="184" t="n">
        <v>0</v>
      </c>
      <c r="BC18" s="299" t="n">
        <v>6063</v>
      </c>
    </row>
    <row r="19" customFormat="false" ht="12.95" hidden="false" customHeight="true" outlineLevel="0" collapsed="false">
      <c r="A19" s="183" t="n">
        <f aca="false">A18+1</f>
        <v>5</v>
      </c>
      <c r="B19" s="106" t="n">
        <v>6864.06</v>
      </c>
      <c r="C19" s="107" t="n">
        <v>172641</v>
      </c>
      <c r="D19" s="215" t="n">
        <f aca="false">C19-C18</f>
        <v>-393</v>
      </c>
      <c r="E19" s="107" t="n">
        <f aca="false">C19-152000</f>
        <v>20641</v>
      </c>
      <c r="F19" s="246" t="n">
        <f aca="false">D19/$D$2</f>
        <v>-198.13461053693</v>
      </c>
      <c r="G19" s="135" t="n">
        <v>199</v>
      </c>
      <c r="H19" s="590" t="n">
        <v>0</v>
      </c>
      <c r="I19" s="135" t="n">
        <f aca="false">G19+H19</f>
        <v>199</v>
      </c>
      <c r="J19" s="136" t="n">
        <f aca="false">IF(L19&gt;0,L19,0)</f>
        <v>0</v>
      </c>
      <c r="K19" s="135" t="n">
        <f aca="false">I19+J19</f>
        <v>199</v>
      </c>
      <c r="L19" s="135" t="n">
        <f aca="false">F19-(I19-AK19)</f>
        <v>-5.50761053692972</v>
      </c>
      <c r="M19" s="248" t="n">
        <v>56.9</v>
      </c>
      <c r="N19" s="158"/>
      <c r="O19" s="135" t="n">
        <f aca="false">29.6*1.05</f>
        <v>31.08</v>
      </c>
      <c r="P19" s="158" t="n">
        <v>0</v>
      </c>
      <c r="Q19" s="338" t="n">
        <f aca="false">904700/325851/1.9835*1.02</f>
        <v>1.42775437337968</v>
      </c>
      <c r="R19" s="131" t="n">
        <f aca="false">((3036412/646272)*1.04)-T19</f>
        <v>4.19331527760745</v>
      </c>
      <c r="S19" s="131" t="n">
        <v>0</v>
      </c>
      <c r="T19" s="131" t="n">
        <f aca="false">(0.6286*1.06)*1.04</f>
        <v>0.69296864</v>
      </c>
      <c r="U19" s="357" t="n">
        <v>0</v>
      </c>
      <c r="V19" s="135" t="n">
        <v>322</v>
      </c>
      <c r="W19" s="135" t="n">
        <v>0.027</v>
      </c>
      <c r="X19" s="135" t="n">
        <f aca="false">M19-N19-O19-P19-Q19-R19-S19-T19-U19+V19+W19-AU19+AR19</f>
        <v>341.532961709013</v>
      </c>
      <c r="Y19" s="135" t="n">
        <f aca="false">X19-AO19</f>
        <v>341.532961709013</v>
      </c>
      <c r="Z19" s="107"/>
      <c r="AA19" s="135"/>
      <c r="AB19" s="107"/>
      <c r="AC19" s="107"/>
      <c r="AD19" s="501"/>
      <c r="AE19" s="135" t="n">
        <v>0</v>
      </c>
      <c r="AF19" s="137" t="n">
        <v>1.7</v>
      </c>
      <c r="AG19" s="138" t="n">
        <v>1.3</v>
      </c>
      <c r="AH19" s="135" t="n">
        <v>12.7</v>
      </c>
      <c r="AI19" s="107" t="n">
        <f aca="false">AI18-AH19</f>
        <v>3328.43684762418</v>
      </c>
      <c r="AJ19" s="107"/>
      <c r="AK19" s="134" t="n">
        <f aca="false">N19+O19+P19+Q19+R19+S19+T19+U19+X19+AE19+AH19</f>
        <v>391.627</v>
      </c>
      <c r="AL19" s="135" t="n">
        <f aca="false">IF(L19&lt;0,L19*-1,0)</f>
        <v>5.50761053692972</v>
      </c>
      <c r="AM19" s="135" t="n">
        <f aca="false">AK19+AL19</f>
        <v>397.13461053693</v>
      </c>
      <c r="AN19" s="281" t="n">
        <f aca="false">V19</f>
        <v>322</v>
      </c>
      <c r="AO19" s="136"/>
      <c r="AP19" s="543" t="n">
        <f aca="false">I19-Q19-R19-X19-AF19</f>
        <v>-149.85403136</v>
      </c>
      <c r="AQ19" s="158" t="n">
        <f aca="false">16.49*(Z19*1.9835+AC19*1.9835)/E19</f>
        <v>0</v>
      </c>
      <c r="AR19" s="158"/>
      <c r="AS19" s="158"/>
      <c r="AT19" s="107"/>
      <c r="AU19" s="176"/>
      <c r="AV19" s="179" t="n">
        <f aca="false">O19</f>
        <v>31.08</v>
      </c>
      <c r="AW19" s="322" t="n">
        <v>0</v>
      </c>
      <c r="AX19" s="215" t="n">
        <v>59</v>
      </c>
      <c r="AY19" s="215" t="n">
        <v>31</v>
      </c>
      <c r="AZ19" s="299"/>
      <c r="BA19" s="250" t="n">
        <f aca="false">SUM(N19,P19:U19)</f>
        <v>6.31403829098712</v>
      </c>
      <c r="BB19" s="184" t="n">
        <v>0.228</v>
      </c>
      <c r="BC19" s="299" t="n">
        <v>6068</v>
      </c>
    </row>
    <row r="20" customFormat="false" ht="12.95" hidden="false" customHeight="true" outlineLevel="0" collapsed="false">
      <c r="A20" s="183" t="n">
        <f aca="false">A19+1</f>
        <v>6</v>
      </c>
      <c r="B20" s="106" t="n">
        <v>6863.89</v>
      </c>
      <c r="C20" s="107" t="n">
        <v>172228</v>
      </c>
      <c r="D20" s="215" t="n">
        <f aca="false">C20-C19</f>
        <v>-413</v>
      </c>
      <c r="E20" s="107" t="n">
        <f aca="false">C20-152000</f>
        <v>20228</v>
      </c>
      <c r="F20" s="246" t="n">
        <f aca="false">D20/$D$2</f>
        <v>-208.217796823796</v>
      </c>
      <c r="G20" s="135" t="n">
        <v>186</v>
      </c>
      <c r="H20" s="590" t="n">
        <v>0</v>
      </c>
      <c r="I20" s="135" t="n">
        <f aca="false">G20+H20</f>
        <v>186</v>
      </c>
      <c r="J20" s="136" t="n">
        <f aca="false">IF(L20&gt;0,L20,0)</f>
        <v>0</v>
      </c>
      <c r="K20" s="135" t="n">
        <f aca="false">I20+J20</f>
        <v>186</v>
      </c>
      <c r="L20" s="135" t="n">
        <f aca="false">F20-(I20-AK20)</f>
        <v>-1.85479682379631</v>
      </c>
      <c r="M20" s="248" t="n">
        <v>61.6</v>
      </c>
      <c r="N20" s="158"/>
      <c r="O20" s="135" t="n">
        <f aca="false">31*1.05</f>
        <v>32.55</v>
      </c>
      <c r="P20" s="158" t="n">
        <v>0</v>
      </c>
      <c r="Q20" s="338" t="n">
        <f aca="false">1262800/325851/1.9835*1.02</f>
        <v>1.99289070708948</v>
      </c>
      <c r="R20" s="131" t="n">
        <f aca="false">((2918180/646272)*1.04)-T20</f>
        <v>4.00305284940384</v>
      </c>
      <c r="S20" s="131" t="n">
        <v>0</v>
      </c>
      <c r="T20" s="131" t="n">
        <f aca="false">(0.6286*1.06)*1.04</f>
        <v>0.69296864</v>
      </c>
      <c r="U20" s="357" t="n">
        <v>0</v>
      </c>
      <c r="V20" s="135" t="n">
        <v>318</v>
      </c>
      <c r="W20" s="135" t="n">
        <v>0.063</v>
      </c>
      <c r="X20" s="135" t="n">
        <f aca="false">M20-N20-O20-P20-Q20-R20-S20-T20-U20+V20+W20-AU20+AR20</f>
        <v>340.424087803507</v>
      </c>
      <c r="Y20" s="135" t="n">
        <f aca="false">X20-AO20</f>
        <v>340.424087803507</v>
      </c>
      <c r="Z20" s="107"/>
      <c r="AA20" s="135"/>
      <c r="AB20" s="107"/>
      <c r="AC20" s="107"/>
      <c r="AD20" s="501"/>
      <c r="AE20" s="135" t="n">
        <v>0</v>
      </c>
      <c r="AF20" s="137" t="n">
        <v>1.7</v>
      </c>
      <c r="AG20" s="138" t="n">
        <v>1.3</v>
      </c>
      <c r="AH20" s="135" t="n">
        <v>12.7</v>
      </c>
      <c r="AI20" s="107" t="n">
        <f aca="false">AI19-AH20</f>
        <v>3315.73684762418</v>
      </c>
      <c r="AJ20" s="107"/>
      <c r="AK20" s="134" t="n">
        <f aca="false">N20+O20+P20+Q20+R20+S20+T20+U20+X20+AE20+AH20</f>
        <v>392.363</v>
      </c>
      <c r="AL20" s="135" t="n">
        <f aca="false">IF(L20&lt;0,L20*-1,0)</f>
        <v>1.85479682379631</v>
      </c>
      <c r="AM20" s="135" t="n">
        <f aca="false">AK20+AL20</f>
        <v>394.217796823796</v>
      </c>
      <c r="AN20" s="281" t="n">
        <f aca="false">V20</f>
        <v>318</v>
      </c>
      <c r="AO20" s="136"/>
      <c r="AP20" s="543" t="n">
        <f aca="false">I20-Q20-R20-X20-AF20</f>
        <v>-162.12003136</v>
      </c>
      <c r="AQ20" s="158" t="n">
        <f aca="false">22.177*(Z20*1.9835+AC20*1.9835)/E20</f>
        <v>0</v>
      </c>
      <c r="AR20" s="158"/>
      <c r="AS20" s="158"/>
      <c r="AT20" s="107"/>
      <c r="AU20" s="176"/>
      <c r="AV20" s="179" t="n">
        <f aca="false">O20</f>
        <v>32.55</v>
      </c>
      <c r="AW20" s="322" t="n">
        <v>0</v>
      </c>
      <c r="AX20" s="215" t="n">
        <v>72</v>
      </c>
      <c r="AY20" s="215" t="n">
        <v>31</v>
      </c>
      <c r="AZ20" s="299"/>
      <c r="BA20" s="250" t="n">
        <f aca="false">SUM(N20,P20:U20)</f>
        <v>6.68891219649333</v>
      </c>
      <c r="BB20" s="184" t="n">
        <v>0.681</v>
      </c>
      <c r="BC20" s="299" t="n">
        <v>6069</v>
      </c>
    </row>
    <row r="21" customFormat="false" ht="12.95" hidden="false" customHeight="true" outlineLevel="0" collapsed="false">
      <c r="A21" s="183" t="n">
        <f aca="false">A20+1</f>
        <v>7</v>
      </c>
      <c r="B21" s="106" t="n">
        <v>6863.74</v>
      </c>
      <c r="C21" s="107" t="n">
        <v>171865</v>
      </c>
      <c r="D21" s="215" t="n">
        <f aca="false">C21-C20</f>
        <v>-363</v>
      </c>
      <c r="E21" s="107" t="n">
        <f aca="false">C21-152000</f>
        <v>19865</v>
      </c>
      <c r="F21" s="246" t="n">
        <f aca="false">D21/$D$2</f>
        <v>-183.00983110663</v>
      </c>
      <c r="G21" s="135" t="n">
        <v>178</v>
      </c>
      <c r="H21" s="590" t="n">
        <v>0</v>
      </c>
      <c r="I21" s="135" t="n">
        <f aca="false">G21+H21</f>
        <v>178</v>
      </c>
      <c r="J21" s="136" t="n">
        <f aca="false">IF(L21&gt;0,L21,0)</f>
        <v>9.83116889337038</v>
      </c>
      <c r="K21" s="135" t="n">
        <f aca="false">I21+J21</f>
        <v>187.83116889337</v>
      </c>
      <c r="L21" s="135" t="n">
        <f aca="false">F21-(I21-AK21)</f>
        <v>9.83116889337038</v>
      </c>
      <c r="M21" s="248" t="n">
        <v>50.9</v>
      </c>
      <c r="N21" s="158"/>
      <c r="O21" s="135" t="n">
        <f aca="false">29.3*1.05</f>
        <v>30.765</v>
      </c>
      <c r="P21" s="158" t="n">
        <v>0</v>
      </c>
      <c r="Q21" s="338" t="n">
        <f aca="false">1069200/325851/1.9835*1.02</f>
        <v>1.68736042446949</v>
      </c>
      <c r="R21" s="131" t="n">
        <f aca="false">((3022356/646272)*1.04)-T21</f>
        <v>4.17069594704694</v>
      </c>
      <c r="S21" s="131" t="n">
        <v>0</v>
      </c>
      <c r="T21" s="131" t="n">
        <f aca="false">(0.6286*1.06)*1.04</f>
        <v>0.69296864</v>
      </c>
      <c r="U21" s="357" t="n">
        <v>0</v>
      </c>
      <c r="V21" s="591" t="n">
        <v>307</v>
      </c>
      <c r="W21" s="135" t="n">
        <v>0.141</v>
      </c>
      <c r="X21" s="135" t="n">
        <f aca="false">M21-N21-O21-P21-Q21-R21-S21-T21-U21+V21+W21-AU21+AR21</f>
        <v>320.724974988484</v>
      </c>
      <c r="Y21" s="135" t="n">
        <f aca="false">X21-AO21</f>
        <v>320.724974988484</v>
      </c>
      <c r="Z21" s="107"/>
      <c r="AA21" s="135"/>
      <c r="AB21" s="107"/>
      <c r="AC21" s="107"/>
      <c r="AD21" s="501"/>
      <c r="AE21" s="135" t="n">
        <v>0</v>
      </c>
      <c r="AF21" s="137" t="n">
        <v>1.7</v>
      </c>
      <c r="AG21" s="138" t="n">
        <v>1.3</v>
      </c>
      <c r="AH21" s="135" t="n">
        <v>12.8</v>
      </c>
      <c r="AI21" s="107" t="n">
        <f aca="false">AI20-AH21</f>
        <v>3302.93684762418</v>
      </c>
      <c r="AJ21" s="107"/>
      <c r="AK21" s="134" t="n">
        <f aca="false">N21+O21+P21+Q21+R21+S21+T21+U21+X21+AE21+AH21</f>
        <v>370.841</v>
      </c>
      <c r="AL21" s="135" t="n">
        <f aca="false">IF(L21&lt;0,L21*-1,0)</f>
        <v>0</v>
      </c>
      <c r="AM21" s="135" t="n">
        <f aca="false">AK21+AL21</f>
        <v>370.841</v>
      </c>
      <c r="AN21" s="281" t="n">
        <f aca="false">V21</f>
        <v>307</v>
      </c>
      <c r="AO21" s="136"/>
      <c r="AP21" s="543" t="n">
        <f aca="false">I21-Q21-R21-X21-AF21</f>
        <v>-150.28303136</v>
      </c>
      <c r="AQ21" s="158" t="n">
        <f aca="false">28.005*(Z21*1.9835+AC21*1.9835)/E21</f>
        <v>0</v>
      </c>
      <c r="AR21" s="158"/>
      <c r="AS21" s="158"/>
      <c r="AT21" s="107"/>
      <c r="AU21" s="176"/>
      <c r="AV21" s="179" t="n">
        <f aca="false">O21</f>
        <v>30.765</v>
      </c>
      <c r="AW21" s="322" t="n">
        <v>0</v>
      </c>
      <c r="AX21" s="215" t="n">
        <v>74</v>
      </c>
      <c r="AY21" s="215" t="n">
        <v>36</v>
      </c>
      <c r="AZ21" s="299"/>
      <c r="BA21" s="250" t="n">
        <f aca="false">SUM(N21,P21:U21)</f>
        <v>6.55102501151643</v>
      </c>
      <c r="BB21" s="184" t="n">
        <v>0.821</v>
      </c>
      <c r="BC21" s="299" t="n">
        <v>6079</v>
      </c>
    </row>
    <row r="22" customFormat="false" ht="12.95" hidden="false" customHeight="true" outlineLevel="0" collapsed="false">
      <c r="A22" s="183" t="n">
        <f aca="false">A21+1</f>
        <v>8</v>
      </c>
      <c r="B22" s="106" t="n">
        <v>6863.57</v>
      </c>
      <c r="C22" s="107" t="n">
        <v>171454</v>
      </c>
      <c r="D22" s="215" t="n">
        <f aca="false">C22-C21</f>
        <v>-411</v>
      </c>
      <c r="E22" s="107" t="n">
        <f aca="false">C22-152000</f>
        <v>19454</v>
      </c>
      <c r="F22" s="246" t="n">
        <f aca="false">D22/$D$2</f>
        <v>-207.20947819511</v>
      </c>
      <c r="G22" s="135" t="n">
        <v>167</v>
      </c>
      <c r="H22" s="590" t="n">
        <v>0</v>
      </c>
      <c r="I22" s="135" t="n">
        <f aca="false">G22+H22</f>
        <v>167</v>
      </c>
      <c r="J22" s="136" t="n">
        <f aca="false">IF(L22&gt;0,L22,0)</f>
        <v>0</v>
      </c>
      <c r="K22" s="135" t="n">
        <f aca="false">I22+J22</f>
        <v>167</v>
      </c>
      <c r="L22" s="135" t="n">
        <f aca="false">F22-(I22-AK22)</f>
        <v>-19.9934781951096</v>
      </c>
      <c r="M22" s="248" t="n">
        <v>43.5</v>
      </c>
      <c r="N22" s="158"/>
      <c r="O22" s="135" t="n">
        <f aca="false">27.8*1.05</f>
        <v>29.19</v>
      </c>
      <c r="P22" s="158" t="n">
        <v>0</v>
      </c>
      <c r="Q22" s="338" t="n">
        <f aca="false">1079800/325851/1.9835*1.02</f>
        <v>1.70408883870385</v>
      </c>
      <c r="R22" s="131" t="n">
        <f aca="false">((2962160/646272)*1.04)-T22</f>
        <v>4.0738267650307</v>
      </c>
      <c r="S22" s="131" t="n">
        <v>0</v>
      </c>
      <c r="T22" s="131" t="n">
        <f aca="false">(0.6286*1.06)*1.04</f>
        <v>0.69296864</v>
      </c>
      <c r="U22" s="357" t="n">
        <v>0</v>
      </c>
      <c r="V22" s="135" t="n">
        <v>298</v>
      </c>
      <c r="W22" s="135" t="n">
        <v>0.016</v>
      </c>
      <c r="X22" s="135" t="n">
        <f aca="false">M22-N22-O22-P22-Q22-R22-S22-T22-U22+V22+W22-AU22+AR22</f>
        <v>305.855115756265</v>
      </c>
      <c r="Y22" s="135" t="n">
        <f aca="false">X22-AO22</f>
        <v>305.855115756265</v>
      </c>
      <c r="Z22" s="107"/>
      <c r="AA22" s="135"/>
      <c r="AB22" s="107"/>
      <c r="AC22" s="107"/>
      <c r="AD22" s="501"/>
      <c r="AE22" s="135" t="n">
        <v>0</v>
      </c>
      <c r="AF22" s="137" t="n">
        <v>1.7</v>
      </c>
      <c r="AG22" s="138" t="n">
        <v>1.3</v>
      </c>
      <c r="AH22" s="135" t="n">
        <v>12.7</v>
      </c>
      <c r="AI22" s="107" t="n">
        <f aca="false">AI21-AH22</f>
        <v>3290.23684762418</v>
      </c>
      <c r="AJ22" s="107"/>
      <c r="AK22" s="134" t="n">
        <f aca="false">N22+O22+P22+Q22+R22+S22+T22+U22+X22+AE22+AH22</f>
        <v>354.216</v>
      </c>
      <c r="AL22" s="135" t="n">
        <f aca="false">IF(L22&lt;0,L22*-1,0)</f>
        <v>19.9934781951096</v>
      </c>
      <c r="AM22" s="135" t="n">
        <f aca="false">AK22+AL22</f>
        <v>374.20947819511</v>
      </c>
      <c r="AN22" s="281" t="n">
        <f aca="false">V22</f>
        <v>298</v>
      </c>
      <c r="AO22" s="136"/>
      <c r="AP22" s="543" t="n">
        <f aca="false">I22-Q22-R22-X22-AF22</f>
        <v>-146.33303136</v>
      </c>
      <c r="AQ22" s="158" t="n">
        <f aca="false">26.015*(Z22*1.9835+AC22*1.9835)/E22</f>
        <v>0</v>
      </c>
      <c r="AR22" s="158"/>
      <c r="AS22" s="158"/>
      <c r="AT22" s="107"/>
      <c r="AU22" s="176"/>
      <c r="AV22" s="179" t="n">
        <f aca="false">O22</f>
        <v>29.19</v>
      </c>
      <c r="AW22" s="322" t="n">
        <v>0</v>
      </c>
      <c r="AX22" s="215" t="n">
        <v>71</v>
      </c>
      <c r="AY22" s="215" t="n">
        <v>39</v>
      </c>
      <c r="AZ22" s="299"/>
      <c r="BA22" s="250" t="n">
        <f aca="false">SUM(N22,P22:U22)</f>
        <v>6.47088424373455</v>
      </c>
      <c r="BB22" s="184" t="n">
        <v>0.943</v>
      </c>
      <c r="BC22" s="299" t="n">
        <v>6088</v>
      </c>
    </row>
    <row r="23" customFormat="false" ht="12.95" hidden="false" customHeight="true" outlineLevel="0" collapsed="false">
      <c r="A23" s="183" t="n">
        <f aca="false">A22+1</f>
        <v>9</v>
      </c>
      <c r="B23" s="106" t="n">
        <v>6863.38</v>
      </c>
      <c r="C23" s="107" t="n">
        <v>170995</v>
      </c>
      <c r="D23" s="215" t="n">
        <f aca="false">C23-C22</f>
        <v>-459</v>
      </c>
      <c r="E23" s="107" t="n">
        <f aca="false">C23-152000</f>
        <v>18995</v>
      </c>
      <c r="F23" s="246" t="n">
        <f aca="false">D23/$D$2</f>
        <v>-231.40912528359</v>
      </c>
      <c r="G23" s="135" t="n">
        <v>158</v>
      </c>
      <c r="H23" s="590" t="n">
        <v>0</v>
      </c>
      <c r="I23" s="135" t="n">
        <f aca="false">G23+H23</f>
        <v>158</v>
      </c>
      <c r="J23" s="136" t="n">
        <f aca="false">IF(L23&gt;0,L23,0)</f>
        <v>0</v>
      </c>
      <c r="K23" s="135" t="n">
        <f aca="false">I23+J23</f>
        <v>158</v>
      </c>
      <c r="L23" s="135" t="n">
        <f aca="false">F23-(I23-AK23)</f>
        <v>-46.5091252835896</v>
      </c>
      <c r="M23" s="248" t="n">
        <v>33.1</v>
      </c>
      <c r="N23" s="158"/>
      <c r="O23" s="135" t="n">
        <f aca="false">30.9*1.05</f>
        <v>32.445</v>
      </c>
      <c r="P23" s="158" t="n">
        <v>0</v>
      </c>
      <c r="Q23" s="338" t="n">
        <f aca="false">991700/325851/1.9835*1.02</f>
        <v>1.56505362228432</v>
      </c>
      <c r="R23" s="131" t="n">
        <f aca="false">((2969260/646272)*1.04)-T23</f>
        <v>4.08525229483858</v>
      </c>
      <c r="S23" s="131" t="n">
        <v>0</v>
      </c>
      <c r="T23" s="131" t="n">
        <f aca="false">(0.6286*1.06)*1.04</f>
        <v>0.69296864</v>
      </c>
      <c r="U23" s="357" t="n">
        <v>0</v>
      </c>
      <c r="V23" s="135" t="n">
        <v>297</v>
      </c>
      <c r="W23" s="135" t="n">
        <v>0</v>
      </c>
      <c r="X23" s="135" t="n">
        <f aca="false">M23-N23-O23-P23-Q23-R23-S23-T23-U23+V23+W23-AU23+AR23</f>
        <v>291.311725442877</v>
      </c>
      <c r="Y23" s="135" t="n">
        <f aca="false">X23-AO23</f>
        <v>291.311725442877</v>
      </c>
      <c r="Z23" s="107"/>
      <c r="AA23" s="135"/>
      <c r="AB23" s="107"/>
      <c r="AC23" s="107"/>
      <c r="AD23" s="501"/>
      <c r="AE23" s="135" t="n">
        <v>0</v>
      </c>
      <c r="AF23" s="137" t="n">
        <v>1.7</v>
      </c>
      <c r="AG23" s="138" t="n">
        <v>1.3</v>
      </c>
      <c r="AH23" s="135" t="n">
        <v>12.8</v>
      </c>
      <c r="AI23" s="107" t="n">
        <f aca="false">AI22-AH23</f>
        <v>3277.43684762418</v>
      </c>
      <c r="AJ23" s="107"/>
      <c r="AK23" s="134" t="n">
        <f aca="false">N23+O23+P23+Q23+R23+S23+T23+U23+X23+AE23+AH23</f>
        <v>342.9</v>
      </c>
      <c r="AL23" s="135" t="n">
        <f aca="false">IF(L23&lt;0,L23*-1,0)</f>
        <v>46.5091252835896</v>
      </c>
      <c r="AM23" s="135" t="n">
        <f aca="false">AK23+AL23</f>
        <v>389.40912528359</v>
      </c>
      <c r="AN23" s="281" t="n">
        <f aca="false">V23</f>
        <v>297</v>
      </c>
      <c r="AO23" s="136"/>
      <c r="AP23" s="543" t="n">
        <f aca="false">I23-Q23-R23-X23-AF23</f>
        <v>-140.66203136</v>
      </c>
      <c r="AQ23" s="158" t="n">
        <f aca="false">29.783*(Z23*1.9835+AC23*1.9835)/E23</f>
        <v>0</v>
      </c>
      <c r="AR23" s="158"/>
      <c r="AS23" s="158"/>
      <c r="AT23" s="107"/>
      <c r="AU23" s="176"/>
      <c r="AV23" s="179" t="n">
        <f aca="false">O23</f>
        <v>32.445</v>
      </c>
      <c r="AW23" s="322" t="n">
        <v>0.01</v>
      </c>
      <c r="AX23" s="221" t="n">
        <v>68</v>
      </c>
      <c r="AY23" s="215" t="n">
        <v>41</v>
      </c>
      <c r="AZ23" s="299"/>
      <c r="BA23" s="250" t="n">
        <f aca="false">SUM(N23,P23:U23)</f>
        <v>6.3432745571229</v>
      </c>
      <c r="BB23" s="184" t="n">
        <v>0.493</v>
      </c>
      <c r="BC23" s="299" t="n">
        <v>6100</v>
      </c>
    </row>
    <row r="24" customFormat="false" ht="12.95" hidden="false" customHeight="true" outlineLevel="0" collapsed="false">
      <c r="A24" s="183" t="n">
        <f aca="false">A23+1</f>
        <v>10</v>
      </c>
      <c r="B24" s="106" t="n">
        <v>6863.31</v>
      </c>
      <c r="C24" s="107" t="n">
        <v>170826</v>
      </c>
      <c r="D24" s="215" t="n">
        <f aca="false">C24-C23</f>
        <v>-169</v>
      </c>
      <c r="E24" s="107" t="n">
        <f aca="false">C24-152000</f>
        <v>18826</v>
      </c>
      <c r="F24" s="246" t="n">
        <f aca="false">D24/$D$2</f>
        <v>-85.2029241240232</v>
      </c>
      <c r="G24" s="135" t="n">
        <v>210</v>
      </c>
      <c r="H24" s="590" t="n">
        <v>0.001</v>
      </c>
      <c r="I24" s="135" t="n">
        <f aca="false">G24+H24</f>
        <v>210.001</v>
      </c>
      <c r="J24" s="136" t="n">
        <f aca="false">IF(L24&gt;0,L24,0)</f>
        <v>47.2960758759768</v>
      </c>
      <c r="K24" s="135" t="n">
        <f aca="false">I24+J24</f>
        <v>257.297075875977</v>
      </c>
      <c r="L24" s="135" t="n">
        <f aca="false">F24-(I24-AK24)</f>
        <v>47.2960758759768</v>
      </c>
      <c r="M24" s="248" t="n">
        <v>32.1</v>
      </c>
      <c r="N24" s="158"/>
      <c r="O24" s="135" t="n">
        <f aca="false">31.2*1.05</f>
        <v>32.76</v>
      </c>
      <c r="P24" s="158" t="n">
        <v>0</v>
      </c>
      <c r="Q24" s="338" t="n">
        <f aca="false">840900/325851/1.9835*1.02</f>
        <v>1.32706825751627</v>
      </c>
      <c r="R24" s="131" t="n">
        <f aca="false">((3041764/646272)*1.04)-T24</f>
        <v>4.20192787416122</v>
      </c>
      <c r="S24" s="131" t="n">
        <f aca="false">(((3041764/646272)*1.04)-T24)-4.2</f>
        <v>0.00192787416122009</v>
      </c>
      <c r="T24" s="131" t="n">
        <f aca="false">(0.6286*1.06)*1.04</f>
        <v>0.69296864</v>
      </c>
      <c r="U24" s="357" t="n">
        <v>0</v>
      </c>
      <c r="V24" s="135" t="n">
        <v>297</v>
      </c>
      <c r="W24" s="135" t="n">
        <v>0</v>
      </c>
      <c r="X24" s="135" t="n">
        <f aca="false">M24-N24-O24-P24-Q24-R24-S24-T24-U24+V24+W24-AU24+AR24</f>
        <v>290.116107354161</v>
      </c>
      <c r="Y24" s="135" t="n">
        <f aca="false">X24-AO24</f>
        <v>290.116107354161</v>
      </c>
      <c r="Z24" s="107"/>
      <c r="AA24" s="135"/>
      <c r="AB24" s="107"/>
      <c r="AC24" s="107"/>
      <c r="AD24" s="501"/>
      <c r="AE24" s="135" t="n">
        <v>0</v>
      </c>
      <c r="AF24" s="137" t="n">
        <v>1.7</v>
      </c>
      <c r="AG24" s="138" t="n">
        <v>1.3</v>
      </c>
      <c r="AH24" s="135" t="n">
        <v>13.4</v>
      </c>
      <c r="AI24" s="107" t="n">
        <f aca="false">AI23-AH24</f>
        <v>3264.03684762418</v>
      </c>
      <c r="AJ24" s="107"/>
      <c r="AK24" s="134" t="n">
        <f aca="false">N24+O24+P24+Q24+R24+S24+T24+U24+X24+AE24+AH24</f>
        <v>342.5</v>
      </c>
      <c r="AL24" s="135" t="n">
        <f aca="false">IF(L24&lt;0,L24*-1,0)</f>
        <v>0</v>
      </c>
      <c r="AM24" s="135" t="n">
        <f aca="false">AK24+AL24</f>
        <v>342.5</v>
      </c>
      <c r="AN24" s="281" t="n">
        <f aca="false">V24</f>
        <v>297</v>
      </c>
      <c r="AO24" s="136"/>
      <c r="AP24" s="543" t="n">
        <f aca="false">I24-Q24-R24-X24-AF24</f>
        <v>-87.3441034858388</v>
      </c>
      <c r="AQ24" s="158" t="n">
        <f aca="false">0*(Z24*1.9835+AC24*1.9835)/E24</f>
        <v>0</v>
      </c>
      <c r="AR24" s="158"/>
      <c r="AS24" s="158"/>
      <c r="AT24" s="107"/>
      <c r="AU24" s="176"/>
      <c r="AV24" s="179" t="n">
        <f aca="false">O24</f>
        <v>32.76</v>
      </c>
      <c r="AW24" s="322" t="n">
        <v>1.01</v>
      </c>
      <c r="AX24" s="215" t="n">
        <v>59</v>
      </c>
      <c r="AY24" s="215" t="n">
        <v>34</v>
      </c>
      <c r="AZ24" s="299"/>
      <c r="BA24" s="250" t="n">
        <f aca="false">SUM(N24,P24:U24)</f>
        <v>6.22389264583871</v>
      </c>
      <c r="BB24" s="184" t="n">
        <v>0</v>
      </c>
      <c r="BC24" s="299" t="n">
        <v>6134</v>
      </c>
    </row>
    <row r="25" customFormat="false" ht="12.95" hidden="false" customHeight="true" outlineLevel="0" collapsed="false">
      <c r="A25" s="183" t="n">
        <f aca="false">A24+1</f>
        <v>11</v>
      </c>
      <c r="B25" s="106" t="n">
        <v>6863.25</v>
      </c>
      <c r="C25" s="107" t="n">
        <v>170681</v>
      </c>
      <c r="D25" s="215" t="n">
        <f aca="false">C25-C24</f>
        <v>-145</v>
      </c>
      <c r="E25" s="107" t="n">
        <f aca="false">C25-152000</f>
        <v>18681</v>
      </c>
      <c r="F25" s="246" t="n">
        <f aca="false">D25/$D$2</f>
        <v>-73.1031005797832</v>
      </c>
      <c r="G25" s="135" t="n">
        <v>213</v>
      </c>
      <c r="H25" s="590" t="n">
        <v>0</v>
      </c>
      <c r="I25" s="135" t="n">
        <f aca="false">G25+H25</f>
        <v>213</v>
      </c>
      <c r="J25" s="136" t="n">
        <f aca="false">IF(L25&gt;0,L25,0)</f>
        <v>69.5968994202168</v>
      </c>
      <c r="K25" s="135" t="n">
        <f aca="false">I25+J25</f>
        <v>282.596899420217</v>
      </c>
      <c r="L25" s="135" t="n">
        <f aca="false">F25-(I25-AK25)</f>
        <v>69.5968994202168</v>
      </c>
      <c r="M25" s="248" t="n">
        <v>31.9</v>
      </c>
      <c r="N25" s="158"/>
      <c r="O25" s="135" t="n">
        <f aca="false">35.6*1.05</f>
        <v>37.38</v>
      </c>
      <c r="P25" s="158" t="n">
        <v>0</v>
      </c>
      <c r="Q25" s="338" t="n">
        <f aca="false">821600/325851/1.9835*1.02</f>
        <v>1.29660991839145</v>
      </c>
      <c r="R25" s="131" t="n">
        <f aca="false">((2256996/646272)*1.04)-T25</f>
        <v>3.05800497834819</v>
      </c>
      <c r="S25" s="131" t="n">
        <v>0</v>
      </c>
      <c r="T25" s="131" t="n">
        <f aca="false">(0.5207*1.06)*1.04</f>
        <v>0.57401968</v>
      </c>
      <c r="U25" s="357" t="n">
        <v>0</v>
      </c>
      <c r="V25" s="135" t="n">
        <v>311</v>
      </c>
      <c r="W25" s="135" t="n">
        <v>0</v>
      </c>
      <c r="X25" s="135" t="n">
        <f aca="false">M25-N25-O25-P25-Q25-R25-S25-T25-U25+V25+W25-AU25+AR25</f>
        <v>300.59136542326</v>
      </c>
      <c r="Y25" s="135" t="n">
        <f aca="false">X25-AO25</f>
        <v>300.59136542326</v>
      </c>
      <c r="Z25" s="107"/>
      <c r="AA25" s="135"/>
      <c r="AB25" s="107"/>
      <c r="AC25" s="107"/>
      <c r="AD25" s="501"/>
      <c r="AE25" s="135" t="n">
        <v>0</v>
      </c>
      <c r="AF25" s="137" t="n">
        <v>1.7</v>
      </c>
      <c r="AG25" s="138" t="n">
        <v>1.3</v>
      </c>
      <c r="AH25" s="135" t="n">
        <v>12.8</v>
      </c>
      <c r="AI25" s="107" t="n">
        <f aca="false">AI24-AH25</f>
        <v>3251.23684762418</v>
      </c>
      <c r="AJ25" s="107"/>
      <c r="AK25" s="134" t="n">
        <f aca="false">N25+O25+P25+Q25+R25+S25+T25+U25+X25+AE25+AH25</f>
        <v>355.7</v>
      </c>
      <c r="AL25" s="135" t="n">
        <f aca="false">IF(L25&lt;0,L25*-1,0)</f>
        <v>0</v>
      </c>
      <c r="AM25" s="135" t="n">
        <f aca="false">AK25+AL25</f>
        <v>355.7</v>
      </c>
      <c r="AN25" s="281" t="n">
        <f aca="false">V25</f>
        <v>311</v>
      </c>
      <c r="AO25" s="136"/>
      <c r="AP25" s="543" t="n">
        <f aca="false">I25-Q25-R25-X25-AF25</f>
        <v>-93.64598032</v>
      </c>
      <c r="AQ25" s="158" t="n">
        <f aca="false">2.657*(Z25*1.9835+AC25*1.9835)/E25</f>
        <v>0</v>
      </c>
      <c r="AR25" s="158"/>
      <c r="AS25" s="158"/>
      <c r="AT25" s="107"/>
      <c r="AU25" s="176"/>
      <c r="AV25" s="179" t="n">
        <f aca="false">O25</f>
        <v>37.38</v>
      </c>
      <c r="AW25" s="322" t="n">
        <v>0</v>
      </c>
      <c r="AX25" s="215" t="n">
        <v>57</v>
      </c>
      <c r="AY25" s="215" t="n">
        <v>36</v>
      </c>
      <c r="AZ25" s="299"/>
      <c r="BA25" s="250" t="n">
        <f aca="false">SUM(N25,P25:U25)</f>
        <v>4.92863457673964</v>
      </c>
      <c r="BB25" s="184" t="n">
        <v>0</v>
      </c>
      <c r="BC25" s="299" t="n">
        <v>6179</v>
      </c>
    </row>
    <row r="26" customFormat="false" ht="12.95" hidden="false" customHeight="true" outlineLevel="0" collapsed="false">
      <c r="A26" s="183" t="n">
        <f aca="false">A25+1</f>
        <v>12</v>
      </c>
      <c r="B26" s="106" t="n">
        <v>6863.18</v>
      </c>
      <c r="C26" s="107" t="n">
        <v>170511</v>
      </c>
      <c r="D26" s="215" t="n">
        <f aca="false">C26-C25</f>
        <v>-170</v>
      </c>
      <c r="E26" s="107" t="n">
        <f aca="false">C26-152000</f>
        <v>18511</v>
      </c>
      <c r="F26" s="246" t="n">
        <f aca="false">D26/$D$2</f>
        <v>-85.7070834383665</v>
      </c>
      <c r="G26" s="135" t="n">
        <v>205</v>
      </c>
      <c r="H26" s="590" t="n">
        <v>0.044</v>
      </c>
      <c r="I26" s="135" t="n">
        <f aca="false">G26+H26</f>
        <v>205.044</v>
      </c>
      <c r="J26" s="136" t="n">
        <f aca="false">IF(L26&gt;0,L26,0)</f>
        <v>81.0489165616335</v>
      </c>
      <c r="K26" s="135" t="n">
        <f aca="false">I26+J26</f>
        <v>286.092916561633</v>
      </c>
      <c r="L26" s="135" t="n">
        <f aca="false">F26-(I26-AK26)</f>
        <v>81.0489165616335</v>
      </c>
      <c r="M26" s="248" t="n">
        <v>41</v>
      </c>
      <c r="N26" s="158"/>
      <c r="O26" s="135" t="n">
        <f aca="false">35.3*1.05</f>
        <v>37.065</v>
      </c>
      <c r="P26" s="158" t="n">
        <v>0</v>
      </c>
      <c r="Q26" s="338" t="n">
        <f aca="false">912300/325851/1.9835*1.02</f>
        <v>1.43974833075526</v>
      </c>
      <c r="R26" s="131" t="n">
        <f aca="false">((2323812/646272)*1.04)-T26</f>
        <v>3.16552725998812</v>
      </c>
      <c r="S26" s="131" t="n">
        <v>0</v>
      </c>
      <c r="T26" s="131" t="n">
        <f aca="false">(0.5207*1.06)*1.04</f>
        <v>0.57401968</v>
      </c>
      <c r="U26" s="357" t="n">
        <v>0</v>
      </c>
      <c r="V26" s="135" t="n">
        <v>318</v>
      </c>
      <c r="W26" s="135" t="n">
        <v>0</v>
      </c>
      <c r="X26" s="135" t="n">
        <f aca="false">M26-N26-O26-P26-Q26-R26-S26-T26-U26+V26+W26-AU26+AR26</f>
        <v>316.755704729257</v>
      </c>
      <c r="Y26" s="135" t="n">
        <f aca="false">X26-AO26</f>
        <v>316.755704729257</v>
      </c>
      <c r="Z26" s="107"/>
      <c r="AA26" s="135"/>
      <c r="AB26" s="107"/>
      <c r="AC26" s="107"/>
      <c r="AD26" s="501"/>
      <c r="AE26" s="135" t="n">
        <v>0</v>
      </c>
      <c r="AF26" s="137" t="n">
        <v>1.7</v>
      </c>
      <c r="AG26" s="138" t="n">
        <v>1.3</v>
      </c>
      <c r="AH26" s="135" t="n">
        <v>12.8</v>
      </c>
      <c r="AI26" s="107" t="n">
        <f aca="false">AI25-AH26</f>
        <v>3238.43684762418</v>
      </c>
      <c r="AJ26" s="107"/>
      <c r="AK26" s="134" t="n">
        <f aca="false">N26+O26+P26+Q26+R26+S26+T26+U26+X26+AE26+AH26</f>
        <v>371.8</v>
      </c>
      <c r="AL26" s="135" t="n">
        <f aca="false">IF(L26&lt;0,L26*-1,0)</f>
        <v>0</v>
      </c>
      <c r="AM26" s="135" t="n">
        <f aca="false">AK26+AL26</f>
        <v>371.8</v>
      </c>
      <c r="AN26" s="281" t="n">
        <f aca="false">V26</f>
        <v>318</v>
      </c>
      <c r="AO26" s="136"/>
      <c r="AP26" s="543" t="n">
        <f aca="false">I26-Q26-R26-X26-AF26</f>
        <v>-118.01698032</v>
      </c>
      <c r="AQ26" s="158" t="n">
        <f aca="false">10.207*(Z26*1.9835+AC26*1.9835)/E26</f>
        <v>0</v>
      </c>
      <c r="AR26" s="158"/>
      <c r="AS26" s="158"/>
      <c r="AT26" s="107"/>
      <c r="AU26" s="176"/>
      <c r="AV26" s="179" t="n">
        <f aca="false">O26</f>
        <v>37.065</v>
      </c>
      <c r="AW26" s="322" t="n">
        <v>0</v>
      </c>
      <c r="AX26" s="215" t="n">
        <v>61</v>
      </c>
      <c r="AY26" s="215" t="n">
        <v>33</v>
      </c>
      <c r="AZ26" s="299"/>
      <c r="BA26" s="250" t="n">
        <f aca="false">SUM(N26,P26:U26)</f>
        <v>5.17929527074337</v>
      </c>
      <c r="BB26" s="184" t="n">
        <v>0</v>
      </c>
      <c r="BC26" s="299" t="n">
        <v>6203</v>
      </c>
    </row>
    <row r="27" customFormat="false" ht="12.95" hidden="false" customHeight="true" outlineLevel="0" collapsed="false">
      <c r="A27" s="183" t="n">
        <f aca="false">A26+1</f>
        <v>13</v>
      </c>
      <c r="B27" s="106" t="n">
        <v>6863.11</v>
      </c>
      <c r="C27" s="107" t="n">
        <v>170342</v>
      </c>
      <c r="D27" s="215" t="n">
        <f aca="false">C27-C26</f>
        <v>-169</v>
      </c>
      <c r="E27" s="107" t="n">
        <f aca="false">C27-152000</f>
        <v>18342</v>
      </c>
      <c r="F27" s="246" t="n">
        <f aca="false">D27/$D$2</f>
        <v>-85.2029241240232</v>
      </c>
      <c r="G27" s="135" t="n">
        <v>207</v>
      </c>
      <c r="H27" s="590" t="n">
        <v>1.08</v>
      </c>
      <c r="I27" s="135" t="n">
        <f aca="false">G27+H27</f>
        <v>208.08</v>
      </c>
      <c r="J27" s="136" t="n">
        <f aca="false">IF(L27&gt;0,L27,0)</f>
        <v>54.2170758759768</v>
      </c>
      <c r="K27" s="135" t="n">
        <f aca="false">I27+J27</f>
        <v>262.297075875977</v>
      </c>
      <c r="L27" s="135" t="n">
        <f aca="false">F27-(I27-AK27)</f>
        <v>54.2170758759768</v>
      </c>
      <c r="M27" s="248" t="n">
        <v>28.7</v>
      </c>
      <c r="N27" s="158"/>
      <c r="O27" s="135" t="n">
        <f aca="false">22.8*1.05</f>
        <v>23.94</v>
      </c>
      <c r="P27" s="158" t="n">
        <v>0</v>
      </c>
      <c r="Q27" s="338" t="n">
        <f aca="false">983200/325851/1.9835*1.02</f>
        <v>1.55163932785111</v>
      </c>
      <c r="R27" s="131" t="n">
        <f aca="false">((2327900/646272)*1.04)-T27</f>
        <v>3.17210579039018</v>
      </c>
      <c r="S27" s="131" t="n">
        <v>0</v>
      </c>
      <c r="T27" s="131" t="n">
        <f aca="false">(0.5207*1.06)*1.04</f>
        <v>0.57401968</v>
      </c>
      <c r="U27" s="357" t="n">
        <v>0</v>
      </c>
      <c r="V27" s="135" t="n">
        <v>306</v>
      </c>
      <c r="W27" s="135" t="n">
        <v>0</v>
      </c>
      <c r="X27" s="135" t="n">
        <f aca="false">M27-N27-O27-P27-Q27-R27-S27-T27-U27+V27+W27-AU27+AR27</f>
        <v>305.462235201759</v>
      </c>
      <c r="Y27" s="135" t="n">
        <f aca="false">X27-AO27</f>
        <v>305.462235201759</v>
      </c>
      <c r="Z27" s="107"/>
      <c r="AA27" s="135"/>
      <c r="AB27" s="107"/>
      <c r="AC27" s="107"/>
      <c r="AD27" s="501"/>
      <c r="AE27" s="135" t="n">
        <v>0</v>
      </c>
      <c r="AF27" s="137" t="n">
        <v>1.7</v>
      </c>
      <c r="AG27" s="138" t="n">
        <v>1.3</v>
      </c>
      <c r="AH27" s="135" t="n">
        <v>12.8</v>
      </c>
      <c r="AI27" s="107" t="n">
        <f aca="false">AI26-AH27</f>
        <v>3225.63684762418</v>
      </c>
      <c r="AJ27" s="107"/>
      <c r="AK27" s="134" t="n">
        <f aca="false">N27+O27+P27+Q27+R27+S27+T27+U27+X27+AE27+AH27</f>
        <v>347.5</v>
      </c>
      <c r="AL27" s="135" t="n">
        <f aca="false">IF(L27&lt;0,L27*-1,0)</f>
        <v>0</v>
      </c>
      <c r="AM27" s="135" t="n">
        <f aca="false">AK27+AL27</f>
        <v>347.5</v>
      </c>
      <c r="AN27" s="281" t="n">
        <f aca="false">V27</f>
        <v>306</v>
      </c>
      <c r="AO27" s="136"/>
      <c r="AP27" s="543" t="n">
        <f aca="false">I27-Q27-R27-X27-AF27</f>
        <v>-103.80598032</v>
      </c>
      <c r="AQ27" s="158" t="n">
        <f aca="false">21.953*(Z27*1.9835+AC27*1.9835)/E27</f>
        <v>0</v>
      </c>
      <c r="AR27" s="158"/>
      <c r="AS27" s="158"/>
      <c r="AT27" s="107"/>
      <c r="AU27" s="176"/>
      <c r="AV27" s="179" t="n">
        <f aca="false">O27</f>
        <v>23.94</v>
      </c>
      <c r="AW27" s="322" t="n">
        <v>0</v>
      </c>
      <c r="AX27" s="215" t="n">
        <v>69</v>
      </c>
      <c r="AY27" s="215" t="n">
        <v>38</v>
      </c>
      <c r="AZ27" s="299"/>
      <c r="BA27" s="250" t="n">
        <f aca="false">SUM(N27,P27:U27)</f>
        <v>5.29776479824129</v>
      </c>
      <c r="BB27" s="184" t="n">
        <v>0</v>
      </c>
      <c r="BC27" s="299" t="n">
        <v>6218</v>
      </c>
    </row>
    <row r="28" customFormat="false" ht="12.95" hidden="false" customHeight="true" outlineLevel="0" collapsed="false">
      <c r="A28" s="183" t="n">
        <f aca="false">A27+1</f>
        <v>14</v>
      </c>
      <c r="B28" s="106" t="n">
        <v>6863.13</v>
      </c>
      <c r="C28" s="107" t="n">
        <v>170391</v>
      </c>
      <c r="D28" s="215" t="n">
        <f aca="false">C28-C27</f>
        <v>49</v>
      </c>
      <c r="E28" s="107" t="n">
        <f aca="false">C28-152000</f>
        <v>18391</v>
      </c>
      <c r="F28" s="246" t="n">
        <f aca="false">D28/$D$2</f>
        <v>24.7038064028233</v>
      </c>
      <c r="G28" s="135" t="n">
        <v>228</v>
      </c>
      <c r="H28" s="590" t="n">
        <v>1.38</v>
      </c>
      <c r="I28" s="135" t="n">
        <f aca="false">G28+H28</f>
        <v>229.38</v>
      </c>
      <c r="J28" s="136" t="n">
        <f aca="false">IF(L28&gt;0,L28,0)</f>
        <v>0</v>
      </c>
      <c r="K28" s="135" t="n">
        <f aca="false">I28+J28</f>
        <v>229.38</v>
      </c>
      <c r="L28" s="135" t="n">
        <f aca="false">F28-(I28-AK28)</f>
        <v>-52.7761935971767</v>
      </c>
      <c r="M28" s="248" t="n">
        <v>19.1</v>
      </c>
      <c r="N28" s="158"/>
      <c r="O28" s="135" t="n">
        <f aca="false">23.8*1.05</f>
        <v>24.99</v>
      </c>
      <c r="P28" s="158" t="n">
        <v>0</v>
      </c>
      <c r="Q28" s="338" t="n">
        <f aca="false">1024400/325851/1.9835*1.02</f>
        <v>1.61665920204503</v>
      </c>
      <c r="R28" s="131" t="n">
        <f aca="false">((1369528/646272)*1.04)-T28</f>
        <v>1.62986524770846</v>
      </c>
      <c r="S28" s="131" t="n">
        <v>0</v>
      </c>
      <c r="T28" s="131" t="n">
        <f aca="false">(0.5207*1.06)*1.04</f>
        <v>0.57401968</v>
      </c>
      <c r="U28" s="357" t="n">
        <v>0</v>
      </c>
      <c r="V28" s="135" t="n">
        <v>120</v>
      </c>
      <c r="W28" s="135" t="n">
        <v>0</v>
      </c>
      <c r="X28" s="135" t="n">
        <f aca="false">M28-N28-O28-P28-Q28-R28-S28-T28-U28+V28+W28-AU28+AR28</f>
        <v>110.289455870247</v>
      </c>
      <c r="Y28" s="135" t="n">
        <f aca="false">X28-AO28</f>
        <v>110.289455870247</v>
      </c>
      <c r="Z28" s="107"/>
      <c r="AA28" s="135"/>
      <c r="AB28" s="107"/>
      <c r="AC28" s="107"/>
      <c r="AD28" s="501"/>
      <c r="AE28" s="135" t="n">
        <v>0</v>
      </c>
      <c r="AF28" s="137" t="n">
        <v>1.7</v>
      </c>
      <c r="AG28" s="138" t="n">
        <v>1.3</v>
      </c>
      <c r="AH28" s="135" t="n">
        <v>12.8</v>
      </c>
      <c r="AI28" s="107" t="n">
        <f aca="false">AI27-AH28</f>
        <v>3212.83684762418</v>
      </c>
      <c r="AJ28" s="107"/>
      <c r="AK28" s="134" t="n">
        <f aca="false">N28+O28+P28+Q28+R28+S28+T28+U28+X28+AE28+AH28</f>
        <v>151.9</v>
      </c>
      <c r="AL28" s="135" t="n">
        <f aca="false">IF(L28&lt;0,L28*-1,0)</f>
        <v>52.7761935971767</v>
      </c>
      <c r="AM28" s="135" t="n">
        <f aca="false">AK28+AL28</f>
        <v>204.676193597177</v>
      </c>
      <c r="AN28" s="281" t="n">
        <f aca="false">V28</f>
        <v>120</v>
      </c>
      <c r="AO28" s="136"/>
      <c r="AP28" s="502" t="n">
        <f aca="false">IF((I28-Q28-R28-X28-AF28)&gt;0,0,I28-Q28-R28-X28-AF28)</f>
        <v>0</v>
      </c>
      <c r="AQ28" s="158" t="n">
        <f aca="false">33.278*(Z28*1.9835+AC28*1.9835)/E28</f>
        <v>0</v>
      </c>
      <c r="AR28" s="158"/>
      <c r="AS28" s="158"/>
      <c r="AT28" s="107"/>
      <c r="AU28" s="176"/>
      <c r="AV28" s="179" t="n">
        <f aca="false">O28</f>
        <v>24.99</v>
      </c>
      <c r="AW28" s="322" t="n">
        <v>0</v>
      </c>
      <c r="AX28" s="221" t="n">
        <v>56</v>
      </c>
      <c r="AY28" s="215" t="n">
        <v>32</v>
      </c>
      <c r="AZ28" s="299"/>
      <c r="BA28" s="250" t="n">
        <f aca="false">SUM(N28,P28:U28)</f>
        <v>3.82054412975349</v>
      </c>
      <c r="BB28" s="184" t="n">
        <v>0</v>
      </c>
      <c r="BC28" s="299" t="n">
        <v>6235</v>
      </c>
    </row>
    <row r="29" customFormat="false" ht="12.95" hidden="false" customHeight="true" outlineLevel="0" collapsed="false">
      <c r="A29" s="183" t="n">
        <f aca="false">A28+1</f>
        <v>15</v>
      </c>
      <c r="B29" s="106" t="n">
        <v>6863.27</v>
      </c>
      <c r="C29" s="107" t="n">
        <v>170729</v>
      </c>
      <c r="D29" s="215" t="n">
        <f aca="false">C29-C28</f>
        <v>338</v>
      </c>
      <c r="E29" s="107" t="n">
        <f aca="false">C29-152000</f>
        <v>18729</v>
      </c>
      <c r="F29" s="246" t="n">
        <f aca="false">D29/$D$2</f>
        <v>170.405848248046</v>
      </c>
      <c r="G29" s="135" t="n">
        <v>209</v>
      </c>
      <c r="H29" s="590" t="n">
        <v>2.65</v>
      </c>
      <c r="I29" s="135" t="n">
        <f aca="false">G29+H29</f>
        <v>211.65</v>
      </c>
      <c r="J29" s="136" t="n">
        <f aca="false">IF(L29&gt;0,L29,0)</f>
        <v>0</v>
      </c>
      <c r="K29" s="135" t="n">
        <f aca="false">I29+J29</f>
        <v>211.65</v>
      </c>
      <c r="L29" s="135" t="n">
        <f aca="false">F29-(I29-AK29)</f>
        <v>-3.14415175195364</v>
      </c>
      <c r="M29" s="248" t="n">
        <v>25.3</v>
      </c>
      <c r="N29" s="158"/>
      <c r="O29" s="135" t="n">
        <f aca="false">27*1.05</f>
        <v>28.35</v>
      </c>
      <c r="P29" s="158" t="n">
        <v>0</v>
      </c>
      <c r="Q29" s="338" t="n">
        <f aca="false">950200/325851/1.9835*1.02</f>
        <v>1.49956030240452</v>
      </c>
      <c r="R29" s="131" t="n">
        <f aca="false">((1840448/646272)*1.04)-T29</f>
        <v>2.38768362758566</v>
      </c>
      <c r="S29" s="131" t="n">
        <v>0</v>
      </c>
      <c r="T29" s="131" t="n">
        <f aca="false">(0.5207*1.06)*1.04</f>
        <v>0.57401968</v>
      </c>
      <c r="U29" s="357" t="n">
        <v>0</v>
      </c>
      <c r="V29" s="135" t="n">
        <v>0</v>
      </c>
      <c r="W29" s="135" t="n">
        <v>0</v>
      </c>
      <c r="X29" s="135" t="n">
        <f aca="false">M29-N29-O29-P29-Q29-R29-S29-T29-U29+V29+W29-AU29+AR29</f>
        <v>-7.51126360999018</v>
      </c>
      <c r="Y29" s="135" t="n">
        <f aca="false">X29-AO29</f>
        <v>-7.51126360999018</v>
      </c>
      <c r="Z29" s="107"/>
      <c r="AA29" s="135"/>
      <c r="AB29" s="107"/>
      <c r="AC29" s="107"/>
      <c r="AD29" s="501"/>
      <c r="AE29" s="135" t="n">
        <v>0</v>
      </c>
      <c r="AF29" s="137" t="n">
        <v>1.7</v>
      </c>
      <c r="AG29" s="138" t="n">
        <v>1.3</v>
      </c>
      <c r="AH29" s="135" t="n">
        <v>12.8</v>
      </c>
      <c r="AI29" s="107" t="n">
        <f aca="false">AI28-AH29</f>
        <v>3200.03684762418</v>
      </c>
      <c r="AJ29" s="107"/>
      <c r="AK29" s="134" t="n">
        <f aca="false">N29+O29+P29+Q29+R29+S29+T29+U29+X29+AE29+AH29</f>
        <v>38.1</v>
      </c>
      <c r="AL29" s="135" t="n">
        <f aca="false">IF(L29&lt;0,L29*-1,0)</f>
        <v>3.14415175195364</v>
      </c>
      <c r="AM29" s="135" t="n">
        <f aca="false">AK29+AL29</f>
        <v>41.2441517519536</v>
      </c>
      <c r="AN29" s="281" t="n">
        <f aca="false">V29</f>
        <v>0</v>
      </c>
      <c r="AO29" s="136"/>
      <c r="AP29" s="502" t="n">
        <f aca="false">IF((I29-Q29-R29-X29-AF29)&gt;0,0,I29-Q29-R29-X29-AF29)</f>
        <v>0</v>
      </c>
      <c r="AQ29" s="158" t="n">
        <f aca="false">19.156*(Z29*1.9835+AC29*1.9835)/E29</f>
        <v>0</v>
      </c>
      <c r="AR29" s="158"/>
      <c r="AS29" s="158"/>
      <c r="AT29" s="107"/>
      <c r="AU29" s="176"/>
      <c r="AV29" s="179" t="n">
        <f aca="false">O29</f>
        <v>28.35</v>
      </c>
      <c r="AW29" s="322" t="n">
        <v>0</v>
      </c>
      <c r="AX29" s="221" t="n">
        <v>56</v>
      </c>
      <c r="AY29" s="215" t="n">
        <v>33</v>
      </c>
      <c r="AZ29" s="299"/>
      <c r="BA29" s="250" t="n">
        <f aca="false">SUM(N29,P29:U29)</f>
        <v>4.46126360999018</v>
      </c>
      <c r="BB29" s="184" t="n">
        <v>0</v>
      </c>
      <c r="BC29" s="299" t="n">
        <v>6242</v>
      </c>
    </row>
    <row r="30" customFormat="false" ht="12.95" hidden="false" customHeight="true" outlineLevel="0" collapsed="false">
      <c r="A30" s="183" t="n">
        <f aca="false">A29+1</f>
        <v>16</v>
      </c>
      <c r="B30" s="106" t="n">
        <v>6863.34</v>
      </c>
      <c r="C30" s="107" t="n">
        <v>170898</v>
      </c>
      <c r="D30" s="215" t="n">
        <f aca="false">C30-C29</f>
        <v>169</v>
      </c>
      <c r="E30" s="107" t="n">
        <f aca="false">C30-152000</f>
        <v>18898</v>
      </c>
      <c r="F30" s="246" t="n">
        <f aca="false">D30/$D$2</f>
        <v>85.2029241240232</v>
      </c>
      <c r="G30" s="135" t="n">
        <v>191</v>
      </c>
      <c r="H30" s="590" t="n">
        <v>2.94</v>
      </c>
      <c r="I30" s="135" t="n">
        <f aca="false">G30+H30</f>
        <v>193.94</v>
      </c>
      <c r="J30" s="136" t="n">
        <f aca="false">IF(L30&gt;0,L30,0)</f>
        <v>0</v>
      </c>
      <c r="K30" s="135" t="n">
        <f aca="false">I30+J30</f>
        <v>193.94</v>
      </c>
      <c r="L30" s="135" t="n">
        <f aca="false">F30-(I30-AK30)</f>
        <v>-33.6370758759768</v>
      </c>
      <c r="M30" s="248" t="n">
        <v>62.3</v>
      </c>
      <c r="N30" s="158"/>
      <c r="O30" s="135" t="n">
        <f aca="false">47.2*1.05</f>
        <v>49.56</v>
      </c>
      <c r="P30" s="158" t="n">
        <v>0</v>
      </c>
      <c r="Q30" s="338" t="n">
        <f aca="false">945900/325851/1.9835*1.02</f>
        <v>1.4927742475736</v>
      </c>
      <c r="R30" s="131" t="n">
        <f aca="false">((1932768/646272)*1.04)-T30</f>
        <v>2.53624769967914</v>
      </c>
      <c r="S30" s="131" t="n">
        <v>0</v>
      </c>
      <c r="T30" s="131" t="n">
        <f aca="false">(0.5207*1.06)*1.04</f>
        <v>0.57401968</v>
      </c>
      <c r="U30" s="357" t="n">
        <v>0</v>
      </c>
      <c r="V30" s="135" t="n">
        <v>0</v>
      </c>
      <c r="W30" s="135" t="n">
        <v>0</v>
      </c>
      <c r="X30" s="135" t="n">
        <f aca="false">M30-N30-O30-P30-Q30-R30-S30-T30-U30+V30+W30-AU30+AR30</f>
        <v>8.13695837274725</v>
      </c>
      <c r="Y30" s="135" t="n">
        <f aca="false">X30-AO30</f>
        <v>8.13695837274725</v>
      </c>
      <c r="Z30" s="107"/>
      <c r="AA30" s="135"/>
      <c r="AB30" s="107"/>
      <c r="AC30" s="107"/>
      <c r="AD30" s="501"/>
      <c r="AE30" s="135" t="n">
        <v>0</v>
      </c>
      <c r="AF30" s="137" t="n">
        <v>1.7</v>
      </c>
      <c r="AG30" s="138" t="n">
        <v>1.3</v>
      </c>
      <c r="AH30" s="135" t="n">
        <v>12.8</v>
      </c>
      <c r="AI30" s="107" t="n">
        <f aca="false">AI29-AH30</f>
        <v>3187.23684762418</v>
      </c>
      <c r="AJ30" s="107"/>
      <c r="AK30" s="134" t="n">
        <f aca="false">N30+O30+P30+Q30+R30+S30+T30+U30+X30+AE30+AH30</f>
        <v>75.1</v>
      </c>
      <c r="AL30" s="135" t="n">
        <f aca="false">IF(L30&lt;0,L30*-1,0)</f>
        <v>33.6370758759768</v>
      </c>
      <c r="AM30" s="135" t="n">
        <f aca="false">AK30+AL30</f>
        <v>108.737075875977</v>
      </c>
      <c r="AN30" s="281" t="n">
        <f aca="false">V30</f>
        <v>0</v>
      </c>
      <c r="AO30" s="136"/>
      <c r="AP30" s="502" t="n">
        <f aca="false">IF((I30-Q30-R30-X30-AF30)&gt;0,0,I30-Q30-R30-X30-AF30)</f>
        <v>0</v>
      </c>
      <c r="AQ30" s="158" t="n">
        <f aca="false">6.572*(Z30*1.9835+AC30*1.9835)/E30</f>
        <v>0</v>
      </c>
      <c r="AR30" s="158"/>
      <c r="AS30" s="136"/>
      <c r="AT30" s="107"/>
      <c r="AU30" s="176"/>
      <c r="AV30" s="179" t="n">
        <f aca="false">O30</f>
        <v>49.56</v>
      </c>
      <c r="AW30" s="322" t="n">
        <v>0</v>
      </c>
      <c r="AX30" s="221" t="n">
        <v>54</v>
      </c>
      <c r="AY30" s="215" t="n">
        <v>25</v>
      </c>
      <c r="AZ30" s="299"/>
      <c r="BA30" s="250" t="n">
        <f aca="false">SUM(N30,P30:U30)</f>
        <v>4.60304162725275</v>
      </c>
      <c r="BB30" s="184" t="n">
        <v>0</v>
      </c>
      <c r="BC30" s="299" t="n">
        <v>6254</v>
      </c>
    </row>
    <row r="31" customFormat="false" ht="12.95" hidden="false" customHeight="true" outlineLevel="0" collapsed="false">
      <c r="A31" s="183" t="n">
        <f aca="false">A30+1</f>
        <v>17</v>
      </c>
      <c r="B31" s="106" t="n">
        <v>6863.42</v>
      </c>
      <c r="C31" s="107" t="n">
        <v>171092</v>
      </c>
      <c r="D31" s="215" t="n">
        <f aca="false">C31-C30</f>
        <v>194</v>
      </c>
      <c r="E31" s="107" t="n">
        <f aca="false">C31-152000</f>
        <v>19092</v>
      </c>
      <c r="F31" s="246" t="n">
        <f aca="false">D31/$D$2</f>
        <v>97.8069069826065</v>
      </c>
      <c r="G31" s="135" t="n">
        <v>174</v>
      </c>
      <c r="H31" s="590" t="n">
        <v>3.07</v>
      </c>
      <c r="I31" s="135" t="n">
        <f aca="false">G31+H31</f>
        <v>177.07</v>
      </c>
      <c r="J31" s="136" t="n">
        <f aca="false">IF(L31&gt;0,L31,0)</f>
        <v>0</v>
      </c>
      <c r="K31" s="135" t="n">
        <f aca="false">I31+J31</f>
        <v>177.07</v>
      </c>
      <c r="L31" s="135" t="n">
        <f aca="false">F31-(I31-AK31)</f>
        <v>-5.36309301739348</v>
      </c>
      <c r="M31" s="248" t="n">
        <v>61.1</v>
      </c>
      <c r="N31" s="158"/>
      <c r="O31" s="135" t="n">
        <f aca="false">60.1*1.05</f>
        <v>63.105</v>
      </c>
      <c r="P31" s="158" t="n">
        <v>0</v>
      </c>
      <c r="Q31" s="338" t="n">
        <f aca="false">892000/325851/1.9835*1.02</f>
        <v>1.40771183934417</v>
      </c>
      <c r="R31" s="131" t="n">
        <f aca="false">((1521952/646272)*1.04)-T31</f>
        <v>1.87515045269954</v>
      </c>
      <c r="S31" s="131" t="n">
        <v>0</v>
      </c>
      <c r="T31" s="131" t="n">
        <f aca="false">(0.5207*1.06)*1.04</f>
        <v>0.57401968</v>
      </c>
      <c r="U31" s="357" t="n">
        <v>0</v>
      </c>
      <c r="V31" s="135" t="n">
        <v>0</v>
      </c>
      <c r="W31" s="135" t="n">
        <v>0</v>
      </c>
      <c r="X31" s="135" t="n">
        <f aca="false">M31-N31-O31-P31-Q31-R31-S31-T31-U31+V31+W31-AU31+AR31</f>
        <v>-5.86188197204372</v>
      </c>
      <c r="Y31" s="135" t="n">
        <f aca="false">X31-AO31</f>
        <v>-5.86188197204372</v>
      </c>
      <c r="Z31" s="107"/>
      <c r="AA31" s="135"/>
      <c r="AB31" s="107"/>
      <c r="AC31" s="107"/>
      <c r="AD31" s="501"/>
      <c r="AE31" s="135" t="n">
        <v>0</v>
      </c>
      <c r="AF31" s="137" t="n">
        <v>1.7</v>
      </c>
      <c r="AG31" s="138" t="n">
        <v>1.3</v>
      </c>
      <c r="AH31" s="135" t="n">
        <v>12.8</v>
      </c>
      <c r="AI31" s="107" t="n">
        <f aca="false">AI30-AH31</f>
        <v>3174.43684762418</v>
      </c>
      <c r="AJ31" s="107"/>
      <c r="AK31" s="134" t="n">
        <f aca="false">N31+O31+P31+Q31+R31+S31+T31+U31+X31+AE31+AH31</f>
        <v>73.9</v>
      </c>
      <c r="AL31" s="135" t="n">
        <f aca="false">IF(L31&lt;0,L31*-1,0)</f>
        <v>5.36309301739348</v>
      </c>
      <c r="AM31" s="135" t="n">
        <f aca="false">AK31+AL31</f>
        <v>79.2630930173935</v>
      </c>
      <c r="AN31" s="281" t="n">
        <f aca="false">V31</f>
        <v>0</v>
      </c>
      <c r="AO31" s="136"/>
      <c r="AP31" s="502" t="n">
        <f aca="false">IF((I31-Q31-R31-X31-AF31)&gt;0,0,I31-Q31-R31-X31-AF31)</f>
        <v>0</v>
      </c>
      <c r="AQ31" s="158" t="n">
        <f aca="false">10.767*(Z31*1.9835+AC31*1.9835)/E31</f>
        <v>0</v>
      </c>
      <c r="AR31" s="158"/>
      <c r="AS31" s="136"/>
      <c r="AT31" s="107"/>
      <c r="AU31" s="176"/>
      <c r="AV31" s="179" t="n">
        <f aca="false">O31</f>
        <v>63.105</v>
      </c>
      <c r="AW31" s="322" t="n">
        <v>0</v>
      </c>
      <c r="AX31" s="221" t="n">
        <v>58</v>
      </c>
      <c r="AY31" s="215" t="n">
        <v>28</v>
      </c>
      <c r="AZ31" s="299"/>
      <c r="BA31" s="250" t="n">
        <f aca="false">SUM(N31,P31:U31)</f>
        <v>3.85688197204372</v>
      </c>
      <c r="BB31" s="184" t="n">
        <v>0</v>
      </c>
      <c r="BC31" s="299" t="n">
        <v>6261</v>
      </c>
    </row>
    <row r="32" customFormat="false" ht="12.95" hidden="false" customHeight="true" outlineLevel="0" collapsed="false">
      <c r="A32" s="183" t="n">
        <f aca="false">A31+1</f>
        <v>18</v>
      </c>
      <c r="B32" s="106" t="n">
        <v>6863.52</v>
      </c>
      <c r="C32" s="107" t="n">
        <v>171333</v>
      </c>
      <c r="D32" s="215" t="n">
        <f aca="false">C32-C31</f>
        <v>241</v>
      </c>
      <c r="E32" s="107" t="n">
        <f aca="false">C32-152000</f>
        <v>19333</v>
      </c>
      <c r="F32" s="246" t="n">
        <f aca="false">D32/$D$2</f>
        <v>121.502394756743</v>
      </c>
      <c r="G32" s="135" t="n">
        <v>170</v>
      </c>
      <c r="H32" s="590" t="n">
        <v>2.92</v>
      </c>
      <c r="I32" s="135" t="n">
        <f aca="false">G32+H32</f>
        <v>172.92</v>
      </c>
      <c r="J32" s="136" t="n">
        <f aca="false">IF(L32&gt;0,L32,0)</f>
        <v>10.6823947567431</v>
      </c>
      <c r="K32" s="135" t="n">
        <f aca="false">I32+J32</f>
        <v>183.602394756743</v>
      </c>
      <c r="L32" s="135" t="n">
        <f aca="false">F32-(I32-AK32)</f>
        <v>10.6823947567431</v>
      </c>
      <c r="M32" s="248" t="n">
        <v>49.3</v>
      </c>
      <c r="N32" s="158"/>
      <c r="O32" s="135" t="n">
        <f aca="false">47.2*1.05</f>
        <v>49.56</v>
      </c>
      <c r="P32" s="158" t="n">
        <v>0</v>
      </c>
      <c r="Q32" s="338" t="n">
        <f aca="false">932700/325851/1.9835*1.02</f>
        <v>1.47194263739497</v>
      </c>
      <c r="R32" s="131" t="n">
        <f aca="false">((1372756/646272)*1.04)-T32</f>
        <v>1.65666688069717</v>
      </c>
      <c r="S32" s="131" t="n">
        <v>0</v>
      </c>
      <c r="T32" s="131" t="n">
        <f aca="false">(0.5011*1.06)*1.04</f>
        <v>0.55241264</v>
      </c>
      <c r="U32" s="357" t="n">
        <v>0</v>
      </c>
      <c r="V32" s="135" t="n">
        <v>0</v>
      </c>
      <c r="W32" s="135" t="n">
        <v>0</v>
      </c>
      <c r="X32" s="135" t="n">
        <f aca="false">M32-N32-O32-P32-Q32-R32-S32-T32-U32+V32+W32-AU32+AR32</f>
        <v>-3.94102215809214</v>
      </c>
      <c r="Y32" s="135" t="n">
        <f aca="false">X32-AO32</f>
        <v>-3.94102215809214</v>
      </c>
      <c r="Z32" s="107"/>
      <c r="AA32" s="135"/>
      <c r="AB32" s="107"/>
      <c r="AC32" s="107"/>
      <c r="AD32" s="501"/>
      <c r="AE32" s="135" t="n">
        <v>0</v>
      </c>
      <c r="AF32" s="137" t="n">
        <v>1.7</v>
      </c>
      <c r="AG32" s="138" t="n">
        <v>1.3</v>
      </c>
      <c r="AH32" s="135" t="n">
        <v>12.8</v>
      </c>
      <c r="AI32" s="107" t="n">
        <f aca="false">AI31-AH32</f>
        <v>3161.63684762417</v>
      </c>
      <c r="AJ32" s="107"/>
      <c r="AK32" s="134" t="n">
        <f aca="false">N32+O32+P32+Q32+R32+S32+T32+U32+X32+AE32+AH32</f>
        <v>62.1</v>
      </c>
      <c r="AL32" s="135" t="n">
        <f aca="false">IF(L32&lt;0,L32*-1,0)</f>
        <v>0</v>
      </c>
      <c r="AM32" s="135" t="n">
        <f aca="false">AK32+AL32</f>
        <v>62.1</v>
      </c>
      <c r="AN32" s="281" t="n">
        <f aca="false">V32</f>
        <v>0</v>
      </c>
      <c r="AO32" s="136"/>
      <c r="AP32" s="502" t="n">
        <f aca="false">IF((I32-Q32-R32-X32-AF32)&gt;0,0,I32-Q32-R32-X32-AF32)</f>
        <v>0</v>
      </c>
      <c r="AQ32" s="158" t="n">
        <f aca="false">18.054*(Z32*1.9835+AC32*1.9835)/E32</f>
        <v>0</v>
      </c>
      <c r="AR32" s="158"/>
      <c r="AS32" s="136"/>
      <c r="AT32" s="107"/>
      <c r="AU32" s="176"/>
      <c r="AV32" s="179" t="n">
        <f aca="false">O32</f>
        <v>49.56</v>
      </c>
      <c r="AW32" s="322" t="n">
        <v>0</v>
      </c>
      <c r="AX32" s="221" t="n">
        <v>54</v>
      </c>
      <c r="AY32" s="215" t="n">
        <v>28</v>
      </c>
      <c r="AZ32" s="299"/>
      <c r="BA32" s="250" t="n">
        <f aca="false">SUM(N32,P32:U32)</f>
        <v>3.68102215809213</v>
      </c>
      <c r="BB32" s="184" t="n">
        <v>0</v>
      </c>
      <c r="BC32" s="299" t="n">
        <v>6271</v>
      </c>
    </row>
    <row r="33" customFormat="false" ht="12.95" hidden="false" customHeight="true" outlineLevel="0" collapsed="false">
      <c r="A33" s="183" t="n">
        <f aca="false">A32+1</f>
        <v>19</v>
      </c>
      <c r="B33" s="106" t="n">
        <v>6863.59</v>
      </c>
      <c r="C33" s="107" t="n">
        <v>171502</v>
      </c>
      <c r="D33" s="215" t="n">
        <f aca="false">C33-C32</f>
        <v>169</v>
      </c>
      <c r="E33" s="107" t="n">
        <f aca="false">C33-152000</f>
        <v>19502</v>
      </c>
      <c r="F33" s="246" t="n">
        <f aca="false">D33/$D$2</f>
        <v>85.2029241240232</v>
      </c>
      <c r="G33" s="135" t="n">
        <v>159</v>
      </c>
      <c r="H33" s="590" t="n">
        <v>2.96</v>
      </c>
      <c r="I33" s="135" t="n">
        <f aca="false">G33+H33</f>
        <v>161.96</v>
      </c>
      <c r="J33" s="136" t="n">
        <f aca="false">IF(L33&gt;0,L33,0)</f>
        <v>0</v>
      </c>
      <c r="K33" s="135" t="n">
        <f aca="false">I33+J33</f>
        <v>161.96</v>
      </c>
      <c r="L33" s="135" t="n">
        <f aca="false">F33-(I33-AK33)</f>
        <v>-29.8570758759768</v>
      </c>
      <c r="M33" s="248" t="n">
        <v>34.1</v>
      </c>
      <c r="N33" s="158"/>
      <c r="O33" s="135" t="n">
        <f aca="false">28.8*1.05</f>
        <v>30.24</v>
      </c>
      <c r="P33" s="158" t="n">
        <v>0</v>
      </c>
      <c r="Q33" s="338" t="n">
        <f aca="false">947600/325851/1.9835*1.02</f>
        <v>1.49545710646024</v>
      </c>
      <c r="R33" s="131" t="n">
        <f aca="false">((1298980/646272)*1.04)-T33</f>
        <v>1.53794436138641</v>
      </c>
      <c r="S33" s="131" t="n">
        <v>0</v>
      </c>
      <c r="T33" s="131" t="n">
        <f aca="false">(0.5011*1.06)*1.04</f>
        <v>0.55241264</v>
      </c>
      <c r="U33" s="357" t="n">
        <v>0</v>
      </c>
      <c r="V33" s="135" t="n">
        <v>0</v>
      </c>
      <c r="W33" s="135" t="n">
        <v>0</v>
      </c>
      <c r="X33" s="135" t="n">
        <f aca="false">M33-N33-O33-P33-Q33-R33-S33-T33-U33+V33+W33-AU33+AR33</f>
        <v>0.274185892153343</v>
      </c>
      <c r="Y33" s="135" t="n">
        <f aca="false">X33-AO33</f>
        <v>0.274185892153343</v>
      </c>
      <c r="Z33" s="107"/>
      <c r="AA33" s="135"/>
      <c r="AB33" s="107"/>
      <c r="AC33" s="107"/>
      <c r="AD33" s="501"/>
      <c r="AE33" s="135" t="n">
        <v>0</v>
      </c>
      <c r="AF33" s="137" t="n">
        <v>1.7</v>
      </c>
      <c r="AG33" s="138" t="n">
        <v>1.3</v>
      </c>
      <c r="AH33" s="135" t="n">
        <v>12.8</v>
      </c>
      <c r="AI33" s="107" t="n">
        <f aca="false">AI32-AH33</f>
        <v>3148.83684762417</v>
      </c>
      <c r="AJ33" s="107"/>
      <c r="AK33" s="134" t="n">
        <f aca="false">N33+O33+P33+Q33+R33+S33+T33+U33+X33+AE33+AH33</f>
        <v>46.9</v>
      </c>
      <c r="AL33" s="135" t="n">
        <f aca="false">IF(L33&lt;0,L33*-1,0)</f>
        <v>29.8570758759768</v>
      </c>
      <c r="AM33" s="135" t="n">
        <f aca="false">AK33+AL33</f>
        <v>76.7570758759768</v>
      </c>
      <c r="AN33" s="281" t="n">
        <f aca="false">V33</f>
        <v>0</v>
      </c>
      <c r="AO33" s="136"/>
      <c r="AP33" s="502" t="n">
        <f aca="false">IF((I33-Q33-R33-X33-AF33)&gt;0,0,I33-Q33-R33-X33-AF33)</f>
        <v>0</v>
      </c>
      <c r="AQ33" s="158" t="n">
        <f aca="false">15.78*(Z33*1.9835+AC33*1.9835)/E33</f>
        <v>0</v>
      </c>
      <c r="AR33" s="158"/>
      <c r="AS33" s="158"/>
      <c r="AT33" s="107"/>
      <c r="AU33" s="176"/>
      <c r="AV33" s="179" t="n">
        <f aca="false">O33</f>
        <v>30.24</v>
      </c>
      <c r="AW33" s="322" t="n">
        <v>0</v>
      </c>
      <c r="AX33" s="221" t="n">
        <v>61</v>
      </c>
      <c r="AY33" s="215" t="n">
        <v>28</v>
      </c>
      <c r="AZ33" s="299"/>
      <c r="BA33" s="250" t="n">
        <f aca="false">SUM(N33,P33:U33)</f>
        <v>3.58581410784666</v>
      </c>
      <c r="BB33" s="184" t="n">
        <v>0</v>
      </c>
      <c r="BC33" s="299" t="n">
        <v>6277</v>
      </c>
    </row>
    <row r="34" customFormat="false" ht="12.95" hidden="false" customHeight="true" outlineLevel="0" collapsed="false">
      <c r="A34" s="183" t="n">
        <f aca="false">A33+1</f>
        <v>20</v>
      </c>
      <c r="B34" s="106" t="n">
        <v>6863.69</v>
      </c>
      <c r="C34" s="107" t="n">
        <v>171744</v>
      </c>
      <c r="D34" s="215" t="n">
        <f aca="false">C34-C33</f>
        <v>242</v>
      </c>
      <c r="E34" s="107" t="n">
        <f aca="false">C34-152000</f>
        <v>19744</v>
      </c>
      <c r="F34" s="246" t="n">
        <f aca="false">D34/$D$2</f>
        <v>122.006554071086</v>
      </c>
      <c r="G34" s="135" t="n">
        <v>159</v>
      </c>
      <c r="H34" s="590" t="n">
        <v>2.91</v>
      </c>
      <c r="I34" s="135" t="n">
        <f aca="false">G34+H34</f>
        <v>161.91</v>
      </c>
      <c r="J34" s="136" t="n">
        <f aca="false">IF(L34&gt;0,L34,0)</f>
        <v>0</v>
      </c>
      <c r="K34" s="135" t="n">
        <f aca="false">I34+J34</f>
        <v>161.91</v>
      </c>
      <c r="L34" s="135" t="n">
        <f aca="false">F34-(I34-AK34)</f>
        <v>-4.10344592891354</v>
      </c>
      <c r="M34" s="248" t="n">
        <v>22.9</v>
      </c>
      <c r="N34" s="158"/>
      <c r="O34" s="135" t="n">
        <f aca="false">22.7*1.05</f>
        <v>23.835</v>
      </c>
      <c r="P34" s="158" t="n">
        <v>0</v>
      </c>
      <c r="Q34" s="338" t="n">
        <f aca="false">1158700/325851/1.9835*1.02</f>
        <v>1.82860505408979</v>
      </c>
      <c r="R34" s="131" t="n">
        <f aca="false">((1252132/646272)*1.04)-T34</f>
        <v>1.46255517540899</v>
      </c>
      <c r="S34" s="131" t="n">
        <v>0</v>
      </c>
      <c r="T34" s="131" t="n">
        <f aca="false">(0.5011*1.06)*1.04</f>
        <v>0.55241264</v>
      </c>
      <c r="U34" s="357" t="n">
        <v>0</v>
      </c>
      <c r="V34" s="135" t="n">
        <v>0</v>
      </c>
      <c r="W34" s="135" t="n">
        <v>0</v>
      </c>
      <c r="X34" s="135" t="n">
        <f aca="false">M34-N34-O34-P34-Q34-R34-S34-T34-U34+V34+W34-AU34+AR34</f>
        <v>-4.77857286949878</v>
      </c>
      <c r="Y34" s="135" t="n">
        <f aca="false">X34-AO34</f>
        <v>-4.77857286949878</v>
      </c>
      <c r="Z34" s="107"/>
      <c r="AA34" s="135"/>
      <c r="AB34" s="107"/>
      <c r="AC34" s="107"/>
      <c r="AD34" s="501"/>
      <c r="AE34" s="135" t="n">
        <v>0</v>
      </c>
      <c r="AF34" s="137" t="n">
        <v>1.7</v>
      </c>
      <c r="AG34" s="138" t="n">
        <v>1.3</v>
      </c>
      <c r="AH34" s="135" t="n">
        <v>12.9</v>
      </c>
      <c r="AI34" s="107" t="n">
        <f aca="false">AI33-AH34</f>
        <v>3135.93684762417</v>
      </c>
      <c r="AJ34" s="107"/>
      <c r="AK34" s="134" t="n">
        <f aca="false">N34+O34+P34+Q34+R34+S34+T34+U34+X34+AE34+AH34</f>
        <v>35.8</v>
      </c>
      <c r="AL34" s="135" t="n">
        <f aca="false">IF(L34&lt;0,L34*-1,0)</f>
        <v>4.10344592891354</v>
      </c>
      <c r="AM34" s="135" t="n">
        <f aca="false">AK34+AL34</f>
        <v>39.9034459289135</v>
      </c>
      <c r="AN34" s="281" t="n">
        <f aca="false">V34</f>
        <v>0</v>
      </c>
      <c r="AO34" s="136"/>
      <c r="AP34" s="502" t="n">
        <f aca="false">IF((I34-Q34-R34-X34-AF34)&gt;0,0,I34-Q34-R34-X34-AF34)</f>
        <v>0</v>
      </c>
      <c r="AQ34" s="158" t="n">
        <f aca="false">23.03*(Z34*1.9835+AC34*1.9835)/E34</f>
        <v>0</v>
      </c>
      <c r="AR34" s="158"/>
      <c r="AS34" s="158"/>
      <c r="AT34" s="107"/>
      <c r="AU34" s="176"/>
      <c r="AV34" s="179" t="n">
        <f aca="false">O34</f>
        <v>23.835</v>
      </c>
      <c r="AW34" s="322" t="n">
        <v>0</v>
      </c>
      <c r="AX34" s="221" t="n">
        <v>63</v>
      </c>
      <c r="AY34" s="215" t="n">
        <v>30</v>
      </c>
      <c r="AZ34" s="299"/>
      <c r="BA34" s="250" t="n">
        <f aca="false">SUM(N34,P34:U34)</f>
        <v>3.84357286949878</v>
      </c>
      <c r="BB34" s="184" t="n">
        <v>0</v>
      </c>
      <c r="BC34" s="299" t="n">
        <v>6290</v>
      </c>
    </row>
    <row r="35" customFormat="false" ht="12.95" hidden="false" customHeight="true" outlineLevel="0" collapsed="false">
      <c r="A35" s="183" t="n">
        <f aca="false">A34+1</f>
        <v>21</v>
      </c>
      <c r="B35" s="106" t="n">
        <v>6863.73</v>
      </c>
      <c r="C35" s="107" t="n">
        <v>171841</v>
      </c>
      <c r="D35" s="215" t="n">
        <f aca="false">C35-C34</f>
        <v>97</v>
      </c>
      <c r="E35" s="107" t="n">
        <f aca="false">C35-152000</f>
        <v>19841</v>
      </c>
      <c r="F35" s="246" t="n">
        <f aca="false">D35/$D$2</f>
        <v>48.9034534913033</v>
      </c>
      <c r="G35" s="135" t="n">
        <v>154</v>
      </c>
      <c r="H35" s="590" t="n">
        <v>2.84</v>
      </c>
      <c r="I35" s="135" t="n">
        <f aca="false">G35+H35</f>
        <v>156.84</v>
      </c>
      <c r="J35" s="136" t="n">
        <f aca="false">IF(L35&gt;0,L35,0)</f>
        <v>0</v>
      </c>
      <c r="K35" s="135" t="n">
        <f aca="false">I35+J35</f>
        <v>156.84</v>
      </c>
      <c r="L35" s="135" t="n">
        <f aca="false">F35-(I35-AK35)</f>
        <v>-20.8065465086968</v>
      </c>
      <c r="M35" s="248" t="n">
        <v>67.8</v>
      </c>
      <c r="N35" s="158"/>
      <c r="O35" s="135" t="n">
        <f aca="false">28.3*1.05</f>
        <v>29.715</v>
      </c>
      <c r="P35" s="158" t="n">
        <v>0</v>
      </c>
      <c r="Q35" s="338" t="n">
        <f aca="false">967000/325851/1.9835*1.02</f>
        <v>1.52607326081369</v>
      </c>
      <c r="R35" s="131" t="n">
        <f aca="false">((1151992/646272)*1.04)-T35</f>
        <v>1.30140692823133</v>
      </c>
      <c r="S35" s="131" t="n">
        <v>0</v>
      </c>
      <c r="T35" s="131" t="n">
        <f aca="false">(0.5011*1.06)*1.04</f>
        <v>0.55241264</v>
      </c>
      <c r="U35" s="357" t="n">
        <v>0</v>
      </c>
      <c r="V35" s="135" t="n">
        <v>0</v>
      </c>
      <c r="W35" s="135" t="n">
        <v>6.33</v>
      </c>
      <c r="X35" s="135" t="n">
        <f aca="false">M35-N35-O35-P35-Q35-R35-S35-T35-U35+V35+W35-AU35+AR35</f>
        <v>41.035107170955</v>
      </c>
      <c r="Y35" s="135" t="n">
        <f aca="false">X35-AO35</f>
        <v>15.295107170955</v>
      </c>
      <c r="Z35" s="107"/>
      <c r="AA35" s="135"/>
      <c r="AB35" s="107"/>
      <c r="AC35" s="107"/>
      <c r="AD35" s="501"/>
      <c r="AE35" s="135" t="n">
        <v>0</v>
      </c>
      <c r="AF35" s="137" t="n">
        <v>1.7</v>
      </c>
      <c r="AG35" s="138" t="n">
        <v>1.3</v>
      </c>
      <c r="AH35" s="135" t="n">
        <v>13</v>
      </c>
      <c r="AI35" s="107" t="n">
        <f aca="false">AI34-AH35</f>
        <v>3122.93684762417</v>
      </c>
      <c r="AJ35" s="107"/>
      <c r="AK35" s="134" t="n">
        <f aca="false">N35+O35+P35+Q35+R35+S35+T35+U35+X35+AE35+AH35</f>
        <v>87.13</v>
      </c>
      <c r="AL35" s="135" t="n">
        <f aca="false">IF(L35&lt;0,L35*-1,0)</f>
        <v>20.8065465086968</v>
      </c>
      <c r="AM35" s="135" t="n">
        <f aca="false">AK35+AL35</f>
        <v>107.936546508697</v>
      </c>
      <c r="AN35" s="281" t="n">
        <f aca="false">V35</f>
        <v>0</v>
      </c>
      <c r="AO35" s="136" t="n">
        <f aca="false">W35+12+7.41</f>
        <v>25.74</v>
      </c>
      <c r="AP35" s="502" t="n">
        <f aca="false">IF((I35-Q35-R35-X35-AF35)&gt;0,0,I35-Q35-R35-X35-AF35)</f>
        <v>0</v>
      </c>
      <c r="AQ35" s="158" t="n">
        <f aca="false">4.265*(Z35*1.9835+AC35*1.9835)/E35</f>
        <v>0</v>
      </c>
      <c r="AR35" s="158"/>
      <c r="AS35" s="158"/>
      <c r="AT35" s="107"/>
      <c r="AU35" s="176"/>
      <c r="AV35" s="179" t="n">
        <f aca="false">O35</f>
        <v>29.715</v>
      </c>
      <c r="AW35" s="322" t="n">
        <v>0</v>
      </c>
      <c r="AX35" s="215" t="n">
        <v>64</v>
      </c>
      <c r="AY35" s="215" t="n">
        <v>32</v>
      </c>
      <c r="AZ35" s="299"/>
      <c r="BA35" s="250" t="n">
        <f aca="false">SUM(N35,P35:U35)</f>
        <v>3.37989282904503</v>
      </c>
      <c r="BB35" s="184" t="n">
        <v>0</v>
      </c>
      <c r="BC35" s="299" t="n">
        <v>6293</v>
      </c>
    </row>
    <row r="36" customFormat="false" ht="12.95" hidden="false" customHeight="true" outlineLevel="0" collapsed="false">
      <c r="A36" s="183" t="n">
        <f aca="false">A35+1</f>
        <v>22</v>
      </c>
      <c r="B36" s="106" t="n">
        <v>6863.76</v>
      </c>
      <c r="C36" s="107" t="n">
        <v>171913</v>
      </c>
      <c r="D36" s="215" t="n">
        <f aca="false">C36-C35</f>
        <v>72</v>
      </c>
      <c r="E36" s="107" t="n">
        <f aca="false">C36-152000</f>
        <v>19913</v>
      </c>
      <c r="F36" s="246" t="n">
        <f aca="false">D36/$D$2</f>
        <v>36.2994706327199</v>
      </c>
      <c r="G36" s="135" t="n">
        <v>146</v>
      </c>
      <c r="H36" s="590" t="n">
        <v>2.71</v>
      </c>
      <c r="I36" s="135" t="n">
        <f aca="false">G36+H36</f>
        <v>148.71</v>
      </c>
      <c r="J36" s="136" t="n">
        <f aca="false">IF(L36&gt;0,L36,0)</f>
        <v>0.589470632719944</v>
      </c>
      <c r="K36" s="135" t="n">
        <f aca="false">I36+J36</f>
        <v>149.29947063272</v>
      </c>
      <c r="L36" s="135" t="n">
        <f aca="false">F36-(I36-AK36)</f>
        <v>0.589470632719944</v>
      </c>
      <c r="M36" s="248" t="n">
        <v>87.7</v>
      </c>
      <c r="N36" s="158"/>
      <c r="O36" s="135" t="n">
        <f aca="false">40*1.05</f>
        <v>42</v>
      </c>
      <c r="P36" s="158" t="n">
        <v>0</v>
      </c>
      <c r="Q36" s="338" t="n">
        <f aca="false">992000/325851/1.9835*1.02</f>
        <v>1.5655270679702</v>
      </c>
      <c r="R36" s="131" t="n">
        <f aca="false">((1135151/646272)*1.04)-T36</f>
        <v>1.27430589337295</v>
      </c>
      <c r="S36" s="131" t="n">
        <v>0</v>
      </c>
      <c r="T36" s="131" t="n">
        <f aca="false">(0.5011*1.06)*1.04</f>
        <v>0.55241264</v>
      </c>
      <c r="U36" s="357" t="n">
        <v>0</v>
      </c>
      <c r="V36" s="135" t="n">
        <v>0</v>
      </c>
      <c r="W36" s="135" t="n">
        <v>12.1</v>
      </c>
      <c r="X36" s="135" t="n">
        <f aca="false">M36-N36-O36-P36-Q36-R36-S36-T36-U36+V36+W36-AU36+AR36</f>
        <v>54.4077543986569</v>
      </c>
      <c r="Y36" s="135" t="n">
        <f aca="false">X36-AO36</f>
        <v>13.7877543986569</v>
      </c>
      <c r="Z36" s="107"/>
      <c r="AA36" s="135"/>
      <c r="AB36" s="107"/>
      <c r="AC36" s="107"/>
      <c r="AD36" s="501"/>
      <c r="AE36" s="135" t="n">
        <v>0</v>
      </c>
      <c r="AF36" s="137" t="n">
        <v>1.7</v>
      </c>
      <c r="AG36" s="138" t="n">
        <v>1.3</v>
      </c>
      <c r="AH36" s="135" t="n">
        <v>13.2</v>
      </c>
      <c r="AI36" s="107" t="n">
        <f aca="false">AI35-AH36</f>
        <v>3109.73684762418</v>
      </c>
      <c r="AJ36" s="107"/>
      <c r="AK36" s="134" t="n">
        <f aca="false">N36+O36+P36+Q36+R36+S36+T36+U36+X36+AE36+AH36</f>
        <v>113</v>
      </c>
      <c r="AL36" s="135" t="n">
        <f aca="false">IF(L36&lt;0,L36*-1,0)</f>
        <v>0</v>
      </c>
      <c r="AM36" s="135" t="n">
        <f aca="false">AK36+AL36</f>
        <v>113</v>
      </c>
      <c r="AN36" s="281" t="n">
        <f aca="false">V36</f>
        <v>0</v>
      </c>
      <c r="AO36" s="136" t="n">
        <f aca="false">W36+10.74+17.78</f>
        <v>40.62</v>
      </c>
      <c r="AP36" s="502" t="n">
        <f aca="false">IF((I36-Q36-R36-X36-AF36)&gt;0,0,I36-Q36-R36-X36-AF36)</f>
        <v>0</v>
      </c>
      <c r="AQ36" s="158" t="n">
        <f aca="false">11.941*(Z36*1.9835+AC36*1.9835)/E36</f>
        <v>0</v>
      </c>
      <c r="AR36" s="158"/>
      <c r="AS36" s="158"/>
      <c r="AT36" s="107"/>
      <c r="AU36" s="176"/>
      <c r="AV36" s="179" t="n">
        <f aca="false">O36</f>
        <v>42</v>
      </c>
      <c r="AW36" s="322" t="n">
        <v>0</v>
      </c>
      <c r="AX36" s="215" t="n">
        <v>66</v>
      </c>
      <c r="AY36" s="215" t="n">
        <v>32</v>
      </c>
      <c r="AZ36" s="299"/>
      <c r="BA36" s="250" t="n">
        <f aca="false">SUM(N36,P36:U36)</f>
        <v>3.39224560134314</v>
      </c>
      <c r="BB36" s="184" t="n">
        <v>0</v>
      </c>
      <c r="BC36" s="299" t="n">
        <v>6299</v>
      </c>
    </row>
    <row r="37" customFormat="false" ht="12.95" hidden="false" customHeight="true" outlineLevel="0" collapsed="false">
      <c r="A37" s="183" t="n">
        <f aca="false">A36+1</f>
        <v>23</v>
      </c>
      <c r="B37" s="106" t="n">
        <v>6863.8</v>
      </c>
      <c r="C37" s="107" t="n">
        <v>172010</v>
      </c>
      <c r="D37" s="215" t="n">
        <f aca="false">C37-C36</f>
        <v>97</v>
      </c>
      <c r="E37" s="107" t="n">
        <f aca="false">C37-152000</f>
        <v>20010</v>
      </c>
      <c r="F37" s="246" t="n">
        <f aca="false">D37/$D$2</f>
        <v>48.9034534913033</v>
      </c>
      <c r="G37" s="135" t="n">
        <v>149</v>
      </c>
      <c r="H37" s="590" t="n">
        <v>2.56</v>
      </c>
      <c r="I37" s="135" t="n">
        <f aca="false">G37+H37</f>
        <v>151.56</v>
      </c>
      <c r="J37" s="136" t="n">
        <f aca="false">IF(L37&gt;0,L37,0)</f>
        <v>0</v>
      </c>
      <c r="K37" s="135" t="n">
        <f aca="false">I37+J37</f>
        <v>151.56</v>
      </c>
      <c r="L37" s="135" t="n">
        <f aca="false">F37-(I37-AK37)</f>
        <v>-1.15654650869675</v>
      </c>
      <c r="M37" s="248" t="n">
        <v>78.1</v>
      </c>
      <c r="N37" s="158"/>
      <c r="O37" s="135" t="n">
        <f aca="false">48.9*1.05</f>
        <v>51.345</v>
      </c>
      <c r="P37" s="158" t="n">
        <v>0</v>
      </c>
      <c r="Q37" s="338" t="n">
        <f aca="false">938700/325851/1.9835*1.02</f>
        <v>1.48141155111253</v>
      </c>
      <c r="R37" s="131" t="n">
        <f aca="false">((1200533/646272)*1.04)-T37</f>
        <v>1.37952053983759</v>
      </c>
      <c r="S37" s="131" t="n">
        <v>0</v>
      </c>
      <c r="T37" s="131" t="n">
        <f aca="false">(0.5011*1.06)*1.04</f>
        <v>0.55241264</v>
      </c>
      <c r="U37" s="357" t="n">
        <v>0</v>
      </c>
      <c r="V37" s="135" t="n">
        <v>0</v>
      </c>
      <c r="W37" s="135" t="n">
        <v>10.2</v>
      </c>
      <c r="X37" s="135" t="n">
        <f aca="false">M37-N37-O37-P37-Q37-R37-S37-T37-U37+V37+W37-AU37+AR37</f>
        <v>33.5416552690499</v>
      </c>
      <c r="Y37" s="135" t="n">
        <f aca="false">X37-AO37</f>
        <v>-2.63834473095012</v>
      </c>
      <c r="Z37" s="107"/>
      <c r="AA37" s="135"/>
      <c r="AB37" s="107"/>
      <c r="AC37" s="107"/>
      <c r="AD37" s="501"/>
      <c r="AE37" s="135" t="n">
        <v>0</v>
      </c>
      <c r="AF37" s="137" t="n">
        <v>1.7</v>
      </c>
      <c r="AG37" s="138" t="n">
        <v>1.3</v>
      </c>
      <c r="AH37" s="135" t="n">
        <v>13.2</v>
      </c>
      <c r="AI37" s="107" t="n">
        <f aca="false">AI36-AH37</f>
        <v>3096.53684762418</v>
      </c>
      <c r="AJ37" s="107"/>
      <c r="AK37" s="134" t="n">
        <f aca="false">N37+O37+P37+Q37+R37+S37+T37+U37+X37+AE37+AH37</f>
        <v>101.5</v>
      </c>
      <c r="AL37" s="135" t="n">
        <f aca="false">IF(L37&lt;0,L37*-1,0)</f>
        <v>1.15654650869675</v>
      </c>
      <c r="AM37" s="135" t="n">
        <f aca="false">AK37+AL37</f>
        <v>102.656546508697</v>
      </c>
      <c r="AN37" s="281" t="n">
        <f aca="false">V37</f>
        <v>0</v>
      </c>
      <c r="AO37" s="136" t="n">
        <f aca="false">W37+10.69+15.29</f>
        <v>36.18</v>
      </c>
      <c r="AP37" s="502" t="n">
        <f aca="false">IF((I37-Q37-R37-X37-AF37)&gt;0,0,I37-Q37-R37-X37-AF37)</f>
        <v>0</v>
      </c>
      <c r="AQ37" s="158" t="n">
        <f aca="false">17.485*(Z37*1.9835+AC37*1.9835)/E37</f>
        <v>0</v>
      </c>
      <c r="AR37" s="158"/>
      <c r="AS37" s="158"/>
      <c r="AT37" s="107"/>
      <c r="AU37" s="176"/>
      <c r="AV37" s="179" t="n">
        <f aca="false">O37</f>
        <v>51.345</v>
      </c>
      <c r="AW37" s="322" t="n">
        <v>0</v>
      </c>
      <c r="AX37" s="215" t="n">
        <v>70</v>
      </c>
      <c r="AY37" s="221" t="n">
        <v>34</v>
      </c>
      <c r="AZ37" s="299"/>
      <c r="BA37" s="250" t="n">
        <f aca="false">SUM(N37,P37:U37)</f>
        <v>3.41334473095012</v>
      </c>
      <c r="BB37" s="184" t="n">
        <v>0</v>
      </c>
      <c r="BC37" s="299" t="n">
        <v>6311</v>
      </c>
    </row>
    <row r="38" customFormat="false" ht="12.95" hidden="false" customHeight="true" outlineLevel="0" collapsed="false">
      <c r="A38" s="183" t="n">
        <f aca="false">A37+1</f>
        <v>24</v>
      </c>
      <c r="B38" s="106" t="n">
        <v>6863.81</v>
      </c>
      <c r="C38" s="107" t="n">
        <v>172034</v>
      </c>
      <c r="D38" s="215" t="n">
        <f aca="false">C38-C37</f>
        <v>24</v>
      </c>
      <c r="E38" s="107" t="n">
        <f aca="false">C38-152000</f>
        <v>20034</v>
      </c>
      <c r="F38" s="246" t="n">
        <f aca="false">D38/$D$2</f>
        <v>12.09982354424</v>
      </c>
      <c r="G38" s="135" t="n">
        <v>150</v>
      </c>
      <c r="H38" s="590" t="n">
        <v>2.41</v>
      </c>
      <c r="I38" s="135" t="n">
        <f aca="false">G38+H38</f>
        <v>152.41</v>
      </c>
      <c r="J38" s="136" t="n">
        <f aca="false">IF(L38&gt;0,L38,0)</f>
        <v>0</v>
      </c>
      <c r="K38" s="135" t="n">
        <f aca="false">I38+J38</f>
        <v>152.41</v>
      </c>
      <c r="L38" s="135" t="n">
        <f aca="false">F38-(I38-AK38)</f>
        <v>-40.91017645576</v>
      </c>
      <c r="M38" s="248" t="n">
        <v>76</v>
      </c>
      <c r="N38" s="158"/>
      <c r="O38" s="135" t="n">
        <f aca="false">55.2*1.05</f>
        <v>57.96</v>
      </c>
      <c r="P38" s="158" t="n">
        <v>0</v>
      </c>
      <c r="Q38" s="338" t="n">
        <f aca="false">953000/325851/1.9835*1.02</f>
        <v>1.50397912880605</v>
      </c>
      <c r="R38" s="131" t="n">
        <f aca="false">((1094440/646272)*1.04)-T38</f>
        <v>1.20879254914637</v>
      </c>
      <c r="S38" s="131" t="n">
        <v>0</v>
      </c>
      <c r="T38" s="131" t="n">
        <f aca="false">(0.5011*1.06)*1.04</f>
        <v>0.55241264</v>
      </c>
      <c r="U38" s="357" t="n">
        <v>0</v>
      </c>
      <c r="V38" s="135" t="n">
        <v>0</v>
      </c>
      <c r="W38" s="135" t="n">
        <v>10.2</v>
      </c>
      <c r="X38" s="135" t="n">
        <f aca="false">M38-N38-O38-P38-Q38-R38-S38-T38-U38+V38+W38-AU38+AR38</f>
        <v>24.9748156820476</v>
      </c>
      <c r="Y38" s="135" t="n">
        <f aca="false">X38-AO38</f>
        <v>-10.0551843179524</v>
      </c>
      <c r="Z38" s="107"/>
      <c r="AA38" s="135"/>
      <c r="AB38" s="107"/>
      <c r="AC38" s="107"/>
      <c r="AD38" s="501"/>
      <c r="AE38" s="135" t="n">
        <v>0</v>
      </c>
      <c r="AF38" s="137" t="n">
        <v>1.7</v>
      </c>
      <c r="AG38" s="138" t="n">
        <v>1.3</v>
      </c>
      <c r="AH38" s="135" t="n">
        <v>13.2</v>
      </c>
      <c r="AI38" s="107" t="n">
        <f aca="false">AI37-AH38</f>
        <v>3083.33684762418</v>
      </c>
      <c r="AJ38" s="107"/>
      <c r="AK38" s="134" t="n">
        <f aca="false">N38+O38+P38+Q38+R38+S38+T38+U38+X38+AE38+AH38</f>
        <v>99.4</v>
      </c>
      <c r="AL38" s="135" t="n">
        <f aca="false">IF(L38&lt;0,L38*-1,0)</f>
        <v>40.91017645576</v>
      </c>
      <c r="AM38" s="135" t="n">
        <f aca="false">AK38+AL38</f>
        <v>140.31017645576</v>
      </c>
      <c r="AN38" s="281" t="n">
        <f aca="false">V38</f>
        <v>0</v>
      </c>
      <c r="AO38" s="136" t="n">
        <f aca="false">W38+9.51+15.32</f>
        <v>35.03</v>
      </c>
      <c r="AP38" s="502" t="n">
        <f aca="false">IF((I38-Q38-R38-X38-AF38)&gt;0,0,I38-Q38-R38-X38-AF38)</f>
        <v>0</v>
      </c>
      <c r="AQ38" s="158" t="n">
        <f aca="false">18.196*(Z38*1.9835+AC38*1.9835)/E38</f>
        <v>0</v>
      </c>
      <c r="AR38" s="158"/>
      <c r="AS38" s="158"/>
      <c r="AT38" s="107"/>
      <c r="AU38" s="176"/>
      <c r="AV38" s="179" t="n">
        <f aca="false">O38</f>
        <v>57.96</v>
      </c>
      <c r="AW38" s="322" t="n">
        <v>0</v>
      </c>
      <c r="AX38" s="215" t="n">
        <v>72</v>
      </c>
      <c r="AY38" s="221" t="n">
        <v>37</v>
      </c>
      <c r="AZ38" s="299"/>
      <c r="BA38" s="250" t="n">
        <f aca="false">SUM(N38,P38:U38)</f>
        <v>3.26518431795241</v>
      </c>
      <c r="BB38" s="184" t="n">
        <v>0</v>
      </c>
      <c r="BC38" s="299" t="n">
        <v>6323</v>
      </c>
    </row>
    <row r="39" customFormat="false" ht="12.95" hidden="false" customHeight="true" outlineLevel="0" collapsed="false">
      <c r="A39" s="183" t="n">
        <v>25</v>
      </c>
      <c r="B39" s="106" t="n">
        <v>6863.94</v>
      </c>
      <c r="C39" s="107" t="n">
        <v>172348</v>
      </c>
      <c r="D39" s="215" t="n">
        <f aca="false">C39-C38</f>
        <v>314</v>
      </c>
      <c r="E39" s="107" t="n">
        <f aca="false">C39-152000</f>
        <v>20348</v>
      </c>
      <c r="F39" s="246" t="n">
        <f aca="false">D39/$D$2</f>
        <v>158.306024703806</v>
      </c>
      <c r="G39" s="135" t="n">
        <v>157</v>
      </c>
      <c r="H39" s="590" t="n">
        <v>2.29</v>
      </c>
      <c r="I39" s="135" t="n">
        <f aca="false">G39+H39</f>
        <v>159.29</v>
      </c>
      <c r="J39" s="136" t="n">
        <f aca="false">IF(L39&gt;0,L39,0)</f>
        <v>53.6160247038064</v>
      </c>
      <c r="K39" s="135" t="n">
        <f aca="false">I39+J39</f>
        <v>212.906024703806</v>
      </c>
      <c r="L39" s="135" t="n">
        <f aca="false">F39-(I39-AK39)</f>
        <v>53.6160247038064</v>
      </c>
      <c r="M39" s="248" t="n">
        <v>41.3</v>
      </c>
      <c r="N39" s="158"/>
      <c r="O39" s="135" t="n">
        <f aca="false">55.7*1.05</f>
        <v>58.485</v>
      </c>
      <c r="P39" s="158" t="n">
        <v>0</v>
      </c>
      <c r="Q39" s="338" t="n">
        <f aca="false">816200/325851/1.9835*1.02</f>
        <v>1.28808789604564</v>
      </c>
      <c r="R39" s="131" t="n">
        <f aca="false">((1134696/646272)*1.04)-T39</f>
        <v>1.36352953392751</v>
      </c>
      <c r="S39" s="131" t="n">
        <v>0</v>
      </c>
      <c r="T39" s="131" t="n">
        <f aca="false">(0.4195*1.06)*1.04</f>
        <v>0.4624568</v>
      </c>
      <c r="U39" s="357" t="n">
        <v>0</v>
      </c>
      <c r="V39" s="135" t="n">
        <v>0</v>
      </c>
      <c r="W39" s="135" t="n">
        <v>0</v>
      </c>
      <c r="X39" s="135" t="n">
        <f aca="false">M39-N39-O39-P39-Q39-R39-S39-T39-U39+V39+W39-AU39+AR39</f>
        <v>-20.2990742299732</v>
      </c>
      <c r="Y39" s="135" t="n">
        <f aca="false">X39-AO39</f>
        <v>-20.2990742299732</v>
      </c>
      <c r="Z39" s="107"/>
      <c r="AA39" s="135"/>
      <c r="AB39" s="107"/>
      <c r="AC39" s="107"/>
      <c r="AD39" s="501"/>
      <c r="AE39" s="135" t="n">
        <v>0</v>
      </c>
      <c r="AF39" s="137" t="n">
        <v>1.7</v>
      </c>
      <c r="AG39" s="138" t="n">
        <v>1.3</v>
      </c>
      <c r="AH39" s="135" t="n">
        <v>13.3</v>
      </c>
      <c r="AI39" s="107" t="n">
        <f aca="false">AI38-AH39</f>
        <v>3070.03684762418</v>
      </c>
      <c r="AJ39" s="107"/>
      <c r="AK39" s="134" t="n">
        <f aca="false">N39+O39+P39+Q39+R39+S39+T39+U39+X39+AE39+AH39</f>
        <v>54.6</v>
      </c>
      <c r="AL39" s="135" t="n">
        <f aca="false">IF(L39&lt;0,L39*-1,0)</f>
        <v>0</v>
      </c>
      <c r="AM39" s="135" t="n">
        <f aca="false">AK39+AL39</f>
        <v>54.6</v>
      </c>
      <c r="AN39" s="281" t="n">
        <f aca="false">V39</f>
        <v>0</v>
      </c>
      <c r="AO39" s="136"/>
      <c r="AP39" s="502" t="n">
        <f aca="false">IF((I39-Q39-R39-X39-AF39)&gt;0,0,I39-Q39-R39-X39-AF39)</f>
        <v>0</v>
      </c>
      <c r="AQ39" s="158" t="n">
        <f aca="false">7.108*(Z39*1.9835+AC39*1.9835)/E39</f>
        <v>0</v>
      </c>
      <c r="AR39" s="158"/>
      <c r="AS39" s="158"/>
      <c r="AT39" s="107"/>
      <c r="AU39" s="176"/>
      <c r="AV39" s="179" t="n">
        <f aca="false">O39</f>
        <v>58.485</v>
      </c>
      <c r="AW39" s="322" t="n">
        <v>0.03</v>
      </c>
      <c r="AX39" s="215" t="n">
        <v>63</v>
      </c>
      <c r="AY39" s="221" t="n">
        <v>39</v>
      </c>
      <c r="AZ39" s="299"/>
      <c r="BA39" s="250" t="n">
        <f aca="false">SUM(N39,P39:U39)</f>
        <v>3.11407422997315</v>
      </c>
      <c r="BB39" s="184" t="n">
        <v>0</v>
      </c>
      <c r="BC39" s="299" t="n">
        <v>6333</v>
      </c>
    </row>
    <row r="40" customFormat="false" ht="12.95" hidden="false" customHeight="true" outlineLevel="0" collapsed="false">
      <c r="A40" s="183" t="n">
        <v>26</v>
      </c>
      <c r="B40" s="106" t="n">
        <v>6864.03</v>
      </c>
      <c r="C40" s="107" t="n">
        <v>172567</v>
      </c>
      <c r="D40" s="215" t="n">
        <f aca="false">C40-C39</f>
        <v>219</v>
      </c>
      <c r="E40" s="107" t="n">
        <f aca="false">C40-152000</f>
        <v>20567</v>
      </c>
      <c r="F40" s="246" t="n">
        <f aca="false">D40/$D$2</f>
        <v>110.41088984119</v>
      </c>
      <c r="G40" s="135" t="n">
        <v>163</v>
      </c>
      <c r="H40" s="590" t="n">
        <v>2.59</v>
      </c>
      <c r="I40" s="135" t="n">
        <f aca="false">G40+H40</f>
        <v>165.59</v>
      </c>
      <c r="J40" s="136" t="n">
        <f aca="false">IF(L40&gt;0,L40,0)</f>
        <v>3.62088984118981</v>
      </c>
      <c r="K40" s="135" t="n">
        <f aca="false">I40+J40</f>
        <v>169.21088984119</v>
      </c>
      <c r="L40" s="135" t="n">
        <f aca="false">F40-(I40-AK40)</f>
        <v>3.62088984118981</v>
      </c>
      <c r="M40" s="248" t="n">
        <v>45.5</v>
      </c>
      <c r="N40" s="158"/>
      <c r="O40" s="135" t="n">
        <f aca="false">60.4*1.05</f>
        <v>63.42</v>
      </c>
      <c r="P40" s="158" t="n">
        <v>0</v>
      </c>
      <c r="Q40" s="338" t="n">
        <f aca="false">935300/325851/1.9835*1.02</f>
        <v>1.47604583333924</v>
      </c>
      <c r="R40" s="131" t="n">
        <f aca="false">((1140296/646272)*1.04)-T40</f>
        <v>1.37254121940978</v>
      </c>
      <c r="S40" s="131" t="n">
        <v>0</v>
      </c>
      <c r="T40" s="131" t="n">
        <f aca="false">(0.4195*1.06)*1.04</f>
        <v>0.4624568</v>
      </c>
      <c r="U40" s="357" t="n">
        <v>0</v>
      </c>
      <c r="V40" s="135" t="n">
        <v>0</v>
      </c>
      <c r="W40" s="135" t="n">
        <v>0</v>
      </c>
      <c r="X40" s="135" t="n">
        <f aca="false">M40-N40-O40-P40-Q40-R40-S40-T40-U40+V40+W40-AU40+AR40</f>
        <v>-21.231043852749</v>
      </c>
      <c r="Y40" s="135" t="n">
        <f aca="false">X40-AO40</f>
        <v>-21.231043852749</v>
      </c>
      <c r="Z40" s="107"/>
      <c r="AA40" s="135"/>
      <c r="AB40" s="107"/>
      <c r="AC40" s="107"/>
      <c r="AD40" s="501"/>
      <c r="AE40" s="135" t="n">
        <v>0</v>
      </c>
      <c r="AF40" s="137" t="n">
        <v>1.7</v>
      </c>
      <c r="AG40" s="138" t="n">
        <v>1.3</v>
      </c>
      <c r="AH40" s="135" t="n">
        <v>13.3</v>
      </c>
      <c r="AI40" s="107" t="n">
        <f aca="false">AI39-AH40</f>
        <v>3056.73684762418</v>
      </c>
      <c r="AJ40" s="107"/>
      <c r="AK40" s="134" t="n">
        <f aca="false">N40+O40+P40+Q40+R40+S40+T40+U40+X40+AE40+AH40</f>
        <v>58.8</v>
      </c>
      <c r="AL40" s="135" t="n">
        <f aca="false">IF(L40&lt;0,L40*-1,0)</f>
        <v>0</v>
      </c>
      <c r="AM40" s="135" t="n">
        <f aca="false">AK40+AL40</f>
        <v>58.8</v>
      </c>
      <c r="AN40" s="281" t="n">
        <f aca="false">V40</f>
        <v>0</v>
      </c>
      <c r="AO40" s="136"/>
      <c r="AP40" s="502" t="n">
        <f aca="false">IF((I40-Q40-R40-X40-AF40)&gt;0,0,I40-Q40-R40-X40-AF40)</f>
        <v>0</v>
      </c>
      <c r="AQ40" s="158" t="n">
        <f aca="false">9.667*(Z40*1.9835+AC40*1.9835)/E40</f>
        <v>0</v>
      </c>
      <c r="AR40" s="158"/>
      <c r="AS40" s="158"/>
      <c r="AT40" s="107"/>
      <c r="AU40" s="176"/>
      <c r="AV40" s="179" t="n">
        <f aca="false">O40</f>
        <v>63.42</v>
      </c>
      <c r="AW40" s="322" t="n">
        <v>0</v>
      </c>
      <c r="AX40" s="215" t="n">
        <v>65</v>
      </c>
      <c r="AY40" s="221" t="n">
        <v>37</v>
      </c>
      <c r="AZ40" s="299"/>
      <c r="BA40" s="250" t="n">
        <f aca="false">SUM(N40,P40:U40)</f>
        <v>3.31104385274903</v>
      </c>
      <c r="BB40" s="184" t="n">
        <v>0</v>
      </c>
      <c r="BC40" s="299" t="n">
        <v>6352</v>
      </c>
    </row>
    <row r="41" customFormat="false" ht="12.95" hidden="false" customHeight="true" outlineLevel="0" collapsed="false">
      <c r="A41" s="183" t="n">
        <v>27</v>
      </c>
      <c r="B41" s="106" t="n">
        <v>6864.11</v>
      </c>
      <c r="C41" s="107" t="n">
        <v>172764</v>
      </c>
      <c r="D41" s="215" t="n">
        <f aca="false">C41-C40</f>
        <v>197</v>
      </c>
      <c r="E41" s="107" t="n">
        <f aca="false">C41-152000</f>
        <v>20764</v>
      </c>
      <c r="F41" s="246" t="n">
        <f aca="false">D41/$D$2</f>
        <v>99.3193849256365</v>
      </c>
      <c r="G41" s="135" t="n">
        <v>159</v>
      </c>
      <c r="H41" s="590" t="n">
        <v>2.96</v>
      </c>
      <c r="I41" s="135" t="n">
        <f aca="false">G41+H41</f>
        <v>161.96</v>
      </c>
      <c r="J41" s="136" t="n">
        <f aca="false">IF(L41&gt;0,L41,0)</f>
        <v>0.559384925636493</v>
      </c>
      <c r="K41" s="135" t="n">
        <f aca="false">I41+J41</f>
        <v>162.519384925637</v>
      </c>
      <c r="L41" s="135" t="n">
        <f aca="false">F41-(I41-AK41)</f>
        <v>0.559384925636493</v>
      </c>
      <c r="M41" s="248" t="n">
        <v>49.9</v>
      </c>
      <c r="N41" s="158"/>
      <c r="O41" s="135" t="n">
        <f aca="false">60.3*1.05</f>
        <v>63.315</v>
      </c>
      <c r="P41" s="158" t="n">
        <v>0</v>
      </c>
      <c r="Q41" s="338" t="n">
        <f aca="false">1068500/325851/1.9835*1.02</f>
        <v>1.68625571786911</v>
      </c>
      <c r="R41" s="131" t="n">
        <f aca="false">((1143384/646272)*1.04)-T41</f>
        <v>1.37751052026144</v>
      </c>
      <c r="S41" s="131" t="n">
        <v>0</v>
      </c>
      <c r="T41" s="131" t="n">
        <f aca="false">(0.4195*1.06)*1.04</f>
        <v>0.4624568</v>
      </c>
      <c r="U41" s="357" t="n">
        <v>0</v>
      </c>
      <c r="V41" s="135" t="n">
        <v>0</v>
      </c>
      <c r="W41" s="135" t="n">
        <v>0</v>
      </c>
      <c r="X41" s="135" t="n">
        <f aca="false">M41-N41-O41-P41-Q41-R41-S41-T41-U41+V41+W41-AU41+AR41</f>
        <v>-16.9412230381305</v>
      </c>
      <c r="Y41" s="135" t="n">
        <f aca="false">X41-AO41</f>
        <v>-16.9412230381305</v>
      </c>
      <c r="Z41" s="107"/>
      <c r="AA41" s="135"/>
      <c r="AB41" s="107"/>
      <c r="AC41" s="107"/>
      <c r="AD41" s="501"/>
      <c r="AE41" s="135" t="n">
        <v>0</v>
      </c>
      <c r="AF41" s="137" t="n">
        <v>1.7</v>
      </c>
      <c r="AG41" s="138" t="n">
        <v>1.3</v>
      </c>
      <c r="AH41" s="135" t="n">
        <v>13.3</v>
      </c>
      <c r="AI41" s="107" t="n">
        <f aca="false">AI40-AH41</f>
        <v>3043.43684762417</v>
      </c>
      <c r="AJ41" s="107"/>
      <c r="AK41" s="134" t="n">
        <f aca="false">N41+O41+P41+Q41+R41+S41+T41+U41+X41+AE41+AH41</f>
        <v>63.2</v>
      </c>
      <c r="AL41" s="135" t="n">
        <f aca="false">IF(L41&lt;0,L41*-1,0)</f>
        <v>0</v>
      </c>
      <c r="AM41" s="135" t="n">
        <f aca="false">AK41+AL41</f>
        <v>63.2</v>
      </c>
      <c r="AN41" s="281" t="n">
        <f aca="false">V41</f>
        <v>0</v>
      </c>
      <c r="AO41" s="136"/>
      <c r="AP41" s="502" t="n">
        <f aca="false">IF((I41-Q41-R41-X41-AF41)&gt;0,0,I41-Q41-R41-X41-AF41)</f>
        <v>0</v>
      </c>
      <c r="AQ41" s="158" t="n">
        <f aca="false">11.231*(Z41*1.9835+AC41*1.9835)/E41</f>
        <v>0</v>
      </c>
      <c r="AR41" s="158"/>
      <c r="AS41" s="158"/>
      <c r="AT41" s="107"/>
      <c r="AU41" s="176"/>
      <c r="AV41" s="179" t="n">
        <f aca="false">O41</f>
        <v>63.315</v>
      </c>
      <c r="AW41" s="322" t="n">
        <v>0</v>
      </c>
      <c r="AX41" s="215" t="n">
        <v>64</v>
      </c>
      <c r="AY41" s="221" t="n">
        <v>36</v>
      </c>
      <c r="AZ41" s="299"/>
      <c r="BA41" s="250" t="n">
        <f aca="false">SUM(N41,P41:U41)</f>
        <v>3.52622303813055</v>
      </c>
      <c r="BB41" s="184" t="n">
        <v>0</v>
      </c>
      <c r="BC41" s="299" t="n">
        <v>6360</v>
      </c>
    </row>
    <row r="42" customFormat="false" ht="12.95" hidden="false" customHeight="true" outlineLevel="0" collapsed="false">
      <c r="A42" s="183" t="n">
        <v>28</v>
      </c>
      <c r="B42" s="106" t="n">
        <v>6864.17</v>
      </c>
      <c r="C42" s="107" t="n">
        <v>172911</v>
      </c>
      <c r="D42" s="215" t="n">
        <f aca="false">C42-C41</f>
        <v>147</v>
      </c>
      <c r="E42" s="107" t="n">
        <f aca="false">C42-152000</f>
        <v>20911</v>
      </c>
      <c r="F42" s="246" t="n">
        <f aca="false">D42/$D$2</f>
        <v>74.1114192084699</v>
      </c>
      <c r="G42" s="135" t="n">
        <v>153</v>
      </c>
      <c r="H42" s="590" t="n">
        <v>3.42</v>
      </c>
      <c r="I42" s="135" t="n">
        <f aca="false">G42+H42</f>
        <v>156.42</v>
      </c>
      <c r="J42" s="136" t="n">
        <f aca="false">IF(L42&gt;0,L42,0)</f>
        <v>0</v>
      </c>
      <c r="K42" s="135" t="n">
        <f aca="false">I42+J42</f>
        <v>156.42</v>
      </c>
      <c r="L42" s="135" t="n">
        <f aca="false">F42-(I42-AK42)</f>
        <v>-40.0085807915301</v>
      </c>
      <c r="M42" s="248" t="n">
        <v>26.7</v>
      </c>
      <c r="N42" s="158"/>
      <c r="O42" s="135" t="n">
        <f aca="false">51.4*1.05</f>
        <v>53.97</v>
      </c>
      <c r="P42" s="158" t="n">
        <v>0</v>
      </c>
      <c r="Q42" s="338" t="n">
        <f aca="false">1000100/325851/1.9835*1.02</f>
        <v>1.57831010148891</v>
      </c>
      <c r="R42" s="131" t="n">
        <f aca="false">((1108696/646272)*1.04)-T42</f>
        <v>1.32168956561695</v>
      </c>
      <c r="S42" s="131" t="n">
        <v>0</v>
      </c>
      <c r="T42" s="131" t="n">
        <f aca="false">(0.4195*1.06)*1.04</f>
        <v>0.4624568</v>
      </c>
      <c r="U42" s="357" t="n">
        <v>0</v>
      </c>
      <c r="V42" s="135" t="n">
        <v>0</v>
      </c>
      <c r="W42" s="135" t="n">
        <v>0</v>
      </c>
      <c r="X42" s="135" t="n">
        <f aca="false">M42-N42-O42-P42-Q42-R42-S42-T42-U42+V42+W42-AU42+AR42</f>
        <v>-30.6324564671059</v>
      </c>
      <c r="Y42" s="135" t="n">
        <f aca="false">X42-AO42</f>
        <v>-30.6324564671059</v>
      </c>
      <c r="Z42" s="107"/>
      <c r="AA42" s="135"/>
      <c r="AB42" s="107"/>
      <c r="AC42" s="107"/>
      <c r="AD42" s="501"/>
      <c r="AE42" s="135" t="n">
        <v>0</v>
      </c>
      <c r="AF42" s="137" t="n">
        <v>1.7</v>
      </c>
      <c r="AG42" s="138" t="n">
        <v>1.3</v>
      </c>
      <c r="AH42" s="135" t="n">
        <v>15.6</v>
      </c>
      <c r="AI42" s="107" t="n">
        <f aca="false">AI41-AH42</f>
        <v>3027.83684762417</v>
      </c>
      <c r="AJ42" s="107"/>
      <c r="AK42" s="134" t="n">
        <f aca="false">N42+O42+P42+Q42+R42+S42+T42+U42+X42+AE42+AH42</f>
        <v>42.3</v>
      </c>
      <c r="AL42" s="135" t="n">
        <f aca="false">IF(L42&lt;0,L42*-1,0)</f>
        <v>40.0085807915301</v>
      </c>
      <c r="AM42" s="135" t="n">
        <f aca="false">AK42+AL42</f>
        <v>82.3085807915301</v>
      </c>
      <c r="AN42" s="281" t="n">
        <f aca="false">V42</f>
        <v>0</v>
      </c>
      <c r="AO42" s="136"/>
      <c r="AP42" s="502" t="n">
        <f aca="false">IF((I42-Q42-R42-X42-AF42)&gt;0,0,I42-Q42-R42-X42-AF42)</f>
        <v>0</v>
      </c>
      <c r="AQ42" s="158" t="n">
        <f aca="false">19.902*(Z42*1.9835+AC42*1.9835)/E42</f>
        <v>0</v>
      </c>
      <c r="AR42" s="158"/>
      <c r="AS42" s="158"/>
      <c r="AT42" s="107"/>
      <c r="AU42" s="176"/>
      <c r="AV42" s="179" t="n">
        <f aca="false">O42</f>
        <v>53.97</v>
      </c>
      <c r="AW42" s="322" t="n">
        <v>0</v>
      </c>
      <c r="AX42" s="215" t="n">
        <v>65</v>
      </c>
      <c r="AY42" s="221" t="n">
        <v>40</v>
      </c>
      <c r="AZ42" s="299"/>
      <c r="BA42" s="250" t="n">
        <f aca="false">SUM(N42,P42:U42)</f>
        <v>3.36245646710586</v>
      </c>
      <c r="BB42" s="184" t="n">
        <v>0</v>
      </c>
      <c r="BC42" s="299" t="n">
        <v>6370</v>
      </c>
    </row>
    <row r="43" customFormat="false" ht="12.95" hidden="false" customHeight="true" outlineLevel="0" collapsed="false">
      <c r="A43" s="183" t="n">
        <v>29</v>
      </c>
      <c r="B43" s="106" t="n">
        <v>6864.31</v>
      </c>
      <c r="C43" s="107" t="n">
        <v>173255</v>
      </c>
      <c r="D43" s="215" t="n">
        <f aca="false">C43-C42</f>
        <v>344</v>
      </c>
      <c r="E43" s="107" t="n">
        <f aca="false">C43-152000</f>
        <v>21255</v>
      </c>
      <c r="F43" s="246" t="n">
        <f aca="false">D43/$D$2</f>
        <v>173.430804134106</v>
      </c>
      <c r="G43" s="135" t="n">
        <v>152</v>
      </c>
      <c r="H43" s="590" t="n">
        <v>3.7</v>
      </c>
      <c r="I43" s="135" t="n">
        <f aca="false">G43+H43</f>
        <v>155.7</v>
      </c>
      <c r="J43" s="136" t="n">
        <f aca="false">IF(L43&gt;0,L43,0)</f>
        <v>72.9308041341064</v>
      </c>
      <c r="K43" s="135" t="n">
        <f aca="false">I43+J43</f>
        <v>228.630804134106</v>
      </c>
      <c r="L43" s="135" t="n">
        <f aca="false">F43-(I43-AK43)</f>
        <v>72.9308041341064</v>
      </c>
      <c r="M43" s="248" t="n">
        <v>37.5</v>
      </c>
      <c r="N43" s="158"/>
      <c r="O43" s="135" t="n">
        <f aca="false">55.6*1.05</f>
        <v>58.38</v>
      </c>
      <c r="P43" s="158" t="n">
        <v>0</v>
      </c>
      <c r="Q43" s="338" t="n">
        <f aca="false">897200/325851/1.9835*1.02</f>
        <v>1.41591823123273</v>
      </c>
      <c r="R43" s="131" t="n">
        <f aca="false">((1147360/646272)*1.04)-T43</f>
        <v>1.38390881695385</v>
      </c>
      <c r="S43" s="131" t="n">
        <v>0</v>
      </c>
      <c r="T43" s="131" t="n">
        <f aca="false">(0.4195*1.06)*1.04</f>
        <v>0.4624568</v>
      </c>
      <c r="U43" s="357" t="n">
        <v>0</v>
      </c>
      <c r="V43" s="135" t="n">
        <v>0</v>
      </c>
      <c r="W43" s="135" t="n">
        <v>0</v>
      </c>
      <c r="X43" s="135" t="n">
        <f aca="false">M43-N43-O43-P43-Q43-R43-S43-T43-U43+V43+W43-AU43+AR43</f>
        <v>-24.1422838481866</v>
      </c>
      <c r="Y43" s="135" t="n">
        <f aca="false">X43-AO43</f>
        <v>-24.1422838481866</v>
      </c>
      <c r="Z43" s="107"/>
      <c r="AA43" s="135"/>
      <c r="AB43" s="107"/>
      <c r="AC43" s="107"/>
      <c r="AD43" s="501"/>
      <c r="AE43" s="135" t="n">
        <v>0</v>
      </c>
      <c r="AF43" s="137" t="n">
        <v>1.7</v>
      </c>
      <c r="AG43" s="138" t="n">
        <v>1.3</v>
      </c>
      <c r="AH43" s="135" t="n">
        <v>17.7</v>
      </c>
      <c r="AI43" s="107" t="n">
        <f aca="false">AI42-AH43</f>
        <v>3010.13684762417</v>
      </c>
      <c r="AJ43" s="107"/>
      <c r="AK43" s="134" t="n">
        <f aca="false">N43+O43+P43+Q43+R43+S43+T43+U43+X43+AE43+AH43</f>
        <v>55.2</v>
      </c>
      <c r="AL43" s="135" t="n">
        <f aca="false">IF(L43&lt;0,L43*-1,0)</f>
        <v>0</v>
      </c>
      <c r="AM43" s="135" t="n">
        <f aca="false">AK43+AL43</f>
        <v>55.2</v>
      </c>
      <c r="AN43" s="281" t="n">
        <f aca="false">V43</f>
        <v>0</v>
      </c>
      <c r="AO43" s="136"/>
      <c r="AP43" s="502" t="n">
        <f aca="false">IF((I43-Q43-R43-X43-AF43)&gt;0,0,I43-Q43-R43-X43-AF43)</f>
        <v>0</v>
      </c>
      <c r="AQ43" s="158" t="n">
        <f aca="false">0*(Z43*1.9835+AC43*1.9835)/E43</f>
        <v>0</v>
      </c>
      <c r="AR43" s="158"/>
      <c r="AS43" s="158"/>
      <c r="AT43" s="107"/>
      <c r="AU43" s="176"/>
      <c r="AV43" s="179" t="n">
        <f aca="false">O43</f>
        <v>58.38</v>
      </c>
      <c r="AW43" s="322" t="n">
        <v>0.3</v>
      </c>
      <c r="AX43" s="215" t="n">
        <v>53</v>
      </c>
      <c r="AY43" s="221" t="n">
        <v>32</v>
      </c>
      <c r="AZ43" s="299"/>
      <c r="BA43" s="250" t="n">
        <f aca="false">SUM(N43,P43:U43)</f>
        <v>3.26228384818658</v>
      </c>
      <c r="BB43" s="184" t="n">
        <v>0</v>
      </c>
      <c r="BC43" s="299" t="n">
        <v>6391</v>
      </c>
    </row>
    <row r="44" customFormat="false" ht="12.95" hidden="false" customHeight="true" outlineLevel="0" collapsed="false">
      <c r="A44" s="183" t="n">
        <v>30</v>
      </c>
      <c r="B44" s="106" t="n">
        <v>6864.4</v>
      </c>
      <c r="C44" s="107" t="n">
        <v>173476</v>
      </c>
      <c r="D44" s="215" t="n">
        <f aca="false">C44-C43</f>
        <v>221</v>
      </c>
      <c r="E44" s="107" t="n">
        <f aca="false">C44-152000</f>
        <v>21476</v>
      </c>
      <c r="F44" s="246" t="n">
        <f aca="false">D44/$D$2</f>
        <v>111.419208469876</v>
      </c>
      <c r="G44" s="135" t="n">
        <v>158</v>
      </c>
      <c r="H44" s="590" t="n">
        <v>2.8</v>
      </c>
      <c r="I44" s="135" t="n">
        <f aca="false">G44+H44</f>
        <v>160.8</v>
      </c>
      <c r="J44" s="136" t="n">
        <f aca="false">IF(L44&gt;0,L44,0)</f>
        <v>20.6192084698765</v>
      </c>
      <c r="K44" s="135" t="n">
        <f aca="false">I44+J44</f>
        <v>181.419208469876</v>
      </c>
      <c r="L44" s="135" t="n">
        <f aca="false">F44-(I44-AK44)</f>
        <v>20.6192084698765</v>
      </c>
      <c r="M44" s="248" t="n">
        <v>53</v>
      </c>
      <c r="N44" s="158"/>
      <c r="O44" s="135" t="n">
        <f aca="false">57.4*1.05</f>
        <v>60.27</v>
      </c>
      <c r="P44" s="158" t="n">
        <v>0</v>
      </c>
      <c r="Q44" s="338" t="n">
        <f aca="false">960800/325851/1.9835*1.02</f>
        <v>1.51628871663888</v>
      </c>
      <c r="R44" s="131" t="n">
        <f aca="false">((1146304/646272)*1.04)-T44</f>
        <v>1.38220947054862</v>
      </c>
      <c r="S44" s="131" t="n">
        <v>0</v>
      </c>
      <c r="T44" s="131" t="n">
        <f aca="false">(0.4195*1.06)*1.04</f>
        <v>0.4624568</v>
      </c>
      <c r="U44" s="357" t="n">
        <v>0</v>
      </c>
      <c r="V44" s="135" t="n">
        <v>0</v>
      </c>
      <c r="W44" s="135" t="n">
        <v>0</v>
      </c>
      <c r="X44" s="135" t="n">
        <f aca="false">M44-N44-O44-P44-Q44-R44-S44-T44-U44+V44+W44-AU44+AR44</f>
        <v>-10.6309549871875</v>
      </c>
      <c r="Y44" s="135" t="n">
        <f aca="false">X44-AO44</f>
        <v>-10.6309549871875</v>
      </c>
      <c r="Z44" s="107"/>
      <c r="AA44" s="135"/>
      <c r="AB44" s="107"/>
      <c r="AC44" s="107"/>
      <c r="AD44" s="501"/>
      <c r="AE44" s="135" t="n">
        <v>0</v>
      </c>
      <c r="AF44" s="137" t="n">
        <v>1.7</v>
      </c>
      <c r="AG44" s="138" t="n">
        <v>1.3</v>
      </c>
      <c r="AH44" s="135" t="n">
        <v>17</v>
      </c>
      <c r="AI44" s="107" t="n">
        <f aca="false">AI43-AH44</f>
        <v>2993.13684762418</v>
      </c>
      <c r="AJ44" s="107"/>
      <c r="AK44" s="134" t="n">
        <f aca="false">N44+O44+P44+Q44+R44+S44+T44+U44+X44+AE44+AH44</f>
        <v>70</v>
      </c>
      <c r="AL44" s="135" t="n">
        <f aca="false">IF(L44&lt;0,L44*-1,0)</f>
        <v>0</v>
      </c>
      <c r="AM44" s="135" t="n">
        <f aca="false">AK44+AL44</f>
        <v>70</v>
      </c>
      <c r="AN44" s="281" t="n">
        <f aca="false">V44</f>
        <v>0</v>
      </c>
      <c r="AO44" s="136"/>
      <c r="AP44" s="502" t="n">
        <f aca="false">IF((I44-Q44-R44-X44-AF44)&gt;0,0,I44-Q44-R44-X44-AF44)</f>
        <v>0</v>
      </c>
      <c r="AQ44" s="158" t="n">
        <f aca="false">0*(Z44*1.9835+AC44*1.9835)/E44</f>
        <v>0</v>
      </c>
      <c r="AR44" s="158"/>
      <c r="AS44" s="158"/>
      <c r="AT44" s="107"/>
      <c r="AU44" s="176"/>
      <c r="AV44" s="179" t="n">
        <f aca="false">O44</f>
        <v>60.27</v>
      </c>
      <c r="AW44" s="322" t="n">
        <v>0.18</v>
      </c>
      <c r="AX44" s="215" t="n">
        <v>44</v>
      </c>
      <c r="AY44" s="221" t="n">
        <v>29</v>
      </c>
      <c r="AZ44" s="299"/>
      <c r="BA44" s="250" t="n">
        <f aca="false">SUM(N44,P44:U44)</f>
        <v>3.3609549871875</v>
      </c>
      <c r="BB44" s="184" t="n">
        <v>0</v>
      </c>
      <c r="BC44" s="299" t="n">
        <v>6425</v>
      </c>
    </row>
    <row r="45" customFormat="false" ht="12.95" hidden="false" customHeight="true" outlineLevel="0" collapsed="false">
      <c r="A45" s="183" t="n">
        <v>31</v>
      </c>
      <c r="B45" s="106" t="n">
        <v>6864.5</v>
      </c>
      <c r="C45" s="107" t="n">
        <v>173722</v>
      </c>
      <c r="D45" s="215" t="n">
        <f aca="false">C45-C44</f>
        <v>246</v>
      </c>
      <c r="E45" s="107" t="n">
        <f aca="false">C45-152000</f>
        <v>21722</v>
      </c>
      <c r="F45" s="246" t="n">
        <f aca="false">D45/$D$2</f>
        <v>124.02319132846</v>
      </c>
      <c r="G45" s="135" t="n">
        <v>148</v>
      </c>
      <c r="H45" s="590" t="n">
        <v>0.958</v>
      </c>
      <c r="I45" s="135" t="n">
        <f aca="false">G45+H45</f>
        <v>148.958</v>
      </c>
      <c r="J45" s="136" t="n">
        <f aca="false">IF(L45&gt;0,L45,0)</f>
        <v>0</v>
      </c>
      <c r="K45" s="135" t="n">
        <f aca="false">I45+J45</f>
        <v>148.958</v>
      </c>
      <c r="L45" s="135" t="n">
        <f aca="false">F45-(I45-AK45)</f>
        <v>-5.1648086715402</v>
      </c>
      <c r="M45" s="248" t="n">
        <v>3.07</v>
      </c>
      <c r="N45" s="158"/>
      <c r="O45" s="135" t="n">
        <f aca="false">22.9*1.05</f>
        <v>24.045</v>
      </c>
      <c r="P45" s="158" t="n">
        <v>0</v>
      </c>
      <c r="Q45" s="338" t="n">
        <f aca="false">744300/325851/1.9835*1.02</f>
        <v>1.17461874666353</v>
      </c>
      <c r="R45" s="131" t="n">
        <f aca="false">((1137816/646272)*1.04)-T45</f>
        <v>1.36855033012478</v>
      </c>
      <c r="S45" s="131" t="n">
        <v>0</v>
      </c>
      <c r="T45" s="131" t="n">
        <f aca="false">(0.4195*1.06)*1.04</f>
        <v>0.4624568</v>
      </c>
      <c r="U45" s="357" t="n">
        <v>0</v>
      </c>
      <c r="V45" s="135" t="n">
        <v>0</v>
      </c>
      <c r="W45" s="135" t="n">
        <v>0</v>
      </c>
      <c r="X45" s="135" t="n">
        <f aca="false">M45-N45-O45-P45-Q45-R45-S45-T45-U45+V45+W45-AU45+AR45</f>
        <v>-23.9806258767883</v>
      </c>
      <c r="Y45" s="135" t="n">
        <f aca="false">X45-AO45</f>
        <v>-23.9806258767883</v>
      </c>
      <c r="Z45" s="107"/>
      <c r="AA45" s="135"/>
      <c r="AB45" s="107"/>
      <c r="AC45" s="107"/>
      <c r="AD45" s="501"/>
      <c r="AE45" s="135" t="n">
        <v>0</v>
      </c>
      <c r="AF45" s="137" t="n">
        <v>1.7</v>
      </c>
      <c r="AG45" s="138" t="n">
        <v>1.3</v>
      </c>
      <c r="AH45" s="135" t="n">
        <v>16.7</v>
      </c>
      <c r="AI45" s="107" t="n">
        <f aca="false">AI44-AH45</f>
        <v>2976.43684762418</v>
      </c>
      <c r="AJ45" s="107"/>
      <c r="AK45" s="134" t="n">
        <f aca="false">N45+O45+P45+Q45+R45+S45+T45+U45+X45+AE45+AH45</f>
        <v>19.77</v>
      </c>
      <c r="AL45" s="135" t="n">
        <f aca="false">IF(L45&lt;0,L45*-1,0)</f>
        <v>5.1648086715402</v>
      </c>
      <c r="AM45" s="246" t="n">
        <f aca="false">AK45+AL45</f>
        <v>24.9348086715402</v>
      </c>
      <c r="AN45" s="281" t="n">
        <f aca="false">V45</f>
        <v>0</v>
      </c>
      <c r="AO45" s="136"/>
      <c r="AP45" s="502" t="n">
        <f aca="false">IF((I45-Q45-R45-X45-AF45)&gt;0,0,I45-Q45-R45-X45-AF45)</f>
        <v>0</v>
      </c>
      <c r="AQ45" s="158" t="n">
        <f aca="false">4.044*(Z45*1.9835+AC45*1.9835)/E45</f>
        <v>0</v>
      </c>
      <c r="AR45" s="158"/>
      <c r="AS45" s="158"/>
      <c r="AT45" s="107"/>
      <c r="AU45" s="176"/>
      <c r="AV45" s="179" t="n">
        <f aca="false">O45</f>
        <v>24.045</v>
      </c>
      <c r="AW45" s="322" t="n">
        <v>0</v>
      </c>
      <c r="AX45" s="215" t="n">
        <v>48</v>
      </c>
      <c r="AY45" s="221" t="n">
        <v>26</v>
      </c>
      <c r="AZ45" s="299"/>
      <c r="BA45" s="250" t="n">
        <f aca="false">SUM(N45,P45:U45)</f>
        <v>3.00562587678831</v>
      </c>
      <c r="BB45" s="184" t="n">
        <v>0</v>
      </c>
      <c r="BC45" s="299" t="n">
        <v>6439</v>
      </c>
    </row>
    <row r="46" customFormat="false" ht="3" hidden="false" customHeight="true" outlineLevel="0" collapsed="false">
      <c r="A46" s="231"/>
      <c r="B46" s="252"/>
      <c r="C46" s="233"/>
      <c r="D46" s="234"/>
      <c r="E46" s="233"/>
      <c r="F46" s="235"/>
      <c r="G46" s="234"/>
      <c r="H46" s="589"/>
      <c r="I46" s="234"/>
      <c r="J46" s="234"/>
      <c r="K46" s="234"/>
      <c r="L46" s="234"/>
      <c r="M46" s="237" t="n">
        <v>0</v>
      </c>
      <c r="N46" s="234"/>
      <c r="O46" s="234"/>
      <c r="P46" s="238"/>
      <c r="Q46" s="234"/>
      <c r="R46" s="234"/>
      <c r="S46" s="234"/>
      <c r="T46" s="234"/>
      <c r="U46" s="239"/>
      <c r="V46" s="234"/>
      <c r="W46" s="234" t="n">
        <v>0</v>
      </c>
      <c r="X46" s="234"/>
      <c r="Y46" s="234"/>
      <c r="Z46" s="233"/>
      <c r="AA46" s="234"/>
      <c r="AB46" s="233"/>
      <c r="AC46" s="233"/>
      <c r="AD46" s="233"/>
      <c r="AE46" s="234"/>
      <c r="AF46" s="237"/>
      <c r="AG46" s="241"/>
      <c r="AH46" s="234"/>
      <c r="AI46" s="234"/>
      <c r="AJ46" s="234"/>
      <c r="AK46" s="234"/>
      <c r="AL46" s="234"/>
      <c r="AM46" s="235"/>
      <c r="AN46" s="243"/>
      <c r="AO46" s="240"/>
      <c r="AP46" s="240"/>
      <c r="AQ46" s="238"/>
      <c r="AR46" s="238"/>
      <c r="AS46" s="238"/>
      <c r="AT46" s="243"/>
      <c r="AU46" s="243"/>
      <c r="AV46" s="243"/>
      <c r="AW46" s="500"/>
      <c r="AX46" s="243"/>
      <c r="AY46" s="243"/>
      <c r="AZ46" s="243"/>
      <c r="BA46" s="243"/>
      <c r="BB46" s="243"/>
      <c r="BC46" s="243"/>
    </row>
    <row r="47" customFormat="false" ht="12.95" hidden="false" customHeight="true" outlineLevel="0" collapsed="false">
      <c r="A47" s="185" t="s">
        <v>101</v>
      </c>
      <c r="B47" s="213"/>
      <c r="C47" s="107"/>
      <c r="D47" s="107"/>
      <c r="E47" s="107"/>
      <c r="F47" s="214" t="n">
        <f aca="false">SUM(F15:F45)</f>
        <v>-222.838416939753</v>
      </c>
      <c r="G47" s="107" t="n">
        <f aca="false">SUM(G15:G45)</f>
        <v>5664</v>
      </c>
      <c r="H47" s="215" t="n">
        <f aca="false">SUM(H15:H45)</f>
        <v>49.193</v>
      </c>
      <c r="I47" s="107" t="n">
        <f aca="false">SUM(I15:I45)</f>
        <v>5713.193</v>
      </c>
      <c r="J47" s="107" t="n">
        <f aca="false">SUM(J15:J45)</f>
        <v>444.542284345853</v>
      </c>
      <c r="K47" s="107" t="n">
        <f aca="false">SUM(K15:K45)</f>
        <v>6157.73528434585</v>
      </c>
      <c r="L47" s="107" t="n">
        <f aca="false">SUM(L15:L45)</f>
        <v>71.3525830602471</v>
      </c>
      <c r="M47" s="216" t="n">
        <f aca="false">SUM(M15:M45)</f>
        <v>1439.37</v>
      </c>
      <c r="N47" s="107" t="n">
        <f aca="false">SUM(N15:N45)</f>
        <v>0</v>
      </c>
      <c r="O47" s="107" t="n">
        <f aca="false">SUM(O15:O45)</f>
        <v>1294.125</v>
      </c>
      <c r="P47" s="158" t="n">
        <f aca="false">SUM(P15:P45)</f>
        <v>0</v>
      </c>
      <c r="Q47" s="107" t="n">
        <f aca="false">SUM(Q15:Q45)</f>
        <v>47.4452547036719</v>
      </c>
      <c r="R47" s="107" t="n">
        <f aca="false">SUM(R15:R45)</f>
        <v>76.5358598674747</v>
      </c>
      <c r="S47" s="107" t="n">
        <f aca="false">SUM(S15:S45)</f>
        <v>0.00192787416122009</v>
      </c>
      <c r="T47" s="107" t="n">
        <f aca="false">SUM(T15:T45)</f>
        <v>18.27911488</v>
      </c>
      <c r="U47" s="217" t="n">
        <f aca="false">SUM(U15:U45)</f>
        <v>0</v>
      </c>
      <c r="V47" s="107" t="n">
        <f aca="false">SUM(V15:V45)</f>
        <v>4112</v>
      </c>
      <c r="W47" s="107" t="n">
        <f aca="false">SUM(W15:W45)</f>
        <v>39.414</v>
      </c>
      <c r="X47" s="107" t="n">
        <f aca="false">SUM(X15:X45)</f>
        <v>4154.39684267469</v>
      </c>
      <c r="Y47" s="107" t="n">
        <f aca="false">SUM(Y15:Y45)</f>
        <v>4016.82684267469</v>
      </c>
      <c r="Z47" s="107"/>
      <c r="AA47" s="107"/>
      <c r="AB47" s="107"/>
      <c r="AC47" s="107"/>
      <c r="AE47" s="107" t="n">
        <f aca="false">SUM(AE15:AE45)</f>
        <v>0</v>
      </c>
      <c r="AF47" s="216" t="n">
        <f aca="false">SUM(AF15:AF45)</f>
        <v>52.7</v>
      </c>
      <c r="AG47" s="218" t="n">
        <f aca="false">SUM(AG15:AG45)</f>
        <v>40.3</v>
      </c>
      <c r="AH47" s="107" t="n">
        <f aca="false">SUM(AH15:AH45)</f>
        <v>416.6</v>
      </c>
      <c r="AI47" s="107"/>
      <c r="AJ47" s="107" t="n">
        <f aca="false">SUM(AJ15:AJ45)</f>
        <v>0</v>
      </c>
      <c r="AK47" s="107" t="n">
        <f aca="false">SUM(AK15:AK45)</f>
        <v>6007.384</v>
      </c>
      <c r="AL47" s="107" t="n">
        <f aca="false">SUM(AL15:AL45)</f>
        <v>373.189701285606</v>
      </c>
      <c r="AM47" s="214" t="n">
        <f aca="false">SUM(AM15:AM45)</f>
        <v>6380.57370128561</v>
      </c>
      <c r="AN47" s="215" t="n">
        <f aca="false">SUM(AN15:AN45)</f>
        <v>4112</v>
      </c>
      <c r="AO47" s="136" t="n">
        <f aca="false">SUM(AO15:AO45)</f>
        <v>137.57</v>
      </c>
      <c r="AP47" s="136"/>
      <c r="AQ47" s="158"/>
      <c r="AR47" s="158"/>
      <c r="AS47" s="136" t="n">
        <f aca="false">SUM(AS15:AS45)</f>
        <v>0</v>
      </c>
      <c r="AT47" s="215" t="n">
        <f aca="false">SUM(AT15:AT45)</f>
        <v>0</v>
      </c>
      <c r="AU47" s="176"/>
      <c r="AV47" s="215" t="n">
        <f aca="false">SUM(AV15:AV45)</f>
        <v>1294.125</v>
      </c>
      <c r="AW47" s="322" t="n">
        <f aca="false">SUM(AW15:AW45)</f>
        <v>1.53</v>
      </c>
      <c r="AX47" s="215" t="n">
        <f aca="false">AVERAGE(AX15:AX45)</f>
        <v>62.3548387096774</v>
      </c>
      <c r="AY47" s="215" t="n">
        <f aca="false">AVERAGE(AY15:AY45)</f>
        <v>33.6451612903226</v>
      </c>
      <c r="AZ47" s="223" t="s">
        <v>126</v>
      </c>
      <c r="BA47" s="340" t="n">
        <f aca="false">SUM(BA15:BA45)</f>
        <v>142.262157325308</v>
      </c>
      <c r="BB47" s="177" t="n">
        <f aca="false">SUM(BB15:BB45)</f>
        <v>3.73</v>
      </c>
      <c r="BC47" s="299"/>
    </row>
    <row r="48" customFormat="false" ht="12.95" hidden="false" customHeight="true" outlineLevel="0" collapsed="false">
      <c r="A48" s="185" t="s">
        <v>103</v>
      </c>
      <c r="B48" s="213"/>
      <c r="C48" s="107"/>
      <c r="D48" s="107" t="n">
        <f aca="false">SUM(D15:D45)</f>
        <v>-442</v>
      </c>
      <c r="E48" s="107"/>
      <c r="F48" s="214" t="n">
        <f aca="false">F47*$D$2</f>
        <v>-442</v>
      </c>
      <c r="G48" s="107" t="n">
        <f aca="false">G47*$D$2</f>
        <v>11234.544</v>
      </c>
      <c r="H48" s="215" t="n">
        <f aca="false">H47*$D$2</f>
        <v>97.5743155</v>
      </c>
      <c r="I48" s="107" t="n">
        <f aca="false">I47*$D$2</f>
        <v>11332.1183155</v>
      </c>
      <c r="J48" s="107" t="n">
        <f aca="false">J47*$D$2</f>
        <v>881.749621</v>
      </c>
      <c r="K48" s="107" t="n">
        <f aca="false">K47*$D$2</f>
        <v>12213.8679365</v>
      </c>
      <c r="L48" s="107" t="n">
        <f aca="false">L47*$D$2</f>
        <v>141.5278485</v>
      </c>
      <c r="M48" s="216" t="n">
        <f aca="false">M47*$D$2</f>
        <v>2854.990395</v>
      </c>
      <c r="N48" s="107" t="n">
        <f aca="false">N47*$D$2</f>
        <v>0</v>
      </c>
      <c r="O48" s="107" t="n">
        <f aca="false">O47*$D$2</f>
        <v>2566.8969375</v>
      </c>
      <c r="P48" s="158" t="n">
        <f aca="false">P47*$D$2</f>
        <v>0</v>
      </c>
      <c r="Q48" s="107" t="n">
        <f aca="false">Q47*$D$2</f>
        <v>94.1076627047331</v>
      </c>
      <c r="R48" s="107" t="n">
        <f aca="false">R47*$D$2</f>
        <v>151.808878047136</v>
      </c>
      <c r="S48" s="107" t="n">
        <f aca="false">S47*$D$2</f>
        <v>0.00382393839878005</v>
      </c>
      <c r="T48" s="107" t="n">
        <f aca="false">T47*$D$2</f>
        <v>36.25662436448</v>
      </c>
      <c r="U48" s="217" t="n">
        <f aca="false">U47*$D$2</f>
        <v>0</v>
      </c>
      <c r="V48" s="107" t="n">
        <f aca="false">V47*$D$2</f>
        <v>8156.152</v>
      </c>
      <c r="W48" s="107" t="n">
        <f aca="false">W47*$D$2</f>
        <v>78.177669</v>
      </c>
      <c r="X48" s="107" t="n">
        <f aca="false">X47*$D$2</f>
        <v>8240.24613744525</v>
      </c>
      <c r="Y48" s="107" t="n">
        <f aca="false">Y47*$D$2</f>
        <v>7967.37604244525</v>
      </c>
      <c r="Z48" s="107"/>
      <c r="AA48" s="107"/>
      <c r="AB48" s="107"/>
      <c r="AC48" s="107"/>
      <c r="AE48" s="107" t="n">
        <f aca="false">AE47*$D$2</f>
        <v>0</v>
      </c>
      <c r="AF48" s="216" t="n">
        <f aca="false">AF47*$D$2</f>
        <v>104.53045</v>
      </c>
      <c r="AG48" s="218" t="n">
        <f aca="false">AG47*$D$2</f>
        <v>79.93505</v>
      </c>
      <c r="AH48" s="107" t="n">
        <f aca="false">AH47*$D$2</f>
        <v>826.3261</v>
      </c>
      <c r="AI48" s="107"/>
      <c r="AJ48" s="107" t="n">
        <f aca="false">AJ47*$D$2</f>
        <v>0</v>
      </c>
      <c r="AK48" s="107" t="n">
        <f aca="false">AK47*$D$2</f>
        <v>11915.646164</v>
      </c>
      <c r="AL48" s="107" t="n">
        <f aca="false">AL47*$D$2</f>
        <v>740.2217725</v>
      </c>
      <c r="AM48" s="214" t="n">
        <f aca="false">AM47*$D$2</f>
        <v>12655.8679365</v>
      </c>
      <c r="AN48" s="215" t="n">
        <f aca="false">AN47*$D$2</f>
        <v>8156.152</v>
      </c>
      <c r="AO48" s="107" t="n">
        <f aca="false">AO47*$D$2</f>
        <v>272.870095</v>
      </c>
      <c r="AP48" s="136"/>
      <c r="AQ48" s="158" t="n">
        <f aca="false">SUM(AQ15:AQ45)</f>
        <v>0</v>
      </c>
      <c r="AR48" s="158"/>
      <c r="AS48" s="135" t="n">
        <f aca="false">AS47*$D$2</f>
        <v>0</v>
      </c>
      <c r="AT48" s="215" t="n">
        <f aca="false">AT47*$D$2</f>
        <v>0</v>
      </c>
      <c r="AU48" s="176"/>
      <c r="AV48" s="215" t="n">
        <f aca="false">AV47*$D$2</f>
        <v>2566.8969375</v>
      </c>
      <c r="AW48" s="322"/>
      <c r="AX48" s="215" t="n">
        <f aca="false">MAX(AX15:AX45)</f>
        <v>75</v>
      </c>
      <c r="AY48" s="215" t="n">
        <f aca="false">MAX(AY15:AY45)</f>
        <v>41</v>
      </c>
      <c r="AZ48" s="223" t="s">
        <v>104</v>
      </c>
      <c r="BA48" s="340" t="n">
        <f aca="false">BA47*$D$2</f>
        <v>282.176989054748</v>
      </c>
      <c r="BB48" s="177" t="n">
        <f aca="false">BB47*$D$2</f>
        <v>7.398455</v>
      </c>
      <c r="BC48" s="299"/>
    </row>
    <row r="49" customFormat="false" ht="3" hidden="false" customHeight="true" outlineLevel="0" collapsed="false">
      <c r="A49" s="231"/>
      <c r="B49" s="252"/>
      <c r="C49" s="233"/>
      <c r="D49" s="233"/>
      <c r="E49" s="233"/>
      <c r="F49" s="257"/>
      <c r="G49" s="233"/>
      <c r="H49" s="243"/>
      <c r="I49" s="233"/>
      <c r="J49" s="233"/>
      <c r="K49" s="233"/>
      <c r="L49" s="233"/>
      <c r="M49" s="258"/>
      <c r="N49" s="233"/>
      <c r="O49" s="233"/>
      <c r="P49" s="238"/>
      <c r="Q49" s="233"/>
      <c r="R49" s="233"/>
      <c r="S49" s="233"/>
      <c r="T49" s="233"/>
      <c r="U49" s="239"/>
      <c r="V49" s="233"/>
      <c r="W49" s="233"/>
      <c r="X49" s="233"/>
      <c r="Y49" s="233"/>
      <c r="Z49" s="233"/>
      <c r="AA49" s="233"/>
      <c r="AB49" s="233"/>
      <c r="AC49" s="233"/>
      <c r="AD49" s="506"/>
      <c r="AE49" s="233"/>
      <c r="AF49" s="258"/>
      <c r="AG49" s="259"/>
      <c r="AH49" s="233"/>
      <c r="AI49" s="234"/>
      <c r="AJ49" s="233"/>
      <c r="AK49" s="233"/>
      <c r="AL49" s="233"/>
      <c r="AM49" s="257"/>
      <c r="AN49" s="233"/>
      <c r="AO49" s="240"/>
      <c r="AP49" s="240"/>
      <c r="AQ49" s="238"/>
      <c r="AR49" s="238"/>
      <c r="AS49" s="238"/>
      <c r="AT49" s="243"/>
      <c r="AU49" s="243"/>
      <c r="AV49" s="243"/>
      <c r="AW49" s="261"/>
      <c r="AX49" s="233"/>
      <c r="AY49" s="233"/>
      <c r="AZ49" s="233"/>
      <c r="BA49" s="233"/>
      <c r="BB49" s="233"/>
      <c r="BC49" s="233"/>
    </row>
    <row r="50" customFormat="false" ht="12.95" hidden="false" customHeight="true" outlineLevel="0" collapsed="false">
      <c r="A50" s="185" t="s">
        <v>105</v>
      </c>
      <c r="B50" s="213"/>
      <c r="C50" s="107"/>
      <c r="D50" s="107"/>
      <c r="E50" s="107"/>
      <c r="F50" s="214" t="n">
        <f aca="false">F12+F47</f>
        <v>-7382.90899924376</v>
      </c>
      <c r="G50" s="107" t="n">
        <f aca="false">G12+G47</f>
        <v>66889</v>
      </c>
      <c r="H50" s="215" t="n">
        <f aca="false">H12+H47</f>
        <v>140.863</v>
      </c>
      <c r="I50" s="107" t="n">
        <f aca="false">I12+I47</f>
        <v>67029.863</v>
      </c>
      <c r="J50" s="107" t="n">
        <f aca="false">J12+J47</f>
        <v>3522.33857836718</v>
      </c>
      <c r="K50" s="107" t="n">
        <f aca="false">K12+K47</f>
        <v>70552.1915783672</v>
      </c>
      <c r="L50" s="107" t="n">
        <f aca="false">L12+L47</f>
        <v>-1200.31314119984</v>
      </c>
      <c r="M50" s="216" t="n">
        <f aca="false">M12+M47</f>
        <v>29462.29</v>
      </c>
      <c r="N50" s="107" t="n">
        <f aca="false">N12+N47</f>
        <v>80.6602935</v>
      </c>
      <c r="O50" s="107" t="n">
        <f aca="false">O12+O47</f>
        <v>4582.51161875</v>
      </c>
      <c r="P50" s="158" t="n">
        <f aca="false">P12+P47</f>
        <v>14.3788</v>
      </c>
      <c r="Q50" s="107"/>
      <c r="R50" s="107"/>
      <c r="S50" s="107"/>
      <c r="T50" s="107"/>
      <c r="U50" s="217"/>
      <c r="V50" s="107" t="n">
        <f aca="false">V12+V47</f>
        <v>22342.3</v>
      </c>
      <c r="W50" s="107" t="n">
        <f aca="false">W12+W47</f>
        <v>9574.718</v>
      </c>
      <c r="X50" s="107" t="n">
        <f aca="false">X12+X47</f>
        <v>55835.4084626633</v>
      </c>
      <c r="Y50" s="107" t="n">
        <f aca="false">Y12+Y47</f>
        <v>55697.8384626633</v>
      </c>
      <c r="Z50" s="80"/>
      <c r="AA50" s="107"/>
      <c r="AB50" s="107"/>
      <c r="AC50" s="107"/>
      <c r="AE50" s="107" t="n">
        <f aca="false">AE12+AE47</f>
        <v>8416.68325654391</v>
      </c>
      <c r="AF50" s="216" t="n">
        <f aca="false">AF12+AF47</f>
        <v>363.8</v>
      </c>
      <c r="AG50" s="218" t="n">
        <f aca="false">AG12+AG47</f>
        <v>278.2</v>
      </c>
      <c r="AH50" s="107"/>
      <c r="AI50" s="107"/>
      <c r="AJ50" s="107" t="n">
        <f aca="false">AJ12+AJ47</f>
        <v>0</v>
      </c>
      <c r="AK50" s="107" t="n">
        <f aca="false">AK12+AK47</f>
        <v>73212.4488580439</v>
      </c>
      <c r="AL50" s="107" t="n">
        <f aca="false">AL12+AL47</f>
        <v>4722.65171956703</v>
      </c>
      <c r="AM50" s="214" t="n">
        <f aca="false">AM12+AM47</f>
        <v>77935.100577611</v>
      </c>
      <c r="AN50" s="215"/>
      <c r="AO50" s="136"/>
      <c r="AP50" s="136"/>
      <c r="AQ50" s="158"/>
      <c r="AR50" s="215" t="n">
        <f aca="false">AR12+AR47</f>
        <v>608.016133098059</v>
      </c>
      <c r="AS50" s="136" t="n">
        <f aca="false">AS47</f>
        <v>0</v>
      </c>
      <c r="AT50" s="215" t="n">
        <f aca="false">AT12+AT47</f>
        <v>777.256</v>
      </c>
      <c r="AU50" s="215" t="n">
        <f aca="false">AU12+AU47</f>
        <v>0</v>
      </c>
      <c r="AV50" s="215" t="n">
        <f aca="false">AV13+AV47</f>
        <v>1961.1157</v>
      </c>
      <c r="AW50" s="322"/>
      <c r="AX50" s="215" t="n">
        <f aca="false">MIN(AX15:AX45)</f>
        <v>44</v>
      </c>
      <c r="AY50" s="215" t="n">
        <f aca="false">MIN(AY15:AY45)</f>
        <v>25</v>
      </c>
      <c r="AZ50" s="223" t="s">
        <v>106</v>
      </c>
      <c r="BA50" s="340" t="n">
        <f aca="false">BA12+BA47</f>
        <v>142.262157325308</v>
      </c>
      <c r="BB50" s="177" t="n">
        <f aca="false">BB12+BB47</f>
        <v>26.984</v>
      </c>
      <c r="BC50" s="299"/>
    </row>
    <row r="51" customFormat="false" ht="12.95" hidden="false" customHeight="true" outlineLevel="0" collapsed="false">
      <c r="A51" s="185" t="s">
        <v>107</v>
      </c>
      <c r="B51" s="213"/>
      <c r="C51" s="107"/>
      <c r="D51" s="107"/>
      <c r="E51" s="107"/>
      <c r="F51" s="214" t="n">
        <f aca="false">F50*$D$2</f>
        <v>-14644</v>
      </c>
      <c r="G51" s="107" t="n">
        <f aca="false">G50*$D$2</f>
        <v>132674.3315</v>
      </c>
      <c r="H51" s="215" t="n">
        <f aca="false">H50*$D$2</f>
        <v>279.4017605</v>
      </c>
      <c r="I51" s="107" t="n">
        <f aca="false">I50*$D$2</f>
        <v>132953.7332605</v>
      </c>
      <c r="J51" s="107" t="n">
        <f aca="false">J50*$D$2</f>
        <v>6986.55857019131</v>
      </c>
      <c r="K51" s="107" t="n">
        <f aca="false">K50*$D$2</f>
        <v>139940.271995691</v>
      </c>
      <c r="L51" s="107" t="n">
        <f aca="false">L50*$D$2</f>
        <v>-2380.82111556989</v>
      </c>
      <c r="M51" s="216" t="n">
        <f aca="false">M50*$D$2</f>
        <v>58438.452215</v>
      </c>
      <c r="N51" s="107" t="n">
        <f aca="false">N50*$D$2</f>
        <v>159.98969215725</v>
      </c>
      <c r="O51" s="107" t="n">
        <f aca="false">O50*$D$2</f>
        <v>9089.41179579063</v>
      </c>
      <c r="P51" s="158" t="n">
        <f aca="false">P50*$D$2</f>
        <v>28.5203498</v>
      </c>
      <c r="Q51" s="107"/>
      <c r="R51" s="107"/>
      <c r="S51" s="107"/>
      <c r="T51" s="107"/>
      <c r="U51" s="217"/>
      <c r="V51" s="107" t="n">
        <f aca="false">V50*$D$2</f>
        <v>44315.95205</v>
      </c>
      <c r="W51" s="107" t="n">
        <f aca="false">W50*$D$2</f>
        <v>18991.453153</v>
      </c>
      <c r="X51" s="107" t="n">
        <f aca="false">X50*$D$2</f>
        <v>110749.532685693</v>
      </c>
      <c r="Y51" s="107" t="n">
        <f aca="false">Y50*$D$2</f>
        <v>110476.662590693</v>
      </c>
      <c r="Z51" s="80"/>
      <c r="AA51" s="107"/>
      <c r="AB51" s="107"/>
      <c r="AC51" s="107"/>
      <c r="AE51" s="107" t="n">
        <f aca="false">AE50*$D$2</f>
        <v>16694.4912393549</v>
      </c>
      <c r="AF51" s="216" t="n">
        <f aca="false">AF50*$D$2</f>
        <v>721.5973</v>
      </c>
      <c r="AG51" s="218" t="n">
        <f aca="false">AG50*$D$2</f>
        <v>551.8097</v>
      </c>
      <c r="AH51" s="107"/>
      <c r="AI51" s="107"/>
      <c r="AJ51" s="107" t="n">
        <f aca="false">AJ50*$D$2</f>
        <v>0</v>
      </c>
      <c r="AK51" s="107" t="n">
        <f aca="false">AK50*$D$2</f>
        <v>145216.89230993</v>
      </c>
      <c r="AL51" s="107" t="n">
        <f aca="false">AL50*$D$2</f>
        <v>9367.3796857612</v>
      </c>
      <c r="AM51" s="107" t="n">
        <f aca="false">AM50*$D$2</f>
        <v>154584.271995691</v>
      </c>
      <c r="AN51" s="220"/>
      <c r="AO51" s="136"/>
      <c r="AP51" s="136"/>
      <c r="AQ51" s="158" t="n">
        <f aca="false">AQ12+AQ48</f>
        <v>2406.77884673469</v>
      </c>
      <c r="AR51" s="215" t="n">
        <f aca="false">AR50*$D$2</f>
        <v>1206</v>
      </c>
      <c r="AS51" s="136" t="n">
        <f aca="false">AS50*$D$2</f>
        <v>0</v>
      </c>
      <c r="AT51" s="215" t="n">
        <f aca="false">AT50*$D$2</f>
        <v>1541.687276</v>
      </c>
      <c r="AU51" s="215" t="n">
        <f aca="false">AU50*$D$2</f>
        <v>0</v>
      </c>
      <c r="AV51" s="215" t="n">
        <f aca="false">AV50*$D$2</f>
        <v>3889.87299095</v>
      </c>
      <c r="AW51" s="322"/>
      <c r="AX51" s="215"/>
      <c r="AY51" s="215"/>
      <c r="AZ51" s="299"/>
      <c r="BA51" s="340" t="n">
        <f aca="false">BA50*$D$2</f>
        <v>282.176989054748</v>
      </c>
      <c r="BB51" s="177" t="n">
        <f aca="false">BB50*$D$2</f>
        <v>53.522764</v>
      </c>
      <c r="BC51" s="299"/>
    </row>
    <row r="52" customFormat="false" ht="3" hidden="false" customHeight="true" outlineLevel="0" collapsed="false">
      <c r="A52" s="231"/>
      <c r="B52" s="252"/>
      <c r="C52" s="233"/>
      <c r="D52" s="233"/>
      <c r="E52" s="233"/>
      <c r="F52" s="257"/>
      <c r="G52" s="233"/>
      <c r="H52" s="243"/>
      <c r="I52" s="233"/>
      <c r="J52" s="233"/>
      <c r="K52" s="233"/>
      <c r="L52" s="233"/>
      <c r="M52" s="258"/>
      <c r="N52" s="233"/>
      <c r="O52" s="233"/>
      <c r="P52" s="238"/>
      <c r="Q52" s="233"/>
      <c r="R52" s="233"/>
      <c r="S52" s="233"/>
      <c r="T52" s="233"/>
      <c r="U52" s="239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58"/>
      <c r="AG52" s="259"/>
      <c r="AH52" s="233"/>
      <c r="AI52" s="233"/>
      <c r="AJ52" s="233"/>
      <c r="AK52" s="233"/>
      <c r="AL52" s="233"/>
      <c r="AM52" s="233"/>
      <c r="AN52" s="500"/>
      <c r="AO52" s="240"/>
      <c r="AP52" s="240"/>
      <c r="AQ52" s="238"/>
      <c r="AR52" s="238"/>
      <c r="AS52" s="238"/>
      <c r="AT52" s="243"/>
      <c r="AU52" s="243"/>
      <c r="AV52" s="243"/>
      <c r="AW52" s="500"/>
      <c r="AX52" s="238"/>
      <c r="AY52" s="238"/>
      <c r="AZ52" s="238"/>
      <c r="BA52" s="238"/>
      <c r="BB52" s="263"/>
      <c r="BC52" s="238"/>
    </row>
    <row r="53" customFormat="false" ht="12.95" hidden="false" customHeight="true" outlineLevel="0" collapsed="false">
      <c r="A53" s="185" t="s">
        <v>108</v>
      </c>
      <c r="B53" s="213"/>
      <c r="C53" s="107"/>
      <c r="D53" s="107"/>
      <c r="E53" s="107"/>
      <c r="F53" s="214" t="n">
        <f aca="false">F13+F47</f>
        <v>-10805.6465843206</v>
      </c>
      <c r="G53" s="107" t="n">
        <f aca="false">G13+G47</f>
        <v>72042</v>
      </c>
      <c r="H53" s="215" t="n">
        <f aca="false">H13+H47</f>
        <v>195.353</v>
      </c>
      <c r="I53" s="107" t="n">
        <f aca="false">I13+I47</f>
        <v>72236.733</v>
      </c>
      <c r="J53" s="107" t="n">
        <f aca="false">J13+J47</f>
        <v>5247.37579540777</v>
      </c>
      <c r="K53" s="107" t="n">
        <f aca="false">K13+K47</f>
        <v>77484.0987954078</v>
      </c>
      <c r="L53" s="107" t="n">
        <f aca="false">L13+L47</f>
        <v>-247.955226276729</v>
      </c>
      <c r="M53" s="216" t="n">
        <f aca="false">M13+M47</f>
        <v>30364.2</v>
      </c>
      <c r="N53" s="107" t="n">
        <f aca="false">N13+N47</f>
        <v>80.6602935</v>
      </c>
      <c r="O53" s="107" t="n">
        <f aca="false">O13+O47</f>
        <v>4582.51161875</v>
      </c>
      <c r="P53" s="158"/>
      <c r="Q53" s="107" t="n">
        <f aca="false">Q13+Q47</f>
        <v>719.699696000757</v>
      </c>
      <c r="R53" s="215" t="n">
        <f aca="false">R13+R47</f>
        <v>974.674725156894</v>
      </c>
      <c r="S53" s="107" t="n">
        <f aca="false">S13+S47</f>
        <v>115.333954434161</v>
      </c>
      <c r="T53" s="107" t="n">
        <f aca="false">T13+T47</f>
        <v>290.6769736</v>
      </c>
      <c r="U53" s="318" t="n">
        <f aca="false">U13+U47</f>
        <v>77.8630613803556</v>
      </c>
      <c r="V53" s="107" t="n">
        <f aca="false">V13+V47</f>
        <v>26699.52</v>
      </c>
      <c r="W53" s="107" t="n">
        <f aca="false">W13+W47</f>
        <v>9659.118</v>
      </c>
      <c r="X53" s="107" t="n">
        <f aca="false">X13+X47</f>
        <v>60475.0550102759</v>
      </c>
      <c r="Y53" s="107" t="n">
        <f aca="false">Y13+Y47</f>
        <v>60013.5225698473</v>
      </c>
      <c r="Z53" s="107"/>
      <c r="AA53" s="107"/>
      <c r="AB53" s="107"/>
      <c r="AC53" s="107"/>
      <c r="AD53" s="107"/>
      <c r="AE53" s="107"/>
      <c r="AF53" s="216" t="n">
        <f aca="false">AF13+AF47</f>
        <v>363.8</v>
      </c>
      <c r="AG53" s="218" t="n">
        <f aca="false">AG13+AG47</f>
        <v>278.2</v>
      </c>
      <c r="AH53" s="107" t="n">
        <f aca="false">AH13+AH47</f>
        <v>7646.9</v>
      </c>
      <c r="AI53" s="107" t="n">
        <f aca="false">AI45</f>
        <v>2976.43684762418</v>
      </c>
      <c r="AJ53" s="107" t="n">
        <f aca="false">AJ13+AJ47</f>
        <v>0</v>
      </c>
      <c r="AK53" s="107" t="n">
        <f aca="false">AK13+AK47</f>
        <v>82794.4143580439</v>
      </c>
      <c r="AL53" s="107" t="n">
        <f aca="false">AL13+AL47</f>
        <v>5495.3310216845</v>
      </c>
      <c r="AM53" s="504" t="n">
        <f aca="false">AM13+AM47</f>
        <v>88289.7453797284</v>
      </c>
      <c r="AN53" s="107" t="n">
        <f aca="false">AN13+AN47</f>
        <v>14867.4116944076</v>
      </c>
      <c r="AO53" s="136" t="n">
        <f aca="false">AO13+AO47</f>
        <v>461.532440428619</v>
      </c>
      <c r="AP53" s="136"/>
      <c r="AQ53" s="158"/>
      <c r="AR53" s="158"/>
      <c r="AS53" s="158"/>
      <c r="AT53" s="215"/>
      <c r="AU53" s="215"/>
      <c r="AV53" s="182"/>
      <c r="AW53" s="281" t="n">
        <f aca="false">AW13+AW47</f>
        <v>12.064</v>
      </c>
      <c r="AX53" s="215"/>
      <c r="AY53" s="215"/>
      <c r="AZ53" s="299"/>
      <c r="BA53" s="340" t="n">
        <f aca="false">BA13+BA47</f>
        <v>2273.28750407217</v>
      </c>
      <c r="BB53" s="177" t="n">
        <f aca="false">BB13+BB47</f>
        <v>2762.293</v>
      </c>
      <c r="BC53" s="299"/>
    </row>
    <row r="54" customFormat="false" ht="12.95" hidden="false" customHeight="true" outlineLevel="0" collapsed="false">
      <c r="A54" s="185" t="s">
        <v>109</v>
      </c>
      <c r="B54" s="213"/>
      <c r="C54" s="107"/>
      <c r="D54" s="107" t="n">
        <f aca="false">D13+D48</f>
        <v>-21433</v>
      </c>
      <c r="E54" s="107" t="n">
        <f aca="false">E45</f>
        <v>21722</v>
      </c>
      <c r="F54" s="214" t="n">
        <f aca="false">F53*$D$2</f>
        <v>-21433</v>
      </c>
      <c r="G54" s="107" t="n">
        <f aca="false">G53*$D$2</f>
        <v>142895.307</v>
      </c>
      <c r="H54" s="215" t="n">
        <f aca="false">H53*$D$2</f>
        <v>387.4826755</v>
      </c>
      <c r="I54" s="107" t="n">
        <f aca="false">I53*$D$2</f>
        <v>143281.5599055</v>
      </c>
      <c r="J54" s="107" t="n">
        <f aca="false">J53*$D$2</f>
        <v>10408.1698901913</v>
      </c>
      <c r="K54" s="107" t="n">
        <f aca="false">K53*$D$2</f>
        <v>153689.709960691</v>
      </c>
      <c r="L54" s="107" t="n">
        <f aca="false">L53*$D$2</f>
        <v>-491.819191319892</v>
      </c>
      <c r="M54" s="216" t="n">
        <f aca="false">M53*$D$2</f>
        <v>60227.3907</v>
      </c>
      <c r="N54" s="107" t="n">
        <f aca="false">N53*$D$2</f>
        <v>159.98969215725</v>
      </c>
      <c r="O54" s="107" t="n">
        <f aca="false">O53*$D$2</f>
        <v>9089.41179579063</v>
      </c>
      <c r="P54" s="158"/>
      <c r="Q54" s="215" t="n">
        <f aca="false">Q53*$D$2</f>
        <v>1427.5243470175</v>
      </c>
      <c r="R54" s="215" t="n">
        <f aca="false">R53*$D$2</f>
        <v>1933.2673173487</v>
      </c>
      <c r="S54" s="226" t="n">
        <f aca="false">S53*$D$2</f>
        <v>228.764898620159</v>
      </c>
      <c r="T54" s="226" t="n">
        <f aca="false">T53*$D$2</f>
        <v>576.5577771356</v>
      </c>
      <c r="U54" s="427" t="n">
        <f aca="false">U53*$D$2</f>
        <v>154.441382247935</v>
      </c>
      <c r="V54" s="107" t="n">
        <f aca="false">V53*$D$2</f>
        <v>52958.49792</v>
      </c>
      <c r="W54" s="107" t="n">
        <f aca="false">W53*$D$2</f>
        <v>19158.860553</v>
      </c>
      <c r="X54" s="107" t="n">
        <f aca="false">X53*$D$2</f>
        <v>119952.271612882</v>
      </c>
      <c r="Y54" s="107" t="n">
        <f aca="false">Y53*$D$2</f>
        <v>119036.822017292</v>
      </c>
      <c r="Z54" s="107"/>
      <c r="AA54" s="107"/>
      <c r="AB54" s="107"/>
      <c r="AC54" s="107"/>
      <c r="AD54" s="107"/>
      <c r="AE54" s="107"/>
      <c r="AF54" s="266" t="n">
        <f aca="false">AF53*$D$2</f>
        <v>721.5973</v>
      </c>
      <c r="AG54" s="267" t="n">
        <f aca="false">AG53*$D$2</f>
        <v>551.8097</v>
      </c>
      <c r="AH54" s="107" t="n">
        <f aca="false">AH53*$D$2</f>
        <v>15167.62615</v>
      </c>
      <c r="AI54" s="107" t="n">
        <f aca="false">AI53*$D$2</f>
        <v>5903.76248726255</v>
      </c>
      <c r="AJ54" s="107" t="n">
        <f aca="false">AJ53*$D$2</f>
        <v>0</v>
      </c>
      <c r="AK54" s="107" t="n">
        <f aca="false">AK53*$D$2</f>
        <v>164222.72087918</v>
      </c>
      <c r="AL54" s="107" t="n">
        <f aca="false">AL53*$D$2</f>
        <v>10899.9890815112</v>
      </c>
      <c r="AM54" s="214" t="n">
        <f aca="false">AM53*$D$2</f>
        <v>175122.709960691</v>
      </c>
      <c r="AN54" s="107" t="n">
        <f aca="false">AN53*$D$2</f>
        <v>29489.5110958575</v>
      </c>
      <c r="AO54" s="136" t="n">
        <f aca="false">AO53*$D$2</f>
        <v>915.449595590166</v>
      </c>
      <c r="AP54" s="136"/>
      <c r="AQ54" s="158" t="n">
        <f aca="false">AQ13+AQ48</f>
        <v>2406.77884673469</v>
      </c>
      <c r="AR54" s="158"/>
      <c r="AS54" s="158"/>
      <c r="AT54" s="215"/>
      <c r="AU54" s="215"/>
      <c r="AV54" s="182"/>
      <c r="AW54" s="322"/>
      <c r="AX54" s="215"/>
      <c r="AY54" s="215"/>
      <c r="AZ54" s="299"/>
      <c r="BA54" s="340" t="n">
        <f aca="false">BA53*$D$2</f>
        <v>4509.06576432715</v>
      </c>
      <c r="BB54" s="177" t="n">
        <f aca="false">BB53*$D$2</f>
        <v>5479.0081655</v>
      </c>
      <c r="BC54" s="299"/>
    </row>
    <row r="55" customFormat="false" ht="3" hidden="false" customHeight="true" outlineLevel="0" collapsed="false">
      <c r="A55" s="231"/>
      <c r="B55" s="505"/>
      <c r="C55" s="506"/>
      <c r="D55" s="231"/>
      <c r="E55" s="506"/>
      <c r="F55" s="507"/>
      <c r="G55" s="231"/>
      <c r="H55" s="592"/>
      <c r="I55" s="231"/>
      <c r="J55" s="231"/>
      <c r="K55" s="231"/>
      <c r="L55" s="231"/>
      <c r="M55" s="509"/>
      <c r="N55" s="231"/>
      <c r="O55" s="231"/>
      <c r="P55" s="510"/>
      <c r="Q55" s="231"/>
      <c r="R55" s="593"/>
      <c r="S55" s="231"/>
      <c r="T55" s="231"/>
      <c r="U55" s="511"/>
      <c r="V55" s="231"/>
      <c r="W55" s="231"/>
      <c r="X55" s="231"/>
      <c r="Y55" s="231"/>
      <c r="Z55" s="506"/>
      <c r="AA55" s="231"/>
      <c r="AB55" s="506"/>
      <c r="AC55" s="506"/>
      <c r="AD55" s="506"/>
      <c r="AE55" s="231"/>
      <c r="AF55" s="237"/>
      <c r="AG55" s="241"/>
      <c r="AH55" s="231"/>
      <c r="AI55" s="506"/>
      <c r="AJ55" s="506"/>
      <c r="AK55" s="231"/>
      <c r="AL55" s="231"/>
      <c r="AM55" s="507"/>
      <c r="AN55" s="231"/>
      <c r="AO55" s="508"/>
      <c r="AP55" s="508"/>
      <c r="AQ55" s="510"/>
      <c r="AR55" s="510"/>
      <c r="AS55" s="510"/>
      <c r="AT55" s="231"/>
      <c r="AU55" s="231"/>
      <c r="AV55" s="231"/>
      <c r="AW55" s="505"/>
      <c r="AX55" s="231"/>
      <c r="AY55" s="231"/>
      <c r="AZ55" s="231"/>
      <c r="BA55" s="231"/>
      <c r="BB55" s="231"/>
      <c r="BC55" s="231"/>
    </row>
    <row r="56" customFormat="false" ht="11.1" hidden="false" customHeight="true" outlineLevel="0" collapsed="false">
      <c r="G56" s="186"/>
      <c r="H56" s="594"/>
      <c r="I56" s="174"/>
      <c r="N56" s="2"/>
      <c r="Q56" s="179"/>
      <c r="W56" s="176"/>
      <c r="X56" s="1"/>
      <c r="Y56" s="1"/>
      <c r="Z56" s="177"/>
      <c r="AA56" s="1"/>
      <c r="AB56" s="177"/>
      <c r="AE56" s="179"/>
      <c r="AF56" s="179"/>
      <c r="AG56" s="179"/>
      <c r="AH56" s="177"/>
      <c r="AK56" s="180"/>
      <c r="AL56" s="180"/>
      <c r="AM56" s="385"/>
      <c r="AQ56" s="69"/>
      <c r="AR56" s="69"/>
      <c r="AS56" s="69"/>
      <c r="AW56" s="496"/>
      <c r="AX56" s="288"/>
      <c r="AY56" s="412"/>
    </row>
    <row r="57" customFormat="false" ht="11.1" hidden="false" customHeight="true" outlineLevel="0" collapsed="false">
      <c r="A57" s="185"/>
      <c r="B57" s="564"/>
      <c r="C57" s="2"/>
      <c r="D57" s="1"/>
      <c r="E57" s="383"/>
      <c r="F57" s="188"/>
      <c r="G57" s="1"/>
      <c r="H57" s="595"/>
      <c r="I57" s="12"/>
      <c r="J57" s="11"/>
      <c r="K57" s="174"/>
      <c r="L57" s="11"/>
      <c r="M57" s="11"/>
      <c r="N57" s="2"/>
      <c r="O57" s="2"/>
      <c r="P57" s="596"/>
      <c r="Q57" s="486"/>
      <c r="R57" s="93"/>
      <c r="S57" s="93"/>
      <c r="T57" s="93"/>
      <c r="U57" s="93"/>
      <c r="V57" s="26"/>
      <c r="W57" s="130"/>
      <c r="X57" s="483"/>
      <c r="Y57" s="483"/>
      <c r="Z57" s="177"/>
      <c r="AA57" s="483"/>
      <c r="AB57" s="177"/>
      <c r="AC57" s="84"/>
      <c r="AD57" s="84"/>
      <c r="AE57" s="2"/>
      <c r="AF57" s="2"/>
      <c r="AG57" s="2"/>
      <c r="AH57" s="11"/>
      <c r="AI57" s="2"/>
      <c r="AJ57" s="105"/>
      <c r="AK57" s="105"/>
      <c r="AL57" s="188"/>
      <c r="AM57" s="385"/>
      <c r="AN57" s="565"/>
      <c r="AO57" s="597"/>
      <c r="AT57" s="408"/>
      <c r="AW57" s="288"/>
      <c r="AX57" s="288"/>
      <c r="AY57" s="288"/>
    </row>
    <row r="58" customFormat="false" ht="11.1" hidden="false" customHeight="true" outlineLevel="0" collapsed="false">
      <c r="B58" s="177"/>
      <c r="E58" s="383"/>
      <c r="F58" s="225"/>
      <c r="G58" s="1"/>
      <c r="H58" s="595"/>
      <c r="I58" s="1"/>
      <c r="J58" s="1"/>
      <c r="K58" s="384"/>
      <c r="L58" s="4"/>
      <c r="M58" s="4"/>
      <c r="N58" s="4"/>
      <c r="O58" s="177"/>
      <c r="P58" s="385"/>
      <c r="Q58" s="8"/>
      <c r="R58" s="93"/>
      <c r="S58" s="93"/>
      <c r="T58" s="93"/>
      <c r="U58" s="93"/>
      <c r="V58" s="26"/>
      <c r="W58" s="130"/>
      <c r="X58" s="90"/>
      <c r="Y58" s="90"/>
      <c r="Z58" s="177"/>
      <c r="AA58" s="90"/>
      <c r="AB58" s="177"/>
      <c r="AE58" s="177"/>
      <c r="AF58" s="177"/>
      <c r="AG58" s="177"/>
      <c r="AH58" s="2"/>
      <c r="AI58" s="26"/>
      <c r="AJ58" s="487"/>
      <c r="AK58" s="487"/>
      <c r="AL58" s="180"/>
      <c r="AM58" s="385"/>
      <c r="AT58" s="408"/>
      <c r="AW58" s="288"/>
      <c r="AX58" s="288"/>
      <c r="AY58" s="412"/>
    </row>
    <row r="59" customFormat="false" ht="11.1" hidden="false" customHeight="true" outlineLevel="0" collapsed="false">
      <c r="D59" s="177"/>
      <c r="E59" s="383"/>
      <c r="F59" s="1"/>
      <c r="G59" s="1"/>
      <c r="H59" s="84"/>
      <c r="I59" s="1"/>
      <c r="J59" s="1"/>
      <c r="K59" s="384"/>
      <c r="L59" s="182"/>
      <c r="M59" s="4"/>
      <c r="N59" s="4"/>
      <c r="O59" s="182"/>
      <c r="P59" s="385"/>
      <c r="Q59" s="8"/>
      <c r="R59" s="93"/>
      <c r="S59" s="93"/>
      <c r="T59" s="93"/>
      <c r="U59" s="93"/>
      <c r="V59" s="26"/>
      <c r="W59" s="26"/>
      <c r="X59" s="90"/>
      <c r="Y59" s="90"/>
      <c r="Z59" s="182"/>
      <c r="AA59" s="90"/>
      <c r="AB59" s="182"/>
      <c r="AC59" s="182"/>
      <c r="AD59" s="182"/>
      <c r="AE59" s="177"/>
      <c r="AF59" s="177"/>
      <c r="AG59" s="177"/>
      <c r="AH59" s="2"/>
      <c r="AI59" s="177"/>
      <c r="AJ59" s="225"/>
      <c r="AK59" s="225"/>
      <c r="AL59" s="180"/>
      <c r="AM59" s="598"/>
      <c r="AT59" s="408"/>
      <c r="AW59" s="288"/>
      <c r="AX59" s="288"/>
      <c r="AY59" s="412"/>
    </row>
    <row r="60" customFormat="false" ht="11.1" hidden="false" customHeight="true" outlineLevel="0" collapsed="false">
      <c r="G60" s="273"/>
      <c r="H60" s="594"/>
      <c r="Q60" s="8"/>
      <c r="R60" s="8"/>
      <c r="S60" s="8"/>
      <c r="T60" s="8"/>
      <c r="W60" s="176"/>
      <c r="X60" s="1"/>
      <c r="Y60" s="1"/>
      <c r="Z60" s="177"/>
      <c r="AA60" s="1"/>
      <c r="AB60" s="177"/>
      <c r="AH60" s="177"/>
      <c r="AK60" s="180"/>
      <c r="AL60" s="180"/>
      <c r="AM60" s="385"/>
      <c r="AT60" s="408"/>
      <c r="AW60" s="496"/>
      <c r="AX60" s="288"/>
      <c r="AY60" s="412"/>
    </row>
    <row r="61" customFormat="false" ht="11.1" hidden="false" customHeight="true" outlineLevel="0" collapsed="false">
      <c r="H61" s="594"/>
      <c r="Q61" s="8"/>
      <c r="R61" s="8"/>
      <c r="S61" s="8"/>
      <c r="T61" s="8"/>
      <c r="W61" s="176"/>
      <c r="X61" s="177"/>
      <c r="Y61" s="177"/>
      <c r="Z61" s="177"/>
      <c r="AA61" s="177"/>
      <c r="AB61" s="177"/>
      <c r="AH61" s="177"/>
      <c r="AK61" s="180"/>
      <c r="AL61" s="180"/>
      <c r="AM61" s="385"/>
      <c r="AT61" s="408"/>
      <c r="AW61" s="496"/>
      <c r="AX61" s="288"/>
      <c r="AY61" s="412"/>
    </row>
    <row r="62" customFormat="false" ht="11.1" hidden="false" customHeight="true" outlineLevel="0" collapsed="false">
      <c r="H62" s="594"/>
      <c r="Q62" s="179"/>
      <c r="W62" s="176"/>
      <c r="X62" s="177"/>
      <c r="Y62" s="177"/>
      <c r="AA62" s="177"/>
      <c r="AC62" s="176"/>
      <c r="AD62" s="176"/>
      <c r="AH62" s="177"/>
      <c r="AK62" s="180"/>
      <c r="AL62" s="180"/>
      <c r="AM62" s="385"/>
      <c r="AQ62" s="69"/>
      <c r="AR62" s="69"/>
      <c r="AS62" s="69"/>
      <c r="AW62" s="496"/>
      <c r="AX62" s="288"/>
      <c r="AY62" s="412"/>
    </row>
  </sheetData>
  <mergeCells count="1">
    <mergeCell ref="M5:U5"/>
  </mergeCells>
  <printOptions headings="true" gridLines="true" gridLinesSet="true" horizontalCentered="true" verticalCentered="true"/>
  <pageMargins left="0.25" right="0.25" top="0.25" bottom="0" header="0.511811023622047" footer="0.511811023622047"/>
  <pageSetup paperSize="3" scale="89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rowBreaks count="1" manualBreakCount="1">
    <brk id="60" man="true" max="16383" min="0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Vernon Lamb</dc:creator>
  <dc:description/>
  <dc:language>en-US</dc:language>
  <cp:lastModifiedBy>La Von Millard</cp:lastModifiedBy>
  <cp:lastPrinted>2013-09-09T14:23:05Z</cp:lastPrinted>
  <dcterms:modified xsi:type="dcterms:W3CDTF">2014-03-26T16:08:42Z</dcterms:modified>
  <cp:revision>0</cp:revision>
  <dc:subject>MCPHEE IN/OUT FLOW</dc:subject>
  <dc:title>RIVER</dc:title>
</cp:coreProperties>
</file>