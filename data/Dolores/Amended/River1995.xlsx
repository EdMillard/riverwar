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APR!$A$1:$AC$54</definedName>
    <definedName function="false" hidden="false" localSheetId="9" name="_xlnm.Print_Area" vbProcedure="false">AUG!$A$1:$AC$55</definedName>
    <definedName function="false" hidden="false" localSheetId="1" name="_xlnm.Print_Area" vbProcedure="false">DEC!$A$1:$AC$55</definedName>
    <definedName function="false" hidden="false" localSheetId="3" name="_xlnm.Print_Area" vbProcedure="false">FEB!$A$1:$AC$52</definedName>
    <definedName function="false" hidden="false" localSheetId="2" name="_xlnm.Print_Area" vbProcedure="false">JAN!$A$1:$AC$55</definedName>
    <definedName function="false" hidden="false" localSheetId="8" name="_xlnm.Print_Area" vbProcedure="false">JUL!$A$1:$AC$55</definedName>
    <definedName function="false" hidden="false" localSheetId="7" name="_xlnm.Print_Area" vbProcedure="false">JUN!$A$1:$AC$54</definedName>
    <definedName function="false" hidden="false" localSheetId="4" name="_xlnm.Print_Area" vbProcedure="false">MAR!$A$1:$AC$55</definedName>
    <definedName function="false" hidden="false" localSheetId="6" name="_xlnm.Print_Area" vbProcedure="false">MAY!$A$1:$AC$55</definedName>
    <definedName function="false" hidden="false" localSheetId="0" name="_xlnm.Print_Area" vbProcedure="false">NOV!$A$1:$AC$54</definedName>
    <definedName function="false" hidden="false" localSheetId="11" name="_xlnm.Print_Area" vbProcedure="false">OCT!$A$1:$AC$55</definedName>
    <definedName function="false" hidden="false" localSheetId="10" name="_xlnm.Print_Area" vbProcedure="false">SEP!$A$1:$AC$54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<sst xmlns="http://schemas.openxmlformats.org/spreadsheetml/2006/main" count="835" uniqueCount="95">
  <si>
    <t xml:space="preserve">MC  PHEE  RESERVOIR  IN/OUT  FLOW  TABULATION</t>
  </si>
  <si>
    <t xml:space="preserve">AF/cfs  CONVERT FACTOR</t>
  </si>
  <si>
    <t xml:space="preserve">NOVEMBER  "94"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</si>
  <si>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</si>
  <si>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</si>
  <si>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</si>
  <si>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</si>
  <si>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</si>
  <si>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</si>
  <si>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</si>
  <si>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</si>
  <si>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</si>
  <si>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</si>
  <si>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DOLORES TUNNEL</t>
  </si>
  <si>
    <t xml:space="preserve">MVI</t>
  </si>
  <si>
    <t xml:space="preserve">U</t>
  </si>
  <si>
    <t xml:space="preserve">DV  CR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</si>
  <si>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</si>
  <si>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</si>
  <si>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</si>
  <si>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</si>
  <si>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</si>
  <si>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</si>
  <si>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</si>
  <si>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</si>
  <si>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</si>
  <si>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</si>
  <si>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</si>
  <si>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</si>
  <si>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</si>
  <si>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</si>
  <si>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</si>
  <si>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UTE F&amp;R</t>
  </si>
  <si>
    <t xml:space="preserve">MVI,CTZ,MWC</t>
  </si>
  <si>
    <t xml:space="preserve">DIVER</t>
  </si>
  <si>
    <t xml:space="preserve">LATERAL</t>
  </si>
  <si>
    <t xml:space="preserve">CALL</t>
  </si>
  <si>
    <t xml:space="preserve">CANAL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</si>
  <si>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</si>
  <si>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</si>
  <si>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</si>
  <si>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</si>
  <si>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</si>
  <si>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</si>
  <si>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FROZE</t>
  </si>
  <si>
    <t xml:space="preserve">MONTH / CFS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</si>
  <si>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</si>
  <si>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</si>
  <si>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</si>
  <si>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</si>
  <si>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</si>
  <si>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</si>
  <si>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</si>
  <si>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"94"</t>
  </si>
  <si>
    <t xml:space="preserve">LONE</t>
  </si>
  <si>
    <t xml:space="preserve">"DEC"</t>
  </si>
  <si>
    <t xml:space="preserve">MVI,CTZ</t>
  </si>
  <si>
    <t xml:space="preserve">PINE</t>
  </si>
  <si>
    <t xml:space="preserve">JANUARY  "95"</t>
  </si>
  <si>
    <t xml:space="preserve">"JAN"</t>
  </si>
  <si>
    <t xml:space="preserve">FEBRUARY  "95"</t>
  </si>
  <si>
    <t xml:space="preserve">FEB</t>
  </si>
  <si>
    <t xml:space="preserve">MARCH  "95"</t>
  </si>
  <si>
    <t xml:space="preserve">MAR</t>
  </si>
  <si>
    <t xml:space="preserve">APRIL  "95"</t>
  </si>
  <si>
    <t xml:space="preserve">"APR"</t>
  </si>
  <si>
    <t xml:space="preserve">MVI/CTZ/MWC</t>
  </si>
  <si>
    <t xml:space="preserve">MAY  "95"</t>
  </si>
  <si>
    <t xml:space="preserve">"MAY"</t>
  </si>
  <si>
    <t xml:space="preserve">JUNE  "95"</t>
  </si>
  <si>
    <t xml:space="preserve">"JUN"</t>
  </si>
  <si>
    <t xml:space="preserve">Ctz/MW</t>
  </si>
  <si>
    <t xml:space="preserve">Add to MVI call</t>
  </si>
  <si>
    <t xml:space="preserve">Totten</t>
  </si>
  <si>
    <t xml:space="preserve">Grhog</t>
  </si>
  <si>
    <t xml:space="preserve">Total</t>
  </si>
  <si>
    <t xml:space="preserve">cfs</t>
  </si>
  <si>
    <t xml:space="preserve">JULY  "95"</t>
  </si>
  <si>
    <t xml:space="preserve">"JUL"</t>
  </si>
  <si>
    <t xml:space="preserve">Spilled</t>
  </si>
  <si>
    <t xml:space="preserve">Runoff = 165% 30yr avg</t>
  </si>
  <si>
    <t xml:space="preserve">AUGUST  "95"</t>
  </si>
  <si>
    <t xml:space="preserve">"AUG"</t>
  </si>
  <si>
    <t xml:space="preserve">EDS</t>
  </si>
  <si>
    <t xml:space="preserve">gT #1</t>
  </si>
  <si>
    <t xml:space="preserve">GT #2</t>
  </si>
  <si>
    <t xml:space="preserve">Ute</t>
  </si>
  <si>
    <t xml:space="preserve">SEPTEMBER  "95"</t>
  </si>
  <si>
    <t xml:space="preserve">"SEP"</t>
  </si>
  <si>
    <t xml:space="preserve">Gr Hg</t>
  </si>
  <si>
    <t xml:space="preserve">OCTOBER  "95"</t>
  </si>
  <si>
    <t xml:space="preserve">"OCT"</t>
  </si>
  <si>
    <t xml:space="preserve">Ctz &amp; Ute Div</t>
  </si>
  <si>
    <t xml:space="preserve">MWC Div</t>
  </si>
  <si>
    <t xml:space="preserve">MVIC Div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</si>
</sst>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##0.0"/>
    <numFmt numFmtId="167" formatCode="0.0"/>
    <numFmt numFmtId="168" formatCode="0.00"/>
    <numFmt numFmtId="169" formatCode="0"/>
    <numFmt numFmtId="170" formatCode="#,##0.0"/>
    <numFmt numFmtId="171" formatCode="0.000"/>
    <numFmt numFmtId="172" formatCode="#,##0.00"/>
    <numFmt numFmtId="173" formatCode="[$-409]d\-mmm"/>
    <numFmt numFmtId="174" formatCode="0%"/>
    <numFmt numFmtId="175" formatCode="General"/>
    <numFmt numFmtId="176" formatCode="0.00%"/>
  </numFmts>
  <fonts count="15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4"/>
      <name val="Arial Narrow"/>
      <family val="2"/>
    </font>
    <font>
      <b val="true"/>
      <sz val="9"/>
      <name val="Arial Narrow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8"/>
      <name val="Arial Narrow"/>
      <family val="2"/>
    </font>
    <font>
      <b val="true"/>
      <sz val="8"/>
      <name val="Arial Narrow"/>
      <family val="0"/>
    </font>
  </fonts>
  <fills count="3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/>
      <bottom style="thin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4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0" activeCellId="0" sqref="R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32"/>
    <col collapsed="false" customWidth="true" hidden="false" outlineLevel="0" max="4" min="4" style="0" width="6.82"/>
    <col collapsed="false" customWidth="true" hidden="false" outlineLevel="0" max="5" min="5" style="1" width="7.32"/>
    <col collapsed="false" customWidth="true" hidden="false" outlineLevel="0" max="6" min="6" style="0" width="7.66"/>
    <col collapsed="false" customWidth="true" hidden="false" outlineLevel="0" max="7" min="7" style="0" width="6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1" min="10" style="0" width="6.32"/>
    <col collapsed="false" customWidth="true" hidden="false" outlineLevel="0" max="12" min="12" style="0" width="6.49"/>
    <col collapsed="false" customWidth="true" hidden="false" outlineLevel="0" max="15" min="13" style="3" width="7.49"/>
    <col collapsed="false" customWidth="true" hidden="false" outlineLevel="0" max="16" min="16" style="0" width="5.82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5.82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4"/>
      <c r="AE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7"/>
      <c r="L2" s="10" t="s">
        <v>2</v>
      </c>
      <c r="M2" s="7"/>
      <c r="N2" s="7"/>
      <c r="O2" s="7"/>
      <c r="P2" s="7"/>
      <c r="Q2" s="7"/>
      <c r="R2" s="7"/>
      <c r="S2" s="8"/>
      <c r="T2" s="7"/>
      <c r="U2" s="7"/>
      <c r="V2" s="8"/>
      <c r="W2" s="7"/>
      <c r="X2" s="7"/>
      <c r="Y2" s="7"/>
      <c r="Z2" s="11"/>
      <c r="AA2" s="12"/>
      <c r="AB2" s="12"/>
      <c r="AC2" s="13"/>
      <c r="AD2" s="14"/>
      <c r="AE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11"/>
      <c r="AA3" s="12"/>
      <c r="AB3" s="12"/>
      <c r="AC3" s="13"/>
      <c r="AD3" s="14"/>
      <c r="AE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6" t="s">
        <v>14</v>
      </c>
      <c r="Q4" s="16" t="s">
        <v>15</v>
      </c>
      <c r="R4" s="16" t="s">
        <v>12</v>
      </c>
      <c r="S4" s="17" t="s">
        <v>14</v>
      </c>
      <c r="T4" s="16" t="s">
        <v>16</v>
      </c>
      <c r="U4" s="16" t="s">
        <v>17</v>
      </c>
      <c r="V4" s="17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  <c r="AD4" s="14"/>
      <c r="AE4" s="14"/>
    </row>
    <row r="5" customFormat="false" ht="11.1" hidden="false" customHeight="true" outlineLevel="0" collapsed="false">
      <c r="A5" s="22" t="s">
        <v>22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23" t="s">
        <v>33</v>
      </c>
      <c r="P5" s="16" t="s">
        <v>34</v>
      </c>
      <c r="Q5" s="16" t="s">
        <v>35</v>
      </c>
      <c r="R5" s="16" t="s">
        <v>14</v>
      </c>
      <c r="S5" s="17" t="s">
        <v>36</v>
      </c>
      <c r="T5" s="16" t="s">
        <v>37</v>
      </c>
      <c r="U5" s="16" t="s">
        <v>38</v>
      </c>
      <c r="V5" s="17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22</v>
      </c>
      <c r="AD5" s="14"/>
      <c r="AE5" s="14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  <c r="T6" s="26"/>
      <c r="U6" s="26"/>
      <c r="V6" s="27"/>
      <c r="W6" s="26"/>
      <c r="X6" s="26"/>
      <c r="Y6" s="26"/>
      <c r="Z6" s="11"/>
      <c r="AA6" s="13"/>
      <c r="AB6" s="13"/>
      <c r="AC6" s="13"/>
      <c r="AD6" s="14"/>
      <c r="AE6" s="14"/>
    </row>
    <row r="7" customFormat="false" ht="11.1" hidden="false" customHeight="true" outlineLevel="0" collapsed="false">
      <c r="A7" s="7" t="s">
        <v>42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1"/>
      <c r="AA7" s="12"/>
      <c r="AB7" s="12"/>
      <c r="AC7" s="13"/>
      <c r="AD7" s="14"/>
    </row>
    <row r="8" s="1" customFormat="true" ht="11.1" hidden="false" customHeight="true" outlineLevel="0" collapsed="false">
      <c r="A8" s="8" t="s">
        <v>43</v>
      </c>
      <c r="B8" s="29" t="n">
        <v>6895.3</v>
      </c>
      <c r="C8" s="8" t="n">
        <v>266563</v>
      </c>
      <c r="D8" s="8"/>
      <c r="E8" s="8"/>
      <c r="F8" s="8"/>
      <c r="G8" s="8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 t="n">
        <f aca="false">(25400+3900+285)/1.9835</f>
        <v>14915.5533148475</v>
      </c>
      <c r="W8" s="8"/>
      <c r="X8" s="8"/>
      <c r="Y8" s="8"/>
      <c r="Z8" s="30"/>
      <c r="AA8" s="12"/>
      <c r="AB8" s="12"/>
      <c r="AC8" s="13"/>
      <c r="AD8" s="31" t="n">
        <v>13149</v>
      </c>
      <c r="AE8" s="14" t="n">
        <v>17902</v>
      </c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4"/>
      <c r="T9" s="32"/>
      <c r="U9" s="32"/>
      <c r="V9" s="34"/>
      <c r="W9" s="32"/>
      <c r="X9" s="32"/>
      <c r="Y9" s="32"/>
      <c r="Z9" s="36"/>
      <c r="AA9" s="37"/>
      <c r="AB9" s="37"/>
      <c r="AC9" s="38"/>
      <c r="AD9" s="14"/>
      <c r="AE9" s="14"/>
    </row>
    <row r="10" customFormat="false" ht="11.1" hidden="false" customHeight="true" outlineLevel="0" collapsed="false">
      <c r="A10" s="13" t="n">
        <v>1</v>
      </c>
      <c r="B10" s="29" t="n">
        <v>6895.14</v>
      </c>
      <c r="C10" s="8" t="n">
        <v>265995</v>
      </c>
      <c r="D10" s="12" t="n">
        <f aca="false">C10-C8</f>
        <v>-568</v>
      </c>
      <c r="E10" s="8" t="n">
        <f aca="false">C10-152000</f>
        <v>113995</v>
      </c>
      <c r="F10" s="7" t="n">
        <f aca="false">D10/$D$2</f>
        <v>-286.434694906707</v>
      </c>
      <c r="G10" s="7" t="n">
        <v>51.29</v>
      </c>
      <c r="H10" s="9" t="n">
        <v>0</v>
      </c>
      <c r="I10" s="7" t="n">
        <f aca="false">G10+H10</f>
        <v>51.29</v>
      </c>
      <c r="J10" s="30" t="n">
        <f aca="false">IF(L10&gt;0,L10,0)</f>
        <v>0</v>
      </c>
      <c r="K10" s="7" t="n">
        <f aca="false">I10+J10</f>
        <v>51.29</v>
      </c>
      <c r="L10" s="7" t="n">
        <f aca="false">F10-(I10-W10)</f>
        <v>-22.864694906707</v>
      </c>
      <c r="M10" s="7" t="n">
        <v>22.48</v>
      </c>
      <c r="N10" s="7" t="n">
        <v>11</v>
      </c>
      <c r="O10" s="7" t="n">
        <f aca="false">M10-N10</f>
        <v>11.48</v>
      </c>
      <c r="P10" s="7" t="n">
        <v>252.19</v>
      </c>
      <c r="Q10" s="7"/>
      <c r="R10" s="7" t="n">
        <f aca="false">SUM(O10:Q10)</f>
        <v>263.67</v>
      </c>
      <c r="S10" s="8"/>
      <c r="T10" s="7"/>
      <c r="U10" s="7" t="n">
        <v>40.19</v>
      </c>
      <c r="V10" s="8" t="n">
        <f aca="false">V8-U10</f>
        <v>14875.3633148475</v>
      </c>
      <c r="W10" s="7" t="n">
        <f aca="false">N10+R10+T10+U10</f>
        <v>314.86</v>
      </c>
      <c r="X10" s="7" t="n">
        <f aca="false">IF(L10&lt;0,L10*-1,0)</f>
        <v>22.864694906707</v>
      </c>
      <c r="Y10" s="7" t="n">
        <f aca="false">W10+X10</f>
        <v>337.724694906707</v>
      </c>
      <c r="Z10" s="11" t="n">
        <v>0</v>
      </c>
      <c r="AA10" s="12" t="n">
        <v>56</v>
      </c>
      <c r="AB10" s="12" t="n">
        <v>19</v>
      </c>
      <c r="AC10" s="13" t="n">
        <v>1</v>
      </c>
      <c r="AD10" s="12" t="n">
        <v>13243</v>
      </c>
      <c r="AE10" s="12"/>
      <c r="AF10" s="0" t="n">
        <v>7883</v>
      </c>
    </row>
    <row r="11" customFormat="false" ht="11.1" hidden="false" customHeight="true" outlineLevel="0" collapsed="false">
      <c r="A11" s="13" t="n">
        <f aca="false">A10+1</f>
        <v>2</v>
      </c>
      <c r="B11" s="39" t="n">
        <v>6895</v>
      </c>
      <c r="C11" s="8" t="n">
        <v>265496</v>
      </c>
      <c r="D11" s="12" t="n">
        <f aca="false">C11-C10</f>
        <v>-499</v>
      </c>
      <c r="E11" s="8" t="n">
        <f aca="false">C11-152000</f>
        <v>113496</v>
      </c>
      <c r="F11" s="7" t="n">
        <f aca="false">D11/$D$2</f>
        <v>-251.638930912758</v>
      </c>
      <c r="G11" s="7" t="n">
        <v>53.62</v>
      </c>
      <c r="H11" s="9" t="n">
        <v>0</v>
      </c>
      <c r="I11" s="7" t="n">
        <f aca="false">G11+H11</f>
        <v>53.62</v>
      </c>
      <c r="J11" s="30" t="n">
        <f aca="false">IF(L11&gt;0,L11,0)</f>
        <v>9.40106908724158</v>
      </c>
      <c r="K11" s="7" t="n">
        <f aca="false">I11+J11</f>
        <v>63.0210690872416</v>
      </c>
      <c r="L11" s="7" t="n">
        <f aca="false">F11-(I11-W11)</f>
        <v>9.40106908724158</v>
      </c>
      <c r="M11" s="7" t="n">
        <v>22.47</v>
      </c>
      <c r="N11" s="7" t="n">
        <v>11</v>
      </c>
      <c r="O11" s="7" t="n">
        <f aca="false">M11-N11</f>
        <v>11.47</v>
      </c>
      <c r="P11" s="7" t="n">
        <v>252.62</v>
      </c>
      <c r="Q11" s="7"/>
      <c r="R11" s="7" t="n">
        <f aca="false">SUM(O11:Q11)</f>
        <v>264.09</v>
      </c>
      <c r="S11" s="8"/>
      <c r="T11" s="7"/>
      <c r="U11" s="7" t="n">
        <v>39.57</v>
      </c>
      <c r="V11" s="8" t="n">
        <f aca="false">V10-U11</f>
        <v>14835.7933148475</v>
      </c>
      <c r="W11" s="7" t="n">
        <f aca="false">N11+R11+T11+U11</f>
        <v>314.66</v>
      </c>
      <c r="X11" s="7" t="n">
        <f aca="false">IF(L11&lt;0,L11*-1,0)</f>
        <v>0</v>
      </c>
      <c r="Y11" s="7" t="n">
        <f aca="false">W11+X11</f>
        <v>314.66</v>
      </c>
      <c r="Z11" s="11" t="n">
        <v>0.08</v>
      </c>
      <c r="AA11" s="12" t="n">
        <v>50</v>
      </c>
      <c r="AB11" s="12" t="n">
        <v>24</v>
      </c>
      <c r="AC11" s="13" t="n">
        <f aca="false">AC10+1</f>
        <v>2</v>
      </c>
      <c r="AD11" s="12" t="n">
        <v>13333</v>
      </c>
      <c r="AE11" s="12" t="n">
        <v>62</v>
      </c>
    </row>
    <row r="12" customFormat="false" ht="11.1" hidden="false" customHeight="true" outlineLevel="0" collapsed="false">
      <c r="A12" s="13" t="n">
        <f aca="false">A11+1</f>
        <v>3</v>
      </c>
      <c r="B12" s="29" t="n">
        <v>6895.02</v>
      </c>
      <c r="C12" s="8" t="n">
        <v>265567</v>
      </c>
      <c r="D12" s="12" t="n">
        <f aca="false">C12-C11</f>
        <v>71</v>
      </c>
      <c r="E12" s="8" t="n">
        <f aca="false">C12-152000</f>
        <v>113567</v>
      </c>
      <c r="F12" s="7" t="n">
        <f aca="false">D12/$D$2</f>
        <v>35.8043368633384</v>
      </c>
      <c r="G12" s="7" t="n">
        <v>61.66</v>
      </c>
      <c r="H12" s="9" t="n">
        <v>0</v>
      </c>
      <c r="I12" s="7" t="n">
        <f aca="false">G12+H12</f>
        <v>61.66</v>
      </c>
      <c r="J12" s="30" t="n">
        <f aca="false">IF(L12&gt;0,L12,0)</f>
        <v>206.644336863338</v>
      </c>
      <c r="K12" s="7" t="n">
        <f aca="false">I12+J12</f>
        <v>268.304336863338</v>
      </c>
      <c r="L12" s="7" t="n">
        <f aca="false">F12-(I12-W12)</f>
        <v>206.644336863338</v>
      </c>
      <c r="M12" s="7" t="n">
        <v>16.97</v>
      </c>
      <c r="N12" s="7" t="n">
        <v>10</v>
      </c>
      <c r="O12" s="7" t="n">
        <f aca="false">M12-N12</f>
        <v>6.97</v>
      </c>
      <c r="P12" s="7" t="n">
        <v>175.55</v>
      </c>
      <c r="Q12" s="7"/>
      <c r="R12" s="7" t="n">
        <f aca="false">SUM(O12:Q12)</f>
        <v>182.52</v>
      </c>
      <c r="S12" s="8"/>
      <c r="T12" s="7"/>
      <c r="U12" s="7" t="n">
        <v>39.98</v>
      </c>
      <c r="V12" s="8" t="n">
        <f aca="false">V11-U12</f>
        <v>14795.8133148475</v>
      </c>
      <c r="W12" s="7" t="n">
        <f aca="false">N12+R12+T12+U12</f>
        <v>232.5</v>
      </c>
      <c r="X12" s="7" t="n">
        <f aca="false">IF(L12&lt;0,L12*-1,0)</f>
        <v>0</v>
      </c>
      <c r="Y12" s="7" t="n">
        <f aca="false">W12+X12</f>
        <v>232.5</v>
      </c>
      <c r="Z12" s="11" t="n">
        <v>0</v>
      </c>
      <c r="AA12" s="12" t="n">
        <v>48</v>
      </c>
      <c r="AB12" s="12" t="n">
        <v>22</v>
      </c>
      <c r="AC12" s="13" t="n">
        <f aca="false">AC11+1</f>
        <v>3</v>
      </c>
      <c r="AD12" s="12" t="n">
        <v>13456</v>
      </c>
      <c r="AE12" s="12" t="n">
        <v>159</v>
      </c>
    </row>
    <row r="13" customFormat="false" ht="11.1" hidden="false" customHeight="true" outlineLevel="0" collapsed="false">
      <c r="A13" s="13" t="n">
        <f aca="false">A12+1</f>
        <v>4</v>
      </c>
      <c r="B13" s="29" t="n">
        <v>6895.03</v>
      </c>
      <c r="C13" s="8" t="n">
        <v>265602</v>
      </c>
      <c r="D13" s="12" t="n">
        <f aca="false">C13-C12</f>
        <v>35</v>
      </c>
      <c r="E13" s="8" t="n">
        <f aca="false">C13-152000</f>
        <v>113602</v>
      </c>
      <c r="F13" s="7" t="n">
        <f aca="false">D13/$D$2</f>
        <v>17.6500252143217</v>
      </c>
      <c r="G13" s="7" t="n">
        <v>57.02</v>
      </c>
      <c r="H13" s="9" t="n">
        <v>0</v>
      </c>
      <c r="I13" s="7" t="n">
        <f aca="false">G13+H13</f>
        <v>57.02</v>
      </c>
      <c r="J13" s="30" t="n">
        <f aca="false">IF(L13&gt;0,L13,0)</f>
        <v>7.12002521432173</v>
      </c>
      <c r="K13" s="7" t="n">
        <f aca="false">I13+J13</f>
        <v>64.1400252143217</v>
      </c>
      <c r="L13" s="7" t="n">
        <f aca="false">F13-(I13-W13)</f>
        <v>7.12002521432173</v>
      </c>
      <c r="M13" s="7" t="n">
        <v>6.89</v>
      </c>
      <c r="N13" s="7" t="n">
        <v>10</v>
      </c>
      <c r="O13" s="7" t="n">
        <f aca="false">M13-N13</f>
        <v>-3.11</v>
      </c>
      <c r="P13" s="7"/>
      <c r="Q13" s="7"/>
      <c r="R13" s="7" t="n">
        <f aca="false">SUM(O13:Q13)</f>
        <v>-3.11</v>
      </c>
      <c r="S13" s="8"/>
      <c r="T13" s="7"/>
      <c r="U13" s="7" t="n">
        <v>39.6</v>
      </c>
      <c r="V13" s="8" t="n">
        <f aca="false">V12-U13</f>
        <v>14756.2133148475</v>
      </c>
      <c r="W13" s="7" t="n">
        <f aca="false">N13+R13+T13+U13</f>
        <v>46.49</v>
      </c>
      <c r="X13" s="7" t="n">
        <f aca="false">IF(L13&lt;0,L13*-1,0)</f>
        <v>0</v>
      </c>
      <c r="Y13" s="7" t="n">
        <f aca="false">W13+X13</f>
        <v>46.49</v>
      </c>
      <c r="Z13" s="11" t="n">
        <v>0.21</v>
      </c>
      <c r="AA13" s="12" t="n">
        <v>50</v>
      </c>
      <c r="AB13" s="12" t="n">
        <v>20</v>
      </c>
      <c r="AC13" s="13" t="n">
        <f aca="false">AC12+1</f>
        <v>4</v>
      </c>
      <c r="AD13" s="12" t="n">
        <v>13563</v>
      </c>
      <c r="AE13" s="12" t="n">
        <v>263</v>
      </c>
    </row>
    <row r="14" customFormat="false" ht="11.1" hidden="false" customHeight="true" outlineLevel="0" collapsed="false">
      <c r="A14" s="13" t="n">
        <f aca="false">A13+1</f>
        <v>5</v>
      </c>
      <c r="B14" s="29" t="n">
        <v>6895.04</v>
      </c>
      <c r="C14" s="8" t="n">
        <v>265639</v>
      </c>
      <c r="D14" s="12" t="n">
        <f aca="false">C14-C13</f>
        <v>37</v>
      </c>
      <c r="E14" s="8" t="n">
        <f aca="false">C14-152000</f>
        <v>113639</v>
      </c>
      <c r="F14" s="7" t="n">
        <f aca="false">D14/$D$2</f>
        <v>18.6585980837115</v>
      </c>
      <c r="G14" s="7" t="n">
        <v>48.21</v>
      </c>
      <c r="H14" s="9" t="n">
        <v>0</v>
      </c>
      <c r="I14" s="7" t="n">
        <f aca="false">G14+H14</f>
        <v>48.21</v>
      </c>
      <c r="J14" s="30" t="n">
        <f aca="false">IF(L14&gt;0,L14,0)</f>
        <v>16.2585980837115</v>
      </c>
      <c r="K14" s="7" t="n">
        <f aca="false">I14+J14</f>
        <v>64.4685980837116</v>
      </c>
      <c r="L14" s="7" t="n">
        <f aca="false">F14-(I14-W14)</f>
        <v>16.2585980837115</v>
      </c>
      <c r="M14" s="7" t="n">
        <v>6.21</v>
      </c>
      <c r="N14" s="7" t="n">
        <v>10</v>
      </c>
      <c r="O14" s="7" t="n">
        <f aca="false">M14-N14</f>
        <v>-3.79</v>
      </c>
      <c r="P14" s="7"/>
      <c r="Q14" s="7"/>
      <c r="R14" s="7" t="n">
        <f aca="false">SUM(O14:Q14)</f>
        <v>-3.79</v>
      </c>
      <c r="S14" s="8"/>
      <c r="T14" s="7"/>
      <c r="U14" s="7" t="n">
        <v>39.6</v>
      </c>
      <c r="V14" s="8" t="n">
        <f aca="false">V13-U14</f>
        <v>14716.6133148475</v>
      </c>
      <c r="W14" s="7" t="n">
        <f aca="false">N14+R14+T14+U14</f>
        <v>45.81</v>
      </c>
      <c r="X14" s="7" t="n">
        <f aca="false">IF(L14&lt;0,L14*-1,0)</f>
        <v>0</v>
      </c>
      <c r="Y14" s="7" t="n">
        <f aca="false">W14+X14</f>
        <v>45.81</v>
      </c>
      <c r="Z14" s="11" t="n">
        <v>0</v>
      </c>
      <c r="AA14" s="12" t="n">
        <v>40</v>
      </c>
      <c r="AB14" s="12" t="n">
        <v>10</v>
      </c>
      <c r="AC14" s="13" t="n">
        <f aca="false">AC13+1</f>
        <v>5</v>
      </c>
      <c r="AD14" s="12" t="n">
        <v>13678</v>
      </c>
      <c r="AE14" s="12" t="n">
        <v>367</v>
      </c>
    </row>
    <row r="15" customFormat="false" ht="11.1" hidden="false" customHeight="true" outlineLevel="0" collapsed="false">
      <c r="A15" s="13" t="n">
        <f aca="false">A14+1</f>
        <v>6</v>
      </c>
      <c r="B15" s="29" t="n">
        <v>6895.05</v>
      </c>
      <c r="C15" s="8" t="n">
        <v>265673</v>
      </c>
      <c r="D15" s="12" t="n">
        <f aca="false">C15-C14</f>
        <v>34</v>
      </c>
      <c r="E15" s="8" t="n">
        <f aca="false">C15-152000</f>
        <v>113673</v>
      </c>
      <c r="F15" s="7" t="n">
        <f aca="false">D15/$D$2</f>
        <v>17.1457387796268</v>
      </c>
      <c r="G15" s="7" t="n">
        <v>60.63</v>
      </c>
      <c r="H15" s="9" t="n">
        <v>0</v>
      </c>
      <c r="I15" s="7" t="n">
        <f aca="false">G15+H15</f>
        <v>60.63</v>
      </c>
      <c r="J15" s="30" t="n">
        <f aca="false">IF(L15&gt;0,L15,0)</f>
        <v>2.40573877962683</v>
      </c>
      <c r="K15" s="7" t="n">
        <f aca="false">I15+J15</f>
        <v>63.0357387796268</v>
      </c>
      <c r="L15" s="7" t="n">
        <f aca="false">F15-(I15-W15)</f>
        <v>2.40573877962683</v>
      </c>
      <c r="M15" s="7" t="n">
        <v>6.29</v>
      </c>
      <c r="N15" s="7" t="n">
        <v>10</v>
      </c>
      <c r="O15" s="7" t="n">
        <f aca="false">M15-N15</f>
        <v>-3.71</v>
      </c>
      <c r="P15" s="7"/>
      <c r="Q15" s="7"/>
      <c r="R15" s="7" t="n">
        <f aca="false">SUM(O15:Q15)</f>
        <v>-3.71</v>
      </c>
      <c r="S15" s="8"/>
      <c r="T15" s="7"/>
      <c r="U15" s="7" t="n">
        <v>39.6</v>
      </c>
      <c r="V15" s="8" t="n">
        <f aca="false">V14-U15</f>
        <v>14677.0133148475</v>
      </c>
      <c r="W15" s="7" t="n">
        <f aca="false">N15+R15+T15+U15</f>
        <v>45.89</v>
      </c>
      <c r="X15" s="7" t="n">
        <f aca="false">IF(L15&lt;0,L15*-1,0)</f>
        <v>0</v>
      </c>
      <c r="Y15" s="7" t="n">
        <f aca="false">W15+X15</f>
        <v>45.89</v>
      </c>
      <c r="Z15" s="11" t="n">
        <v>0</v>
      </c>
      <c r="AA15" s="12" t="n">
        <v>46</v>
      </c>
      <c r="AB15" s="12" t="n">
        <v>9</v>
      </c>
      <c r="AC15" s="13" t="n">
        <f aca="false">AC14+1</f>
        <v>6</v>
      </c>
      <c r="AD15" s="12" t="n">
        <v>13812</v>
      </c>
      <c r="AE15" s="12" t="n">
        <v>469</v>
      </c>
    </row>
    <row r="16" customFormat="false" ht="11.1" hidden="false" customHeight="true" outlineLevel="0" collapsed="false">
      <c r="A16" s="13" t="n">
        <f aca="false">A15+1</f>
        <v>7</v>
      </c>
      <c r="B16" s="29" t="n">
        <v>6895.07</v>
      </c>
      <c r="C16" s="8" t="n">
        <v>265745</v>
      </c>
      <c r="D16" s="12" t="n">
        <f aca="false">C16-C15</f>
        <v>72</v>
      </c>
      <c r="E16" s="8" t="n">
        <f aca="false">C16-152000</f>
        <v>113745</v>
      </c>
      <c r="F16" s="7" t="n">
        <f aca="false">D16/$D$2</f>
        <v>36.3086232980333</v>
      </c>
      <c r="G16" s="7" t="n">
        <v>60.25</v>
      </c>
      <c r="H16" s="9" t="n">
        <v>0</v>
      </c>
      <c r="I16" s="7" t="n">
        <f aca="false">G16+H16</f>
        <v>60.25</v>
      </c>
      <c r="J16" s="30" t="n">
        <f aca="false">IF(L16&gt;0,L16,0)</f>
        <v>22.0686232980333</v>
      </c>
      <c r="K16" s="7" t="n">
        <f aca="false">I16+J16</f>
        <v>82.3186232980333</v>
      </c>
      <c r="L16" s="7" t="n">
        <f aca="false">F16-(I16-W16)</f>
        <v>22.0686232980333</v>
      </c>
      <c r="M16" s="7" t="n">
        <v>6.44</v>
      </c>
      <c r="N16" s="7" t="n">
        <v>19</v>
      </c>
      <c r="O16" s="7" t="n">
        <f aca="false">M16-N16</f>
        <v>-12.56</v>
      </c>
      <c r="P16" s="7"/>
      <c r="Q16" s="7"/>
      <c r="R16" s="7" t="n">
        <f aca="false">SUM(O16:Q16)</f>
        <v>-12.56</v>
      </c>
      <c r="S16" s="8"/>
      <c r="T16" s="7"/>
      <c r="U16" s="7" t="n">
        <v>39.57</v>
      </c>
      <c r="V16" s="8" t="n">
        <f aca="false">V15-U16</f>
        <v>14637.4433148475</v>
      </c>
      <c r="W16" s="7" t="n">
        <f aca="false">N16+R16+T16+U16</f>
        <v>46.01</v>
      </c>
      <c r="X16" s="7" t="n">
        <f aca="false">IF(L16&lt;0,L16*-1,0)</f>
        <v>0</v>
      </c>
      <c r="Y16" s="7" t="n">
        <f aca="false">W16+X16</f>
        <v>46.01</v>
      </c>
      <c r="Z16" s="11" t="n">
        <v>0</v>
      </c>
      <c r="AA16" s="12" t="n">
        <v>47</v>
      </c>
      <c r="AB16" s="12" t="n">
        <v>15</v>
      </c>
      <c r="AC16" s="13" t="n">
        <f aca="false">AC15+1</f>
        <v>7</v>
      </c>
      <c r="AD16" s="12" t="n">
        <v>13968</v>
      </c>
      <c r="AE16" s="12" t="n">
        <v>587</v>
      </c>
    </row>
    <row r="17" customFormat="false" ht="11.1" hidden="false" customHeight="true" outlineLevel="0" collapsed="false">
      <c r="A17" s="13" t="n">
        <f aca="false">A16+1</f>
        <v>8</v>
      </c>
      <c r="B17" s="29" t="n">
        <v>6895.08</v>
      </c>
      <c r="C17" s="8" t="n">
        <v>265781</v>
      </c>
      <c r="D17" s="12" t="n">
        <f aca="false">C17-C16</f>
        <v>36</v>
      </c>
      <c r="E17" s="8" t="n">
        <f aca="false">C17-152000</f>
        <v>113781</v>
      </c>
      <c r="F17" s="7" t="n">
        <f aca="false">D17/$D$2</f>
        <v>18.1543116490166</v>
      </c>
      <c r="G17" s="7" t="n">
        <v>73</v>
      </c>
      <c r="H17" s="9" t="n">
        <v>0</v>
      </c>
      <c r="I17" s="7" t="n">
        <f aca="false">G17+H17</f>
        <v>73</v>
      </c>
      <c r="J17" s="30" t="n">
        <f aca="false">IF(L17&gt;0,L17,0)</f>
        <v>0</v>
      </c>
      <c r="K17" s="7" t="n">
        <f aca="false">I17+J17</f>
        <v>73</v>
      </c>
      <c r="L17" s="7" t="n">
        <f aca="false">F17-(I17-W17)</f>
        <v>-9.60568835098336</v>
      </c>
      <c r="M17" s="7" t="n">
        <v>5.56</v>
      </c>
      <c r="N17" s="7" t="n">
        <v>11</v>
      </c>
      <c r="O17" s="7" t="n">
        <f aca="false">M17-N17</f>
        <v>-5.44</v>
      </c>
      <c r="P17" s="7"/>
      <c r="Q17" s="7"/>
      <c r="R17" s="7" t="n">
        <f aca="false">SUM(O17:Q17)</f>
        <v>-5.44</v>
      </c>
      <c r="S17" s="8"/>
      <c r="T17" s="7"/>
      <c r="U17" s="7" t="n">
        <v>39.68</v>
      </c>
      <c r="V17" s="8" t="n">
        <f aca="false">V16-U17</f>
        <v>14597.7633148475</v>
      </c>
      <c r="W17" s="7" t="n">
        <f aca="false">N17+R17+T17+U17</f>
        <v>45.24</v>
      </c>
      <c r="X17" s="7" t="n">
        <f aca="false">IF(L17&lt;0,L17*-1,0)</f>
        <v>9.60568835098336</v>
      </c>
      <c r="Y17" s="7" t="n">
        <f aca="false">W17+X17</f>
        <v>54.8456883509834</v>
      </c>
      <c r="Z17" s="11" t="n">
        <v>0</v>
      </c>
      <c r="AA17" s="12" t="n">
        <v>50</v>
      </c>
      <c r="AB17" s="12" t="n">
        <v>16</v>
      </c>
      <c r="AC17" s="13" t="n">
        <f aca="false">AC16+1</f>
        <v>8</v>
      </c>
      <c r="AD17" s="12" t="n">
        <v>14117</v>
      </c>
      <c r="AE17" s="12" t="n">
        <v>707</v>
      </c>
    </row>
    <row r="18" customFormat="false" ht="11.1" hidden="false" customHeight="true" outlineLevel="0" collapsed="false">
      <c r="A18" s="13" t="n">
        <f aca="false">A17+1</f>
        <v>9</v>
      </c>
      <c r="B18" s="29" t="n">
        <v>6895.1</v>
      </c>
      <c r="C18" s="8" t="n">
        <v>265852</v>
      </c>
      <c r="D18" s="12" t="n">
        <f aca="false">C18-C17</f>
        <v>71</v>
      </c>
      <c r="E18" s="8" t="n">
        <f aca="false">C18-152000</f>
        <v>113852</v>
      </c>
      <c r="F18" s="7" t="n">
        <f aca="false">D18/$D$2</f>
        <v>35.8043368633384</v>
      </c>
      <c r="G18" s="7" t="n">
        <v>70.58</v>
      </c>
      <c r="H18" s="9" t="n">
        <v>0</v>
      </c>
      <c r="I18" s="7" t="n">
        <f aca="false">G18+H18</f>
        <v>70.58</v>
      </c>
      <c r="J18" s="30" t="n">
        <f aca="false">IF(L18&gt;0,L18,0)</f>
        <v>10.1743368633384</v>
      </c>
      <c r="K18" s="7" t="n">
        <f aca="false">I18+J18</f>
        <v>80.7543368633384</v>
      </c>
      <c r="L18" s="7" t="n">
        <f aca="false">F18-(I18-W18)</f>
        <v>10.1743368633384</v>
      </c>
      <c r="M18" s="7" t="n">
        <v>5.38</v>
      </c>
      <c r="N18" s="7" t="n">
        <v>6</v>
      </c>
      <c r="O18" s="7" t="n">
        <f aca="false">M18-N18</f>
        <v>-0.62</v>
      </c>
      <c r="P18" s="7"/>
      <c r="Q18" s="7"/>
      <c r="R18" s="7" t="n">
        <f aca="false">SUM(O18:Q18)</f>
        <v>-0.62</v>
      </c>
      <c r="S18" s="8"/>
      <c r="T18" s="7"/>
      <c r="U18" s="7" t="n">
        <v>39.57</v>
      </c>
      <c r="V18" s="8" t="n">
        <f aca="false">V17-U18</f>
        <v>14558.1933148475</v>
      </c>
      <c r="W18" s="7" t="n">
        <f aca="false">N18+R18+T18+U18</f>
        <v>44.95</v>
      </c>
      <c r="X18" s="7" t="n">
        <f aca="false">IF(L18&lt;0,L18*-1,0)</f>
        <v>0</v>
      </c>
      <c r="Y18" s="7" t="n">
        <f aca="false">W18+X18</f>
        <v>44.95</v>
      </c>
      <c r="Z18" s="11" t="n">
        <v>0</v>
      </c>
      <c r="AA18" s="40" t="n">
        <v>52</v>
      </c>
      <c r="AB18" s="12" t="n">
        <v>20</v>
      </c>
      <c r="AC18" s="13" t="n">
        <f aca="false">AC17+1</f>
        <v>9</v>
      </c>
      <c r="AD18" s="12" t="n">
        <v>14264</v>
      </c>
      <c r="AE18" s="12" t="n">
        <v>826</v>
      </c>
    </row>
    <row r="19" customFormat="false" ht="11.1" hidden="false" customHeight="true" outlineLevel="0" collapsed="false">
      <c r="A19" s="13" t="n">
        <f aca="false">A18+1</f>
        <v>10</v>
      </c>
      <c r="B19" s="29" t="n">
        <v>6895.12</v>
      </c>
      <c r="C19" s="8" t="n">
        <v>265924</v>
      </c>
      <c r="D19" s="12" t="n">
        <f aca="false">C19-C18</f>
        <v>72</v>
      </c>
      <c r="E19" s="8" t="n">
        <f aca="false">C19-152000</f>
        <v>113924</v>
      </c>
      <c r="F19" s="7" t="n">
        <f aca="false">D19/$D$2</f>
        <v>36.3086232980333</v>
      </c>
      <c r="G19" s="7" t="n">
        <v>60.61</v>
      </c>
      <c r="H19" s="9" t="n">
        <v>0</v>
      </c>
      <c r="I19" s="7" t="n">
        <f aca="false">G19+H19</f>
        <v>60.61</v>
      </c>
      <c r="J19" s="30" t="n">
        <f aca="false">IF(L19&gt;0,L19,0)</f>
        <v>20.8986232980333</v>
      </c>
      <c r="K19" s="7" t="n">
        <f aca="false">I19+J19</f>
        <v>81.5086232980333</v>
      </c>
      <c r="L19" s="7" t="n">
        <f aca="false">F19-(I19-W19)</f>
        <v>20.8986232980333</v>
      </c>
      <c r="M19" s="7" t="n">
        <v>5.6</v>
      </c>
      <c r="N19" s="7" t="n">
        <v>6</v>
      </c>
      <c r="O19" s="7" t="n">
        <f aca="false">M19-N19</f>
        <v>-0.4</v>
      </c>
      <c r="P19" s="7"/>
      <c r="Q19" s="7"/>
      <c r="R19" s="7" t="n">
        <f aca="false">SUM(O19:Q19)</f>
        <v>-0.4</v>
      </c>
      <c r="S19" s="8"/>
      <c r="T19" s="7"/>
      <c r="U19" s="7" t="n">
        <v>39.6</v>
      </c>
      <c r="V19" s="8" t="n">
        <f aca="false">V18-U19</f>
        <v>14518.5933148475</v>
      </c>
      <c r="W19" s="7" t="n">
        <f aca="false">N19+R19+T19+U19</f>
        <v>45.2</v>
      </c>
      <c r="X19" s="7" t="n">
        <f aca="false">IF(L19&lt;0,L19*-1,0)</f>
        <v>0</v>
      </c>
      <c r="Y19" s="7" t="n">
        <f aca="false">W19+X19</f>
        <v>45.2</v>
      </c>
      <c r="Z19" s="11" t="n">
        <v>0</v>
      </c>
      <c r="AA19" s="12" t="n">
        <v>54</v>
      </c>
      <c r="AB19" s="12" t="n">
        <v>21</v>
      </c>
      <c r="AC19" s="13" t="n">
        <f aca="false">AC18+1</f>
        <v>10</v>
      </c>
      <c r="AD19" s="12" t="n">
        <v>14413</v>
      </c>
      <c r="AE19" s="12" t="n">
        <v>964</v>
      </c>
    </row>
    <row r="20" customFormat="false" ht="11.1" hidden="false" customHeight="true" outlineLevel="0" collapsed="false">
      <c r="A20" s="13" t="n">
        <f aca="false">A19+1</f>
        <v>11</v>
      </c>
      <c r="B20" s="29" t="n">
        <v>6895.17</v>
      </c>
      <c r="C20" s="8" t="n">
        <v>266101</v>
      </c>
      <c r="D20" s="12" t="n">
        <f aca="false">C20-C19</f>
        <v>177</v>
      </c>
      <c r="E20" s="8" t="n">
        <f aca="false">C20-152000</f>
        <v>114101</v>
      </c>
      <c r="F20" s="7" t="n">
        <f aca="false">D20/$D$2</f>
        <v>89.2586989409985</v>
      </c>
      <c r="G20" s="7" t="n">
        <v>62.74</v>
      </c>
      <c r="H20" s="9" t="n">
        <v>0</v>
      </c>
      <c r="I20" s="7" t="n">
        <f aca="false">G20+H20</f>
        <v>62.74</v>
      </c>
      <c r="J20" s="30" t="n">
        <f aca="false">IF(L20&gt;0,L20,0)</f>
        <v>72.0086989409985</v>
      </c>
      <c r="K20" s="7" t="n">
        <f aca="false">I20+J20</f>
        <v>134.748698940998</v>
      </c>
      <c r="L20" s="7" t="n">
        <f aca="false">F20-(I20-W20)</f>
        <v>72.0086989409985</v>
      </c>
      <c r="M20" s="7" t="n">
        <v>5.89</v>
      </c>
      <c r="N20" s="7" t="n">
        <v>14</v>
      </c>
      <c r="O20" s="7" t="n">
        <f aca="false">M20-N20</f>
        <v>-8.11</v>
      </c>
      <c r="P20" s="7"/>
      <c r="Q20" s="7"/>
      <c r="R20" s="7" t="n">
        <f aca="false">SUM(O20:Q20)</f>
        <v>-8.11</v>
      </c>
      <c r="S20" s="8"/>
      <c r="T20" s="7"/>
      <c r="U20" s="7" t="n">
        <v>39.6</v>
      </c>
      <c r="V20" s="8" t="n">
        <f aca="false">V19-U20</f>
        <v>14478.9933148475</v>
      </c>
      <c r="W20" s="7" t="n">
        <f aca="false">N20+R20+T20+U20</f>
        <v>45.49</v>
      </c>
      <c r="X20" s="7" t="n">
        <f aca="false">IF(L20&lt;0,L20*-1,0)</f>
        <v>0</v>
      </c>
      <c r="Y20" s="7" t="n">
        <f aca="false">W20+X20</f>
        <v>45.49</v>
      </c>
      <c r="Z20" s="11" t="n">
        <v>0</v>
      </c>
      <c r="AA20" s="12" t="n">
        <v>40</v>
      </c>
      <c r="AB20" s="12" t="n">
        <v>26</v>
      </c>
      <c r="AC20" s="13" t="n">
        <f aca="false">AC19+1</f>
        <v>11</v>
      </c>
      <c r="AD20" s="12" t="n">
        <v>14571</v>
      </c>
      <c r="AE20" s="12" t="n">
        <v>1065</v>
      </c>
    </row>
    <row r="21" customFormat="false" ht="11.1" hidden="false" customHeight="true" outlineLevel="0" collapsed="false">
      <c r="A21" s="13" t="n">
        <f aca="false">A20+1</f>
        <v>12</v>
      </c>
      <c r="B21" s="29" t="n">
        <v>6895.25</v>
      </c>
      <c r="C21" s="8" t="n">
        <v>266386</v>
      </c>
      <c r="D21" s="12" t="n">
        <f aca="false">C21-C20</f>
        <v>285</v>
      </c>
      <c r="E21" s="8" t="n">
        <f aca="false">C21-152000</f>
        <v>114386</v>
      </c>
      <c r="F21" s="7" t="n">
        <f aca="false">D21/$D$2</f>
        <v>143.721633888048</v>
      </c>
      <c r="G21" s="7" t="n">
        <v>89.9</v>
      </c>
      <c r="H21" s="9" t="n">
        <v>0</v>
      </c>
      <c r="I21" s="7" t="n">
        <f aca="false">G21+H21</f>
        <v>89.9</v>
      </c>
      <c r="J21" s="30" t="n">
        <f aca="false">IF(L21&gt;0,L21,0)</f>
        <v>99.9016338880484</v>
      </c>
      <c r="K21" s="7" t="n">
        <f aca="false">I21+J21</f>
        <v>189.801633888048</v>
      </c>
      <c r="L21" s="7" t="n">
        <f aca="false">F21-(I21-W21)</f>
        <v>99.9016338880484</v>
      </c>
      <c r="M21" s="7" t="n">
        <v>5.89</v>
      </c>
      <c r="N21" s="7" t="n">
        <v>5.5</v>
      </c>
      <c r="O21" s="7" t="n">
        <f aca="false">M21-N21</f>
        <v>0.39</v>
      </c>
      <c r="P21" s="7"/>
      <c r="Q21" s="7"/>
      <c r="R21" s="7" t="n">
        <f aca="false">SUM(O21:Q21)</f>
        <v>0.39</v>
      </c>
      <c r="S21" s="8"/>
      <c r="T21" s="7"/>
      <c r="U21" s="7" t="n">
        <v>40.19</v>
      </c>
      <c r="V21" s="8" t="n">
        <f aca="false">V20-U21</f>
        <v>14438.8033148475</v>
      </c>
      <c r="W21" s="7" t="n">
        <f aca="false">N21+R21+T21+U21</f>
        <v>46.08</v>
      </c>
      <c r="X21" s="7" t="n">
        <f aca="false">IF(L21&lt;0,L21*-1,0)</f>
        <v>0</v>
      </c>
      <c r="Y21" s="7" t="n">
        <f aca="false">W21+X21</f>
        <v>46.08</v>
      </c>
      <c r="Z21" s="11" t="n">
        <v>0.83</v>
      </c>
      <c r="AA21" s="12" t="n">
        <v>40</v>
      </c>
      <c r="AB21" s="12" t="n">
        <v>23</v>
      </c>
      <c r="AC21" s="13" t="n">
        <f aca="false">AC20+1</f>
        <v>12</v>
      </c>
      <c r="AD21" s="12" t="n">
        <v>14696</v>
      </c>
      <c r="AE21" s="12" t="n">
        <v>1185</v>
      </c>
    </row>
    <row r="22" customFormat="false" ht="11.1" hidden="false" customHeight="true" outlineLevel="0" collapsed="false">
      <c r="A22" s="13" t="n">
        <f aca="false">A21+1</f>
        <v>13</v>
      </c>
      <c r="B22" s="29" t="n">
        <v>6895.32</v>
      </c>
      <c r="C22" s="8" t="n">
        <v>266634</v>
      </c>
      <c r="D22" s="12" t="n">
        <f aca="false">C22-C21</f>
        <v>248</v>
      </c>
      <c r="E22" s="8" t="n">
        <f aca="false">C22-152000</f>
        <v>114634</v>
      </c>
      <c r="F22" s="7" t="n">
        <f aca="false">D22/$D$2</f>
        <v>125.063035804337</v>
      </c>
      <c r="G22" s="7" t="n">
        <v>95.72</v>
      </c>
      <c r="H22" s="9" t="n">
        <v>0</v>
      </c>
      <c r="I22" s="7" t="n">
        <f aca="false">G22+H22</f>
        <v>95.72</v>
      </c>
      <c r="J22" s="30" t="n">
        <f aca="false">IF(L22&gt;0,L22,0)</f>
        <v>74.2530358043369</v>
      </c>
      <c r="K22" s="7" t="n">
        <f aca="false">I22+J22</f>
        <v>169.973035804337</v>
      </c>
      <c r="L22" s="7" t="n">
        <f aca="false">F22-(I22-W22)</f>
        <v>74.2530358043369</v>
      </c>
      <c r="M22" s="7" t="n">
        <v>5.31</v>
      </c>
      <c r="N22" s="7" t="n">
        <v>0.5</v>
      </c>
      <c r="O22" s="7" t="n">
        <f aca="false">M22-N22</f>
        <v>4.81</v>
      </c>
      <c r="P22" s="7"/>
      <c r="Q22" s="7"/>
      <c r="R22" s="7" t="n">
        <f aca="false">SUM(O22:Q22)</f>
        <v>4.81</v>
      </c>
      <c r="S22" s="8"/>
      <c r="T22" s="7"/>
      <c r="U22" s="7" t="n">
        <v>39.6</v>
      </c>
      <c r="V22" s="8" t="n">
        <f aca="false">V21-U22</f>
        <v>14399.2033148475</v>
      </c>
      <c r="W22" s="7" t="n">
        <f aca="false">N22+R22+T22+U22</f>
        <v>44.91</v>
      </c>
      <c r="X22" s="7" t="n">
        <f aca="false">IF(L22&lt;0,L22*-1,0)</f>
        <v>0</v>
      </c>
      <c r="Y22" s="7" t="n">
        <f aca="false">W22+X22</f>
        <v>44.91</v>
      </c>
      <c r="Z22" s="11" t="n">
        <v>0.21</v>
      </c>
      <c r="AA22" s="12" t="n">
        <v>35</v>
      </c>
      <c r="AB22" s="12" t="n">
        <v>17</v>
      </c>
      <c r="AC22" s="13" t="n">
        <f aca="false">AC21+1</f>
        <v>13</v>
      </c>
      <c r="AD22" s="12" t="n">
        <v>14771</v>
      </c>
      <c r="AE22" s="12" t="n">
        <v>1299</v>
      </c>
    </row>
    <row r="23" customFormat="false" ht="11.1" hidden="false" customHeight="true" outlineLevel="0" collapsed="false">
      <c r="A23" s="13" t="n">
        <f aca="false">A22+1</f>
        <v>14</v>
      </c>
      <c r="B23" s="29" t="n">
        <v>6895.29</v>
      </c>
      <c r="C23" s="8" t="n">
        <v>266528</v>
      </c>
      <c r="D23" s="12" t="n">
        <f aca="false">C23-C22</f>
        <v>-106</v>
      </c>
      <c r="E23" s="8" t="n">
        <f aca="false">C23-152000</f>
        <v>114528</v>
      </c>
      <c r="F23" s="7" t="n">
        <f aca="false">D23/$D$2</f>
        <v>-53.4543620776601</v>
      </c>
      <c r="G23" s="7" t="n">
        <v>76.14</v>
      </c>
      <c r="H23" s="9" t="n">
        <v>0</v>
      </c>
      <c r="I23" s="7" t="n">
        <f aca="false">G23+H23</f>
        <v>76.14</v>
      </c>
      <c r="J23" s="30" t="n">
        <f aca="false">IF(L23&gt;0,L23,0)</f>
        <v>0</v>
      </c>
      <c r="K23" s="7" t="n">
        <f aca="false">I23+J23</f>
        <v>76.14</v>
      </c>
      <c r="L23" s="7" t="n">
        <f aca="false">F23-(I23-W23)</f>
        <v>-86.9143620776601</v>
      </c>
      <c r="M23" s="7" t="n">
        <v>3.08</v>
      </c>
      <c r="N23" s="7"/>
      <c r="O23" s="7" t="n">
        <f aca="false">M23-N23</f>
        <v>3.08</v>
      </c>
      <c r="P23" s="7"/>
      <c r="Q23" s="7"/>
      <c r="R23" s="7" t="n">
        <f aca="false">SUM(O23:Q23)</f>
        <v>3.08</v>
      </c>
      <c r="S23" s="8"/>
      <c r="T23" s="7"/>
      <c r="U23" s="7" t="n">
        <v>39.6</v>
      </c>
      <c r="V23" s="8" t="n">
        <f aca="false">V22-U23</f>
        <v>14359.6033148475</v>
      </c>
      <c r="W23" s="7" t="n">
        <f aca="false">N23+R23+T23+U23</f>
        <v>42.68</v>
      </c>
      <c r="X23" s="7" t="n">
        <f aca="false">IF(L23&lt;0,L23*-1,0)</f>
        <v>86.9143620776601</v>
      </c>
      <c r="Y23" s="7" t="n">
        <f aca="false">W23+X23</f>
        <v>129.59436207766</v>
      </c>
      <c r="Z23" s="11" t="n">
        <v>0</v>
      </c>
      <c r="AA23" s="40" t="n">
        <v>49</v>
      </c>
      <c r="AB23" s="12" t="n">
        <v>23</v>
      </c>
      <c r="AC23" s="13" t="n">
        <f aca="false">AC22+1</f>
        <v>14</v>
      </c>
      <c r="AD23" s="12" t="n">
        <v>14842</v>
      </c>
      <c r="AE23" s="12" t="n">
        <v>1407</v>
      </c>
    </row>
    <row r="24" customFormat="false" ht="11.1" hidden="false" customHeight="true" outlineLevel="0" collapsed="false">
      <c r="A24" s="13" t="n">
        <f aca="false">A23+1</f>
        <v>15</v>
      </c>
      <c r="B24" s="29" t="n">
        <v>6895.29</v>
      </c>
      <c r="C24" s="8" t="n">
        <v>266528</v>
      </c>
      <c r="D24" s="12" t="n">
        <f aca="false">C24-C23</f>
        <v>0</v>
      </c>
      <c r="E24" s="8" t="n">
        <f aca="false">C24-152000</f>
        <v>114528</v>
      </c>
      <c r="F24" s="7" t="n">
        <f aca="false">D24/$D$2</f>
        <v>0</v>
      </c>
      <c r="G24" s="7" t="n">
        <v>59.43</v>
      </c>
      <c r="H24" s="9" t="s">
        <v>44</v>
      </c>
      <c r="I24" s="7" t="n">
        <f aca="false">G24</f>
        <v>59.43</v>
      </c>
      <c r="J24" s="30" t="n">
        <f aca="false">IF(L24&gt;0,L24,0)</f>
        <v>0</v>
      </c>
      <c r="K24" s="7" t="n">
        <f aca="false">I24+J24</f>
        <v>59.43</v>
      </c>
      <c r="L24" s="7" t="n">
        <f aca="false">F24-(I24-W24)</f>
        <v>-15.9</v>
      </c>
      <c r="M24" s="7" t="n">
        <v>3.93</v>
      </c>
      <c r="N24" s="7"/>
      <c r="O24" s="7" t="n">
        <f aca="false">M24-N24</f>
        <v>3.93</v>
      </c>
      <c r="P24" s="7"/>
      <c r="Q24" s="7"/>
      <c r="R24" s="7" t="n">
        <f aca="false">SUM(O24:Q24)</f>
        <v>3.93</v>
      </c>
      <c r="S24" s="8"/>
      <c r="T24" s="7"/>
      <c r="U24" s="7" t="n">
        <v>39.6</v>
      </c>
      <c r="V24" s="8" t="n">
        <f aca="false">V23-U24</f>
        <v>14320.0033148475</v>
      </c>
      <c r="W24" s="7" t="n">
        <f aca="false">N24+R24+T24+U24</f>
        <v>43.53</v>
      </c>
      <c r="X24" s="7" t="n">
        <f aca="false">IF(L24&lt;0,L24*-1,0)</f>
        <v>15.9</v>
      </c>
      <c r="Y24" s="7" t="n">
        <f aca="false">W24+X24</f>
        <v>59.43</v>
      </c>
      <c r="Z24" s="11" t="n">
        <v>0</v>
      </c>
      <c r="AA24" s="40" t="n">
        <v>46</v>
      </c>
      <c r="AB24" s="12" t="n">
        <v>20</v>
      </c>
      <c r="AC24" s="13" t="n">
        <f aca="false">AC23+1</f>
        <v>15</v>
      </c>
      <c r="AD24" s="12" t="n">
        <v>14927</v>
      </c>
      <c r="AE24" s="12" t="n">
        <v>1516</v>
      </c>
    </row>
    <row r="25" customFormat="false" ht="11.1" hidden="false" customHeight="true" outlineLevel="0" collapsed="false">
      <c r="A25" s="13" t="n">
        <f aca="false">A24+1</f>
        <v>16</v>
      </c>
      <c r="B25" s="29" t="n">
        <v>6895.31</v>
      </c>
      <c r="C25" s="8" t="n">
        <v>266600</v>
      </c>
      <c r="D25" s="12" t="n">
        <f aca="false">C25-C24</f>
        <v>72</v>
      </c>
      <c r="E25" s="8" t="n">
        <f aca="false">C25-152000</f>
        <v>114600</v>
      </c>
      <c r="F25" s="7" t="n">
        <f aca="false">D25/$D$2</f>
        <v>36.3086232980333</v>
      </c>
      <c r="G25" s="7" t="n">
        <v>81.2</v>
      </c>
      <c r="H25" s="9" t="n">
        <v>0</v>
      </c>
      <c r="I25" s="7" t="n">
        <f aca="false">G25+H25</f>
        <v>81.2</v>
      </c>
      <c r="J25" s="30" t="n">
        <f aca="false">IF(L25&gt;0,L25,0)</f>
        <v>0</v>
      </c>
      <c r="K25" s="7" t="n">
        <f aca="false">I25+J25</f>
        <v>81.2</v>
      </c>
      <c r="L25" s="7" t="n">
        <f aca="false">F25-(I25-W25)</f>
        <v>-0.0113767019667179</v>
      </c>
      <c r="M25" s="7" t="n">
        <v>5.31</v>
      </c>
      <c r="N25" s="7"/>
      <c r="O25" s="7" t="n">
        <f aca="false">M25-N25</f>
        <v>5.31</v>
      </c>
      <c r="P25" s="7"/>
      <c r="Q25" s="7"/>
      <c r="R25" s="7" t="n">
        <f aca="false">SUM(O25:Q25)</f>
        <v>5.31</v>
      </c>
      <c r="S25" s="8"/>
      <c r="T25" s="7"/>
      <c r="U25" s="7" t="n">
        <v>39.57</v>
      </c>
      <c r="V25" s="8" t="n">
        <f aca="false">V24-U25</f>
        <v>14280.4333148475</v>
      </c>
      <c r="W25" s="7" t="n">
        <f aca="false">N25+R25+T25+U25</f>
        <v>44.88</v>
      </c>
      <c r="X25" s="7" t="n">
        <f aca="false">IF(L25&lt;0,L25*-1,0)</f>
        <v>0.0113767019667179</v>
      </c>
      <c r="Y25" s="7" t="n">
        <f aca="false">W25+X25</f>
        <v>44.8913767019667</v>
      </c>
      <c r="Z25" s="11" t="n">
        <v>0.03</v>
      </c>
      <c r="AA25" s="40" t="n">
        <v>44</v>
      </c>
      <c r="AB25" s="12" t="n">
        <v>18</v>
      </c>
      <c r="AC25" s="13" t="n">
        <f aca="false">AC24+1</f>
        <v>16</v>
      </c>
      <c r="AD25" s="12" t="n">
        <v>15009</v>
      </c>
      <c r="AE25" s="12" t="n">
        <v>1615</v>
      </c>
    </row>
    <row r="26" customFormat="false" ht="11.1" hidden="false" customHeight="true" outlineLevel="0" collapsed="false">
      <c r="A26" s="13" t="n">
        <f aca="false">A25+1</f>
        <v>17</v>
      </c>
      <c r="B26" s="29" t="n">
        <v>6895.31</v>
      </c>
      <c r="C26" s="8" t="n">
        <v>266600</v>
      </c>
      <c r="D26" s="12" t="n">
        <f aca="false">C26-C25</f>
        <v>0</v>
      </c>
      <c r="E26" s="8" t="n">
        <f aca="false">C26-152000</f>
        <v>114600</v>
      </c>
      <c r="F26" s="7" t="n">
        <f aca="false">D26/$D$2</f>
        <v>0</v>
      </c>
      <c r="G26" s="7" t="n">
        <v>45.6</v>
      </c>
      <c r="H26" s="9" t="n">
        <v>0</v>
      </c>
      <c r="I26" s="7" t="n">
        <f aca="false">G26+H26</f>
        <v>45.6</v>
      </c>
      <c r="J26" s="30" t="n">
        <f aca="false">IF(L26&gt;0,L26,0)</f>
        <v>0</v>
      </c>
      <c r="K26" s="7" t="n">
        <f aca="false">I26+J26</f>
        <v>45.6</v>
      </c>
      <c r="L26" s="7" t="n">
        <f aca="false">F26-(I26-W26)</f>
        <v>-0.0399999999999991</v>
      </c>
      <c r="M26" s="7" t="n">
        <v>5.96</v>
      </c>
      <c r="N26" s="7"/>
      <c r="O26" s="7" t="n">
        <f aca="false">M26-N26</f>
        <v>5.96</v>
      </c>
      <c r="P26" s="7"/>
      <c r="Q26" s="7"/>
      <c r="R26" s="7" t="n">
        <f aca="false">SUM(O26:Q26)</f>
        <v>5.96</v>
      </c>
      <c r="S26" s="8"/>
      <c r="T26" s="7"/>
      <c r="U26" s="7" t="n">
        <v>39.6</v>
      </c>
      <c r="V26" s="8" t="n">
        <f aca="false">V25-U26</f>
        <v>14240.8333148475</v>
      </c>
      <c r="W26" s="7" t="n">
        <f aca="false">N26+R26+T26+U26</f>
        <v>45.56</v>
      </c>
      <c r="X26" s="7" t="n">
        <f aca="false">IF(L26&lt;0,L26*-1,0)</f>
        <v>0.0399999999999991</v>
      </c>
      <c r="Y26" s="7" t="n">
        <f aca="false">W26+X26</f>
        <v>45.6</v>
      </c>
      <c r="Z26" s="11" t="n">
        <v>0</v>
      </c>
      <c r="AA26" s="40" t="n">
        <v>48</v>
      </c>
      <c r="AB26" s="12" t="n">
        <v>20</v>
      </c>
      <c r="AC26" s="13" t="n">
        <f aca="false">AC25+1</f>
        <v>17</v>
      </c>
      <c r="AD26" s="12" t="n">
        <v>15112</v>
      </c>
      <c r="AE26" s="12" t="n">
        <v>1714</v>
      </c>
    </row>
    <row r="27" customFormat="false" ht="11.1" hidden="false" customHeight="true" outlineLevel="0" collapsed="false">
      <c r="A27" s="13" t="n">
        <f aca="false">A26+1</f>
        <v>18</v>
      </c>
      <c r="B27" s="29" t="n">
        <v>6895.34</v>
      </c>
      <c r="C27" s="8" t="n">
        <v>266706</v>
      </c>
      <c r="D27" s="12" t="n">
        <f aca="false">C27-C26</f>
        <v>106</v>
      </c>
      <c r="E27" s="8" t="n">
        <f aca="false">C27-152000</f>
        <v>114706</v>
      </c>
      <c r="F27" s="7" t="n">
        <f aca="false">D27/$D$2</f>
        <v>53.4543620776601</v>
      </c>
      <c r="G27" s="7" t="n">
        <v>98.9</v>
      </c>
      <c r="H27" s="9" t="n">
        <v>0</v>
      </c>
      <c r="I27" s="7" t="n">
        <f aca="false">G27+H27</f>
        <v>98.9</v>
      </c>
      <c r="J27" s="30" t="n">
        <f aca="false">IF(L27&gt;0,L27,0)</f>
        <v>0.0443620776601037</v>
      </c>
      <c r="K27" s="7" t="n">
        <f aca="false">I27+J27</f>
        <v>98.9443620776601</v>
      </c>
      <c r="L27" s="7" t="n">
        <f aca="false">F27-(I27-W27)</f>
        <v>0.0443620776601037</v>
      </c>
      <c r="M27" s="7" t="n">
        <v>5.89</v>
      </c>
      <c r="N27" s="7"/>
      <c r="O27" s="7" t="n">
        <f aca="false">M27-N27</f>
        <v>5.89</v>
      </c>
      <c r="P27" s="7"/>
      <c r="Q27" s="7"/>
      <c r="R27" s="7" t="n">
        <f aca="false">SUM(O27:Q27)</f>
        <v>5.89</v>
      </c>
      <c r="S27" s="8"/>
      <c r="T27" s="7"/>
      <c r="U27" s="7" t="n">
        <v>39.6</v>
      </c>
      <c r="V27" s="8" t="n">
        <f aca="false">V26-U27</f>
        <v>14201.2333148475</v>
      </c>
      <c r="W27" s="7" t="n">
        <f aca="false">N27+R27+T27+U27</f>
        <v>45.49</v>
      </c>
      <c r="X27" s="7" t="n">
        <f aca="false">IF(L27&lt;0,L27*-1,0)</f>
        <v>0</v>
      </c>
      <c r="Y27" s="7" t="n">
        <f aca="false">W27+X27</f>
        <v>45.49</v>
      </c>
      <c r="Z27" s="11" t="n">
        <v>0</v>
      </c>
      <c r="AA27" s="40" t="n">
        <v>50</v>
      </c>
      <c r="AB27" s="12" t="n">
        <v>21</v>
      </c>
      <c r="AC27" s="13" t="n">
        <f aca="false">AC26+1</f>
        <v>18</v>
      </c>
      <c r="AD27" s="12" t="n">
        <v>15213</v>
      </c>
      <c r="AE27" s="12" t="n">
        <v>1812</v>
      </c>
    </row>
    <row r="28" customFormat="false" ht="11.1" hidden="false" customHeight="true" outlineLevel="0" collapsed="false">
      <c r="A28" s="13" t="n">
        <f aca="false">A27+1</f>
        <v>19</v>
      </c>
      <c r="B28" s="29" t="n">
        <v>6895.35</v>
      </c>
      <c r="C28" s="8" t="n">
        <v>266742</v>
      </c>
      <c r="D28" s="12" t="n">
        <f aca="false">C28-C27</f>
        <v>36</v>
      </c>
      <c r="E28" s="8" t="n">
        <f aca="false">C28-152000</f>
        <v>114742</v>
      </c>
      <c r="F28" s="7" t="n">
        <f aca="false">D28/$D$2</f>
        <v>18.1543116490166</v>
      </c>
      <c r="G28" s="7" t="n">
        <v>63.6</v>
      </c>
      <c r="H28" s="9" t="n">
        <v>0</v>
      </c>
      <c r="I28" s="7" t="n">
        <f aca="false">G28+H28</f>
        <v>63.6</v>
      </c>
      <c r="J28" s="30" t="n">
        <f aca="false">IF(L28&gt;0,L28,0)</f>
        <v>0.0443116490166418</v>
      </c>
      <c r="K28" s="7" t="n">
        <f aca="false">I28+J28</f>
        <v>63.6443116490166</v>
      </c>
      <c r="L28" s="7" t="n">
        <f aca="false">F28-(I28-W28)</f>
        <v>0.0443116490166418</v>
      </c>
      <c r="M28" s="7" t="n">
        <v>5.89</v>
      </c>
      <c r="N28" s="7"/>
      <c r="O28" s="7" t="n">
        <f aca="false">M28-N28</f>
        <v>5.89</v>
      </c>
      <c r="P28" s="7"/>
      <c r="Q28" s="7"/>
      <c r="R28" s="7" t="n">
        <f aca="false">SUM(O28:Q28)</f>
        <v>5.89</v>
      </c>
      <c r="S28" s="8"/>
      <c r="T28" s="7"/>
      <c r="U28" s="7" t="n">
        <v>39.6</v>
      </c>
      <c r="V28" s="8" t="n">
        <f aca="false">V27-U28</f>
        <v>14161.6333148475</v>
      </c>
      <c r="W28" s="7" t="n">
        <f aca="false">N28+R28+T28+U28</f>
        <v>45.49</v>
      </c>
      <c r="X28" s="7" t="n">
        <f aca="false">IF(L28&lt;0,L28*-1,0)</f>
        <v>0</v>
      </c>
      <c r="Y28" s="7" t="n">
        <f aca="false">W28+X28</f>
        <v>45.49</v>
      </c>
      <c r="Z28" s="11" t="n">
        <v>0.37</v>
      </c>
      <c r="AA28" s="40" t="n">
        <v>48</v>
      </c>
      <c r="AB28" s="12" t="n">
        <v>18</v>
      </c>
      <c r="AC28" s="13" t="n">
        <f aca="false">AC27+1</f>
        <v>19</v>
      </c>
      <c r="AD28" s="12" t="n">
        <v>15295</v>
      </c>
      <c r="AE28" s="12" t="n">
        <v>1909</v>
      </c>
    </row>
    <row r="29" customFormat="false" ht="11.1" hidden="false" customHeight="true" outlineLevel="0" collapsed="false">
      <c r="A29" s="13" t="n">
        <f aca="false">A28+1</f>
        <v>20</v>
      </c>
      <c r="B29" s="29" t="n">
        <v>6895.39</v>
      </c>
      <c r="C29" s="8" t="n">
        <v>266885</v>
      </c>
      <c r="D29" s="12" t="n">
        <f aca="false">C29-C28</f>
        <v>143</v>
      </c>
      <c r="E29" s="8" t="n">
        <f aca="false">C29-152000</f>
        <v>114885</v>
      </c>
      <c r="F29" s="7" t="n">
        <f aca="false">D29/$D$2</f>
        <v>72.1129601613717</v>
      </c>
      <c r="G29" s="7" t="n">
        <v>117.6</v>
      </c>
      <c r="H29" s="9" t="n">
        <v>0</v>
      </c>
      <c r="I29" s="7" t="n">
        <f aca="false">G29+H29</f>
        <v>117.6</v>
      </c>
      <c r="J29" s="30" t="n">
        <f aca="false">IF(L29&gt;0,L29,0)</f>
        <v>0.00296016137167499</v>
      </c>
      <c r="K29" s="7" t="n">
        <f aca="false">I29+J29</f>
        <v>117.602960161372</v>
      </c>
      <c r="L29" s="7" t="n">
        <f aca="false">F29-(I29-W29)</f>
        <v>0.00296016137167499</v>
      </c>
      <c r="M29" s="7" t="n">
        <v>5.89</v>
      </c>
      <c r="N29" s="7"/>
      <c r="O29" s="7" t="n">
        <f aca="false">M29-N29</f>
        <v>5.89</v>
      </c>
      <c r="P29" s="7"/>
      <c r="Q29" s="7"/>
      <c r="R29" s="7" t="n">
        <f aca="false">SUM(O29:Q29)</f>
        <v>5.89</v>
      </c>
      <c r="S29" s="8"/>
      <c r="T29" s="7"/>
      <c r="U29" s="7" t="n">
        <v>39.6</v>
      </c>
      <c r="V29" s="8" t="n">
        <f aca="false">V28-U29</f>
        <v>14122.0333148475</v>
      </c>
      <c r="W29" s="7" t="n">
        <f aca="false">N29+R29+T29+U29</f>
        <v>45.49</v>
      </c>
      <c r="X29" s="7" t="n">
        <f aca="false">IF(L29&lt;0,L29*-1,0)</f>
        <v>0</v>
      </c>
      <c r="Y29" s="7" t="n">
        <f aca="false">W29+X29</f>
        <v>45.49</v>
      </c>
      <c r="Z29" s="11" t="n">
        <v>0.03</v>
      </c>
      <c r="AA29" s="40" t="n">
        <v>50</v>
      </c>
      <c r="AB29" s="12" t="n">
        <v>16</v>
      </c>
      <c r="AC29" s="13" t="n">
        <f aca="false">AC28+1</f>
        <v>20</v>
      </c>
      <c r="AD29" s="12" t="n">
        <v>15367</v>
      </c>
      <c r="AE29" s="12" t="n">
        <v>2006</v>
      </c>
    </row>
    <row r="30" customFormat="false" ht="11.1" hidden="false" customHeight="true" outlineLevel="0" collapsed="false">
      <c r="A30" s="13" t="n">
        <f aca="false">A29+1</f>
        <v>21</v>
      </c>
      <c r="B30" s="29" t="n">
        <v>6895.4</v>
      </c>
      <c r="C30" s="8" t="n">
        <v>266919</v>
      </c>
      <c r="D30" s="12" t="n">
        <f aca="false">C30-C29</f>
        <v>34</v>
      </c>
      <c r="E30" s="8" t="n">
        <f aca="false">C30-152000</f>
        <v>114919</v>
      </c>
      <c r="F30" s="7" t="n">
        <f aca="false">D30/$D$2</f>
        <v>17.1457387796268</v>
      </c>
      <c r="G30" s="7" t="n">
        <v>62.2</v>
      </c>
      <c r="H30" s="9" t="n">
        <v>0</v>
      </c>
      <c r="I30" s="7" t="n">
        <f aca="false">G30+H30</f>
        <v>62.2</v>
      </c>
      <c r="J30" s="30" t="n">
        <f aca="false">IF(L30&gt;0,L30,0)</f>
        <v>0</v>
      </c>
      <c r="K30" s="7" t="n">
        <f aca="false">I30+J30</f>
        <v>62.2</v>
      </c>
      <c r="L30" s="7" t="n">
        <f aca="false">F30-(I30-W30)</f>
        <v>-0.0342612203731711</v>
      </c>
      <c r="M30" s="7" t="n">
        <v>5.42</v>
      </c>
      <c r="N30" s="7"/>
      <c r="O30" s="7" t="n">
        <f aca="false">M30-N30</f>
        <v>5.42</v>
      </c>
      <c r="P30" s="7"/>
      <c r="Q30" s="7"/>
      <c r="R30" s="7" t="n">
        <f aca="false">SUM(O30:Q30)</f>
        <v>5.42</v>
      </c>
      <c r="S30" s="8"/>
      <c r="T30" s="7"/>
      <c r="U30" s="7" t="n">
        <v>39.6</v>
      </c>
      <c r="V30" s="8" t="n">
        <f aca="false">V29-U30</f>
        <v>14082.4333148475</v>
      </c>
      <c r="W30" s="7" t="n">
        <f aca="false">N30+R30+T30+U30</f>
        <v>45.02</v>
      </c>
      <c r="X30" s="7" t="n">
        <f aca="false">IF(L30&lt;0,L30*-1,0)</f>
        <v>0.0342612203731711</v>
      </c>
      <c r="Y30" s="7" t="n">
        <f aca="false">W30+X30</f>
        <v>45.0542612203732</v>
      </c>
      <c r="Z30" s="11" t="n">
        <v>0</v>
      </c>
      <c r="AA30" s="12" t="n">
        <v>51</v>
      </c>
      <c r="AB30" s="12" t="n">
        <v>16</v>
      </c>
      <c r="AC30" s="13" t="n">
        <f aca="false">AC29+1</f>
        <v>21</v>
      </c>
      <c r="AD30" s="12" t="n">
        <v>15445</v>
      </c>
      <c r="AE30" s="12" t="n">
        <v>2106</v>
      </c>
      <c r="AF30" s="0" t="n">
        <v>273.4</v>
      </c>
    </row>
    <row r="31" customFormat="false" ht="11.1" hidden="false" customHeight="true" outlineLevel="0" collapsed="false">
      <c r="A31" s="13" t="n">
        <f aca="false">A30+1</f>
        <v>22</v>
      </c>
      <c r="B31" s="29" t="n">
        <v>6895.4</v>
      </c>
      <c r="C31" s="8" t="n">
        <v>266919</v>
      </c>
      <c r="D31" s="12" t="n">
        <f aca="false">C31-C30</f>
        <v>0</v>
      </c>
      <c r="E31" s="8" t="n">
        <f aca="false">C31-152000</f>
        <v>114919</v>
      </c>
      <c r="F31" s="7" t="n">
        <f aca="false">D31/$D$2</f>
        <v>0</v>
      </c>
      <c r="G31" s="7" t="n">
        <v>43.4</v>
      </c>
      <c r="H31" s="9" t="n">
        <v>0</v>
      </c>
      <c r="I31" s="7" t="n">
        <f aca="false">G31+H31</f>
        <v>43.4</v>
      </c>
      <c r="J31" s="30" t="n">
        <f aca="false">IF(L31&gt;0,L31,0)</f>
        <v>0</v>
      </c>
      <c r="K31" s="7" t="n">
        <f aca="false">I31+J31</f>
        <v>43.4</v>
      </c>
      <c r="L31" s="7" t="n">
        <f aca="false">F31-(I31-W31)</f>
        <v>-0.0399999999999991</v>
      </c>
      <c r="M31" s="7" t="n">
        <v>3.76</v>
      </c>
      <c r="N31" s="7"/>
      <c r="O31" s="7" t="n">
        <f aca="false">M31-N31</f>
        <v>3.76</v>
      </c>
      <c r="P31" s="7"/>
      <c r="Q31" s="7"/>
      <c r="R31" s="7" t="n">
        <f aca="false">SUM(O31:Q31)</f>
        <v>3.76</v>
      </c>
      <c r="S31" s="8"/>
      <c r="T31" s="7"/>
      <c r="U31" s="7" t="n">
        <v>39.6</v>
      </c>
      <c r="V31" s="8" t="n">
        <f aca="false">V30-U31</f>
        <v>14042.8333148475</v>
      </c>
      <c r="W31" s="7" t="n">
        <f aca="false">N31+R31+T31+U31</f>
        <v>43.36</v>
      </c>
      <c r="X31" s="7" t="n">
        <f aca="false">IF(L31&lt;0,L31*-1,0)</f>
        <v>0.0399999999999991</v>
      </c>
      <c r="Y31" s="7" t="n">
        <f aca="false">W31+X31</f>
        <v>43.4</v>
      </c>
      <c r="Z31" s="11" t="n">
        <v>0</v>
      </c>
      <c r="AA31" s="12" t="n">
        <v>44</v>
      </c>
      <c r="AB31" s="12" t="n">
        <v>38</v>
      </c>
      <c r="AC31" s="13" t="n">
        <f aca="false">AC30+1</f>
        <v>22</v>
      </c>
      <c r="AD31" s="12" t="n">
        <v>15524</v>
      </c>
      <c r="AE31" s="12" t="n">
        <v>2203</v>
      </c>
      <c r="AF31" s="0" t="n">
        <v>249.63</v>
      </c>
    </row>
    <row r="32" customFormat="false" ht="11.1" hidden="false" customHeight="true" outlineLevel="0" collapsed="false">
      <c r="A32" s="13" t="n">
        <f aca="false">A31+1</f>
        <v>23</v>
      </c>
      <c r="B32" s="29" t="n">
        <v>6895.4</v>
      </c>
      <c r="C32" s="8" t="n">
        <v>266919</v>
      </c>
      <c r="D32" s="12" t="n">
        <f aca="false">C32-C31</f>
        <v>0</v>
      </c>
      <c r="E32" s="8" t="n">
        <f aca="false">C32-152000</f>
        <v>114919</v>
      </c>
      <c r="F32" s="7" t="n">
        <f aca="false">D32/$D$2</f>
        <v>0</v>
      </c>
      <c r="G32" s="7" t="n">
        <v>45.2</v>
      </c>
      <c r="H32" s="9" t="n">
        <v>0</v>
      </c>
      <c r="I32" s="7" t="n">
        <v>45.1</v>
      </c>
      <c r="J32" s="30" t="n">
        <f aca="false">IF(L32&gt;0,L32,0)</f>
        <v>0.0499999999999972</v>
      </c>
      <c r="K32" s="7" t="n">
        <f aca="false">I32+J32</f>
        <v>45.15</v>
      </c>
      <c r="L32" s="7" t="n">
        <f aca="false">F32-(I32-W32)</f>
        <v>0.0499999999999972</v>
      </c>
      <c r="M32" s="7" t="n">
        <v>5.55</v>
      </c>
      <c r="N32" s="7"/>
      <c r="O32" s="7" t="n">
        <f aca="false">M32-N32</f>
        <v>5.55</v>
      </c>
      <c r="P32" s="7"/>
      <c r="Q32" s="7"/>
      <c r="R32" s="7" t="n">
        <f aca="false">SUM(O32:Q32)</f>
        <v>5.55</v>
      </c>
      <c r="S32" s="8"/>
      <c r="T32" s="7"/>
      <c r="U32" s="7" t="n">
        <v>39.6</v>
      </c>
      <c r="V32" s="8" t="n">
        <f aca="false">V31-U32</f>
        <v>14003.2333148475</v>
      </c>
      <c r="W32" s="7" t="n">
        <f aca="false">N32+R32+T32+U32</f>
        <v>45.15</v>
      </c>
      <c r="X32" s="7" t="n">
        <f aca="false">IF(L32&lt;0,L32*-1,0)</f>
        <v>0</v>
      </c>
      <c r="Y32" s="7" t="n">
        <f aca="false">W32+X32</f>
        <v>45.15</v>
      </c>
      <c r="Z32" s="11" t="n">
        <v>0</v>
      </c>
      <c r="AA32" s="12" t="n">
        <v>52</v>
      </c>
      <c r="AB32" s="40" t="n">
        <v>43</v>
      </c>
      <c r="AC32" s="13" t="n">
        <f aca="false">AC31+1</f>
        <v>23</v>
      </c>
      <c r="AD32" s="12" t="n">
        <v>15607</v>
      </c>
      <c r="AE32" s="12" t="n">
        <v>2299</v>
      </c>
      <c r="AF32" s="0" t="n">
        <v>243.94</v>
      </c>
    </row>
    <row r="33" customFormat="false" ht="11.1" hidden="false" customHeight="true" outlineLevel="0" collapsed="false">
      <c r="A33" s="13" t="n">
        <f aca="false">A32+1</f>
        <v>24</v>
      </c>
      <c r="B33" s="29" t="n">
        <v>6895.4</v>
      </c>
      <c r="C33" s="8" t="n">
        <v>266919</v>
      </c>
      <c r="D33" s="12" t="n">
        <f aca="false">C33-C32</f>
        <v>0</v>
      </c>
      <c r="E33" s="8" t="n">
        <f aca="false">C33-152000</f>
        <v>114919</v>
      </c>
      <c r="F33" s="7" t="n">
        <f aca="false">D33/$D$2</f>
        <v>0</v>
      </c>
      <c r="G33" s="7" t="n">
        <v>44.3</v>
      </c>
      <c r="H33" s="9" t="n">
        <v>0</v>
      </c>
      <c r="I33" s="7" t="n">
        <f aca="false">G33+H33</f>
        <v>44.3</v>
      </c>
      <c r="J33" s="30" t="n">
        <f aca="false">IF(L33&gt;0,L33,0)</f>
        <v>0</v>
      </c>
      <c r="K33" s="7" t="n">
        <f aca="false">I33+J33</f>
        <v>44.3</v>
      </c>
      <c r="L33" s="7" t="n">
        <f aca="false">F33-(I33-W33)</f>
        <v>-0.029999999999994</v>
      </c>
      <c r="M33" s="7" t="n">
        <v>4.67</v>
      </c>
      <c r="N33" s="7"/>
      <c r="O33" s="7" t="n">
        <f aca="false">M33-N33</f>
        <v>4.67</v>
      </c>
      <c r="P33" s="7"/>
      <c r="Q33" s="7"/>
      <c r="R33" s="7" t="n">
        <f aca="false">SUM(O33:Q33)</f>
        <v>4.67</v>
      </c>
      <c r="S33" s="8"/>
      <c r="T33" s="7"/>
      <c r="U33" s="7" t="n">
        <v>39.6</v>
      </c>
      <c r="V33" s="8" t="n">
        <f aca="false">V32-U33</f>
        <v>13963.6333148475</v>
      </c>
      <c r="W33" s="7" t="n">
        <f aca="false">N33+R33+T33+U33</f>
        <v>44.27</v>
      </c>
      <c r="X33" s="7" t="n">
        <f aca="false">IF(L33&lt;0,L33*-1,0)</f>
        <v>0.029999999999994</v>
      </c>
      <c r="Y33" s="7" t="n">
        <f aca="false">W33+X33</f>
        <v>44.3</v>
      </c>
      <c r="Z33" s="11" t="n">
        <v>0</v>
      </c>
      <c r="AA33" s="12" t="n">
        <v>38</v>
      </c>
      <c r="AB33" s="40" t="n">
        <v>22</v>
      </c>
      <c r="AC33" s="13" t="n">
        <f aca="false">AC32+1</f>
        <v>24</v>
      </c>
      <c r="AD33" s="12" t="n">
        <v>15666</v>
      </c>
      <c r="AE33" s="12" t="n">
        <v>2395</v>
      </c>
      <c r="AF33" s="0" t="n">
        <v>243.15</v>
      </c>
    </row>
    <row r="34" customFormat="false" ht="11.1" hidden="false" customHeight="true" outlineLevel="0" collapsed="false">
      <c r="A34" s="13" t="n">
        <f aca="false">A33+1</f>
        <v>25</v>
      </c>
      <c r="B34" s="29" t="n">
        <v>6895.39</v>
      </c>
      <c r="C34" s="8" t="n">
        <v>266885</v>
      </c>
      <c r="D34" s="12" t="n">
        <f aca="false">C34-C33</f>
        <v>-34</v>
      </c>
      <c r="E34" s="8" t="n">
        <f aca="false">C34-152000</f>
        <v>114885</v>
      </c>
      <c r="F34" s="7" t="n">
        <f aca="false">D34/$D$2</f>
        <v>-17.1457387796268</v>
      </c>
      <c r="G34" s="7" t="n">
        <v>27.6</v>
      </c>
      <c r="H34" s="9" t="n">
        <v>0</v>
      </c>
      <c r="I34" s="7" t="n">
        <f aca="false">G34+H34</f>
        <v>27.6</v>
      </c>
      <c r="J34" s="30" t="n">
        <f aca="false">IF(L34&gt;0,L34,0)</f>
        <v>0</v>
      </c>
      <c r="K34" s="7" t="n">
        <f aca="false">I34+J34</f>
        <v>27.6</v>
      </c>
      <c r="L34" s="7" t="n">
        <f aca="false">F34-(I34-W34)</f>
        <v>-0.015738779626826</v>
      </c>
      <c r="M34" s="7" t="n">
        <v>5.13</v>
      </c>
      <c r="N34" s="7"/>
      <c r="O34" s="7" t="n">
        <f aca="false">M34-N34</f>
        <v>5.13</v>
      </c>
      <c r="P34" s="7"/>
      <c r="Q34" s="7"/>
      <c r="R34" s="7" t="n">
        <f aca="false">SUM(O34:Q34)</f>
        <v>5.13</v>
      </c>
      <c r="S34" s="8"/>
      <c r="T34" s="7"/>
      <c r="U34" s="7" t="n">
        <v>39.6</v>
      </c>
      <c r="V34" s="8" t="n">
        <f aca="false">V33-U34</f>
        <v>13924.0333148475</v>
      </c>
      <c r="W34" s="7" t="n">
        <f aca="false">N34+R34+T34+U34</f>
        <v>44.73</v>
      </c>
      <c r="X34" s="7" t="n">
        <f aca="false">IF(L34&lt;0,L34*-1,0)</f>
        <v>0.015738779626826</v>
      </c>
      <c r="Y34" s="7" t="n">
        <f aca="false">W34+X34</f>
        <v>44.7457387796268</v>
      </c>
      <c r="Z34" s="11" t="n">
        <v>0</v>
      </c>
      <c r="AA34" s="12" t="n">
        <v>33</v>
      </c>
      <c r="AB34" s="40" t="n">
        <v>6</v>
      </c>
      <c r="AC34" s="13" t="n">
        <f aca="false">AC33+1</f>
        <v>25</v>
      </c>
      <c r="AD34" s="12" t="n">
        <v>15726</v>
      </c>
      <c r="AE34" s="12" t="n">
        <v>2491</v>
      </c>
      <c r="AF34" s="0" t="n">
        <v>242.11</v>
      </c>
    </row>
    <row r="35" customFormat="false" ht="11.1" hidden="false" customHeight="true" outlineLevel="0" collapsed="false">
      <c r="A35" s="13" t="n">
        <f aca="false">A34+1</f>
        <v>26</v>
      </c>
      <c r="B35" s="29" t="n">
        <v>6895.39</v>
      </c>
      <c r="C35" s="8" t="n">
        <v>266885</v>
      </c>
      <c r="D35" s="12" t="n">
        <f aca="false">C35-C34</f>
        <v>0</v>
      </c>
      <c r="E35" s="8" t="n">
        <f aca="false">C35-152000</f>
        <v>114885</v>
      </c>
      <c r="F35" s="7" t="n">
        <f aca="false">D35/$D$2</f>
        <v>0</v>
      </c>
      <c r="G35" s="7" t="n">
        <v>44.5</v>
      </c>
      <c r="H35" s="9" t="n">
        <v>0</v>
      </c>
      <c r="I35" s="7" t="n">
        <f aca="false">G35+H35</f>
        <v>44.5</v>
      </c>
      <c r="J35" s="30" t="n">
        <f aca="false">IF(L35&gt;0,L35,0)</f>
        <v>0</v>
      </c>
      <c r="K35" s="7" t="n">
        <f aca="false">I35+J35</f>
        <v>44.5</v>
      </c>
      <c r="L35" s="7" t="n">
        <f aca="false">F35-(I35-W35)</f>
        <v>0</v>
      </c>
      <c r="M35" s="7" t="n">
        <v>4.9</v>
      </c>
      <c r="N35" s="7"/>
      <c r="O35" s="7" t="n">
        <f aca="false">M35-N35</f>
        <v>4.9</v>
      </c>
      <c r="P35" s="7"/>
      <c r="Q35" s="7"/>
      <c r="R35" s="7" t="n">
        <f aca="false">SUM(O35:Q35)</f>
        <v>4.9</v>
      </c>
      <c r="S35" s="8"/>
      <c r="T35" s="7"/>
      <c r="U35" s="7" t="n">
        <v>39.6</v>
      </c>
      <c r="V35" s="8" t="n">
        <f aca="false">V34-U35</f>
        <v>13884.4333148475</v>
      </c>
      <c r="W35" s="7" t="n">
        <f aca="false">N35+R35+T35+U35</f>
        <v>44.5</v>
      </c>
      <c r="X35" s="7" t="n">
        <f aca="false">IF(L35&lt;0,L35*-1,0)</f>
        <v>0</v>
      </c>
      <c r="Y35" s="7" t="n">
        <f aca="false">W35+X35</f>
        <v>44.5</v>
      </c>
      <c r="Z35" s="11" t="n">
        <v>0.03</v>
      </c>
      <c r="AA35" s="12" t="n">
        <v>40</v>
      </c>
      <c r="AB35" s="12" t="n">
        <v>3</v>
      </c>
      <c r="AC35" s="13" t="n">
        <f aca="false">AC34+1</f>
        <v>26</v>
      </c>
      <c r="AD35" s="12" t="n">
        <v>15781</v>
      </c>
      <c r="AE35" s="12" t="n">
        <v>2589</v>
      </c>
      <c r="AF35" s="0" t="n">
        <v>244.72</v>
      </c>
    </row>
    <row r="36" customFormat="false" ht="11.1" hidden="false" customHeight="true" outlineLevel="0" collapsed="false">
      <c r="A36" s="13" t="n">
        <f aca="false">A35+1</f>
        <v>27</v>
      </c>
      <c r="B36" s="29" t="n">
        <v>6895.4</v>
      </c>
      <c r="C36" s="8" t="n">
        <v>266919</v>
      </c>
      <c r="D36" s="12" t="n">
        <f aca="false">C36-C35</f>
        <v>34</v>
      </c>
      <c r="E36" s="8" t="n">
        <f aca="false">C36-152000</f>
        <v>114919</v>
      </c>
      <c r="F36" s="7" t="n">
        <f aca="false">D36/$D$2</f>
        <v>17.1457387796268</v>
      </c>
      <c r="G36" s="7" t="n">
        <v>61.7</v>
      </c>
      <c r="H36" s="9" t="n">
        <v>0</v>
      </c>
      <c r="I36" s="7" t="n">
        <f aca="false">G36+H36</f>
        <v>61.7</v>
      </c>
      <c r="J36" s="30" t="n">
        <f aca="false">IF(L36&gt;0,L36,0)</f>
        <v>0</v>
      </c>
      <c r="K36" s="7" t="n">
        <f aca="false">I36+J36</f>
        <v>61.7</v>
      </c>
      <c r="L36" s="7" t="n">
        <f aca="false">F36-(I36-W36)</f>
        <v>-0.0342612203731711</v>
      </c>
      <c r="M36" s="7" t="n">
        <v>4.92</v>
      </c>
      <c r="N36" s="7"/>
      <c r="O36" s="7" t="n">
        <f aca="false">M36-N36</f>
        <v>4.92</v>
      </c>
      <c r="P36" s="7"/>
      <c r="Q36" s="7"/>
      <c r="R36" s="7" t="n">
        <f aca="false">SUM(O36:Q36)</f>
        <v>4.92</v>
      </c>
      <c r="S36" s="8"/>
      <c r="T36" s="7"/>
      <c r="U36" s="7" t="n">
        <v>39.6</v>
      </c>
      <c r="V36" s="8" t="n">
        <f aca="false">V35-U36</f>
        <v>13844.8333148475</v>
      </c>
      <c r="W36" s="7" t="n">
        <f aca="false">N36+R36+T36+U36</f>
        <v>44.52</v>
      </c>
      <c r="X36" s="7" t="n">
        <f aca="false">IF(L36&lt;0,L36*-1,0)</f>
        <v>0.0342612203731711</v>
      </c>
      <c r="Y36" s="7" t="n">
        <f aca="false">W36+X36</f>
        <v>44.5542612203732</v>
      </c>
      <c r="Z36" s="11" t="n">
        <v>0</v>
      </c>
      <c r="AA36" s="12" t="n">
        <v>44</v>
      </c>
      <c r="AB36" s="12" t="n">
        <v>7</v>
      </c>
      <c r="AC36" s="13" t="n">
        <f aca="false">AC35+1</f>
        <v>27</v>
      </c>
      <c r="AD36" s="12" t="n">
        <v>15841</v>
      </c>
      <c r="AE36" s="12" t="n">
        <v>2686</v>
      </c>
      <c r="AF36" s="0" t="n">
        <v>252.4</v>
      </c>
    </row>
    <row r="37" customFormat="false" ht="11.1" hidden="false" customHeight="true" outlineLevel="0" collapsed="false">
      <c r="A37" s="13" t="n">
        <f aca="false">A36+1</f>
        <v>28</v>
      </c>
      <c r="B37" s="29" t="n">
        <v>6895.39</v>
      </c>
      <c r="C37" s="8" t="n">
        <v>266885</v>
      </c>
      <c r="D37" s="12" t="n">
        <f aca="false">C37-C36</f>
        <v>-34</v>
      </c>
      <c r="E37" s="8" t="n">
        <f aca="false">C37-152000</f>
        <v>114885</v>
      </c>
      <c r="F37" s="7" t="n">
        <f aca="false">D37/$D$2</f>
        <v>-17.1457387796268</v>
      </c>
      <c r="G37" s="7" t="n">
        <v>27</v>
      </c>
      <c r="H37" s="9" t="n">
        <v>0</v>
      </c>
      <c r="I37" s="7" t="n">
        <f aca="false">G37+H37</f>
        <v>27</v>
      </c>
      <c r="J37" s="30" t="n">
        <f aca="false">IF(L37&gt;0,L37,0)</f>
        <v>0.0442612203731692</v>
      </c>
      <c r="K37" s="7" t="n">
        <f aca="false">I37+J37</f>
        <v>27.0442612203732</v>
      </c>
      <c r="L37" s="7" t="n">
        <f aca="false">F37-(I37-W37)</f>
        <v>0.0442612203731692</v>
      </c>
      <c r="M37" s="7" t="n">
        <v>4.59</v>
      </c>
      <c r="N37" s="7"/>
      <c r="O37" s="7" t="n">
        <f aca="false">M37-N37</f>
        <v>4.59</v>
      </c>
      <c r="P37" s="7"/>
      <c r="Q37" s="7"/>
      <c r="R37" s="7" t="n">
        <f aca="false">SUM(O37:Q37)</f>
        <v>4.59</v>
      </c>
      <c r="S37" s="8"/>
      <c r="T37" s="7"/>
      <c r="U37" s="7" t="n">
        <v>39.6</v>
      </c>
      <c r="V37" s="8" t="n">
        <f aca="false">V36-U37</f>
        <v>13805.2333148475</v>
      </c>
      <c r="W37" s="7" t="n">
        <f aca="false">N37+R37+T37+U37</f>
        <v>44.19</v>
      </c>
      <c r="X37" s="7" t="n">
        <f aca="false">IF(L37&lt;0,L37*-1,0)</f>
        <v>0</v>
      </c>
      <c r="Y37" s="7" t="n">
        <f aca="false">W37+X37</f>
        <v>44.19</v>
      </c>
      <c r="Z37" s="11" t="n">
        <v>0</v>
      </c>
      <c r="AA37" s="12" t="n">
        <v>50</v>
      </c>
      <c r="AB37" s="12" t="n">
        <v>12</v>
      </c>
      <c r="AC37" s="13" t="n">
        <f aca="false">AC36+1</f>
        <v>28</v>
      </c>
      <c r="AD37" s="12" t="n">
        <v>804</v>
      </c>
      <c r="AE37" s="12" t="n">
        <v>2779</v>
      </c>
      <c r="AF37" s="0" t="n">
        <v>254.14</v>
      </c>
    </row>
    <row r="38" customFormat="false" ht="11.1" hidden="false" customHeight="true" outlineLevel="0" collapsed="false">
      <c r="A38" s="13" t="n">
        <f aca="false">A37+1</f>
        <v>29</v>
      </c>
      <c r="B38" s="29" t="n">
        <v>6895.37</v>
      </c>
      <c r="C38" s="8" t="n">
        <v>266813</v>
      </c>
      <c r="D38" s="12" t="n">
        <f aca="false">C38-C37</f>
        <v>-72</v>
      </c>
      <c r="E38" s="8" t="n">
        <f aca="false">C38-152000</f>
        <v>114813</v>
      </c>
      <c r="F38" s="7" t="n">
        <f aca="false">D38/$D$2</f>
        <v>-36.3086232980333</v>
      </c>
      <c r="G38" s="7" t="n">
        <v>7.1</v>
      </c>
      <c r="H38" s="9" t="n">
        <v>0</v>
      </c>
      <c r="I38" s="7" t="n">
        <f aca="false">G38+H38</f>
        <v>7.1</v>
      </c>
      <c r="J38" s="30" t="n">
        <f aca="false">IF(L38&gt;0,L38,0)</f>
        <v>0</v>
      </c>
      <c r="K38" s="7" t="n">
        <f aca="false">I38+J38</f>
        <v>7.1</v>
      </c>
      <c r="L38" s="7" t="n">
        <f aca="false">F38-(I38-W38)</f>
        <v>-0.00862329803328521</v>
      </c>
      <c r="M38" s="7" t="n">
        <v>3.8</v>
      </c>
      <c r="N38" s="7"/>
      <c r="O38" s="7" t="n">
        <f aca="false">M38-N38</f>
        <v>3.8</v>
      </c>
      <c r="P38" s="7"/>
      <c r="Q38" s="7"/>
      <c r="R38" s="7" t="n">
        <f aca="false">SUM(O38:Q38)</f>
        <v>3.8</v>
      </c>
      <c r="S38" s="8"/>
      <c r="T38" s="7"/>
      <c r="U38" s="7" t="n">
        <v>39.6</v>
      </c>
      <c r="V38" s="8" t="n">
        <f aca="false">V37-U38</f>
        <v>13765.6333148475</v>
      </c>
      <c r="W38" s="7" t="n">
        <f aca="false">N38+R38+T38+U38</f>
        <v>43.4</v>
      </c>
      <c r="X38" s="7" t="n">
        <f aca="false">IF(L38&lt;0,L38*-1,0)</f>
        <v>0.00862329803328521</v>
      </c>
      <c r="Y38" s="7" t="n">
        <f aca="false">W38+X38</f>
        <v>43.4086232980333</v>
      </c>
      <c r="Z38" s="11" t="n">
        <v>0</v>
      </c>
      <c r="AA38" s="40" t="n">
        <v>52</v>
      </c>
      <c r="AB38" s="12" t="n">
        <v>17</v>
      </c>
      <c r="AC38" s="13" t="n">
        <f aca="false">AC37+1</f>
        <v>29</v>
      </c>
      <c r="AD38" s="12" t="n">
        <v>862</v>
      </c>
      <c r="AE38" s="12" t="n">
        <v>2872</v>
      </c>
      <c r="AF38" s="0" t="n">
        <v>256.51</v>
      </c>
    </row>
    <row r="39" customFormat="false" ht="11.1" hidden="false" customHeight="true" outlineLevel="0" collapsed="false">
      <c r="A39" s="13" t="n">
        <v>30</v>
      </c>
      <c r="B39" s="29" t="n">
        <v>6895.37</v>
      </c>
      <c r="C39" s="8" t="n">
        <v>266813</v>
      </c>
      <c r="D39" s="12" t="n">
        <f aca="false">C39-C38</f>
        <v>0</v>
      </c>
      <c r="E39" s="8" t="n">
        <f aca="false">C39-152000</f>
        <v>114813</v>
      </c>
      <c r="F39" s="7" t="n">
        <f aca="false">D39/$D$2</f>
        <v>0</v>
      </c>
      <c r="G39" s="7" t="n">
        <v>44</v>
      </c>
      <c r="H39" s="9" t="n">
        <v>0</v>
      </c>
      <c r="I39" s="7" t="n">
        <f aca="false">G39+H39</f>
        <v>44</v>
      </c>
      <c r="J39" s="30" t="n">
        <f aca="false">IF(L39&gt;0,L39,0)</f>
        <v>0.0300000000000011</v>
      </c>
      <c r="K39" s="7" t="n">
        <f aca="false">I39+J39</f>
        <v>44.03</v>
      </c>
      <c r="L39" s="7" t="n">
        <f aca="false">F39-(I39-W39)</f>
        <v>0.0300000000000011</v>
      </c>
      <c r="M39" s="7" t="n">
        <v>4.43</v>
      </c>
      <c r="N39" s="7"/>
      <c r="O39" s="7" t="n">
        <f aca="false">M39-N39</f>
        <v>4.43</v>
      </c>
      <c r="P39" s="7"/>
      <c r="Q39" s="7"/>
      <c r="R39" s="7" t="n">
        <f aca="false">SUM(O39:Q39)</f>
        <v>4.43</v>
      </c>
      <c r="S39" s="8"/>
      <c r="T39" s="7"/>
      <c r="U39" s="7" t="n">
        <v>39.6</v>
      </c>
      <c r="V39" s="8" t="n">
        <f aca="false">V38-U39</f>
        <v>13726.0333148475</v>
      </c>
      <c r="W39" s="7" t="n">
        <f aca="false">N39+R39+T39+U39</f>
        <v>44.03</v>
      </c>
      <c r="X39" s="7" t="n">
        <f aca="false">IF(L39&lt;0,L39*-1,0)</f>
        <v>0</v>
      </c>
      <c r="Y39" s="7" t="n">
        <f aca="false">W39+X39</f>
        <v>44.03</v>
      </c>
      <c r="Z39" s="11" t="n">
        <v>0</v>
      </c>
      <c r="AA39" s="40" t="n">
        <v>48</v>
      </c>
      <c r="AB39" s="12" t="n">
        <v>20</v>
      </c>
      <c r="AC39" s="13" t="n">
        <v>30</v>
      </c>
      <c r="AD39" s="12" t="n">
        <v>927</v>
      </c>
      <c r="AE39" s="12" t="n">
        <v>2965</v>
      </c>
      <c r="AF39" s="0" t="n">
        <v>248.45</v>
      </c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4"/>
      <c r="T40" s="32"/>
      <c r="U40" s="32"/>
      <c r="V40" s="32"/>
      <c r="W40" s="32"/>
      <c r="X40" s="32"/>
      <c r="Y40" s="32"/>
      <c r="Z40" s="36"/>
      <c r="AA40" s="37" t="n">
        <v>73</v>
      </c>
      <c r="AB40" s="37"/>
      <c r="AC40" s="38"/>
      <c r="AD40" s="14"/>
      <c r="AE40" s="14"/>
    </row>
    <row r="41" customFormat="false" ht="11.1" hidden="false" customHeight="true" outlineLevel="0" collapsed="false">
      <c r="A41" s="7" t="s">
        <v>45</v>
      </c>
      <c r="B41" s="7"/>
      <c r="C41" s="8"/>
      <c r="D41" s="8"/>
      <c r="E41" s="8"/>
      <c r="F41" s="8" t="n">
        <f aca="false">SUM(F10:F39)</f>
        <v>126.071608673727</v>
      </c>
      <c r="G41" s="8" t="n">
        <f aca="false">SUM(G10:G39)</f>
        <v>1794.7</v>
      </c>
      <c r="H41" s="8" t="n">
        <f aca="false">SUM(H10:H39)</f>
        <v>0</v>
      </c>
      <c r="I41" s="8" t="n">
        <f aca="false">SUM(I10:I39)</f>
        <v>1794.6</v>
      </c>
      <c r="J41" s="8" t="n">
        <f aca="false">SUM(J10:J39)</f>
        <v>541.35061522945</v>
      </c>
      <c r="K41" s="8" t="n">
        <f aca="false">SUM(K10:K39)</f>
        <v>2335.95061522945</v>
      </c>
      <c r="L41" s="8" t="n">
        <f aca="false">SUM(L10:L39)</f>
        <v>405.851608673727</v>
      </c>
      <c r="M41" s="8" t="n">
        <f aca="false">SUM(M10:M39)</f>
        <v>204.5</v>
      </c>
      <c r="N41" s="8" t="n">
        <f aca="false">SUM(N10:N39)</f>
        <v>124</v>
      </c>
      <c r="O41" s="8" t="n">
        <f aca="false">SUM(O10:O39)</f>
        <v>80.5</v>
      </c>
      <c r="P41" s="8" t="n">
        <f aca="false">SUM(P10:P39)</f>
        <v>680.36</v>
      </c>
      <c r="Q41" s="8" t="n">
        <f aca="false">SUM(Q10:Q39)</f>
        <v>0</v>
      </c>
      <c r="R41" s="8" t="n">
        <f aca="false">SUM(R10:R39)</f>
        <v>760.86</v>
      </c>
      <c r="S41" s="8"/>
      <c r="T41" s="8" t="n">
        <f aca="false">SUM(T10:T39)</f>
        <v>0</v>
      </c>
      <c r="U41" s="8" t="n">
        <f aca="false">SUM(U10:U39)</f>
        <v>1189.52</v>
      </c>
      <c r="V41" s="8"/>
      <c r="W41" s="8" t="n">
        <f aca="false">SUM(W10:W39)</f>
        <v>2074.38</v>
      </c>
      <c r="X41" s="8" t="n">
        <f aca="false">SUM(X10:X39)</f>
        <v>135.499006555724</v>
      </c>
      <c r="Y41" s="8" t="n">
        <f aca="false">SUM(Y10:Y39)</f>
        <v>2209.87900655572</v>
      </c>
      <c r="Z41" s="11" t="n">
        <f aca="false">SUM(Z10:Z39)</f>
        <v>1.79</v>
      </c>
      <c r="AA41" s="12" t="n">
        <f aca="false">AVERAGE(AA10:AA39)</f>
        <v>46.5</v>
      </c>
      <c r="AB41" s="12" t="n">
        <f aca="false">AVERAGE(AB10:AB39)</f>
        <v>18.7333333333333</v>
      </c>
      <c r="AC41" s="13"/>
      <c r="AD41" s="14"/>
      <c r="AE41" s="14"/>
    </row>
    <row r="42" customFormat="false" ht="11.1" hidden="false" customHeight="true" outlineLevel="0" collapsed="false">
      <c r="A42" s="7" t="s">
        <v>46</v>
      </c>
      <c r="B42" s="7"/>
      <c r="C42" s="8"/>
      <c r="D42" s="8" t="n">
        <f aca="false">SUM(D10:D39)</f>
        <v>250</v>
      </c>
      <c r="E42" s="8"/>
      <c r="F42" s="8" t="n">
        <f aca="false">F41*$D$2</f>
        <v>250</v>
      </c>
      <c r="G42" s="8" t="n">
        <f aca="false">G41*$D$2</f>
        <v>3558.8901</v>
      </c>
      <c r="H42" s="8" t="n">
        <f aca="false">H41*$D$2</f>
        <v>0</v>
      </c>
      <c r="I42" s="8" t="n">
        <f aca="false">I41*$D$2</f>
        <v>3558.6918</v>
      </c>
      <c r="J42" s="8" t="n">
        <f aca="false">J41*$D$2</f>
        <v>1073.49827</v>
      </c>
      <c r="K42" s="8" t="n">
        <f aca="false">K41*$D$2</f>
        <v>4632.19007</v>
      </c>
      <c r="L42" s="8" t="n">
        <f aca="false">L41*$D$2</f>
        <v>804.80374</v>
      </c>
      <c r="M42" s="8" t="n">
        <f aca="false">M41*$D$2</f>
        <v>405.5235</v>
      </c>
      <c r="N42" s="8" t="n">
        <f aca="false">N41*$D$2</f>
        <v>245.892</v>
      </c>
      <c r="O42" s="8" t="n">
        <f aca="false">O41*$D$2</f>
        <v>159.6315</v>
      </c>
      <c r="P42" s="8" t="n">
        <f aca="false">P41*$D$2</f>
        <v>1349.15388</v>
      </c>
      <c r="Q42" s="8" t="n">
        <f aca="false">Q41*$D$2</f>
        <v>0</v>
      </c>
      <c r="R42" s="8" t="n">
        <f aca="false">R41*$D$2</f>
        <v>1508.78538</v>
      </c>
      <c r="S42" s="8"/>
      <c r="T42" s="8" t="n">
        <f aca="false">T41*$D$2</f>
        <v>0</v>
      </c>
      <c r="U42" s="8" t="n">
        <f aca="false">U41*$D$2</f>
        <v>2358.81816</v>
      </c>
      <c r="V42" s="8"/>
      <c r="W42" s="8" t="n">
        <f aca="false">W41*$D$2</f>
        <v>4113.49554</v>
      </c>
      <c r="X42" s="8" t="n">
        <f aca="false">X41*$D$2</f>
        <v>268.69453</v>
      </c>
      <c r="Y42" s="8" t="n">
        <f aca="false">Y41*$D$2</f>
        <v>4382.19007</v>
      </c>
      <c r="Z42" s="11"/>
      <c r="AA42" s="12" t="n">
        <v>82</v>
      </c>
      <c r="AB42" s="12" t="n">
        <v>54</v>
      </c>
      <c r="AC42" s="13" t="s">
        <v>47</v>
      </c>
      <c r="AD42" s="14"/>
      <c r="AE42" s="14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2"/>
      <c r="W43" s="34"/>
      <c r="X43" s="34"/>
      <c r="Y43" s="34"/>
      <c r="Z43" s="11"/>
      <c r="AA43" s="12"/>
      <c r="AB43" s="12"/>
      <c r="AC43" s="13"/>
      <c r="AD43" s="14"/>
      <c r="AE43" s="14"/>
    </row>
    <row r="44" customFormat="false" ht="11.1" hidden="false" customHeight="true" outlineLevel="0" collapsed="false">
      <c r="A44" s="7" t="s">
        <v>48</v>
      </c>
      <c r="B44" s="7"/>
      <c r="C44" s="8"/>
      <c r="D44" s="8"/>
      <c r="E44" s="8"/>
      <c r="F44" s="8"/>
      <c r="G44" s="8"/>
      <c r="H44" s="1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1"/>
      <c r="AA44" s="12" t="n">
        <v>59</v>
      </c>
      <c r="AB44" s="12" t="n">
        <v>32</v>
      </c>
      <c r="AC44" s="13" t="s">
        <v>49</v>
      </c>
      <c r="AD44" s="14"/>
      <c r="AE44" s="14"/>
    </row>
    <row r="45" customFormat="false" ht="11.1" hidden="false" customHeight="true" outlineLevel="0" collapsed="false">
      <c r="A45" s="7" t="s">
        <v>50</v>
      </c>
      <c r="B45" s="7"/>
      <c r="C45" s="8"/>
      <c r="D45" s="8"/>
      <c r="E45" s="8"/>
      <c r="F45" s="8"/>
      <c r="G45" s="8"/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1"/>
      <c r="AA45" s="12"/>
      <c r="AB45" s="12"/>
      <c r="AC45" s="13"/>
      <c r="AD45" s="14"/>
      <c r="AE45" s="14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6"/>
      <c r="AA46" s="12"/>
      <c r="AB46" s="12"/>
      <c r="AC46" s="13"/>
      <c r="AD46" s="14"/>
      <c r="AE46" s="14"/>
    </row>
    <row r="47" customFormat="false" ht="11.1" hidden="false" customHeight="true" outlineLevel="0" collapsed="false">
      <c r="A47" s="7" t="s">
        <v>51</v>
      </c>
      <c r="B47" s="7"/>
      <c r="C47" s="8"/>
      <c r="D47" s="8"/>
      <c r="E47" s="8"/>
      <c r="F47" s="8" t="n">
        <f aca="false">F8+F41</f>
        <v>126.071608673727</v>
      </c>
      <c r="G47" s="8" t="n">
        <f aca="false">G8+G41</f>
        <v>1794.7</v>
      </c>
      <c r="H47" s="12" t="n">
        <f aca="false">H8+H41</f>
        <v>0</v>
      </c>
      <c r="I47" s="8" t="n">
        <f aca="false">I8+I41</f>
        <v>1794.6</v>
      </c>
      <c r="J47" s="8" t="n">
        <f aca="false">J8+J41</f>
        <v>541.35061522945</v>
      </c>
      <c r="K47" s="8" t="n">
        <f aca="false">K8+K41</f>
        <v>2335.95061522945</v>
      </c>
      <c r="L47" s="8" t="n">
        <f aca="false">L8+L41</f>
        <v>405.851608673727</v>
      </c>
      <c r="M47" s="8" t="n">
        <f aca="false">M8+M41</f>
        <v>204.5</v>
      </c>
      <c r="N47" s="8"/>
      <c r="O47" s="8"/>
      <c r="P47" s="8" t="n">
        <f aca="false">P8+P41</f>
        <v>680.36</v>
      </c>
      <c r="Q47" s="8" t="n">
        <f aca="false">Q8+Q41</f>
        <v>0</v>
      </c>
      <c r="R47" s="8" t="n">
        <f aca="false">R8+R41</f>
        <v>760.86</v>
      </c>
      <c r="S47" s="8"/>
      <c r="T47" s="8" t="n">
        <f aca="false">T8+T41</f>
        <v>0</v>
      </c>
      <c r="U47" s="8" t="n">
        <f aca="false">U8+U41</f>
        <v>1189.52</v>
      </c>
      <c r="V47" s="8" t="n">
        <f aca="false">V39</f>
        <v>13726.0333148475</v>
      </c>
      <c r="W47" s="8" t="n">
        <f aca="false">W8+W41</f>
        <v>2074.38</v>
      </c>
      <c r="X47" s="8" t="n">
        <f aca="false">X8+X41</f>
        <v>135.499006555724</v>
      </c>
      <c r="Y47" s="8" t="n">
        <f aca="false">Y8+Y41</f>
        <v>2209.87900655572</v>
      </c>
      <c r="Z47" s="30" t="n">
        <f aca="false">Z8+Z41</f>
        <v>1.79</v>
      </c>
      <c r="AA47" s="12"/>
      <c r="AB47" s="12"/>
      <c r="AC47" s="13"/>
      <c r="AD47" s="14"/>
      <c r="AE47" s="14"/>
    </row>
    <row r="48" customFormat="false" ht="11.1" hidden="false" customHeight="true" outlineLevel="0" collapsed="false">
      <c r="A48" s="7" t="s">
        <v>52</v>
      </c>
      <c r="B48" s="7"/>
      <c r="C48" s="8"/>
      <c r="D48" s="8" t="n">
        <f aca="false">D8+D42</f>
        <v>250</v>
      </c>
      <c r="E48" s="8" t="n">
        <f aca="false">E39</f>
        <v>114813</v>
      </c>
      <c r="F48" s="8" t="n">
        <f aca="false">F47*$D$2</f>
        <v>250</v>
      </c>
      <c r="G48" s="8" t="n">
        <f aca="false">G47*$D$2</f>
        <v>3558.8901</v>
      </c>
      <c r="H48" s="12" t="n">
        <f aca="false">H47*$D$2</f>
        <v>0</v>
      </c>
      <c r="I48" s="8" t="n">
        <f aca="false">I47*$D$2</f>
        <v>3558.6918</v>
      </c>
      <c r="J48" s="8" t="n">
        <f aca="false">J47*$D$2</f>
        <v>1073.49827</v>
      </c>
      <c r="K48" s="8" t="n">
        <f aca="false">K47*$D$2</f>
        <v>4632.19007</v>
      </c>
      <c r="L48" s="8" t="n">
        <f aca="false">L47*$D$2</f>
        <v>804.80374</v>
      </c>
      <c r="M48" s="8" t="n">
        <f aca="false">M47*$D$2</f>
        <v>405.5235</v>
      </c>
      <c r="N48" s="8"/>
      <c r="O48" s="8"/>
      <c r="P48" s="8" t="n">
        <f aca="false">P47*$D$2</f>
        <v>1349.15388</v>
      </c>
      <c r="Q48" s="8" t="n">
        <f aca="false">Q47*$D$2</f>
        <v>0</v>
      </c>
      <c r="R48" s="8" t="n">
        <f aca="false">R47*$D$2</f>
        <v>1508.78538</v>
      </c>
      <c r="S48" s="8" t="n">
        <f aca="false">S47*$D$2</f>
        <v>0</v>
      </c>
      <c r="T48" s="8" t="n">
        <f aca="false">T47*$D$2</f>
        <v>0</v>
      </c>
      <c r="U48" s="8" t="n">
        <f aca="false">U47*$D$2</f>
        <v>2358.81816</v>
      </c>
      <c r="V48" s="8" t="n">
        <f aca="false">V47*$D$2</f>
        <v>27218.7240633426</v>
      </c>
      <c r="W48" s="8" t="n">
        <f aca="false">W47*$D$2</f>
        <v>4113.49554</v>
      </c>
      <c r="X48" s="8" t="n">
        <f aca="false">X47*$D$2</f>
        <v>268.69453</v>
      </c>
      <c r="Y48" s="8" t="n">
        <f aca="false">Y47*$D$2</f>
        <v>4382.19007</v>
      </c>
      <c r="Z48" s="11"/>
      <c r="AA48" s="12"/>
      <c r="AB48" s="12"/>
      <c r="AC48" s="13"/>
      <c r="AD48" s="14"/>
      <c r="AE48" s="14"/>
    </row>
    <row r="49" customFormat="false" ht="11.1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4"/>
      <c r="T49" s="32"/>
      <c r="U49" s="32"/>
      <c r="V49" s="34"/>
      <c r="W49" s="32"/>
      <c r="X49" s="32"/>
      <c r="Y49" s="32"/>
      <c r="Z49" s="11"/>
      <c r="AA49" s="12"/>
      <c r="AB49" s="12"/>
      <c r="AC49" s="13"/>
      <c r="AD49" s="14"/>
      <c r="AE49" s="14"/>
    </row>
    <row r="50" customFormat="false" ht="14.1" hidden="false" customHeight="true" outlineLevel="0" collapsed="false">
      <c r="A50" s="41"/>
      <c r="B50" s="42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8"/>
      <c r="T50" s="7"/>
      <c r="U50" s="7"/>
      <c r="V50" s="8"/>
      <c r="W50" s="7"/>
      <c r="X50" s="7"/>
      <c r="Y50" s="7"/>
      <c r="Z50" s="11"/>
      <c r="AA50" s="12"/>
      <c r="AB50" s="12"/>
      <c r="AC50" s="13"/>
      <c r="AD50" s="14"/>
      <c r="AE50" s="14"/>
    </row>
    <row r="51" customFormat="false" ht="11.1" hidden="false" customHeight="true" outlineLevel="0" collapsed="false">
      <c r="A51" s="7"/>
      <c r="B51" s="29"/>
      <c r="C51" s="8"/>
      <c r="D51" s="40"/>
      <c r="E51" s="8"/>
      <c r="F51" s="7"/>
      <c r="G51" s="7"/>
      <c r="H51" s="40"/>
      <c r="I51" s="9"/>
      <c r="J51" s="7"/>
      <c r="K51" s="43"/>
      <c r="L51" s="7"/>
      <c r="M51" s="7"/>
      <c r="N51" s="7"/>
      <c r="O51" s="7"/>
      <c r="P51" s="7"/>
      <c r="Q51" s="7"/>
      <c r="R51" s="7"/>
      <c r="S51" s="8"/>
      <c r="T51" s="7"/>
      <c r="U51" s="7"/>
      <c r="V51" s="8"/>
      <c r="W51" s="7"/>
      <c r="X51" s="7"/>
      <c r="Y51" s="7"/>
      <c r="Z51" s="11"/>
      <c r="AA51" s="12"/>
      <c r="AB51" s="12"/>
      <c r="AC51" s="13"/>
      <c r="AD51" s="14"/>
      <c r="AE51" s="14"/>
    </row>
    <row r="52" customFormat="false" ht="11.1" hidden="false" customHeight="true" outlineLevel="0" collapsed="false">
      <c r="B52" s="40"/>
      <c r="C52" s="8"/>
      <c r="D52" s="8"/>
      <c r="E52" s="8"/>
      <c r="F52" s="40"/>
      <c r="G52" s="40"/>
      <c r="H52" s="9"/>
      <c r="I52" s="40"/>
      <c r="J52" s="40"/>
      <c r="K52" s="40"/>
      <c r="L52" s="40"/>
      <c r="M52" s="30"/>
      <c r="N52" s="30"/>
      <c r="O52" s="30"/>
      <c r="P52" s="40"/>
      <c r="Q52" s="40"/>
      <c r="R52" s="40"/>
      <c r="S52" s="8"/>
      <c r="T52" s="40"/>
      <c r="U52" s="40"/>
      <c r="V52" s="8"/>
      <c r="W52" s="40"/>
      <c r="X52" s="40"/>
      <c r="Y52" s="40"/>
      <c r="Z52" s="11"/>
      <c r="AA52" s="12"/>
      <c r="AB52" s="12"/>
      <c r="AC52" s="13"/>
      <c r="AD52" s="44"/>
      <c r="AE52" s="44"/>
    </row>
    <row r="53" customFormat="false" ht="11.1" hidden="false" customHeight="true" outlineLevel="0" collapsed="false">
      <c r="A53" s="40"/>
      <c r="B53" s="11"/>
      <c r="C53" s="8"/>
      <c r="D53" s="8"/>
      <c r="E53" s="8"/>
      <c r="F53" s="40"/>
      <c r="G53" s="40"/>
      <c r="H53" s="9"/>
      <c r="I53" s="40"/>
      <c r="J53" s="40"/>
      <c r="K53" s="40"/>
      <c r="L53" s="40"/>
      <c r="M53" s="30"/>
      <c r="N53" s="30"/>
      <c r="O53" s="30"/>
      <c r="P53" s="40"/>
      <c r="Q53" s="40"/>
      <c r="R53" s="40"/>
      <c r="S53" s="8"/>
      <c r="T53" s="40"/>
      <c r="U53" s="40"/>
      <c r="V53" s="8"/>
      <c r="W53" s="40"/>
      <c r="X53" s="40"/>
      <c r="Y53" s="40"/>
      <c r="Z53" s="11"/>
      <c r="AA53" s="12"/>
      <c r="AB53" s="12"/>
      <c r="AC53" s="13"/>
      <c r="AD53" s="44"/>
      <c r="AE53" s="44"/>
    </row>
    <row r="54" customFormat="false" ht="11.1" hidden="false" customHeight="true" outlineLevel="0" collapsed="false">
      <c r="A54" s="40"/>
      <c r="B54" s="40"/>
      <c r="C54" s="8"/>
      <c r="D54" s="40"/>
      <c r="E54" s="8"/>
      <c r="F54" s="40"/>
      <c r="G54" s="45"/>
      <c r="H54" s="9"/>
      <c r="I54" s="40"/>
      <c r="J54" s="40"/>
      <c r="K54" s="40"/>
      <c r="L54" s="40"/>
      <c r="M54" s="30"/>
      <c r="N54" s="30"/>
      <c r="O54" s="30"/>
      <c r="P54" s="40"/>
      <c r="Q54" s="40"/>
      <c r="R54" s="40"/>
      <c r="S54" s="8"/>
      <c r="T54" s="40"/>
      <c r="U54" s="40"/>
      <c r="V54" s="8"/>
      <c r="W54" s="40"/>
      <c r="X54" s="40"/>
      <c r="Y54" s="40"/>
      <c r="Z54" s="11"/>
      <c r="AA54" s="12"/>
      <c r="AB54" s="12"/>
      <c r="AC54" s="13"/>
      <c r="AD54" s="44"/>
      <c r="AE54" s="44"/>
    </row>
  </sheetData>
  <mergeCells count="1"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53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54</v>
      </c>
      <c r="Q4" s="63" t="s">
        <v>15</v>
      </c>
      <c r="R4" s="63" t="s">
        <v>12</v>
      </c>
      <c r="S4" s="64" t="s">
        <v>14</v>
      </c>
      <c r="T4" s="63" t="s">
        <v>16</v>
      </c>
      <c r="U4" s="63" t="s">
        <v>17</v>
      </c>
      <c r="V4" s="64" t="s">
        <v>18</v>
      </c>
      <c r="W4" s="63" t="s">
        <v>10</v>
      </c>
      <c r="X4" s="63" t="s">
        <v>11</v>
      </c>
      <c r="Y4" s="63" t="s">
        <v>12</v>
      </c>
      <c r="Z4" s="66" t="s">
        <v>19</v>
      </c>
      <c r="AA4" s="67" t="s">
        <v>20</v>
      </c>
      <c r="AB4" s="67" t="s">
        <v>21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55</v>
      </c>
      <c r="B5" s="63" t="s">
        <v>23</v>
      </c>
      <c r="C5" s="64" t="s">
        <v>5</v>
      </c>
      <c r="D5" s="63" t="s">
        <v>24</v>
      </c>
      <c r="E5" s="64" t="s">
        <v>25</v>
      </c>
      <c r="F5" s="63" t="s">
        <v>26</v>
      </c>
      <c r="G5" s="63" t="s">
        <v>27</v>
      </c>
      <c r="H5" s="65" t="s">
        <v>28</v>
      </c>
      <c r="I5" s="63" t="s">
        <v>29</v>
      </c>
      <c r="J5" s="63" t="s">
        <v>29</v>
      </c>
      <c r="K5" s="63" t="s">
        <v>29</v>
      </c>
      <c r="L5" s="63" t="s">
        <v>30</v>
      </c>
      <c r="M5" s="63" t="s">
        <v>31</v>
      </c>
      <c r="N5" s="63" t="s">
        <v>32</v>
      </c>
      <c r="O5" s="63" t="s">
        <v>56</v>
      </c>
      <c r="P5" s="63" t="s">
        <v>57</v>
      </c>
      <c r="Q5" s="63" t="s">
        <v>35</v>
      </c>
      <c r="R5" s="63" t="s">
        <v>14</v>
      </c>
      <c r="S5" s="64" t="s">
        <v>36</v>
      </c>
      <c r="T5" s="63" t="s">
        <v>37</v>
      </c>
      <c r="U5" s="63" t="s">
        <v>38</v>
      </c>
      <c r="V5" s="64" t="s">
        <v>39</v>
      </c>
      <c r="W5" s="63" t="s">
        <v>40</v>
      </c>
      <c r="X5" s="63" t="s">
        <v>40</v>
      </c>
      <c r="Y5" s="63" t="s">
        <v>40</v>
      </c>
      <c r="Z5" s="69"/>
      <c r="AA5" s="67" t="s">
        <v>41</v>
      </c>
      <c r="AB5" s="67" t="s">
        <v>41</v>
      </c>
      <c r="AC5" s="70" t="s">
        <v>55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/>
    </row>
    <row r="7" customFormat="false" ht="11.1" hidden="false" customHeight="true" outlineLevel="0" collapsed="false">
      <c r="A7" s="53" t="s">
        <v>42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43</v>
      </c>
      <c r="B8" s="76" t="n">
        <f aca="false" t="array" ref="B8:C8">NOV!$B$39:$C$39</f>
        <v>6895.37</v>
      </c>
      <c r="C8" s="54" t="n">
        <v>266813</v>
      </c>
      <c r="D8" s="54" t="n">
        <f aca="false" t="array" ref="D8:E8">NOV!$D$48:$E$48</f>
        <v>250</v>
      </c>
      <c r="E8" s="54" t="n">
        <v>114813</v>
      </c>
      <c r="F8" s="54" t="n">
        <f aca="false" t="array" ref="F8:Z8">NOV!$F$47:$Z$47</f>
        <v>126.071608673727</v>
      </c>
      <c r="G8" s="54" t="n">
        <v>1794.7</v>
      </c>
      <c r="H8" s="58" t="n">
        <v>0</v>
      </c>
      <c r="I8" s="54" t="n">
        <v>1794.6</v>
      </c>
      <c r="J8" s="54" t="n">
        <v>541.35061522945</v>
      </c>
      <c r="K8" s="54" t="n">
        <v>2335.95061522945</v>
      </c>
      <c r="L8" s="54" t="n">
        <v>405.851608673727</v>
      </c>
      <c r="M8" s="54" t="n">
        <v>204.5</v>
      </c>
      <c r="N8" s="54" t="n">
        <v>0</v>
      </c>
      <c r="O8" s="54" t="n">
        <v>0</v>
      </c>
      <c r="P8" s="54" t="n">
        <v>680.36</v>
      </c>
      <c r="Q8" s="54" t="n">
        <v>0</v>
      </c>
      <c r="R8" s="54" t="n">
        <v>760.86</v>
      </c>
      <c r="S8" s="54" t="n">
        <v>0</v>
      </c>
      <c r="T8" s="54" t="n">
        <v>0</v>
      </c>
      <c r="U8" s="54" t="n">
        <v>1189.52</v>
      </c>
      <c r="V8" s="54" t="n">
        <v>13726.0333148475</v>
      </c>
      <c r="W8" s="54" t="n">
        <v>2074.38</v>
      </c>
      <c r="X8" s="54" t="n">
        <v>135.499006555724</v>
      </c>
      <c r="Y8" s="54" t="n">
        <v>2209.87900655572</v>
      </c>
      <c r="Z8" s="77" t="n">
        <v>1.79</v>
      </c>
      <c r="AA8" s="58"/>
      <c r="AB8" s="58"/>
      <c r="AC8" s="59"/>
      <c r="AD8" s="78" t="n">
        <v>285</v>
      </c>
      <c r="AE8" s="74" t="n">
        <v>251</v>
      </c>
      <c r="AF8" s="78" t="n">
        <v>1207.63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6895.42</v>
      </c>
      <c r="C10" s="54" t="n">
        <v>266991</v>
      </c>
      <c r="D10" s="58" t="n">
        <f aca="false">C10-C8</f>
        <v>178</v>
      </c>
      <c r="E10" s="54" t="n">
        <f aca="false">C10-152000</f>
        <v>114991</v>
      </c>
      <c r="F10" s="53" t="n">
        <f aca="false">D10/$D$2</f>
        <v>89.7629853756934</v>
      </c>
      <c r="G10" s="53" t="n">
        <v>130.442985375693</v>
      </c>
      <c r="H10" s="55" t="n">
        <v>0</v>
      </c>
      <c r="I10" s="53" t="n">
        <f aca="false">G10+H10</f>
        <v>130.442985375693</v>
      </c>
      <c r="J10" s="77" t="n">
        <f aca="false">IF(L10&gt;0,L10,0)</f>
        <v>0</v>
      </c>
      <c r="K10" s="53" t="n">
        <f aca="false">I10+J10</f>
        <v>130.442985375693</v>
      </c>
      <c r="L10" s="53" t="n">
        <f aca="false">F10-(I10-W10)</f>
        <v>0</v>
      </c>
      <c r="M10" s="53" t="n">
        <v>5.02</v>
      </c>
      <c r="N10" s="53" t="n">
        <v>0</v>
      </c>
      <c r="O10" s="53" t="n">
        <f aca="false">M10-N10</f>
        <v>5.02</v>
      </c>
      <c r="P10" s="53" t="n">
        <v>0</v>
      </c>
      <c r="Q10" s="53" t="n">
        <v>0</v>
      </c>
      <c r="R10" s="53" t="n">
        <f aca="false">SUM(O10:Q10)</f>
        <v>5.02</v>
      </c>
      <c r="S10" s="54"/>
      <c r="T10" s="53" t="n">
        <v>0</v>
      </c>
      <c r="U10" s="53" t="n">
        <v>35.66</v>
      </c>
      <c r="V10" s="54" t="n">
        <f aca="false">V8-U10</f>
        <v>13690.3733148475</v>
      </c>
      <c r="W10" s="53" t="n">
        <f aca="false">R10+T10+N10+U10</f>
        <v>40.68</v>
      </c>
      <c r="X10" s="53" t="n">
        <f aca="false">IF(L10&lt;0,L10*-1,0)</f>
        <v>0</v>
      </c>
      <c r="Y10" s="53" t="n">
        <f aca="false">W10+X10</f>
        <v>40.68</v>
      </c>
      <c r="Z10" s="57" t="n">
        <v>0</v>
      </c>
      <c r="AA10" s="58" t="n">
        <v>54</v>
      </c>
      <c r="AB10" s="58" t="n">
        <v>36</v>
      </c>
      <c r="AC10" s="59" t="n">
        <v>1</v>
      </c>
      <c r="AD10" s="75" t="n">
        <v>303</v>
      </c>
      <c r="AE10" s="78" t="n">
        <v>273</v>
      </c>
      <c r="AF10" s="75" t="n">
        <v>1256.86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6895.42</v>
      </c>
      <c r="C11" s="54" t="n">
        <v>266991</v>
      </c>
      <c r="D11" s="58" t="n">
        <f aca="false">C11-C10</f>
        <v>0</v>
      </c>
      <c r="E11" s="54" t="n">
        <f aca="false">C11-152000</f>
        <v>114991</v>
      </c>
      <c r="F11" s="53" t="n">
        <f aca="false">D11/$D$2</f>
        <v>0</v>
      </c>
      <c r="G11" s="53" t="n">
        <v>39.47</v>
      </c>
      <c r="H11" s="55" t="n">
        <v>0</v>
      </c>
      <c r="I11" s="53" t="n">
        <f aca="false">G11+H11</f>
        <v>39.47</v>
      </c>
      <c r="J11" s="77" t="n">
        <f aca="false">IF(L11&gt;0,L11,0)</f>
        <v>0</v>
      </c>
      <c r="K11" s="53" t="n">
        <f aca="false">I11+J11</f>
        <v>39.47</v>
      </c>
      <c r="L11" s="53" t="n">
        <f aca="false">F11-(I11-W11)</f>
        <v>0</v>
      </c>
      <c r="M11" s="53" t="n">
        <v>4.76</v>
      </c>
      <c r="N11" s="53" t="n">
        <v>0</v>
      </c>
      <c r="O11" s="53" t="n">
        <f aca="false">M11-N11</f>
        <v>4.76</v>
      </c>
      <c r="P11" s="53" t="n">
        <v>0</v>
      </c>
      <c r="Q11" s="53" t="n">
        <v>0</v>
      </c>
      <c r="R11" s="53" t="n">
        <f aca="false">SUM(O11:Q11)</f>
        <v>4.76</v>
      </c>
      <c r="S11" s="54"/>
      <c r="T11" s="53" t="n">
        <v>0</v>
      </c>
      <c r="U11" s="53" t="n">
        <v>34.71</v>
      </c>
      <c r="V11" s="54" t="n">
        <f aca="false">V10-U11</f>
        <v>13655.6633148475</v>
      </c>
      <c r="W11" s="53" t="n">
        <f aca="false">R11+T11+N11+U11</f>
        <v>39.47</v>
      </c>
      <c r="X11" s="53" t="n">
        <f aca="false">IF(L11&lt;0,L11*-1,0)</f>
        <v>0</v>
      </c>
      <c r="Y11" s="53" t="n">
        <f aca="false">W11+X11</f>
        <v>39.47</v>
      </c>
      <c r="Z11" s="57" t="n">
        <v>0</v>
      </c>
      <c r="AA11" s="58" t="n">
        <v>61</v>
      </c>
      <c r="AB11" s="58" t="n">
        <v>36</v>
      </c>
      <c r="AC11" s="59" t="n">
        <f aca="false">AC10+1</f>
        <v>2</v>
      </c>
      <c r="AD11" s="75" t="n">
        <v>306</v>
      </c>
      <c r="AE11" s="78" t="n">
        <v>300</v>
      </c>
      <c r="AF11" s="75" t="n">
        <v>1306.42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6895.42</v>
      </c>
      <c r="C12" s="54" t="n">
        <v>266991</v>
      </c>
      <c r="D12" s="58" t="n">
        <f aca="false">C12-C11</f>
        <v>0</v>
      </c>
      <c r="E12" s="54" t="n">
        <f aca="false">C12-152000</f>
        <v>114991</v>
      </c>
      <c r="F12" s="53" t="n">
        <f aca="false">D12/$D$2</f>
        <v>0</v>
      </c>
      <c r="G12" s="53" t="n">
        <v>39.6</v>
      </c>
      <c r="H12" s="55" t="n">
        <v>0</v>
      </c>
      <c r="I12" s="53" t="n">
        <f aca="false">G12+H12</f>
        <v>39.6</v>
      </c>
      <c r="J12" s="77" t="n">
        <f aca="false">IF(L12&gt;0,L12,0)</f>
        <v>0</v>
      </c>
      <c r="K12" s="53" t="n">
        <f aca="false">I12+J12</f>
        <v>39.6</v>
      </c>
      <c r="L12" s="53" t="n">
        <f aca="false">F12-(I12-W12)</f>
        <v>0</v>
      </c>
      <c r="M12" s="53" t="n">
        <v>4.76</v>
      </c>
      <c r="N12" s="53" t="n">
        <v>0</v>
      </c>
      <c r="O12" s="53" t="n">
        <f aca="false">M12-N12</f>
        <v>4.76</v>
      </c>
      <c r="P12" s="53" t="n">
        <v>0</v>
      </c>
      <c r="Q12" s="53" t="n">
        <v>0</v>
      </c>
      <c r="R12" s="53" t="n">
        <f aca="false">SUM(O12:Q12)</f>
        <v>4.76</v>
      </c>
      <c r="S12" s="54"/>
      <c r="T12" s="53" t="n">
        <v>0</v>
      </c>
      <c r="U12" s="53" t="n">
        <v>34.84</v>
      </c>
      <c r="V12" s="54" t="n">
        <f aca="false">V11-U12</f>
        <v>13620.8233148475</v>
      </c>
      <c r="W12" s="53" t="n">
        <f aca="false">R12+T12+N12+U12</f>
        <v>39.6</v>
      </c>
      <c r="X12" s="53" t="n">
        <f aca="false">IF(L12&lt;0,L12*-1,0)</f>
        <v>0</v>
      </c>
      <c r="Y12" s="53" t="n">
        <f aca="false">W12+X12</f>
        <v>39.6</v>
      </c>
      <c r="Z12" s="57" t="n">
        <v>0</v>
      </c>
      <c r="AA12" s="58" t="n">
        <v>62</v>
      </c>
      <c r="AB12" s="58" t="n">
        <v>38</v>
      </c>
      <c r="AC12" s="59" t="n">
        <f aca="false">AC11+1</f>
        <v>3</v>
      </c>
      <c r="AD12" s="75" t="n">
        <v>316</v>
      </c>
      <c r="AE12" s="78" t="n">
        <v>341</v>
      </c>
      <c r="AF12" s="75" t="n">
        <v>1355.74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6895.44</v>
      </c>
      <c r="C13" s="54" t="n">
        <v>267062</v>
      </c>
      <c r="D13" s="58" t="n">
        <f aca="false">C13-C12</f>
        <v>71</v>
      </c>
      <c r="E13" s="54" t="n">
        <f aca="false">C13-152000</f>
        <v>115062</v>
      </c>
      <c r="F13" s="53" t="n">
        <f aca="false">D13/$D$2</f>
        <v>35.8043368633384</v>
      </c>
      <c r="G13" s="53" t="n">
        <v>75.4343368633384</v>
      </c>
      <c r="H13" s="55" t="n">
        <v>0</v>
      </c>
      <c r="I13" s="53" t="n">
        <f aca="false">G13+H13</f>
        <v>75.4343368633384</v>
      </c>
      <c r="J13" s="77" t="n">
        <f aca="false">IF(L13&gt;0,L13,0)</f>
        <v>0</v>
      </c>
      <c r="K13" s="53" t="n">
        <f aca="false">I13+J13</f>
        <v>75.4343368633384</v>
      </c>
      <c r="L13" s="53" t="n">
        <f aca="false">F13-(I13-W13)</f>
        <v>0</v>
      </c>
      <c r="M13" s="53" t="n">
        <v>4.76</v>
      </c>
      <c r="N13" s="53" t="n">
        <v>0</v>
      </c>
      <c r="O13" s="53" t="n">
        <f aca="false">M13-N13</f>
        <v>4.76</v>
      </c>
      <c r="P13" s="53" t="n">
        <v>0</v>
      </c>
      <c r="Q13" s="53" t="n">
        <v>0</v>
      </c>
      <c r="R13" s="53" t="n">
        <f aca="false">SUM(O13:Q13)</f>
        <v>4.76</v>
      </c>
      <c r="S13" s="54"/>
      <c r="T13" s="53" t="n">
        <v>0</v>
      </c>
      <c r="U13" s="53" t="n">
        <v>34.87</v>
      </c>
      <c r="V13" s="54" t="n">
        <f aca="false">V12-U13</f>
        <v>13585.9533148475</v>
      </c>
      <c r="W13" s="53" t="n">
        <f aca="false">R13+T13+N13+U13</f>
        <v>39.63</v>
      </c>
      <c r="X13" s="53" t="n">
        <f aca="false">IF(L13&lt;0,L13*-1,0)</f>
        <v>0</v>
      </c>
      <c r="Y13" s="53" t="n">
        <f aca="false">W13+X13</f>
        <v>39.63</v>
      </c>
      <c r="Z13" s="57" t="n">
        <v>0</v>
      </c>
      <c r="AA13" s="58" t="n">
        <v>70</v>
      </c>
      <c r="AB13" s="58" t="n">
        <v>39</v>
      </c>
      <c r="AC13" s="59" t="n">
        <f aca="false">AC12+1</f>
        <v>4</v>
      </c>
      <c r="AD13" s="75" t="n">
        <v>316</v>
      </c>
      <c r="AE13" s="78" t="n">
        <v>395</v>
      </c>
      <c r="AF13" s="75" t="n">
        <v>1405.31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6895.55</v>
      </c>
      <c r="C14" s="54" t="n">
        <v>267453</v>
      </c>
      <c r="D14" s="58" t="n">
        <f aca="false">C14-C13</f>
        <v>391</v>
      </c>
      <c r="E14" s="54" t="n">
        <f aca="false">C14-152000</f>
        <v>115453</v>
      </c>
      <c r="F14" s="53" t="n">
        <f aca="false">D14/$D$2</f>
        <v>197.175995965709</v>
      </c>
      <c r="G14" s="53" t="n">
        <v>236.835995965709</v>
      </c>
      <c r="H14" s="55" t="n">
        <v>0</v>
      </c>
      <c r="I14" s="53" t="n">
        <f aca="false">G14+H14</f>
        <v>236.835995965709</v>
      </c>
      <c r="J14" s="77" t="n">
        <f aca="false">IF(L14&gt;0,L14,0)</f>
        <v>0</v>
      </c>
      <c r="K14" s="53" t="n">
        <f aca="false">I14+J14</f>
        <v>236.835995965709</v>
      </c>
      <c r="L14" s="53" t="n">
        <f aca="false">F14-(I14-W14)</f>
        <v>0</v>
      </c>
      <c r="M14" s="53" t="n">
        <v>4.76</v>
      </c>
      <c r="N14" s="53" t="n">
        <v>0</v>
      </c>
      <c r="O14" s="53" t="n">
        <f aca="false">M14-N14</f>
        <v>4.76</v>
      </c>
      <c r="P14" s="53" t="n">
        <v>0</v>
      </c>
      <c r="Q14" s="53" t="n">
        <v>0</v>
      </c>
      <c r="R14" s="53" t="n">
        <f aca="false">SUM(O14:Q14)</f>
        <v>4.76</v>
      </c>
      <c r="S14" s="54"/>
      <c r="T14" s="53" t="n">
        <v>0</v>
      </c>
      <c r="U14" s="53" t="n">
        <v>34.9</v>
      </c>
      <c r="V14" s="54" t="n">
        <f aca="false">V13-U14</f>
        <v>13551.0533148475</v>
      </c>
      <c r="W14" s="53" t="n">
        <f aca="false">R14+T14+N14+U14</f>
        <v>39.66</v>
      </c>
      <c r="X14" s="53" t="n">
        <f aca="false">IF(L14&lt;0,L14*-1,0)</f>
        <v>0</v>
      </c>
      <c r="Y14" s="53" t="n">
        <f aca="false">W14+X14</f>
        <v>39.66</v>
      </c>
      <c r="Z14" s="57" t="n">
        <v>1.04</v>
      </c>
      <c r="AA14" s="58" t="n">
        <v>76</v>
      </c>
      <c r="AB14" s="58" t="n">
        <v>43</v>
      </c>
      <c r="AC14" s="59" t="n">
        <f aca="false">AC13+1</f>
        <v>5</v>
      </c>
      <c r="AD14" s="75" t="n">
        <v>316</v>
      </c>
      <c r="AE14" s="78" t="n">
        <v>466</v>
      </c>
      <c r="AF14" s="75" t="n">
        <v>1437.16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6895.55</v>
      </c>
      <c r="C15" s="54" t="n">
        <v>267453</v>
      </c>
      <c r="D15" s="58" t="n">
        <f aca="false">C15-C14</f>
        <v>0</v>
      </c>
      <c r="E15" s="54" t="n">
        <f aca="false">C15-152000</f>
        <v>115453</v>
      </c>
      <c r="F15" s="53" t="n">
        <f aca="false">D15/$D$2</f>
        <v>0</v>
      </c>
      <c r="G15" s="53" t="n">
        <v>40.05</v>
      </c>
      <c r="H15" s="55" t="n">
        <v>0</v>
      </c>
      <c r="I15" s="53" t="n">
        <f aca="false">G15+H15</f>
        <v>40.05</v>
      </c>
      <c r="J15" s="77" t="n">
        <f aca="false">IF(L15&gt;0,L15,0)</f>
        <v>0</v>
      </c>
      <c r="K15" s="53" t="n">
        <f aca="false">I15+J15</f>
        <v>40.05</v>
      </c>
      <c r="L15" s="53" t="n">
        <f aca="false">F15-(I15-W15)</f>
        <v>0</v>
      </c>
      <c r="M15" s="53" t="n">
        <v>4.76</v>
      </c>
      <c r="N15" s="53" t="n">
        <v>0</v>
      </c>
      <c r="O15" s="53" t="n">
        <f aca="false">M15-N15</f>
        <v>4.76</v>
      </c>
      <c r="P15" s="53" t="n">
        <v>0</v>
      </c>
      <c r="Q15" s="53" t="n">
        <v>0</v>
      </c>
      <c r="R15" s="53" t="n">
        <f aca="false">SUM(O15:Q15)</f>
        <v>4.76</v>
      </c>
      <c r="S15" s="54"/>
      <c r="T15" s="53" t="n">
        <v>0</v>
      </c>
      <c r="U15" s="53" t="n">
        <v>35.29</v>
      </c>
      <c r="V15" s="54" t="n">
        <f aca="false">V14-U15</f>
        <v>13515.7633148475</v>
      </c>
      <c r="W15" s="53" t="n">
        <f aca="false">R15+T15+N15+U15</f>
        <v>40.05</v>
      </c>
      <c r="X15" s="53" t="n">
        <f aca="false">IF(L15&lt;0,L15*-1,0)</f>
        <v>0</v>
      </c>
      <c r="Y15" s="53" t="n">
        <f aca="false">W15+X15</f>
        <v>40.05</v>
      </c>
      <c r="Z15" s="57" t="n">
        <v>0.04</v>
      </c>
      <c r="AA15" s="58" t="n">
        <v>73</v>
      </c>
      <c r="AB15" s="58" t="n">
        <v>39</v>
      </c>
      <c r="AC15" s="59" t="n">
        <f aca="false">AC14+1</f>
        <v>6</v>
      </c>
      <c r="AD15" s="74" t="n">
        <v>325</v>
      </c>
      <c r="AE15" s="78" t="n">
        <v>538</v>
      </c>
      <c r="AF15" s="75" t="n">
        <v>1467.01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6895.6</v>
      </c>
      <c r="C16" s="54" t="n">
        <v>267632</v>
      </c>
      <c r="D16" s="58" t="n">
        <f aca="false">C16-C15</f>
        <v>179</v>
      </c>
      <c r="E16" s="54" t="n">
        <f aca="false">C16-152000</f>
        <v>115632</v>
      </c>
      <c r="F16" s="53" t="n">
        <f aca="false">D16/$D$2</f>
        <v>90.2672718103883</v>
      </c>
      <c r="G16" s="53" t="n">
        <v>129.957271810388</v>
      </c>
      <c r="H16" s="55" t="n">
        <v>0</v>
      </c>
      <c r="I16" s="53" t="n">
        <f aca="false">G16+H16</f>
        <v>129.957271810388</v>
      </c>
      <c r="J16" s="77" t="n">
        <f aca="false">IF(L16&gt;0,L16,0)</f>
        <v>0</v>
      </c>
      <c r="K16" s="53" t="n">
        <f aca="false">I16+J16</f>
        <v>129.957271810388</v>
      </c>
      <c r="L16" s="53" t="n">
        <f aca="false">F16-(I16-W16)</f>
        <v>0</v>
      </c>
      <c r="M16" s="53" t="n">
        <v>4.76</v>
      </c>
      <c r="N16" s="53" t="n">
        <v>0</v>
      </c>
      <c r="O16" s="53" t="n">
        <f aca="false">M16-N16</f>
        <v>4.76</v>
      </c>
      <c r="P16" s="53" t="n">
        <v>0</v>
      </c>
      <c r="Q16" s="53" t="n">
        <v>0</v>
      </c>
      <c r="R16" s="53" t="n">
        <f aca="false">SUM(O16:Q16)</f>
        <v>4.76</v>
      </c>
      <c r="S16" s="54"/>
      <c r="T16" s="53" t="n">
        <v>0</v>
      </c>
      <c r="U16" s="53" t="n">
        <v>34.93</v>
      </c>
      <c r="V16" s="54" t="n">
        <f aca="false">V15-U16</f>
        <v>13480.8333148475</v>
      </c>
      <c r="W16" s="53" t="n">
        <f aca="false">R16+T16+N16+U16</f>
        <v>39.69</v>
      </c>
      <c r="X16" s="53" t="n">
        <f aca="false">IF(L16&lt;0,L16*-1,0)</f>
        <v>0</v>
      </c>
      <c r="Y16" s="53" t="n">
        <f aca="false">W16+X16</f>
        <v>39.69</v>
      </c>
      <c r="Z16" s="57" t="n">
        <v>0.08</v>
      </c>
      <c r="AA16" s="58" t="n">
        <v>74</v>
      </c>
      <c r="AB16" s="58" t="n">
        <v>37</v>
      </c>
      <c r="AC16" s="59" t="n">
        <f aca="false">AC15+1</f>
        <v>7</v>
      </c>
      <c r="AD16" s="74" t="n">
        <v>342</v>
      </c>
      <c r="AE16" s="78" t="n">
        <v>618</v>
      </c>
      <c r="AF16" s="75" t="n">
        <v>1496.64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6895.58</v>
      </c>
      <c r="C17" s="54" t="n">
        <v>267561</v>
      </c>
      <c r="D17" s="58" t="n">
        <f aca="false">C17-C16</f>
        <v>-71</v>
      </c>
      <c r="E17" s="54" t="n">
        <f aca="false">C17-152000</f>
        <v>115561</v>
      </c>
      <c r="F17" s="53" t="n">
        <f aca="false">D17/$D$2</f>
        <v>-35.8043368633384</v>
      </c>
      <c r="G17" s="53" t="n">
        <v>3.85566313666162</v>
      </c>
      <c r="H17" s="55" t="n">
        <v>0</v>
      </c>
      <c r="I17" s="53" t="n">
        <f aca="false">G17+H17</f>
        <v>3.85566313666162</v>
      </c>
      <c r="J17" s="77" t="n">
        <f aca="false">IF(L17&gt;0,L17,0)</f>
        <v>0</v>
      </c>
      <c r="K17" s="53" t="n">
        <f aca="false">I17+J17</f>
        <v>3.85566313666162</v>
      </c>
      <c r="L17" s="53" t="n">
        <f aca="false">F17-(I17-W17)</f>
        <v>0</v>
      </c>
      <c r="M17" s="53" t="n">
        <v>4.76</v>
      </c>
      <c r="N17" s="53" t="n">
        <v>0</v>
      </c>
      <c r="O17" s="53" t="n">
        <f aca="false">M17-N17</f>
        <v>4.76</v>
      </c>
      <c r="P17" s="53" t="n">
        <v>0</v>
      </c>
      <c r="Q17" s="53" t="n">
        <v>0</v>
      </c>
      <c r="R17" s="53" t="n">
        <f aca="false">SUM(O17:Q17)</f>
        <v>4.76</v>
      </c>
      <c r="S17" s="54"/>
      <c r="T17" s="53" t="n">
        <v>0</v>
      </c>
      <c r="U17" s="53" t="n">
        <v>34.9</v>
      </c>
      <c r="V17" s="54" t="n">
        <f aca="false">V16-U17</f>
        <v>13445.9333148475</v>
      </c>
      <c r="W17" s="53" t="n">
        <f aca="false">R17+T17+N17+U17</f>
        <v>39.66</v>
      </c>
      <c r="X17" s="53" t="n">
        <f aca="false">IF(L17&lt;0,L17*-1,0)</f>
        <v>0</v>
      </c>
      <c r="Y17" s="53" t="n">
        <f aca="false">W17+X17</f>
        <v>39.66</v>
      </c>
      <c r="Z17" s="57" t="n">
        <v>0</v>
      </c>
      <c r="AA17" s="58" t="n">
        <v>69</v>
      </c>
      <c r="AB17" s="58" t="n">
        <v>34</v>
      </c>
      <c r="AC17" s="59" t="n">
        <f aca="false">AC16+1</f>
        <v>8</v>
      </c>
      <c r="AD17" s="74" t="n">
        <v>367</v>
      </c>
      <c r="AE17" s="78" t="n">
        <v>704</v>
      </c>
      <c r="AF17" s="75" t="n">
        <v>1526.51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6895.57</v>
      </c>
      <c r="C18" s="54" t="n">
        <v>267524</v>
      </c>
      <c r="D18" s="58" t="n">
        <f aca="false">C18-C17</f>
        <v>-37</v>
      </c>
      <c r="E18" s="54" t="n">
        <f aca="false">C18-152000</f>
        <v>115524</v>
      </c>
      <c r="F18" s="53" t="n">
        <f aca="false">D18/$D$2</f>
        <v>-18.6585980837115</v>
      </c>
      <c r="G18" s="53" t="n">
        <v>21.0014019162884</v>
      </c>
      <c r="H18" s="55" t="n">
        <v>0</v>
      </c>
      <c r="I18" s="53" t="n">
        <f aca="false">G18+H18</f>
        <v>21.0014019162884</v>
      </c>
      <c r="J18" s="77" t="n">
        <f aca="false">IF(L18&gt;0,L18,0)</f>
        <v>0</v>
      </c>
      <c r="K18" s="53" t="n">
        <f aca="false">I18+J18</f>
        <v>21.0014019162884</v>
      </c>
      <c r="L18" s="53" t="n">
        <f aca="false">F18-(I18-W18)</f>
        <v>0</v>
      </c>
      <c r="M18" s="53" t="n">
        <v>4.76</v>
      </c>
      <c r="N18" s="53" t="n">
        <v>0</v>
      </c>
      <c r="O18" s="53" t="n">
        <f aca="false">M18-N18</f>
        <v>4.76</v>
      </c>
      <c r="P18" s="53" t="n">
        <v>0</v>
      </c>
      <c r="Q18" s="53" t="n">
        <v>0</v>
      </c>
      <c r="R18" s="53" t="n">
        <f aca="false">SUM(O18:Q18)</f>
        <v>4.76</v>
      </c>
      <c r="S18" s="54"/>
      <c r="T18" s="53" t="n">
        <v>0</v>
      </c>
      <c r="U18" s="53" t="n">
        <v>34.9</v>
      </c>
      <c r="V18" s="54" t="n">
        <f aca="false">V17-U18</f>
        <v>13411.0333148475</v>
      </c>
      <c r="W18" s="53" t="n">
        <f aca="false">R18+T18+N18+U18</f>
        <v>39.66</v>
      </c>
      <c r="X18" s="53" t="n">
        <f aca="false">IF(L18&lt;0,L18*-1,0)</f>
        <v>0</v>
      </c>
      <c r="Y18" s="53" t="n">
        <f aca="false">W18+X18</f>
        <v>39.66</v>
      </c>
      <c r="Z18" s="57" t="n">
        <v>0</v>
      </c>
      <c r="AA18" s="86" t="n">
        <v>66</v>
      </c>
      <c r="AB18" s="58" t="n">
        <v>44</v>
      </c>
      <c r="AC18" s="59" t="n">
        <f aca="false">AC17+1</f>
        <v>9</v>
      </c>
      <c r="AD18" s="74" t="n">
        <v>390</v>
      </c>
      <c r="AE18" s="78" t="n">
        <v>805</v>
      </c>
      <c r="AF18" s="75" t="n">
        <v>1561.24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6895.58</v>
      </c>
      <c r="C19" s="54" t="n">
        <v>267561</v>
      </c>
      <c r="D19" s="58" t="n">
        <f aca="false">C19-C18</f>
        <v>37</v>
      </c>
      <c r="E19" s="54" t="n">
        <f aca="false">C19-152000</f>
        <v>115561</v>
      </c>
      <c r="F19" s="53" t="n">
        <f aca="false">D19/$D$2</f>
        <v>18.6585980837115</v>
      </c>
      <c r="G19" s="53" t="n">
        <v>58.3185980837115</v>
      </c>
      <c r="H19" s="55" t="n">
        <v>0</v>
      </c>
      <c r="I19" s="53" t="n">
        <f aca="false">G19+H19</f>
        <v>58.3185980837115</v>
      </c>
      <c r="J19" s="77" t="n">
        <f aca="false">IF(L19&gt;0,L19,0)</f>
        <v>0</v>
      </c>
      <c r="K19" s="53" t="n">
        <f aca="false">I19+J19</f>
        <v>58.3185980837115</v>
      </c>
      <c r="L19" s="53" t="n">
        <f aca="false">F19-(I19-W19)</f>
        <v>0</v>
      </c>
      <c r="M19" s="53" t="n">
        <v>4.76</v>
      </c>
      <c r="N19" s="53" t="n">
        <v>0</v>
      </c>
      <c r="O19" s="53" t="n">
        <f aca="false">M19-N19</f>
        <v>4.76</v>
      </c>
      <c r="P19" s="53" t="n">
        <v>0</v>
      </c>
      <c r="Q19" s="53" t="n">
        <v>0</v>
      </c>
      <c r="R19" s="53" t="n">
        <f aca="false">SUM(O19:Q19)</f>
        <v>4.76</v>
      </c>
      <c r="S19" s="54"/>
      <c r="T19" s="53" t="n">
        <v>0</v>
      </c>
      <c r="U19" s="53" t="n">
        <v>34.9</v>
      </c>
      <c r="V19" s="54" t="n">
        <f aca="false">V18-U19</f>
        <v>13376.1333148475</v>
      </c>
      <c r="W19" s="53" t="n">
        <f aca="false">R19+T19+N19+U19</f>
        <v>39.66</v>
      </c>
      <c r="X19" s="53" t="n">
        <f aca="false">IF(L19&lt;0,L19*-1,0)</f>
        <v>0</v>
      </c>
      <c r="Y19" s="53" t="n">
        <f aca="false">W19+X19</f>
        <v>39.66</v>
      </c>
      <c r="Z19" s="57" t="n">
        <v>0</v>
      </c>
      <c r="AA19" s="58" t="n">
        <v>66</v>
      </c>
      <c r="AB19" s="58" t="n">
        <v>36</v>
      </c>
      <c r="AC19" s="59" t="n">
        <f aca="false">AC18+1</f>
        <v>10</v>
      </c>
      <c r="AD19" s="74" t="n">
        <v>437</v>
      </c>
      <c r="AE19" s="78" t="n">
        <v>920</v>
      </c>
      <c r="AF19" s="75" t="n">
        <v>1600.39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6895.57</v>
      </c>
      <c r="C20" s="54" t="n">
        <v>267524</v>
      </c>
      <c r="D20" s="58" t="n">
        <f aca="false">C20-C19</f>
        <v>-37</v>
      </c>
      <c r="E20" s="54" t="n">
        <f aca="false">C20-152000</f>
        <v>115524</v>
      </c>
      <c r="F20" s="53" t="n">
        <f aca="false">D20/$D$2</f>
        <v>-18.6585980837115</v>
      </c>
      <c r="G20" s="53" t="n">
        <v>21.0014019162884</v>
      </c>
      <c r="H20" s="55" t="n">
        <v>0</v>
      </c>
      <c r="I20" s="53" t="n">
        <f aca="false">G20+H20</f>
        <v>21.0014019162884</v>
      </c>
      <c r="J20" s="77" t="n">
        <f aca="false">IF(L20&gt;0,L20,0)</f>
        <v>0</v>
      </c>
      <c r="K20" s="53" t="n">
        <f aca="false">I20+J20</f>
        <v>21.0014019162884</v>
      </c>
      <c r="L20" s="53" t="n">
        <f aca="false">F20-(I20-W20)</f>
        <v>0</v>
      </c>
      <c r="M20" s="53" t="n">
        <v>4.76</v>
      </c>
      <c r="N20" s="53" t="n">
        <v>0</v>
      </c>
      <c r="O20" s="53" t="n">
        <f aca="false">M20-N20</f>
        <v>4.76</v>
      </c>
      <c r="P20" s="53" t="n">
        <v>0</v>
      </c>
      <c r="Q20" s="53" t="n">
        <v>0</v>
      </c>
      <c r="R20" s="53" t="n">
        <f aca="false">SUM(O20:Q20)</f>
        <v>4.76</v>
      </c>
      <c r="S20" s="54"/>
      <c r="T20" s="53" t="n">
        <v>0</v>
      </c>
      <c r="U20" s="53" t="n">
        <v>34.9</v>
      </c>
      <c r="V20" s="54" t="n">
        <f aca="false">V19-U20</f>
        <v>13341.2333148475</v>
      </c>
      <c r="W20" s="53" t="n">
        <f aca="false">R20+T20+N20+U20</f>
        <v>39.66</v>
      </c>
      <c r="X20" s="53" t="n">
        <f aca="false">IF(L20&lt;0,L20*-1,0)</f>
        <v>0</v>
      </c>
      <c r="Y20" s="53" t="n">
        <f aca="false">W20+X20</f>
        <v>39.66</v>
      </c>
      <c r="Z20" s="57" t="n">
        <v>0</v>
      </c>
      <c r="AA20" s="58" t="n">
        <v>68</v>
      </c>
      <c r="AB20" s="58" t="n">
        <v>40</v>
      </c>
      <c r="AC20" s="59" t="n">
        <f aca="false">AC19+1</f>
        <v>11</v>
      </c>
      <c r="AD20" s="74" t="n">
        <v>498</v>
      </c>
      <c r="AE20" s="78" t="n">
        <v>1048</v>
      </c>
      <c r="AF20" s="75" t="n">
        <v>1642</v>
      </c>
    </row>
    <row r="21" customFormat="false" ht="11.1" hidden="false" customHeight="true" outlineLevel="0" collapsed="false">
      <c r="A21" s="59" t="n">
        <f aca="false">A20+1</f>
        <v>12</v>
      </c>
      <c r="B21" s="76" t="n">
        <v>6895.6</v>
      </c>
      <c r="C21" s="54" t="n">
        <v>267632</v>
      </c>
      <c r="D21" s="58" t="n">
        <f aca="false">C21-C20</f>
        <v>108</v>
      </c>
      <c r="E21" s="54" t="n">
        <f aca="false">C21-152000</f>
        <v>115632</v>
      </c>
      <c r="F21" s="53" t="n">
        <f aca="false">D21/$D$2</f>
        <v>54.4629349470499</v>
      </c>
      <c r="G21" s="53" t="n">
        <v>94.1229349470499</v>
      </c>
      <c r="H21" s="55" t="n">
        <v>0</v>
      </c>
      <c r="I21" s="53" t="n">
        <f aca="false">G21+H21</f>
        <v>94.1229349470499</v>
      </c>
      <c r="J21" s="77" t="n">
        <f aca="false">IF(L21&gt;0,L21,0)</f>
        <v>0</v>
      </c>
      <c r="K21" s="53" t="n">
        <f aca="false">I21+J21</f>
        <v>94.1229349470499</v>
      </c>
      <c r="L21" s="53" t="n">
        <f aca="false">F21-(I21-W21)</f>
        <v>0</v>
      </c>
      <c r="M21" s="53" t="n">
        <v>4.76</v>
      </c>
      <c r="N21" s="53" t="n">
        <v>0</v>
      </c>
      <c r="O21" s="53" t="n">
        <f aca="false">M21-N21</f>
        <v>4.76</v>
      </c>
      <c r="P21" s="53" t="n">
        <v>0</v>
      </c>
      <c r="Q21" s="53" t="n">
        <v>0</v>
      </c>
      <c r="R21" s="53" t="n">
        <f aca="false">SUM(O21:Q21)</f>
        <v>4.76</v>
      </c>
      <c r="S21" s="54"/>
      <c r="T21" s="53" t="n">
        <v>0</v>
      </c>
      <c r="U21" s="53" t="n">
        <v>34.9</v>
      </c>
      <c r="V21" s="54" t="n">
        <f aca="false">V20-U21</f>
        <v>13306.3333148475</v>
      </c>
      <c r="W21" s="53" t="n">
        <f aca="false">R21+T21+N21+U21</f>
        <v>39.66</v>
      </c>
      <c r="X21" s="53" t="n">
        <f aca="false">IF(L21&lt;0,L21*-1,0)</f>
        <v>0</v>
      </c>
      <c r="Y21" s="53" t="n">
        <f aca="false">W21+X21</f>
        <v>39.66</v>
      </c>
      <c r="Z21" s="57" t="n">
        <v>0</v>
      </c>
      <c r="AA21" s="58" t="n">
        <v>68</v>
      </c>
      <c r="AB21" s="58" t="n">
        <v>42</v>
      </c>
      <c r="AC21" s="59" t="n">
        <f aca="false">AC20+1</f>
        <v>12</v>
      </c>
      <c r="AD21" s="74" t="n">
        <v>572</v>
      </c>
      <c r="AE21" s="78" t="n">
        <v>1182</v>
      </c>
      <c r="AF21" s="75" t="n">
        <v>1683.42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6895.62</v>
      </c>
      <c r="C22" s="54" t="n">
        <v>267703</v>
      </c>
      <c r="D22" s="58" t="n">
        <f aca="false">C22-C21</f>
        <v>71</v>
      </c>
      <c r="E22" s="54" t="n">
        <f aca="false">C22-152000</f>
        <v>115703</v>
      </c>
      <c r="F22" s="53" t="n">
        <f aca="false">D22/$D$2</f>
        <v>35.8043368633384</v>
      </c>
      <c r="G22" s="53" t="n">
        <v>75.4643368633384</v>
      </c>
      <c r="H22" s="55" t="n">
        <v>0</v>
      </c>
      <c r="I22" s="53" t="n">
        <f aca="false">G22+H22</f>
        <v>75.4643368633384</v>
      </c>
      <c r="J22" s="77" t="n">
        <f aca="false">IF(L22&gt;0,L22,0)</f>
        <v>0</v>
      </c>
      <c r="K22" s="53" t="n">
        <f aca="false">I22+J22</f>
        <v>75.4643368633384</v>
      </c>
      <c r="L22" s="53" t="n">
        <f aca="false">F22-(I22-W22)</f>
        <v>0</v>
      </c>
      <c r="M22" s="53" t="n">
        <v>4.76</v>
      </c>
      <c r="N22" s="53" t="n">
        <v>0</v>
      </c>
      <c r="O22" s="53" t="n">
        <f aca="false">M22-N22</f>
        <v>4.76</v>
      </c>
      <c r="P22" s="53" t="n">
        <v>0</v>
      </c>
      <c r="Q22" s="53" t="n">
        <v>0</v>
      </c>
      <c r="R22" s="53" t="n">
        <f aca="false">SUM(O22:Q22)</f>
        <v>4.76</v>
      </c>
      <c r="S22" s="54"/>
      <c r="T22" s="53" t="n">
        <v>0</v>
      </c>
      <c r="U22" s="53" t="n">
        <v>34.9</v>
      </c>
      <c r="V22" s="54" t="n">
        <f aca="false">V21-U22</f>
        <v>13271.4333148475</v>
      </c>
      <c r="W22" s="53" t="n">
        <f aca="false">R22+T22+N22+U22</f>
        <v>39.66</v>
      </c>
      <c r="X22" s="53" t="n">
        <f aca="false">IF(L22&lt;0,L22*-1,0)</f>
        <v>0</v>
      </c>
      <c r="Y22" s="53" t="n">
        <f aca="false">W22+X22</f>
        <v>39.66</v>
      </c>
      <c r="Z22" s="57" t="n">
        <v>0.07</v>
      </c>
      <c r="AA22" s="58" t="n">
        <v>63</v>
      </c>
      <c r="AB22" s="58" t="n">
        <v>38</v>
      </c>
      <c r="AC22" s="59" t="n">
        <f aca="false">AC21+1</f>
        <v>13</v>
      </c>
      <c r="AD22" s="74" t="n">
        <v>716</v>
      </c>
      <c r="AE22" s="78" t="n">
        <v>1339</v>
      </c>
      <c r="AF22" s="75" t="n">
        <v>1725.1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6895.62</v>
      </c>
      <c r="C23" s="54" t="n">
        <v>267703</v>
      </c>
      <c r="D23" s="58" t="n">
        <f aca="false">C23-C22</f>
        <v>0</v>
      </c>
      <c r="E23" s="54" t="n">
        <f aca="false">C23-152000</f>
        <v>115703</v>
      </c>
      <c r="F23" s="53" t="n">
        <f aca="false">D23/$D$2</f>
        <v>0</v>
      </c>
      <c r="G23" s="53" t="n">
        <v>39.66</v>
      </c>
      <c r="H23" s="55" t="n">
        <v>0</v>
      </c>
      <c r="I23" s="53" t="n">
        <f aca="false">G23+H23</f>
        <v>39.66</v>
      </c>
      <c r="J23" s="77" t="n">
        <f aca="false">IF(L23&gt;0,L23,0)</f>
        <v>0</v>
      </c>
      <c r="K23" s="53" t="n">
        <f aca="false">I23+J23</f>
        <v>39.66</v>
      </c>
      <c r="L23" s="53" t="n">
        <f aca="false">F23-(I23-W23)</f>
        <v>0</v>
      </c>
      <c r="M23" s="53" t="n">
        <v>4.76</v>
      </c>
      <c r="N23" s="53" t="n">
        <v>0</v>
      </c>
      <c r="O23" s="53" t="n">
        <f aca="false">M23-N23</f>
        <v>4.76</v>
      </c>
      <c r="P23" s="53" t="n">
        <v>0</v>
      </c>
      <c r="Q23" s="53" t="n">
        <v>0</v>
      </c>
      <c r="R23" s="53" t="n">
        <f aca="false">SUM(O23:Q23)</f>
        <v>4.76</v>
      </c>
      <c r="S23" s="54"/>
      <c r="T23" s="53" t="n">
        <v>0</v>
      </c>
      <c r="U23" s="53" t="n">
        <v>34.9</v>
      </c>
      <c r="V23" s="54" t="n">
        <f aca="false">V22-U23</f>
        <v>13236.5333148475</v>
      </c>
      <c r="W23" s="53" t="n">
        <f aca="false">R23+T23+N23+U23</f>
        <v>39.66</v>
      </c>
      <c r="X23" s="53" t="n">
        <f aca="false">IF(L23&lt;0,L23*-1,0)</f>
        <v>0</v>
      </c>
      <c r="Y23" s="53" t="n">
        <f aca="false">W23+X23</f>
        <v>39.66</v>
      </c>
      <c r="Z23" s="57" t="n">
        <v>0</v>
      </c>
      <c r="AA23" s="86" t="n">
        <v>70</v>
      </c>
      <c r="AB23" s="58" t="n">
        <v>38</v>
      </c>
      <c r="AC23" s="59" t="n">
        <f aca="false">AC22+1</f>
        <v>14</v>
      </c>
      <c r="AD23" s="74" t="n">
        <v>901</v>
      </c>
      <c r="AE23" s="78" t="n">
        <v>1500</v>
      </c>
      <c r="AF23" s="75" t="n">
        <v>1766.22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6895.62</v>
      </c>
      <c r="C24" s="54" t="n">
        <v>267703</v>
      </c>
      <c r="D24" s="58" t="n">
        <f aca="false">C24-C23</f>
        <v>0</v>
      </c>
      <c r="E24" s="54" t="n">
        <f aca="false">C24-152000</f>
        <v>115703</v>
      </c>
      <c r="F24" s="53" t="n">
        <f aca="false">D24/$D$2</f>
        <v>0</v>
      </c>
      <c r="G24" s="53" t="n">
        <v>37.26</v>
      </c>
      <c r="H24" s="55" t="n">
        <v>0</v>
      </c>
      <c r="I24" s="53" t="n">
        <f aca="false">G24+H24</f>
        <v>37.26</v>
      </c>
      <c r="J24" s="77" t="n">
        <f aca="false">IF(L24&gt;0,L24,0)</f>
        <v>0</v>
      </c>
      <c r="K24" s="53" t="n">
        <f aca="false">I24+J24</f>
        <v>37.26</v>
      </c>
      <c r="L24" s="53" t="n">
        <f aca="false">F24-(I24-W24)</f>
        <v>0</v>
      </c>
      <c r="M24" s="53" t="n">
        <v>4.76</v>
      </c>
      <c r="N24" s="53" t="n">
        <v>0</v>
      </c>
      <c r="O24" s="53" t="n">
        <f aca="false">M24-N24</f>
        <v>4.76</v>
      </c>
      <c r="P24" s="53" t="n">
        <v>0</v>
      </c>
      <c r="Q24" s="53" t="n">
        <v>0</v>
      </c>
      <c r="R24" s="53" t="n">
        <f aca="false">SUM(O24:Q24)</f>
        <v>4.76</v>
      </c>
      <c r="S24" s="54"/>
      <c r="T24" s="53" t="n">
        <v>0</v>
      </c>
      <c r="U24" s="53" t="n">
        <v>32.5</v>
      </c>
      <c r="V24" s="54" t="n">
        <f aca="false">V23-U24</f>
        <v>13204.0333148475</v>
      </c>
      <c r="W24" s="53" t="n">
        <f aca="false">R24+T24+N24+U24</f>
        <v>37.26</v>
      </c>
      <c r="X24" s="53" t="n">
        <f aca="false">IF(L24&lt;0,L24*-1,0)</f>
        <v>0</v>
      </c>
      <c r="Y24" s="53" t="n">
        <f aca="false">W24+X24</f>
        <v>37.26</v>
      </c>
      <c r="Z24" s="57" t="n">
        <v>0</v>
      </c>
      <c r="AA24" s="86" t="n">
        <v>72</v>
      </c>
      <c r="AB24" s="58" t="n">
        <v>44</v>
      </c>
      <c r="AC24" s="59" t="n">
        <f aca="false">AC23+1</f>
        <v>15</v>
      </c>
      <c r="AD24" s="74" t="n">
        <v>1075</v>
      </c>
      <c r="AE24" s="78" t="n">
        <v>1662</v>
      </c>
      <c r="AF24" s="75" t="n">
        <v>1807.54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6895.62</v>
      </c>
      <c r="C25" s="54" t="n">
        <v>267703</v>
      </c>
      <c r="D25" s="58" t="n">
        <f aca="false">C25-C24</f>
        <v>0</v>
      </c>
      <c r="E25" s="54" t="n">
        <f aca="false">C25-152000</f>
        <v>115703</v>
      </c>
      <c r="F25" s="53" t="n">
        <f aca="false">D25/$D$2</f>
        <v>0</v>
      </c>
      <c r="G25" s="53" t="n">
        <v>34.46</v>
      </c>
      <c r="H25" s="55" t="n">
        <v>0</v>
      </c>
      <c r="I25" s="53" t="n">
        <f aca="false">G25+H25</f>
        <v>34.46</v>
      </c>
      <c r="J25" s="77" t="n">
        <f aca="false">IF(L25&gt;0,L25,0)</f>
        <v>0</v>
      </c>
      <c r="K25" s="53" t="n">
        <f aca="false">I25+J25</f>
        <v>34.46</v>
      </c>
      <c r="L25" s="53" t="n">
        <f aca="false">F25-(I25-W25)</f>
        <v>0</v>
      </c>
      <c r="M25" s="53" t="n">
        <v>4.76</v>
      </c>
      <c r="N25" s="53" t="n">
        <v>0</v>
      </c>
      <c r="O25" s="53" t="n">
        <f aca="false">M25-N25</f>
        <v>4.76</v>
      </c>
      <c r="P25" s="53" t="n">
        <v>0</v>
      </c>
      <c r="Q25" s="53" t="n">
        <v>0</v>
      </c>
      <c r="R25" s="53" t="n">
        <f aca="false">SUM(O25:Q25)</f>
        <v>4.76</v>
      </c>
      <c r="S25" s="54"/>
      <c r="T25" s="53" t="n">
        <v>0</v>
      </c>
      <c r="U25" s="53" t="n">
        <v>29.7</v>
      </c>
      <c r="V25" s="54" t="n">
        <f aca="false">V24-U25</f>
        <v>13174.3333148475</v>
      </c>
      <c r="W25" s="53" t="n">
        <f aca="false">R25+T25+N25+U25</f>
        <v>34.46</v>
      </c>
      <c r="X25" s="53" t="n">
        <f aca="false">IF(L25&lt;0,L25*-1,0)</f>
        <v>0</v>
      </c>
      <c r="Y25" s="53" t="n">
        <f aca="false">W25+X25</f>
        <v>34.46</v>
      </c>
      <c r="Z25" s="57" t="n">
        <v>0</v>
      </c>
      <c r="AA25" s="86" t="n">
        <v>76</v>
      </c>
      <c r="AB25" s="58" t="n">
        <v>44</v>
      </c>
      <c r="AC25" s="59" t="n">
        <f aca="false">AC24+1</f>
        <v>16</v>
      </c>
      <c r="AD25" s="74" t="n">
        <v>1313</v>
      </c>
      <c r="AE25" s="87" t="n">
        <v>1828</v>
      </c>
      <c r="AF25" s="75" t="n">
        <v>1858.73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6895.64</v>
      </c>
      <c r="C26" s="54" t="n">
        <v>267774</v>
      </c>
      <c r="D26" s="58" t="n">
        <f aca="false">C26-C25</f>
        <v>71</v>
      </c>
      <c r="E26" s="54" t="n">
        <f aca="false">C26-152000</f>
        <v>115774</v>
      </c>
      <c r="F26" s="53" t="n">
        <f aca="false">D26/$D$2</f>
        <v>35.8043368633384</v>
      </c>
      <c r="G26" s="53" t="n">
        <v>70.2643368633384</v>
      </c>
      <c r="H26" s="55" t="n">
        <v>0</v>
      </c>
      <c r="I26" s="53" t="n">
        <f aca="false">G26+H26</f>
        <v>70.2643368633384</v>
      </c>
      <c r="J26" s="77" t="n">
        <f aca="false">IF(L26&gt;0,L26,0)</f>
        <v>0</v>
      </c>
      <c r="K26" s="53" t="n">
        <f aca="false">I26+J26</f>
        <v>70.2643368633384</v>
      </c>
      <c r="L26" s="53" t="n">
        <f aca="false">F26-(I26-W26)</f>
        <v>0</v>
      </c>
      <c r="M26" s="53" t="n">
        <v>4.76</v>
      </c>
      <c r="N26" s="53" t="n">
        <v>0</v>
      </c>
      <c r="O26" s="53" t="n">
        <f aca="false">M26-N26</f>
        <v>4.76</v>
      </c>
      <c r="P26" s="53" t="n">
        <v>0</v>
      </c>
      <c r="Q26" s="53" t="n">
        <v>0</v>
      </c>
      <c r="R26" s="53" t="n">
        <f aca="false">SUM(O26:Q26)</f>
        <v>4.76</v>
      </c>
      <c r="S26" s="54"/>
      <c r="T26" s="53" t="n">
        <v>0</v>
      </c>
      <c r="U26" s="53" t="n">
        <v>29.7</v>
      </c>
      <c r="V26" s="54" t="n">
        <f aca="false">V25-U26</f>
        <v>13144.6333148475</v>
      </c>
      <c r="W26" s="53" t="n">
        <f aca="false">R26+T26+N26+U26</f>
        <v>34.46</v>
      </c>
      <c r="X26" s="53" t="n">
        <f aca="false">IF(L26&lt;0,L26*-1,0)</f>
        <v>0</v>
      </c>
      <c r="Y26" s="53" t="n">
        <f aca="false">W26+X26</f>
        <v>34.46</v>
      </c>
      <c r="Z26" s="57" t="n">
        <v>0</v>
      </c>
      <c r="AA26" s="86" t="n">
        <v>75</v>
      </c>
      <c r="AB26" s="58" t="n">
        <v>43</v>
      </c>
      <c r="AC26" s="59" t="n">
        <f aca="false">AC25+1</f>
        <v>17</v>
      </c>
      <c r="AD26" s="74" t="n">
        <v>1559</v>
      </c>
      <c r="AE26" s="78" t="n">
        <v>1968</v>
      </c>
      <c r="AF26" s="75" t="n">
        <v>1921.09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6895.67</v>
      </c>
      <c r="C27" s="54" t="n">
        <v>267880</v>
      </c>
      <c r="D27" s="58" t="n">
        <f aca="false">C27-C26</f>
        <v>106</v>
      </c>
      <c r="E27" s="54" t="n">
        <f aca="false">C27-152000</f>
        <v>115880</v>
      </c>
      <c r="F27" s="53" t="n">
        <f aca="false">D27/$D$2</f>
        <v>53.4543620776601</v>
      </c>
      <c r="G27" s="53" t="n">
        <v>87.9143620776601</v>
      </c>
      <c r="H27" s="55" t="n">
        <v>0</v>
      </c>
      <c r="I27" s="53" t="n">
        <f aca="false">G27+H27</f>
        <v>87.9143620776601</v>
      </c>
      <c r="J27" s="77" t="n">
        <f aca="false">IF(L27&gt;0,L27,0)</f>
        <v>0</v>
      </c>
      <c r="K27" s="53" t="n">
        <f aca="false">I27+J27</f>
        <v>87.9143620776601</v>
      </c>
      <c r="L27" s="53" t="n">
        <f aca="false">F27-(I27-W27)</f>
        <v>0</v>
      </c>
      <c r="M27" s="53" t="n">
        <v>4.76</v>
      </c>
      <c r="N27" s="53" t="n">
        <v>0</v>
      </c>
      <c r="O27" s="53" t="n">
        <f aca="false">M27-N27</f>
        <v>4.76</v>
      </c>
      <c r="P27" s="53" t="n">
        <v>0</v>
      </c>
      <c r="Q27" s="53" t="n">
        <v>0</v>
      </c>
      <c r="R27" s="53" t="n">
        <f aca="false">SUM(O27:Q27)</f>
        <v>4.76</v>
      </c>
      <c r="S27" s="54"/>
      <c r="T27" s="53" t="n">
        <v>0</v>
      </c>
      <c r="U27" s="53" t="n">
        <v>29.7</v>
      </c>
      <c r="V27" s="54" t="n">
        <f aca="false">V26-U27</f>
        <v>13114.9333148475</v>
      </c>
      <c r="W27" s="53" t="n">
        <f aca="false">R27+T27+N27+U27</f>
        <v>34.46</v>
      </c>
      <c r="X27" s="53" t="n">
        <f aca="false">IF(L27&lt;0,L27*-1,0)</f>
        <v>0</v>
      </c>
      <c r="Y27" s="53" t="n">
        <f aca="false">W27+X27</f>
        <v>34.46</v>
      </c>
      <c r="Z27" s="57" t="n">
        <v>0</v>
      </c>
      <c r="AA27" s="86" t="n">
        <v>74</v>
      </c>
      <c r="AB27" s="58" t="n">
        <v>40</v>
      </c>
      <c r="AC27" s="59" t="n">
        <f aca="false">AC26+1</f>
        <v>18</v>
      </c>
      <c r="AD27" s="74" t="n">
        <v>1867</v>
      </c>
      <c r="AE27" s="78" t="n">
        <v>2133</v>
      </c>
      <c r="AF27" s="75" t="n">
        <v>1990.83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6895.67</v>
      </c>
      <c r="C28" s="88" t="n">
        <v>267880</v>
      </c>
      <c r="D28" s="58" t="n">
        <f aca="false">C28-C27</f>
        <v>0</v>
      </c>
      <c r="E28" s="54" t="n">
        <f aca="false">C28-152000</f>
        <v>115880</v>
      </c>
      <c r="F28" s="53" t="n">
        <f aca="false">D28/$D$2</f>
        <v>0</v>
      </c>
      <c r="G28" s="53" t="n">
        <v>34.46</v>
      </c>
      <c r="H28" s="55" t="n">
        <v>0</v>
      </c>
      <c r="I28" s="53" t="n">
        <f aca="false">G28+H28</f>
        <v>34.46</v>
      </c>
      <c r="J28" s="77" t="n">
        <f aca="false">IF(L28&gt;0,L28,0)</f>
        <v>0</v>
      </c>
      <c r="K28" s="53" t="n">
        <f aca="false">I28+J28</f>
        <v>34.46</v>
      </c>
      <c r="L28" s="53" t="n">
        <f aca="false">F28-(I28-W28)</f>
        <v>0</v>
      </c>
      <c r="M28" s="53" t="n">
        <v>4.76</v>
      </c>
      <c r="N28" s="53" t="n">
        <v>0</v>
      </c>
      <c r="O28" s="53" t="n">
        <f aca="false">M28-N28</f>
        <v>4.76</v>
      </c>
      <c r="P28" s="53" t="n">
        <v>0</v>
      </c>
      <c r="Q28" s="53" t="n">
        <v>0</v>
      </c>
      <c r="R28" s="53" t="n">
        <f aca="false">SUM(O28:Q28)</f>
        <v>4.76</v>
      </c>
      <c r="S28" s="54"/>
      <c r="T28" s="53" t="n">
        <v>0</v>
      </c>
      <c r="U28" s="53" t="n">
        <v>29.7</v>
      </c>
      <c r="V28" s="54" t="n">
        <f aca="false">V27-U28</f>
        <v>13085.2333148475</v>
      </c>
      <c r="W28" s="53" t="n">
        <f aca="false">R28+T28+N28+U28</f>
        <v>34.46</v>
      </c>
      <c r="X28" s="53" t="n">
        <f aca="false">IF(L28&lt;0,L28*-1,0)</f>
        <v>0</v>
      </c>
      <c r="Y28" s="53" t="n">
        <f aca="false">W28+X28</f>
        <v>34.46</v>
      </c>
      <c r="Z28" s="57" t="n">
        <v>0</v>
      </c>
      <c r="AA28" s="86" t="n">
        <v>75</v>
      </c>
      <c r="AB28" s="58" t="n">
        <v>39</v>
      </c>
      <c r="AC28" s="59" t="n">
        <f aca="false">AC27+1</f>
        <v>19</v>
      </c>
      <c r="AD28" s="74" t="n">
        <v>2157</v>
      </c>
      <c r="AE28" s="78" t="n">
        <v>2304</v>
      </c>
      <c r="AF28" s="75" t="n">
        <v>2064.09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6895.65</v>
      </c>
      <c r="C29" s="54" t="n">
        <v>267809</v>
      </c>
      <c r="D29" s="58" t="n">
        <f aca="false">C29-C28</f>
        <v>-71</v>
      </c>
      <c r="E29" s="54" t="n">
        <f aca="false">C29-152000</f>
        <v>115809</v>
      </c>
      <c r="F29" s="53" t="n">
        <f aca="false">D29/$D$2</f>
        <v>-35.8043368633384</v>
      </c>
      <c r="G29" s="53" t="n">
        <v>0</v>
      </c>
      <c r="H29" s="55" t="n">
        <v>0</v>
      </c>
      <c r="I29" s="53" t="n">
        <f aca="false">G29+H29</f>
        <v>0</v>
      </c>
      <c r="J29" s="77" t="n">
        <f aca="false">IF(L29&gt;0,L29,0)</f>
        <v>0</v>
      </c>
      <c r="K29" s="53" t="n">
        <f aca="false">I29+J29</f>
        <v>0</v>
      </c>
      <c r="L29" s="53" t="n">
        <f aca="false">F29-(I29-W29)</f>
        <v>-1.50433686333838</v>
      </c>
      <c r="M29" s="53" t="n">
        <v>4.6</v>
      </c>
      <c r="N29" s="53" t="n">
        <v>0</v>
      </c>
      <c r="O29" s="53" t="n">
        <f aca="false">M29-N29</f>
        <v>4.6</v>
      </c>
      <c r="P29" s="53" t="n">
        <v>0</v>
      </c>
      <c r="Q29" s="53" t="n">
        <v>0</v>
      </c>
      <c r="R29" s="53" t="n">
        <f aca="false">SUM(O29:Q29)</f>
        <v>4.6</v>
      </c>
      <c r="S29" s="54"/>
      <c r="T29" s="53" t="n">
        <v>0</v>
      </c>
      <c r="U29" s="53" t="n">
        <v>29.7</v>
      </c>
      <c r="V29" s="54" t="n">
        <f aca="false">V28-U29</f>
        <v>13055.5333148475</v>
      </c>
      <c r="W29" s="53" t="n">
        <f aca="false">R29+T29+N29+U29</f>
        <v>34.3</v>
      </c>
      <c r="X29" s="53" t="n">
        <f aca="false">IF(L29&lt;0,L29*-1,0)</f>
        <v>1.50433686333838</v>
      </c>
      <c r="Y29" s="53" t="n">
        <f aca="false">W29+X29</f>
        <v>35.8043368633384</v>
      </c>
      <c r="Z29" s="57" t="n">
        <v>0</v>
      </c>
      <c r="AA29" s="86" t="n">
        <v>72</v>
      </c>
      <c r="AB29" s="58" t="n">
        <v>30</v>
      </c>
      <c r="AC29" s="59" t="n">
        <f aca="false">AC28+1</f>
        <v>20</v>
      </c>
      <c r="AD29" s="74" t="n">
        <v>2443</v>
      </c>
      <c r="AE29" s="78" t="n">
        <v>2474</v>
      </c>
      <c r="AF29" s="75" t="n">
        <v>2135.47</v>
      </c>
    </row>
    <row r="30" customFormat="false" ht="11.1" hidden="false" customHeight="true" outlineLevel="0" collapsed="false">
      <c r="A30" s="59" t="n">
        <f aca="false">A29+1</f>
        <v>21</v>
      </c>
      <c r="B30" s="76" t="n">
        <v>6895.65</v>
      </c>
      <c r="C30" s="54" t="n">
        <v>267809</v>
      </c>
      <c r="D30" s="58" t="n">
        <f aca="false">C30-C29</f>
        <v>0</v>
      </c>
      <c r="E30" s="54" t="n">
        <f aca="false">C30-152000</f>
        <v>115809</v>
      </c>
      <c r="F30" s="53" t="n">
        <f aca="false">D30/$D$2</f>
        <v>0</v>
      </c>
      <c r="G30" s="53" t="n">
        <v>34.1</v>
      </c>
      <c r="H30" s="55" t="n">
        <v>0</v>
      </c>
      <c r="I30" s="53" t="n">
        <f aca="false">G30+H30</f>
        <v>34.1</v>
      </c>
      <c r="J30" s="77" t="n">
        <f aca="false">IF(L30&gt;0,L30,0)</f>
        <v>0</v>
      </c>
      <c r="K30" s="53" t="n">
        <f aca="false">I30+J30</f>
        <v>34.1</v>
      </c>
      <c r="L30" s="53" t="n">
        <f aca="false">F30-(I30-W30)</f>
        <v>0</v>
      </c>
      <c r="M30" s="53" t="n">
        <v>4.4</v>
      </c>
      <c r="N30" s="53" t="n">
        <v>0</v>
      </c>
      <c r="O30" s="53" t="n">
        <f aca="false">M30-N30</f>
        <v>4.4</v>
      </c>
      <c r="P30" s="53" t="n">
        <v>0</v>
      </c>
      <c r="Q30" s="53" t="n">
        <v>0</v>
      </c>
      <c r="R30" s="53" t="n">
        <f aca="false">SUM(O30:Q30)</f>
        <v>4.4</v>
      </c>
      <c r="S30" s="54"/>
      <c r="T30" s="53" t="n">
        <v>0</v>
      </c>
      <c r="U30" s="53" t="n">
        <v>29.7</v>
      </c>
      <c r="V30" s="54" t="n">
        <f aca="false">V29-U30</f>
        <v>13025.8333148475</v>
      </c>
      <c r="W30" s="53" t="n">
        <f aca="false">R30+T30+N30+U30</f>
        <v>34.1</v>
      </c>
      <c r="X30" s="53" t="n">
        <f aca="false">IF(L30&lt;0,L30*-1,0)</f>
        <v>0</v>
      </c>
      <c r="Y30" s="53" t="n">
        <f aca="false">W30+X30</f>
        <v>34.1</v>
      </c>
      <c r="Z30" s="57" t="n">
        <v>0</v>
      </c>
      <c r="AA30" s="58" t="n">
        <v>73</v>
      </c>
      <c r="AB30" s="58" t="n">
        <v>35</v>
      </c>
      <c r="AC30" s="59" t="n">
        <f aca="false">AC29+1</f>
        <v>21</v>
      </c>
      <c r="AD30" s="74" t="n">
        <v>2760</v>
      </c>
      <c r="AE30" s="78" t="n">
        <v>2645</v>
      </c>
      <c r="AF30" s="75" t="n">
        <v>2202.37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6895.67</v>
      </c>
      <c r="C31" s="54" t="n">
        <v>267880</v>
      </c>
      <c r="D31" s="58" t="n">
        <f aca="false">C31-C30</f>
        <v>71</v>
      </c>
      <c r="E31" s="54" t="n">
        <f aca="false">C31-152000</f>
        <v>115880</v>
      </c>
      <c r="F31" s="53" t="n">
        <f aca="false">D31/$D$2</f>
        <v>35.8043368633384</v>
      </c>
      <c r="G31" s="53" t="n">
        <v>70.2843368633384</v>
      </c>
      <c r="H31" s="55" t="n">
        <v>0</v>
      </c>
      <c r="I31" s="53" t="n">
        <f aca="false">G31+H31</f>
        <v>70.2843368633384</v>
      </c>
      <c r="J31" s="77" t="n">
        <f aca="false">IF(L31&gt;0,L31,0)</f>
        <v>0</v>
      </c>
      <c r="K31" s="53" t="n">
        <f aca="false">I31+J31</f>
        <v>70.2843368633384</v>
      </c>
      <c r="L31" s="53" t="n">
        <f aca="false">F31-(I31-W31)</f>
        <v>0</v>
      </c>
      <c r="M31" s="53" t="n">
        <v>4.78</v>
      </c>
      <c r="N31" s="53" t="n">
        <v>0</v>
      </c>
      <c r="O31" s="53" t="n">
        <f aca="false">M31-N31</f>
        <v>4.78</v>
      </c>
      <c r="P31" s="53" t="n">
        <v>0</v>
      </c>
      <c r="Q31" s="53" t="n">
        <v>0</v>
      </c>
      <c r="R31" s="53" t="n">
        <f aca="false">SUM(O31:Q31)</f>
        <v>4.78</v>
      </c>
      <c r="S31" s="54"/>
      <c r="T31" s="53" t="n">
        <v>0</v>
      </c>
      <c r="U31" s="53" t="n">
        <v>29.7</v>
      </c>
      <c r="V31" s="54" t="n">
        <f aca="false">V30-U31</f>
        <v>12996.1333148475</v>
      </c>
      <c r="W31" s="53" t="n">
        <f aca="false">R31+T31+N31+U31</f>
        <v>34.48</v>
      </c>
      <c r="X31" s="53" t="n">
        <f aca="false">IF(L31&lt;0,L31*-1,0)</f>
        <v>0</v>
      </c>
      <c r="Y31" s="53" t="n">
        <f aca="false">W31+X31</f>
        <v>34.48</v>
      </c>
      <c r="Z31" s="57" t="n">
        <v>0</v>
      </c>
      <c r="AA31" s="58" t="n">
        <v>79</v>
      </c>
      <c r="AB31" s="58" t="n">
        <v>40</v>
      </c>
      <c r="AC31" s="59" t="n">
        <f aca="false">AC30+1</f>
        <v>22</v>
      </c>
      <c r="AD31" s="74" t="n">
        <v>3077</v>
      </c>
      <c r="AE31" s="78" t="n">
        <v>2820</v>
      </c>
      <c r="AF31" s="75" t="n">
        <v>2257.56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6895.7</v>
      </c>
      <c r="C32" s="54" t="n">
        <v>267988</v>
      </c>
      <c r="D32" s="58" t="n">
        <f aca="false">C32-C31</f>
        <v>108</v>
      </c>
      <c r="E32" s="54" t="n">
        <f aca="false">C32-152000</f>
        <v>115988</v>
      </c>
      <c r="F32" s="53" t="n">
        <f aca="false">D32/$D$2</f>
        <v>54.4629349470499</v>
      </c>
      <c r="G32" s="53" t="n">
        <v>89.3429349470499</v>
      </c>
      <c r="H32" s="55" t="n">
        <v>0</v>
      </c>
      <c r="I32" s="53" t="n">
        <f aca="false">G32+H32</f>
        <v>89.3429349470499</v>
      </c>
      <c r="J32" s="77" t="n">
        <f aca="false">IF(L32&gt;0,L32,0)</f>
        <v>0</v>
      </c>
      <c r="K32" s="53" t="n">
        <f aca="false">I32+J32</f>
        <v>89.3429349470499</v>
      </c>
      <c r="L32" s="53" t="n">
        <f aca="false">F32-(I32-W32)</f>
        <v>0</v>
      </c>
      <c r="M32" s="53" t="n">
        <v>5.18</v>
      </c>
      <c r="N32" s="53" t="n">
        <v>0</v>
      </c>
      <c r="O32" s="53" t="n">
        <f aca="false">M32-N32</f>
        <v>5.18</v>
      </c>
      <c r="P32" s="53" t="n">
        <v>0</v>
      </c>
      <c r="Q32" s="53" t="n">
        <v>0</v>
      </c>
      <c r="R32" s="53" t="n">
        <f aca="false">SUM(O32:Q32)</f>
        <v>5.18</v>
      </c>
      <c r="S32" s="54"/>
      <c r="T32" s="53" t="n">
        <v>0</v>
      </c>
      <c r="U32" s="53" t="n">
        <v>29.7</v>
      </c>
      <c r="V32" s="54" t="n">
        <f aca="false">V31-U32</f>
        <v>12966.4333148475</v>
      </c>
      <c r="W32" s="53" t="n">
        <f aca="false">R32+T32+N32+U32</f>
        <v>34.88</v>
      </c>
      <c r="X32" s="53" t="n">
        <f aca="false">IF(L32&lt;0,L32*-1,0)</f>
        <v>0</v>
      </c>
      <c r="Y32" s="53" t="n">
        <f aca="false">W32+X32</f>
        <v>34.88</v>
      </c>
      <c r="Z32" s="57" t="n">
        <v>0</v>
      </c>
      <c r="AA32" s="58" t="n">
        <v>80</v>
      </c>
      <c r="AB32" s="86" t="n">
        <v>46</v>
      </c>
      <c r="AC32" s="59" t="n">
        <f aca="false">AC31+1</f>
        <v>23</v>
      </c>
      <c r="AD32" s="74" t="n">
        <v>3431</v>
      </c>
      <c r="AE32" s="78" t="n">
        <v>2986</v>
      </c>
      <c r="AF32" s="75" t="n">
        <v>2305.82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6895.72</v>
      </c>
      <c r="C33" s="54" t="n">
        <v>268059</v>
      </c>
      <c r="D33" s="58" t="n">
        <f aca="false">C33-C32</f>
        <v>71</v>
      </c>
      <c r="E33" s="54" t="n">
        <f aca="false">C33-152000</f>
        <v>116059</v>
      </c>
      <c r="F33" s="53" t="n">
        <f aca="false">D33/$D$2</f>
        <v>35.8043368633384</v>
      </c>
      <c r="G33" s="53" t="n">
        <v>70.6343368633384</v>
      </c>
      <c r="H33" s="55" t="n">
        <v>0</v>
      </c>
      <c r="I33" s="53" t="n">
        <f aca="false">G33+H33</f>
        <v>70.6343368633384</v>
      </c>
      <c r="J33" s="77" t="n">
        <f aca="false">IF(L33&gt;0,L33,0)</f>
        <v>0</v>
      </c>
      <c r="K33" s="53" t="n">
        <f aca="false">I33+J33</f>
        <v>70.6343368633384</v>
      </c>
      <c r="L33" s="53" t="n">
        <f aca="false">F33-(I33-W33)</f>
        <v>0</v>
      </c>
      <c r="M33" s="53" t="n">
        <v>5.13</v>
      </c>
      <c r="N33" s="53" t="n">
        <v>0</v>
      </c>
      <c r="O33" s="53" t="n">
        <f aca="false">M33-N33</f>
        <v>5.13</v>
      </c>
      <c r="P33" s="53" t="n">
        <v>0</v>
      </c>
      <c r="Q33" s="53" t="n">
        <v>0</v>
      </c>
      <c r="R33" s="53" t="n">
        <f aca="false">SUM(O33:Q33)</f>
        <v>5.13</v>
      </c>
      <c r="S33" s="54"/>
      <c r="T33" s="53" t="n">
        <v>0</v>
      </c>
      <c r="U33" s="53" t="n">
        <v>29.7</v>
      </c>
      <c r="V33" s="54" t="n">
        <f aca="false">V32-U33</f>
        <v>12936.7333148475</v>
      </c>
      <c r="W33" s="53" t="n">
        <f aca="false">R33+T33+N33+U33</f>
        <v>34.83</v>
      </c>
      <c r="X33" s="53" t="n">
        <f aca="false">IF(L33&lt;0,L33*-1,0)</f>
        <v>0</v>
      </c>
      <c r="Y33" s="53" t="n">
        <f aca="false">W33+X33</f>
        <v>34.83</v>
      </c>
      <c r="Z33" s="57" t="n">
        <v>0</v>
      </c>
      <c r="AA33" s="58" t="n">
        <v>76</v>
      </c>
      <c r="AB33" s="86" t="n">
        <v>48</v>
      </c>
      <c r="AC33" s="59" t="n">
        <f aca="false">AC32+1</f>
        <v>24</v>
      </c>
      <c r="AD33" s="74" t="n">
        <v>3778</v>
      </c>
      <c r="AE33" s="78" t="n">
        <v>3159</v>
      </c>
      <c r="AF33" s="75" t="n">
        <v>2351.3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6895.74</v>
      </c>
      <c r="C34" s="54" t="n">
        <v>268131</v>
      </c>
      <c r="D34" s="58" t="n">
        <f aca="false">C34-C33</f>
        <v>72</v>
      </c>
      <c r="E34" s="54" t="n">
        <f aca="false">C34-152000</f>
        <v>116131</v>
      </c>
      <c r="F34" s="53" t="n">
        <f aca="false">D34/$D$2</f>
        <v>36.3086232980333</v>
      </c>
      <c r="G34" s="53" t="n">
        <v>71.1386232980333</v>
      </c>
      <c r="H34" s="55" t="n">
        <v>0</v>
      </c>
      <c r="I34" s="53" t="n">
        <f aca="false">G34+H34</f>
        <v>71.1386232980333</v>
      </c>
      <c r="J34" s="77" t="n">
        <f aca="false">IF(L34&gt;0,L34,0)</f>
        <v>0</v>
      </c>
      <c r="K34" s="53" t="n">
        <f aca="false">I34+J34</f>
        <v>71.1386232980333</v>
      </c>
      <c r="L34" s="53" t="n">
        <f aca="false">F34-(I34-W34)</f>
        <v>0</v>
      </c>
      <c r="M34" s="53" t="n">
        <v>5.13</v>
      </c>
      <c r="N34" s="53" t="n">
        <v>0</v>
      </c>
      <c r="O34" s="53" t="n">
        <f aca="false">M34-N34</f>
        <v>5.13</v>
      </c>
      <c r="P34" s="53" t="n">
        <v>0</v>
      </c>
      <c r="Q34" s="53" t="n">
        <v>0</v>
      </c>
      <c r="R34" s="53" t="n">
        <f aca="false">SUM(O34:Q34)</f>
        <v>5.13</v>
      </c>
      <c r="S34" s="54"/>
      <c r="T34" s="53" t="n">
        <v>0</v>
      </c>
      <c r="U34" s="53" t="n">
        <v>29.7</v>
      </c>
      <c r="V34" s="54" t="n">
        <f aca="false">V33-U34</f>
        <v>12907.0333148475</v>
      </c>
      <c r="W34" s="53" t="n">
        <f aca="false">R34+T34+N34+U34</f>
        <v>34.83</v>
      </c>
      <c r="X34" s="53" t="n">
        <f aca="false">IF(L34&lt;0,L34*-1,0)</f>
        <v>0</v>
      </c>
      <c r="Y34" s="53" t="n">
        <f aca="false">W34+X34</f>
        <v>34.83</v>
      </c>
      <c r="Z34" s="57" t="n">
        <v>0</v>
      </c>
      <c r="AA34" s="58" t="n">
        <v>71</v>
      </c>
      <c r="AB34" s="86" t="n">
        <v>40</v>
      </c>
      <c r="AC34" s="59" t="n">
        <f aca="false">AC33+1</f>
        <v>25</v>
      </c>
      <c r="AD34" s="74" t="n">
        <v>4048</v>
      </c>
      <c r="AE34" s="78" t="n">
        <v>3332</v>
      </c>
      <c r="AF34" s="75" t="n">
        <v>2362.83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6895.74</v>
      </c>
      <c r="C35" s="54" t="n">
        <v>268131</v>
      </c>
      <c r="D35" s="58" t="n">
        <f aca="false">C35-C34</f>
        <v>0</v>
      </c>
      <c r="E35" s="54" t="n">
        <f aca="false">C35-152000</f>
        <v>116131</v>
      </c>
      <c r="F35" s="53" t="n">
        <f aca="false">D35/$D$2</f>
        <v>0</v>
      </c>
      <c r="G35" s="53" t="n">
        <v>34.83</v>
      </c>
      <c r="H35" s="55" t="n">
        <v>0</v>
      </c>
      <c r="I35" s="53" t="n">
        <f aca="false">G35+H35</f>
        <v>34.83</v>
      </c>
      <c r="J35" s="77" t="n">
        <f aca="false">IF(L35&gt;0,L35,0)</f>
        <v>0</v>
      </c>
      <c r="K35" s="53" t="n">
        <f aca="false">I35+J35</f>
        <v>34.83</v>
      </c>
      <c r="L35" s="53" t="n">
        <f aca="false">F35-(I35-W35)</f>
        <v>0</v>
      </c>
      <c r="M35" s="53" t="n">
        <v>5.13</v>
      </c>
      <c r="N35" s="53" t="n">
        <v>0</v>
      </c>
      <c r="O35" s="53" t="n">
        <f aca="false">M35-N35</f>
        <v>5.13</v>
      </c>
      <c r="P35" s="53" t="n">
        <v>0</v>
      </c>
      <c r="Q35" s="53" t="n">
        <v>0</v>
      </c>
      <c r="R35" s="53" t="n">
        <f aca="false">SUM(O35:Q35)</f>
        <v>5.13</v>
      </c>
      <c r="S35" s="54"/>
      <c r="T35" s="53" t="n">
        <v>0</v>
      </c>
      <c r="U35" s="53" t="n">
        <v>29.7</v>
      </c>
      <c r="V35" s="54" t="n">
        <f aca="false">V34-U35</f>
        <v>12877.3333148475</v>
      </c>
      <c r="W35" s="53" t="n">
        <f aca="false">R35+T35+N35+U35</f>
        <v>34.83</v>
      </c>
      <c r="X35" s="53" t="n">
        <f aca="false">IF(L35&lt;0,L35*-1,0)</f>
        <v>0</v>
      </c>
      <c r="Y35" s="53" t="n">
        <f aca="false">W35+X35</f>
        <v>34.83</v>
      </c>
      <c r="Z35" s="57" t="n">
        <v>0</v>
      </c>
      <c r="AA35" s="58" t="n">
        <v>63</v>
      </c>
      <c r="AB35" s="58" t="n">
        <v>35</v>
      </c>
      <c r="AC35" s="59" t="n">
        <f aca="false">AC34+1</f>
        <v>26</v>
      </c>
      <c r="AD35" s="74" t="n">
        <v>4274</v>
      </c>
      <c r="AE35" s="78" t="n">
        <v>3506</v>
      </c>
      <c r="AF35" s="75" t="n">
        <v>2362.83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6895.77</v>
      </c>
      <c r="C36" s="54" t="n">
        <v>268237</v>
      </c>
      <c r="D36" s="58" t="n">
        <f aca="false">C36-C35</f>
        <v>106</v>
      </c>
      <c r="E36" s="54" t="n">
        <f aca="false">C36-152000</f>
        <v>116237</v>
      </c>
      <c r="F36" s="53" t="n">
        <f aca="false">D36/$D$2</f>
        <v>53.4543620776601</v>
      </c>
      <c r="G36" s="53" t="n">
        <v>88.1243620776601</v>
      </c>
      <c r="H36" s="55" t="n">
        <v>0</v>
      </c>
      <c r="I36" s="53" t="n">
        <f aca="false">G36+H36</f>
        <v>88.1243620776601</v>
      </c>
      <c r="J36" s="77" t="n">
        <f aca="false">IF(L36&gt;0,L36,0)</f>
        <v>0</v>
      </c>
      <c r="K36" s="53" t="n">
        <f aca="false">I36+J36</f>
        <v>88.1243620776601</v>
      </c>
      <c r="L36" s="53" t="n">
        <f aca="false">F36-(I36-W36)</f>
        <v>0</v>
      </c>
      <c r="M36" s="53" t="n">
        <v>4.97</v>
      </c>
      <c r="N36" s="53" t="n">
        <v>0</v>
      </c>
      <c r="O36" s="53" t="n">
        <f aca="false">M36-N36</f>
        <v>4.97</v>
      </c>
      <c r="P36" s="53" t="n">
        <v>0</v>
      </c>
      <c r="Q36" s="53" t="n">
        <v>0</v>
      </c>
      <c r="R36" s="53" t="n">
        <f aca="false">SUM(O36:Q36)</f>
        <v>4.97</v>
      </c>
      <c r="S36" s="54"/>
      <c r="T36" s="53" t="n">
        <v>0</v>
      </c>
      <c r="U36" s="53" t="n">
        <v>29.7</v>
      </c>
      <c r="V36" s="54" t="n">
        <f aca="false">V35-U36</f>
        <v>12847.6333148475</v>
      </c>
      <c r="W36" s="53" t="n">
        <f aca="false">R36+T36+N36+U36</f>
        <v>34.67</v>
      </c>
      <c r="X36" s="53" t="n">
        <f aca="false">IF(L36&lt;0,L36*-1,0)</f>
        <v>0</v>
      </c>
      <c r="Y36" s="53" t="n">
        <f aca="false">W36+X36</f>
        <v>34.67</v>
      </c>
      <c r="Z36" s="57" t="n">
        <v>0</v>
      </c>
      <c r="AA36" s="58" t="n">
        <v>67</v>
      </c>
      <c r="AB36" s="58" t="n">
        <v>40</v>
      </c>
      <c r="AC36" s="59" t="n">
        <f aca="false">AC35+1</f>
        <v>27</v>
      </c>
      <c r="AD36" s="74" t="n">
        <v>4501</v>
      </c>
      <c r="AE36" s="78" t="n">
        <v>3671</v>
      </c>
      <c r="AF36" s="75" t="n">
        <v>2362.83</v>
      </c>
    </row>
    <row r="37" customFormat="false" ht="11.1" hidden="false" customHeight="true" outlineLevel="0" collapsed="false">
      <c r="A37" s="59" t="n">
        <f aca="false">A36+1</f>
        <v>28</v>
      </c>
      <c r="B37" s="76" t="n">
        <v>6895.79</v>
      </c>
      <c r="C37" s="54" t="n">
        <v>268308</v>
      </c>
      <c r="D37" s="58" t="n">
        <f aca="false">C37-C36</f>
        <v>71</v>
      </c>
      <c r="E37" s="54" t="n">
        <f aca="false">C37-152000</f>
        <v>116308</v>
      </c>
      <c r="F37" s="53" t="n">
        <f aca="false">D37/$D$2</f>
        <v>35.8043368633384</v>
      </c>
      <c r="G37" s="53" t="n">
        <v>70.1943368633384</v>
      </c>
      <c r="H37" s="55" t="n">
        <v>0</v>
      </c>
      <c r="I37" s="53" t="n">
        <f aca="false">G37+H37</f>
        <v>70.1943368633384</v>
      </c>
      <c r="J37" s="77" t="n">
        <f aca="false">IF(L37&gt;0,L37,0)</f>
        <v>0</v>
      </c>
      <c r="K37" s="53" t="n">
        <f aca="false">I37+J37</f>
        <v>70.1943368633384</v>
      </c>
      <c r="L37" s="53" t="n">
        <f aca="false">F37-(I37-W37)</f>
        <v>0</v>
      </c>
      <c r="M37" s="53" t="n">
        <v>4.69</v>
      </c>
      <c r="N37" s="53" t="n">
        <v>0</v>
      </c>
      <c r="O37" s="53" t="n">
        <f aca="false">M37-N37</f>
        <v>4.69</v>
      </c>
      <c r="P37" s="53" t="n">
        <v>0</v>
      </c>
      <c r="Q37" s="53" t="n">
        <v>0</v>
      </c>
      <c r="R37" s="53" t="n">
        <f aca="false">SUM(O37:Q37)</f>
        <v>4.69</v>
      </c>
      <c r="S37" s="54"/>
      <c r="T37" s="53" t="n">
        <v>0</v>
      </c>
      <c r="U37" s="53" t="n">
        <v>29.7</v>
      </c>
      <c r="V37" s="54" t="n">
        <f aca="false">V36-U37</f>
        <v>12817.9333148475</v>
      </c>
      <c r="W37" s="53" t="n">
        <f aca="false">R37+T37+N37+U37</f>
        <v>34.39</v>
      </c>
      <c r="X37" s="53" t="n">
        <f aca="false">IF(L37&lt;0,L37*-1,0)</f>
        <v>0</v>
      </c>
      <c r="Y37" s="53" t="n">
        <f aca="false">W37+X37</f>
        <v>34.39</v>
      </c>
      <c r="Z37" s="57" t="n">
        <v>0</v>
      </c>
      <c r="AA37" s="58" t="n">
        <v>78</v>
      </c>
      <c r="AB37" s="58" t="n">
        <v>45</v>
      </c>
      <c r="AC37" s="59" t="n">
        <f aca="false">AC36+1</f>
        <v>28</v>
      </c>
      <c r="AD37" s="74" t="n">
        <v>4723</v>
      </c>
      <c r="AE37" s="78" t="n">
        <v>3836</v>
      </c>
      <c r="AF37" s="75" t="n">
        <v>2362.83</v>
      </c>
    </row>
    <row r="38" customFormat="false" ht="11.1" hidden="false" customHeight="true" outlineLevel="0" collapsed="false">
      <c r="A38" s="59" t="n">
        <f aca="false">A37+1</f>
        <v>29</v>
      </c>
      <c r="B38" s="76" t="n">
        <v>6895.79</v>
      </c>
      <c r="C38" s="54" t="n">
        <v>268308</v>
      </c>
      <c r="D38" s="58" t="n">
        <f aca="false">C38-C37</f>
        <v>0</v>
      </c>
      <c r="E38" s="54" t="n">
        <f aca="false">C38-152000</f>
        <v>116308</v>
      </c>
      <c r="F38" s="53" t="n">
        <f aca="false">D38/$D$2</f>
        <v>0</v>
      </c>
      <c r="G38" s="53" t="n">
        <v>34.83</v>
      </c>
      <c r="H38" s="55" t="n">
        <v>0</v>
      </c>
      <c r="I38" s="53" t="n">
        <f aca="false">G38+H38</f>
        <v>34.83</v>
      </c>
      <c r="J38" s="77" t="n">
        <f aca="false">IF(L38&gt;0,L38,0)</f>
        <v>0</v>
      </c>
      <c r="K38" s="53" t="n">
        <f aca="false">I38+J38</f>
        <v>34.83</v>
      </c>
      <c r="L38" s="53" t="n">
        <f aca="false">F38-(I38-W38)</f>
        <v>0</v>
      </c>
      <c r="M38" s="53" t="n">
        <v>5.13</v>
      </c>
      <c r="N38" s="53" t="n">
        <v>0</v>
      </c>
      <c r="O38" s="53" t="n">
        <f aca="false">M38-N38</f>
        <v>5.13</v>
      </c>
      <c r="P38" s="53" t="n">
        <v>0</v>
      </c>
      <c r="Q38" s="53" t="n">
        <v>0</v>
      </c>
      <c r="R38" s="53" t="n">
        <f aca="false">SUM(O38:Q38)</f>
        <v>5.13</v>
      </c>
      <c r="S38" s="54"/>
      <c r="T38" s="53" t="n">
        <v>0</v>
      </c>
      <c r="U38" s="53" t="n">
        <v>29.7</v>
      </c>
      <c r="V38" s="54" t="n">
        <f aca="false">V37-U38</f>
        <v>12788.2333148475</v>
      </c>
      <c r="W38" s="53" t="n">
        <f aca="false">R38+T38+N38+U38</f>
        <v>34.83</v>
      </c>
      <c r="X38" s="53" t="n">
        <f aca="false">IF(L38&lt;0,L38*-1,0)</f>
        <v>0</v>
      </c>
      <c r="Y38" s="53" t="n">
        <f aca="false">W38+X38</f>
        <v>34.83</v>
      </c>
      <c r="Z38" s="57" t="n">
        <v>0</v>
      </c>
      <c r="AA38" s="86" t="n">
        <v>78</v>
      </c>
      <c r="AB38" s="58" t="n">
        <v>44</v>
      </c>
      <c r="AC38" s="59" t="n">
        <f aca="false">AC37+1</f>
        <v>29</v>
      </c>
      <c r="AD38" s="74" t="n">
        <v>4963</v>
      </c>
      <c r="AE38" s="78" t="n">
        <v>4000</v>
      </c>
      <c r="AF38" s="75" t="n">
        <v>2362.83</v>
      </c>
    </row>
    <row r="39" customFormat="false" ht="11.1" hidden="false" customHeight="true" outlineLevel="0" collapsed="false">
      <c r="A39" s="59" t="n">
        <v>30</v>
      </c>
      <c r="B39" s="76" t="n">
        <v>6895.77</v>
      </c>
      <c r="C39" s="54" t="n">
        <v>268237</v>
      </c>
      <c r="D39" s="58" t="n">
        <f aca="false">C39-C38</f>
        <v>-71</v>
      </c>
      <c r="E39" s="54" t="n">
        <f aca="false">C39-152000</f>
        <v>116237</v>
      </c>
      <c r="F39" s="53" t="n">
        <f aca="false">D39/$D$2</f>
        <v>-35.8043368633384</v>
      </c>
      <c r="G39" s="53" t="n">
        <v>0</v>
      </c>
      <c r="H39" s="55" t="n">
        <v>0</v>
      </c>
      <c r="I39" s="53" t="n">
        <f aca="false">G39+H39</f>
        <v>0</v>
      </c>
      <c r="J39" s="77" t="n">
        <f aca="false">IF(L39&gt;0,L39,0)</f>
        <v>0</v>
      </c>
      <c r="K39" s="53" t="n">
        <f aca="false">I39+J39</f>
        <v>0</v>
      </c>
      <c r="L39" s="53" t="n">
        <f aca="false">F39-(I39-W39)</f>
        <v>-0.744336863338376</v>
      </c>
      <c r="M39" s="53" t="n">
        <v>5.36</v>
      </c>
      <c r="N39" s="53" t="n">
        <v>0</v>
      </c>
      <c r="O39" s="53" t="n">
        <f aca="false">M39-N39</f>
        <v>5.36</v>
      </c>
      <c r="P39" s="53" t="n">
        <v>0</v>
      </c>
      <c r="Q39" s="53" t="n">
        <v>0</v>
      </c>
      <c r="R39" s="53" t="n">
        <f aca="false">SUM(O39:Q39)</f>
        <v>5.36</v>
      </c>
      <c r="S39" s="54"/>
      <c r="T39" s="53" t="n">
        <v>0</v>
      </c>
      <c r="U39" s="53" t="n">
        <v>29.7</v>
      </c>
      <c r="V39" s="54" t="n">
        <f aca="false">V38-U39</f>
        <v>12758.5333148475</v>
      </c>
      <c r="W39" s="53" t="n">
        <f aca="false">R39+T39+N39+U39</f>
        <v>35.06</v>
      </c>
      <c r="X39" s="53" t="n">
        <f aca="false">IF(L39&lt;0,L39*-1,0)</f>
        <v>0.744336863338376</v>
      </c>
      <c r="Y39" s="53" t="n">
        <f aca="false">W39+X39</f>
        <v>35.8043368633384</v>
      </c>
      <c r="Z39" s="57" t="n">
        <v>0</v>
      </c>
      <c r="AA39" s="86" t="n">
        <v>84</v>
      </c>
      <c r="AB39" s="58" t="n">
        <v>46</v>
      </c>
      <c r="AC39" s="59" t="n">
        <v>30</v>
      </c>
      <c r="AD39" s="74" t="n">
        <v>5210</v>
      </c>
      <c r="AE39" s="78" t="n">
        <v>4166</v>
      </c>
      <c r="AF39" s="75" t="n">
        <v>2362.83</v>
      </c>
    </row>
    <row r="40" customFormat="false" ht="11.1" hidden="false" customHeight="true" outlineLevel="0" collapsed="false">
      <c r="A40" s="59" t="n">
        <v>31</v>
      </c>
      <c r="B40" s="76" t="n">
        <v>6895.8</v>
      </c>
      <c r="C40" s="54" t="n">
        <v>268343</v>
      </c>
      <c r="D40" s="58" t="n">
        <f aca="false">C40-C39</f>
        <v>106</v>
      </c>
      <c r="E40" s="54" t="n">
        <f aca="false">C40-152000</f>
        <v>116343</v>
      </c>
      <c r="F40" s="53" t="n">
        <f aca="false">D40/$D$2</f>
        <v>53.4543620776601</v>
      </c>
      <c r="G40" s="53" t="n">
        <v>88.6643620776601</v>
      </c>
      <c r="H40" s="55" t="n">
        <v>0</v>
      </c>
      <c r="I40" s="53" t="n">
        <f aca="false">G40+H40</f>
        <v>88.6643620776601</v>
      </c>
      <c r="J40" s="77" t="n">
        <f aca="false">IF(L40&gt;0,L40,0)</f>
        <v>0</v>
      </c>
      <c r="K40" s="53" t="n">
        <f aca="false">I40+J40</f>
        <v>88.6643620776601</v>
      </c>
      <c r="L40" s="53" t="n">
        <f aca="false">F40-(I40-W40)</f>
        <v>0</v>
      </c>
      <c r="M40" s="53" t="n">
        <v>5.51</v>
      </c>
      <c r="N40" s="53" t="n">
        <v>0</v>
      </c>
      <c r="O40" s="53" t="n">
        <f aca="false">M40-N40</f>
        <v>5.51</v>
      </c>
      <c r="P40" s="53" t="n">
        <v>0</v>
      </c>
      <c r="Q40" s="53" t="n">
        <v>0</v>
      </c>
      <c r="R40" s="53" t="n">
        <f aca="false">SUM(O40:Q40)</f>
        <v>5.51</v>
      </c>
      <c r="S40" s="54"/>
      <c r="T40" s="53" t="n">
        <v>0</v>
      </c>
      <c r="U40" s="53" t="n">
        <v>29.7</v>
      </c>
      <c r="V40" s="54" t="n">
        <f aca="false">V39-U40</f>
        <v>12728.8333148475</v>
      </c>
      <c r="W40" s="53" t="n">
        <f aca="false">R40+T40+N40+U40</f>
        <v>35.21</v>
      </c>
      <c r="X40" s="53" t="n">
        <f aca="false">IF(L40&lt;0,L40*-1,0)</f>
        <v>0</v>
      </c>
      <c r="Y40" s="53" t="n">
        <f aca="false">W40+X40</f>
        <v>35.21</v>
      </c>
      <c r="Z40" s="57" t="n">
        <v>0</v>
      </c>
      <c r="AA40" s="86" t="n">
        <v>82</v>
      </c>
      <c r="AB40" s="58" t="n">
        <v>46</v>
      </c>
      <c r="AC40" s="59" t="n">
        <v>31</v>
      </c>
      <c r="AD40" s="74" t="n">
        <v>5455</v>
      </c>
      <c r="AE40" s="74" t="n">
        <v>4334</v>
      </c>
      <c r="AF40" s="75" t="n">
        <v>2403.37</v>
      </c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771.558245083207</v>
      </c>
      <c r="G42" s="54" t="n">
        <f aca="false">SUM(G10:G40)</f>
        <v>1921.71691880988</v>
      </c>
      <c r="H42" s="54" t="n">
        <f aca="false">SUM(H10:H40)</f>
        <v>0</v>
      </c>
      <c r="I42" s="54" t="n">
        <f aca="false">SUM(I10:I40)</f>
        <v>1921.71691880988</v>
      </c>
      <c r="J42" s="54" t="n">
        <f aca="false">SUM(J10:J40)</f>
        <v>0</v>
      </c>
      <c r="K42" s="54" t="n">
        <f aca="false">SUM(K10:K40)</f>
        <v>1921.71691880988</v>
      </c>
      <c r="L42" s="54" t="n">
        <f aca="false">SUM(L10:L40)</f>
        <v>-2.24867372667676</v>
      </c>
      <c r="M42" s="54" t="n">
        <f aca="false">SUM(M10:M40)</f>
        <v>150.71</v>
      </c>
      <c r="N42" s="54" t="n">
        <f aca="false">SUM(N10:N40)</f>
        <v>0</v>
      </c>
      <c r="O42" s="54" t="n">
        <f aca="false">SUM(O10:O40)</f>
        <v>150.71</v>
      </c>
      <c r="P42" s="54" t="n">
        <f aca="false">SUM(P10:P40)</f>
        <v>0</v>
      </c>
      <c r="Q42" s="54" t="n">
        <f aca="false">SUM(Q10:Q40)</f>
        <v>0</v>
      </c>
      <c r="R42" s="54" t="n">
        <f aca="false">SUM(R10:R40)</f>
        <v>150.71</v>
      </c>
      <c r="S42" s="54"/>
      <c r="T42" s="54" t="n">
        <f aca="false">SUM(T10:T40)</f>
        <v>0</v>
      </c>
      <c r="U42" s="54" t="n">
        <f aca="false">SUM(U10:U40)</f>
        <v>997.2</v>
      </c>
      <c r="V42" s="54" t="n">
        <f aca="false">V40</f>
        <v>12728.8333148475</v>
      </c>
      <c r="W42" s="54" t="n">
        <f aca="false">SUM(W10:W40)</f>
        <v>1147.91</v>
      </c>
      <c r="X42" s="54" t="n">
        <f aca="false">SUM(X10:X40)</f>
        <v>2.24867372667676</v>
      </c>
      <c r="Y42" s="54" t="n">
        <f aca="false">SUM(Y10:Y40)</f>
        <v>1150.15867372668</v>
      </c>
      <c r="Z42" s="57" t="n">
        <f aca="false">SUM(Z10:Z40)</f>
        <v>1.23</v>
      </c>
      <c r="AA42" s="58" t="n">
        <f aca="false">AVERAGE(AA10:AA40)</f>
        <v>71.4516129032258</v>
      </c>
      <c r="AB42" s="58" t="n">
        <f aca="false">AVERAGE(AB10:AB40)</f>
        <v>40.1612903225807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1530</v>
      </c>
      <c r="E43" s="54"/>
      <c r="F43" s="54" t="n">
        <f aca="false">F42*$D$2</f>
        <v>1530</v>
      </c>
      <c r="G43" s="54" t="n">
        <f aca="false">G42*$D$2</f>
        <v>3810.76465</v>
      </c>
      <c r="H43" s="54" t="n">
        <f aca="false">H42*$D$2</f>
        <v>0</v>
      </c>
      <c r="I43" s="54" t="n">
        <f aca="false">I42*$D$2</f>
        <v>3810.76465</v>
      </c>
      <c r="J43" s="54" t="n">
        <f aca="false">J42*$D$2</f>
        <v>0</v>
      </c>
      <c r="K43" s="54" t="n">
        <f aca="false">K42*$D$2</f>
        <v>3810.76465</v>
      </c>
      <c r="L43" s="54" t="n">
        <f aca="false">L42*$D$2</f>
        <v>-4.45912000000001</v>
      </c>
      <c r="M43" s="54" t="n">
        <f aca="false">M42*$D$2</f>
        <v>298.85793</v>
      </c>
      <c r="N43" s="54" t="n">
        <f aca="false">N42*$D$2</f>
        <v>0</v>
      </c>
      <c r="O43" s="54" t="n">
        <f aca="false">O42*$D$2</f>
        <v>298.85793</v>
      </c>
      <c r="P43" s="54" t="n">
        <f aca="false">P42*$D$2</f>
        <v>0</v>
      </c>
      <c r="Q43" s="54" t="n">
        <f aca="false">Q42*$D$2</f>
        <v>0</v>
      </c>
      <c r="R43" s="54" t="n">
        <f aca="false">R42*$D$2</f>
        <v>298.85793</v>
      </c>
      <c r="S43" s="54"/>
      <c r="T43" s="54" t="n">
        <f aca="false">T42*$D$2</f>
        <v>0</v>
      </c>
      <c r="U43" s="54" t="n">
        <f aca="false">U42*$D$2</f>
        <v>1977.4476</v>
      </c>
      <c r="V43" s="54" t="n">
        <f aca="false">V42*$D$2</f>
        <v>25241.2764633425</v>
      </c>
      <c r="W43" s="54" t="n">
        <f aca="false">W42*$D$2</f>
        <v>2276.30553</v>
      </c>
      <c r="X43" s="54" t="n">
        <f aca="false">X42*$D$2</f>
        <v>4.45912000000001</v>
      </c>
      <c r="Y43" s="54" t="n">
        <f aca="false">Y42*$D$2</f>
        <v>2280.76465</v>
      </c>
      <c r="Z43" s="57"/>
      <c r="AA43" s="58" t="n">
        <f aca="false">MAX(AA10:AA40)</f>
        <v>84</v>
      </c>
      <c r="AB43" s="58" t="n">
        <f aca="false">MAX(AB10:AB40)</f>
        <v>48</v>
      </c>
      <c r="AC43" s="59" t="s">
        <v>47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7"/>
      <c r="AA45" s="58" t="n">
        <f aca="false">MIN(AA10:AA40)</f>
        <v>54</v>
      </c>
      <c r="AB45" s="58" t="n">
        <f aca="false">MIN(AB10:AB40)</f>
        <v>30</v>
      </c>
      <c r="AC45" s="59" t="s">
        <v>49</v>
      </c>
      <c r="AD45" s="74"/>
      <c r="AE45" s="74"/>
      <c r="AF45" s="75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897.629853756934</v>
      </c>
      <c r="G48" s="54" t="n">
        <f aca="false">G8+G42</f>
        <v>3716.41691880988</v>
      </c>
      <c r="H48" s="58" t="n">
        <f aca="false">H8+H42</f>
        <v>0</v>
      </c>
      <c r="I48" s="54" t="n">
        <f aca="false">I8+I42</f>
        <v>3716.31691880988</v>
      </c>
      <c r="J48" s="54" t="n">
        <f aca="false">J8+J42</f>
        <v>541.35061522945</v>
      </c>
      <c r="K48" s="54" t="n">
        <f aca="false">K8+K42</f>
        <v>4257.66753403933</v>
      </c>
      <c r="L48" s="54" t="n">
        <f aca="false">L8+L42</f>
        <v>403.60293494705</v>
      </c>
      <c r="M48" s="54" t="n">
        <f aca="false">M8+M42</f>
        <v>355.21</v>
      </c>
      <c r="N48" s="54" t="n">
        <f aca="false">N8+N42</f>
        <v>0</v>
      </c>
      <c r="O48" s="54" t="n">
        <f aca="false">O8+O42</f>
        <v>150.71</v>
      </c>
      <c r="P48" s="54" t="n">
        <f aca="false">P8+P42</f>
        <v>680.36</v>
      </c>
      <c r="Q48" s="54" t="n">
        <f aca="false">Q8+Q42</f>
        <v>0</v>
      </c>
      <c r="R48" s="54" t="n">
        <f aca="false">R8+R42</f>
        <v>911.57</v>
      </c>
      <c r="S48" s="54"/>
      <c r="T48" s="54" t="n">
        <f aca="false">T8+T42</f>
        <v>0</v>
      </c>
      <c r="U48" s="54" t="n">
        <f aca="false">U8+U42</f>
        <v>2186.72</v>
      </c>
      <c r="V48" s="54" t="n">
        <f aca="false">V40</f>
        <v>12728.8333148475</v>
      </c>
      <c r="W48" s="54" t="n">
        <f aca="false">W8+W42</f>
        <v>3222.29</v>
      </c>
      <c r="X48" s="54" t="n">
        <f aca="false">X8+X42</f>
        <v>137.7476802824</v>
      </c>
      <c r="Y48" s="54" t="n">
        <f aca="false">Y8+Y42</f>
        <v>3360.0376802824</v>
      </c>
      <c r="Z48" s="77" t="n">
        <f aca="false">Z8+Z42</f>
        <v>3.02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1780</v>
      </c>
      <c r="E49" s="54" t="n">
        <f aca="false">E40</f>
        <v>116343</v>
      </c>
      <c r="F49" s="54" t="n">
        <f aca="false">F48*$D$2</f>
        <v>1780</v>
      </c>
      <c r="G49" s="54" t="n">
        <f aca="false">G48*$D$2</f>
        <v>7369.65475</v>
      </c>
      <c r="H49" s="58" t="n">
        <f aca="false">H48*$D$2</f>
        <v>0</v>
      </c>
      <c r="I49" s="54" t="n">
        <f aca="false">I48*$D$2</f>
        <v>7369.45645</v>
      </c>
      <c r="J49" s="54" t="n">
        <f aca="false">J48*$D$2</f>
        <v>1073.49827</v>
      </c>
      <c r="K49" s="54" t="n">
        <f aca="false">K48*$D$2</f>
        <v>8442.95472</v>
      </c>
      <c r="L49" s="54" t="n">
        <f aca="false">L48*$D$2</f>
        <v>800.34462</v>
      </c>
      <c r="M49" s="54" t="n">
        <f aca="false">M48*$D$2</f>
        <v>704.38143</v>
      </c>
      <c r="N49" s="54" t="n">
        <f aca="false">N48*$D$2</f>
        <v>0</v>
      </c>
      <c r="O49" s="54" t="n">
        <f aca="false">O48*$D$2</f>
        <v>298.85793</v>
      </c>
      <c r="P49" s="54" t="n">
        <f aca="false">P48*$D$2</f>
        <v>1349.15388</v>
      </c>
      <c r="Q49" s="54" t="n">
        <f aca="false">Q48*$D$2</f>
        <v>0</v>
      </c>
      <c r="R49" s="54" t="n">
        <f aca="false">R48*$D$2</f>
        <v>1807.64331</v>
      </c>
      <c r="S49" s="54" t="n">
        <f aca="false">S48*$D$2</f>
        <v>0</v>
      </c>
      <c r="T49" s="54" t="n">
        <f aca="false">T48*$D$2</f>
        <v>0</v>
      </c>
      <c r="U49" s="54" t="n">
        <f aca="false">U48*$D$2</f>
        <v>4336.26576</v>
      </c>
      <c r="V49" s="54" t="n">
        <f aca="false">V40*$D$2</f>
        <v>25241.2764633425</v>
      </c>
      <c r="W49" s="54" t="n">
        <f aca="false">W48*$D$2</f>
        <v>6389.80107</v>
      </c>
      <c r="X49" s="54" t="n">
        <f aca="false">X48*$D$2</f>
        <v>273.15365</v>
      </c>
      <c r="Y49" s="54" t="n">
        <f aca="false">Y48*$D$2</f>
        <v>6662.95472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53" t="str">
        <f aca="false">"JUN /9"</f>
        <v>JUN /9</v>
      </c>
      <c r="B51" s="89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6924.15</v>
      </c>
      <c r="C52" s="54" t="n">
        <v>381833</v>
      </c>
      <c r="D52" s="86"/>
      <c r="E52" s="54" t="n">
        <f aca="false">C52-152000</f>
        <v>229833</v>
      </c>
      <c r="F52" s="53"/>
      <c r="G52" s="53"/>
      <c r="H52" s="86"/>
      <c r="I52" s="55"/>
      <c r="J52" s="53"/>
      <c r="K52" s="43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"5/12/94 thru 6/9/94"</f>
        <v>5/12/94 thru 6/9/94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86"/>
      <c r="Q53" s="86"/>
      <c r="R53" s="86"/>
      <c r="S53" s="54"/>
      <c r="T53" s="86"/>
      <c r="U53" s="86"/>
      <c r="V53" s="54"/>
      <c r="W53" s="86"/>
      <c r="X53" s="86"/>
      <c r="Y53" s="86"/>
      <c r="Z53" s="57"/>
      <c r="AA53" s="58"/>
      <c r="AB53" s="58"/>
      <c r="AC53" s="59"/>
      <c r="AD53" s="90"/>
      <c r="AE53" s="90"/>
    </row>
    <row r="54" customFormat="false" ht="11.1" hidden="false" customHeight="true" outlineLevel="0" collapsed="false">
      <c r="A54" s="86"/>
      <c r="B54" s="57" t="n">
        <f aca="false">B52-B21</f>
        <v>28.5499999999993</v>
      </c>
      <c r="C54" s="54"/>
      <c r="D54" s="54" t="n">
        <f aca="false">C52-C22</f>
        <v>114130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/>
      <c r="U54" s="86"/>
      <c r="V54" s="54"/>
      <c r="W54" s="86"/>
      <c r="X54" s="86"/>
      <c r="Y54" s="86"/>
      <c r="Z54" s="57"/>
      <c r="AA54" s="58"/>
      <c r="AB54" s="58"/>
      <c r="AC54" s="59"/>
      <c r="AD54" s="90"/>
      <c r="AE54" s="90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1"/>
      <c r="H55" s="55"/>
      <c r="I55" s="86"/>
      <c r="J55" s="86"/>
      <c r="K55" s="86"/>
      <c r="L55" s="86"/>
      <c r="M55" s="77"/>
      <c r="N55" s="77"/>
      <c r="O55" s="77"/>
      <c r="P55" s="86"/>
      <c r="Q55" s="86"/>
      <c r="R55" s="86"/>
      <c r="S55" s="54"/>
      <c r="T55" s="86"/>
      <c r="U55" s="86"/>
      <c r="V55" s="54"/>
      <c r="W55" s="86"/>
      <c r="X55" s="86"/>
      <c r="Y55" s="86"/>
      <c r="Z55" s="57"/>
      <c r="AA55" s="58"/>
      <c r="AB55" s="58"/>
      <c r="AC55" s="59"/>
      <c r="AD55" s="90"/>
      <c r="AE55" s="90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58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54</v>
      </c>
      <c r="Q4" s="63" t="s">
        <v>15</v>
      </c>
      <c r="R4" s="63" t="s">
        <v>12</v>
      </c>
      <c r="S4" s="64" t="s">
        <v>14</v>
      </c>
      <c r="T4" s="63" t="s">
        <v>16</v>
      </c>
      <c r="U4" s="63" t="s">
        <v>17</v>
      </c>
      <c r="V4" s="64" t="s">
        <v>18</v>
      </c>
      <c r="W4" s="63" t="s">
        <v>10</v>
      </c>
      <c r="X4" s="63" t="s">
        <v>11</v>
      </c>
      <c r="Y4" s="63" t="s">
        <v>12</v>
      </c>
      <c r="Z4" s="66" t="s">
        <v>19</v>
      </c>
      <c r="AA4" s="67" t="s">
        <v>20</v>
      </c>
      <c r="AB4" s="67" t="s">
        <v>21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59</v>
      </c>
      <c r="B5" s="63" t="s">
        <v>23</v>
      </c>
      <c r="C5" s="64" t="s">
        <v>5</v>
      </c>
      <c r="D5" s="63" t="s">
        <v>24</v>
      </c>
      <c r="E5" s="64" t="s">
        <v>25</v>
      </c>
      <c r="F5" s="63" t="s">
        <v>26</v>
      </c>
      <c r="G5" s="63" t="s">
        <v>27</v>
      </c>
      <c r="H5" s="65" t="s">
        <v>28</v>
      </c>
      <c r="I5" s="63" t="s">
        <v>29</v>
      </c>
      <c r="J5" s="63" t="s">
        <v>29</v>
      </c>
      <c r="K5" s="63" t="s">
        <v>29</v>
      </c>
      <c r="L5" s="63" t="s">
        <v>30</v>
      </c>
      <c r="M5" s="63" t="s">
        <v>31</v>
      </c>
      <c r="N5" s="63" t="s">
        <v>32</v>
      </c>
      <c r="O5" s="63" t="s">
        <v>56</v>
      </c>
      <c r="P5" s="63" t="s">
        <v>57</v>
      </c>
      <c r="Q5" s="63" t="s">
        <v>35</v>
      </c>
      <c r="R5" s="63" t="s">
        <v>14</v>
      </c>
      <c r="S5" s="64" t="s">
        <v>36</v>
      </c>
      <c r="T5" s="63" t="s">
        <v>37</v>
      </c>
      <c r="U5" s="63" t="s">
        <v>38</v>
      </c>
      <c r="V5" s="64" t="s">
        <v>39</v>
      </c>
      <c r="W5" s="63" t="s">
        <v>40</v>
      </c>
      <c r="X5" s="63" t="s">
        <v>40</v>
      </c>
      <c r="Y5" s="63" t="s">
        <v>40</v>
      </c>
      <c r="Z5" s="69"/>
      <c r="AA5" s="67" t="s">
        <v>41</v>
      </c>
      <c r="AB5" s="67" t="s">
        <v>41</v>
      </c>
      <c r="AC5" s="70" t="s">
        <v>59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/>
    </row>
    <row r="7" customFormat="false" ht="11.1" hidden="false" customHeight="true" outlineLevel="0" collapsed="false">
      <c r="A7" s="53" t="s">
        <v>42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43</v>
      </c>
      <c r="B8" s="76" t="n">
        <f aca="false" t="array" ref="B8:C8">DEC!$B$40:$C$40</f>
        <v>6895.8</v>
      </c>
      <c r="C8" s="54" t="n">
        <v>268343</v>
      </c>
      <c r="D8" s="54" t="n">
        <f aca="false" t="array" ref="D8:E8">DEC!$D$49:$E$49</f>
        <v>1780</v>
      </c>
      <c r="E8" s="54" t="n">
        <v>116343</v>
      </c>
      <c r="F8" s="54" t="n">
        <f aca="false" t="array" ref="F8:Z8">DEC!$F$48:$Z$48</f>
        <v>897.629853756934</v>
      </c>
      <c r="G8" s="54" t="n">
        <v>3716.41691880988</v>
      </c>
      <c r="H8" s="58" t="n">
        <v>0</v>
      </c>
      <c r="I8" s="54" t="n">
        <v>3716.31691880988</v>
      </c>
      <c r="J8" s="54" t="n">
        <v>541.35061522945</v>
      </c>
      <c r="K8" s="54" t="n">
        <v>4257.66753403933</v>
      </c>
      <c r="L8" s="54" t="n">
        <v>403.60293494705</v>
      </c>
      <c r="M8" s="54" t="n">
        <v>355.21</v>
      </c>
      <c r="N8" s="54" t="n">
        <v>0</v>
      </c>
      <c r="O8" s="54" t="n">
        <v>150.71</v>
      </c>
      <c r="P8" s="54" t="n">
        <v>680.36</v>
      </c>
      <c r="Q8" s="54" t="n">
        <v>0</v>
      </c>
      <c r="R8" s="54" t="n">
        <v>911.57</v>
      </c>
      <c r="S8" s="54" t="n">
        <v>0</v>
      </c>
      <c r="T8" s="54" t="n">
        <v>0</v>
      </c>
      <c r="U8" s="54" t="n">
        <v>2186.72</v>
      </c>
      <c r="V8" s="54" t="n">
        <v>12728.8333148475</v>
      </c>
      <c r="W8" s="54" t="n">
        <v>3222.29</v>
      </c>
      <c r="X8" s="54" t="n">
        <v>137.7476802824</v>
      </c>
      <c r="Y8" s="54" t="n">
        <v>3360.0376802824</v>
      </c>
      <c r="Z8" s="77" t="n">
        <v>3.02</v>
      </c>
      <c r="AA8" s="58"/>
      <c r="AB8" s="58"/>
      <c r="AC8" s="59"/>
      <c r="AD8" s="78" t="n">
        <v>285</v>
      </c>
      <c r="AE8" s="74" t="n">
        <v>251</v>
      </c>
      <c r="AF8" s="78" t="n">
        <v>1207.63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6895.79</v>
      </c>
      <c r="C10" s="54" t="n">
        <v>268308</v>
      </c>
      <c r="D10" s="58" t="n">
        <f aca="false">C10-C8</f>
        <v>-35</v>
      </c>
      <c r="E10" s="54" t="n">
        <f aca="false">C10-152000</f>
        <v>116308</v>
      </c>
      <c r="F10" s="53" t="n">
        <f aca="false">D10/$D$2</f>
        <v>-17.6500252143217</v>
      </c>
      <c r="G10" s="53" t="n">
        <v>17.5599747856783</v>
      </c>
      <c r="H10" s="55" t="n">
        <v>0</v>
      </c>
      <c r="I10" s="53" t="n">
        <f aca="false">G10+H10</f>
        <v>17.5599747856783</v>
      </c>
      <c r="J10" s="77" t="n">
        <f aca="false">IF(L10&gt;0,L10,0)</f>
        <v>0</v>
      </c>
      <c r="K10" s="53" t="n">
        <f aca="false">I10+J10</f>
        <v>17.5599747856783</v>
      </c>
      <c r="L10" s="53" t="n">
        <f aca="false">F10-(I10-W10)</f>
        <v>0</v>
      </c>
      <c r="M10" s="53" t="n">
        <v>5.51</v>
      </c>
      <c r="N10" s="53" t="n">
        <v>0</v>
      </c>
      <c r="O10" s="53" t="n">
        <f aca="false">M10-N10</f>
        <v>5.51</v>
      </c>
      <c r="P10" s="53" t="n">
        <v>0</v>
      </c>
      <c r="Q10" s="53" t="n">
        <v>0</v>
      </c>
      <c r="R10" s="53" t="n">
        <f aca="false">SUM(O10:Q10)</f>
        <v>5.51</v>
      </c>
      <c r="S10" s="54"/>
      <c r="T10" s="53" t="n">
        <v>0</v>
      </c>
      <c r="U10" s="53" t="n">
        <v>29.7</v>
      </c>
      <c r="V10" s="54" t="n">
        <f aca="false">V8-U10</f>
        <v>12699.1333148475</v>
      </c>
      <c r="W10" s="53" t="n">
        <f aca="false">R10+T10+N10+U10</f>
        <v>35.21</v>
      </c>
      <c r="X10" s="53" t="n">
        <f aca="false">IF(L10&lt;0,L10*-1,0)</f>
        <v>0</v>
      </c>
      <c r="Y10" s="53" t="n">
        <f aca="false">W10+X10</f>
        <v>35.21</v>
      </c>
      <c r="Z10" s="57" t="n">
        <v>0</v>
      </c>
      <c r="AA10" s="58" t="n">
        <v>54</v>
      </c>
      <c r="AB10" s="58" t="n">
        <v>36</v>
      </c>
      <c r="AC10" s="59" t="n">
        <v>1</v>
      </c>
      <c r="AD10" s="75" t="n">
        <v>303</v>
      </c>
      <c r="AE10" s="78" t="n">
        <v>273</v>
      </c>
      <c r="AF10" s="75" t="n">
        <v>1256.86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6895.79</v>
      </c>
      <c r="C11" s="54" t="n">
        <v>268308</v>
      </c>
      <c r="D11" s="58" t="n">
        <f aca="false">C11-C10</f>
        <v>0</v>
      </c>
      <c r="E11" s="54" t="n">
        <f aca="false">C11-152000</f>
        <v>116308</v>
      </c>
      <c r="F11" s="53" t="n">
        <f aca="false">D11/$D$2</f>
        <v>0</v>
      </c>
      <c r="G11" s="53" t="n">
        <v>35.21</v>
      </c>
      <c r="H11" s="55" t="n">
        <v>0</v>
      </c>
      <c r="I11" s="53" t="n">
        <f aca="false">G11+H11</f>
        <v>35.21</v>
      </c>
      <c r="J11" s="77" t="n">
        <f aca="false">IF(L11&gt;0,L11,0)</f>
        <v>0</v>
      </c>
      <c r="K11" s="53" t="n">
        <f aca="false">I11+J11</f>
        <v>35.21</v>
      </c>
      <c r="L11" s="53" t="n">
        <f aca="false">F11-(I11-W11)</f>
        <v>0</v>
      </c>
      <c r="M11" s="53" t="n">
        <v>5.51</v>
      </c>
      <c r="N11" s="53" t="n">
        <v>0</v>
      </c>
      <c r="O11" s="53" t="n">
        <f aca="false">M11-N11</f>
        <v>5.51</v>
      </c>
      <c r="P11" s="53" t="n">
        <v>0</v>
      </c>
      <c r="Q11" s="53" t="n">
        <v>0</v>
      </c>
      <c r="R11" s="53" t="n">
        <f aca="false">SUM(O11:Q11)</f>
        <v>5.51</v>
      </c>
      <c r="S11" s="54"/>
      <c r="T11" s="53" t="n">
        <v>0</v>
      </c>
      <c r="U11" s="53" t="n">
        <v>29.7</v>
      </c>
      <c r="V11" s="54" t="n">
        <f aca="false">V10-U11</f>
        <v>12669.4333148475</v>
      </c>
      <c r="W11" s="53" t="n">
        <f aca="false">R11+T11+N11+U11</f>
        <v>35.21</v>
      </c>
      <c r="X11" s="53" t="n">
        <f aca="false">IF(L11&lt;0,L11*-1,0)</f>
        <v>0</v>
      </c>
      <c r="Y11" s="53" t="n">
        <f aca="false">W11+X11</f>
        <v>35.21</v>
      </c>
      <c r="Z11" s="57" t="n">
        <v>0</v>
      </c>
      <c r="AA11" s="58" t="n">
        <v>61</v>
      </c>
      <c r="AB11" s="58" t="n">
        <v>36</v>
      </c>
      <c r="AC11" s="59" t="n">
        <f aca="false">AC10+1</f>
        <v>2</v>
      </c>
      <c r="AD11" s="75" t="n">
        <v>306</v>
      </c>
      <c r="AE11" s="78" t="n">
        <v>300</v>
      </c>
      <c r="AF11" s="75" t="n">
        <v>1306.42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6895.8</v>
      </c>
      <c r="C12" s="54" t="n">
        <v>268343</v>
      </c>
      <c r="D12" s="58" t="n">
        <f aca="false">C12-C11</f>
        <v>35</v>
      </c>
      <c r="E12" s="54" t="n">
        <f aca="false">C12-152000</f>
        <v>116343</v>
      </c>
      <c r="F12" s="53" t="n">
        <f aca="false">D12/$D$2</f>
        <v>17.6500252143217</v>
      </c>
      <c r="G12" s="53" t="n">
        <v>51.7200252143217</v>
      </c>
      <c r="H12" s="55" t="n">
        <v>0</v>
      </c>
      <c r="I12" s="53" t="n">
        <f aca="false">G12+H12</f>
        <v>51.7200252143217</v>
      </c>
      <c r="J12" s="77" t="n">
        <f aca="false">IF(L12&gt;0,L12,0)</f>
        <v>0</v>
      </c>
      <c r="K12" s="53" t="n">
        <f aca="false">I12+J12</f>
        <v>51.7200252143217</v>
      </c>
      <c r="L12" s="53" t="n">
        <f aca="false">F12-(I12-W12)</f>
        <v>0</v>
      </c>
      <c r="M12" s="53" t="n">
        <v>4.37</v>
      </c>
      <c r="N12" s="53" t="n">
        <v>0</v>
      </c>
      <c r="O12" s="53" t="n">
        <f aca="false">M12-N12</f>
        <v>4.37</v>
      </c>
      <c r="P12" s="53" t="n">
        <v>0</v>
      </c>
      <c r="Q12" s="53" t="n">
        <v>0</v>
      </c>
      <c r="R12" s="53" t="n">
        <f aca="false">SUM(O12:Q12)</f>
        <v>4.37</v>
      </c>
      <c r="S12" s="54"/>
      <c r="T12" s="53" t="n">
        <v>0</v>
      </c>
      <c r="U12" s="53" t="n">
        <v>29.7</v>
      </c>
      <c r="V12" s="54" t="n">
        <f aca="false">V11-U12</f>
        <v>12639.7333148475</v>
      </c>
      <c r="W12" s="53" t="n">
        <f aca="false">R12+T12+N12+U12</f>
        <v>34.07</v>
      </c>
      <c r="X12" s="53" t="n">
        <f aca="false">IF(L12&lt;0,L12*-1,0)</f>
        <v>0</v>
      </c>
      <c r="Y12" s="53" t="n">
        <f aca="false">W12+X12</f>
        <v>34.07</v>
      </c>
      <c r="Z12" s="57" t="n">
        <v>0</v>
      </c>
      <c r="AA12" s="58" t="n">
        <v>62</v>
      </c>
      <c r="AB12" s="58" t="n">
        <v>38</v>
      </c>
      <c r="AC12" s="59" t="n">
        <f aca="false">AC11+1</f>
        <v>3</v>
      </c>
      <c r="AD12" s="75" t="n">
        <v>316</v>
      </c>
      <c r="AE12" s="78" t="n">
        <v>341</v>
      </c>
      <c r="AF12" s="75" t="n">
        <v>1355.74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6895.97</v>
      </c>
      <c r="C13" s="54" t="n">
        <v>268949</v>
      </c>
      <c r="D13" s="58" t="n">
        <f aca="false">C13-C12</f>
        <v>606</v>
      </c>
      <c r="E13" s="54" t="n">
        <f aca="false">C13-152000</f>
        <v>116949</v>
      </c>
      <c r="F13" s="53" t="n">
        <f aca="false">D13/$D$2</f>
        <v>305.597579425113</v>
      </c>
      <c r="G13" s="53" t="n">
        <v>339.017579425113</v>
      </c>
      <c r="H13" s="55" t="n">
        <v>0</v>
      </c>
      <c r="I13" s="53" t="n">
        <f aca="false">G13+H13</f>
        <v>339.017579425113</v>
      </c>
      <c r="J13" s="77" t="n">
        <f aca="false">IF(L13&gt;0,L13,0)</f>
        <v>0</v>
      </c>
      <c r="K13" s="53" t="n">
        <f aca="false">I13+J13</f>
        <v>339.017579425113</v>
      </c>
      <c r="L13" s="53" t="n">
        <f aca="false">F13-(I13-W13)</f>
        <v>0</v>
      </c>
      <c r="M13" s="53" t="n">
        <v>3.72</v>
      </c>
      <c r="N13" s="53" t="n">
        <v>0</v>
      </c>
      <c r="O13" s="53" t="n">
        <f aca="false">M13-N13</f>
        <v>3.72</v>
      </c>
      <c r="P13" s="53" t="n">
        <v>0</v>
      </c>
      <c r="Q13" s="53" t="n">
        <v>0</v>
      </c>
      <c r="R13" s="53" t="n">
        <f aca="false">SUM(O13:Q13)</f>
        <v>3.72</v>
      </c>
      <c r="S13" s="54"/>
      <c r="T13" s="53" t="n">
        <v>0</v>
      </c>
      <c r="U13" s="53" t="n">
        <v>29.7</v>
      </c>
      <c r="V13" s="54" t="n">
        <f aca="false">V12-U13</f>
        <v>12610.0333148475</v>
      </c>
      <c r="W13" s="53" t="n">
        <f aca="false">R13+T13+N13+U13</f>
        <v>33.42</v>
      </c>
      <c r="X13" s="53" t="n">
        <f aca="false">IF(L13&lt;0,L13*-1,0)</f>
        <v>0</v>
      </c>
      <c r="Y13" s="53" t="n">
        <f aca="false">W13+X13</f>
        <v>33.42</v>
      </c>
      <c r="Z13" s="57" t="n">
        <v>1.2</v>
      </c>
      <c r="AA13" s="58" t="n">
        <v>70</v>
      </c>
      <c r="AB13" s="58" t="n">
        <v>39</v>
      </c>
      <c r="AC13" s="59" t="n">
        <f aca="false">AC12+1</f>
        <v>4</v>
      </c>
      <c r="AD13" s="75" t="n">
        <v>316</v>
      </c>
      <c r="AE13" s="78" t="n">
        <v>395</v>
      </c>
      <c r="AF13" s="75" t="n">
        <v>1405.31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6895.97</v>
      </c>
      <c r="C14" s="54" t="n">
        <v>268949</v>
      </c>
      <c r="D14" s="58" t="n">
        <f aca="false">C14-C13</f>
        <v>0</v>
      </c>
      <c r="E14" s="54" t="n">
        <f aca="false">C14-152000</f>
        <v>116949</v>
      </c>
      <c r="F14" s="53" t="n">
        <f aca="false">D14/$D$2</f>
        <v>0</v>
      </c>
      <c r="G14" s="53" t="n">
        <v>33.42</v>
      </c>
      <c r="H14" s="55" t="n">
        <v>0</v>
      </c>
      <c r="I14" s="53" t="n">
        <f aca="false">G14+H14</f>
        <v>33.42</v>
      </c>
      <c r="J14" s="77" t="n">
        <f aca="false">IF(L14&gt;0,L14,0)</f>
        <v>0</v>
      </c>
      <c r="K14" s="53" t="n">
        <f aca="false">I14+J14</f>
        <v>33.42</v>
      </c>
      <c r="L14" s="53" t="n">
        <f aca="false">F14-(I14-W14)</f>
        <v>0</v>
      </c>
      <c r="M14" s="53" t="n">
        <v>3.72</v>
      </c>
      <c r="N14" s="53" t="n">
        <v>0</v>
      </c>
      <c r="O14" s="53" t="n">
        <f aca="false">M14-N14</f>
        <v>3.72</v>
      </c>
      <c r="P14" s="53" t="n">
        <v>0</v>
      </c>
      <c r="Q14" s="53" t="n">
        <v>0</v>
      </c>
      <c r="R14" s="53" t="n">
        <f aca="false">SUM(O14:Q14)</f>
        <v>3.72</v>
      </c>
      <c r="S14" s="54"/>
      <c r="T14" s="53" t="n">
        <v>0</v>
      </c>
      <c r="U14" s="53" t="n">
        <v>29.7</v>
      </c>
      <c r="V14" s="54" t="n">
        <f aca="false">V13-U14</f>
        <v>12580.3333148475</v>
      </c>
      <c r="W14" s="53" t="n">
        <f aca="false">R14+T14+N14+U14</f>
        <v>33.42</v>
      </c>
      <c r="X14" s="53" t="n">
        <f aca="false">IF(L14&lt;0,L14*-1,0)</f>
        <v>0</v>
      </c>
      <c r="Y14" s="53" t="n">
        <f aca="false">W14+X14</f>
        <v>33.42</v>
      </c>
      <c r="Z14" s="57" t="n">
        <v>0.35</v>
      </c>
      <c r="AA14" s="58" t="n">
        <v>76</v>
      </c>
      <c r="AB14" s="58" t="n">
        <v>43</v>
      </c>
      <c r="AC14" s="59" t="n">
        <f aca="false">AC13+1</f>
        <v>5</v>
      </c>
      <c r="AD14" s="75" t="n">
        <v>316</v>
      </c>
      <c r="AE14" s="78" t="n">
        <v>466</v>
      </c>
      <c r="AF14" s="75" t="n">
        <v>1437.16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6895.98</v>
      </c>
      <c r="C15" s="54" t="n">
        <v>268984</v>
      </c>
      <c r="D15" s="58" t="n">
        <f aca="false">C15-C14</f>
        <v>35</v>
      </c>
      <c r="E15" s="54" t="n">
        <f aca="false">C15-152000</f>
        <v>116984</v>
      </c>
      <c r="F15" s="53" t="n">
        <f aca="false">D15/$D$2</f>
        <v>17.6500252143217</v>
      </c>
      <c r="G15" s="53" t="n">
        <v>51.0700252143217</v>
      </c>
      <c r="H15" s="55" t="n">
        <v>0</v>
      </c>
      <c r="I15" s="53" t="n">
        <f aca="false">G15+H15</f>
        <v>51.0700252143217</v>
      </c>
      <c r="J15" s="77" t="n">
        <f aca="false">IF(L15&gt;0,L15,0)</f>
        <v>0</v>
      </c>
      <c r="K15" s="53" t="n">
        <f aca="false">I15+J15</f>
        <v>51.0700252143217</v>
      </c>
      <c r="L15" s="53" t="n">
        <f aca="false">F15-(I15-W15)</f>
        <v>0</v>
      </c>
      <c r="M15" s="53" t="n">
        <v>3.72</v>
      </c>
      <c r="N15" s="53" t="n">
        <v>0</v>
      </c>
      <c r="O15" s="53" t="n">
        <f aca="false">M15-N15</f>
        <v>3.72</v>
      </c>
      <c r="P15" s="53" t="n">
        <v>0</v>
      </c>
      <c r="Q15" s="53" t="n">
        <v>0</v>
      </c>
      <c r="R15" s="53" t="n">
        <f aca="false">SUM(O15:Q15)</f>
        <v>3.72</v>
      </c>
      <c r="S15" s="54"/>
      <c r="T15" s="53" t="n">
        <v>0</v>
      </c>
      <c r="U15" s="53" t="n">
        <v>29.7</v>
      </c>
      <c r="V15" s="54" t="n">
        <f aca="false">V14-U15</f>
        <v>12550.6333148475</v>
      </c>
      <c r="W15" s="53" t="n">
        <f aca="false">R15+T15+N15+U15</f>
        <v>33.42</v>
      </c>
      <c r="X15" s="53" t="n">
        <f aca="false">IF(L15&lt;0,L15*-1,0)</f>
        <v>0</v>
      </c>
      <c r="Y15" s="53" t="n">
        <f aca="false">W15+X15</f>
        <v>33.42</v>
      </c>
      <c r="Z15" s="57" t="n">
        <v>0.15</v>
      </c>
      <c r="AA15" s="58" t="n">
        <v>73</v>
      </c>
      <c r="AB15" s="58" t="n">
        <v>39</v>
      </c>
      <c r="AC15" s="59" t="n">
        <f aca="false">AC14+1</f>
        <v>6</v>
      </c>
      <c r="AD15" s="74" t="n">
        <v>325</v>
      </c>
      <c r="AE15" s="78" t="n">
        <v>538</v>
      </c>
      <c r="AF15" s="75" t="n">
        <v>1467.01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6895.99</v>
      </c>
      <c r="C16" s="54" t="n">
        <v>269020</v>
      </c>
      <c r="D16" s="58" t="n">
        <f aca="false">C16-C15</f>
        <v>36</v>
      </c>
      <c r="E16" s="54" t="n">
        <f aca="false">C16-152000</f>
        <v>117020</v>
      </c>
      <c r="F16" s="53" t="n">
        <f aca="false">D16/$D$2</f>
        <v>18.1543116490166</v>
      </c>
      <c r="G16" s="53" t="n">
        <v>51.8343116490166</v>
      </c>
      <c r="H16" s="55" t="n">
        <v>0</v>
      </c>
      <c r="I16" s="53" t="n">
        <f aca="false">G16+H16</f>
        <v>51.8343116490166</v>
      </c>
      <c r="J16" s="77" t="n">
        <f aca="false">IF(L16&gt;0,L16,0)</f>
        <v>0</v>
      </c>
      <c r="K16" s="53" t="n">
        <f aca="false">I16+J16</f>
        <v>51.8343116490166</v>
      </c>
      <c r="L16" s="53" t="n">
        <f aca="false">F16-(I16-W16)</f>
        <v>0</v>
      </c>
      <c r="M16" s="53" t="n">
        <v>3.98</v>
      </c>
      <c r="N16" s="53" t="n">
        <v>0</v>
      </c>
      <c r="O16" s="53" t="n">
        <f aca="false">M16-N16</f>
        <v>3.98</v>
      </c>
      <c r="P16" s="53" t="n">
        <v>0</v>
      </c>
      <c r="Q16" s="53" t="n">
        <v>0</v>
      </c>
      <c r="R16" s="53" t="n">
        <f aca="false">SUM(O16:Q16)</f>
        <v>3.98</v>
      </c>
      <c r="S16" s="54"/>
      <c r="T16" s="53" t="n">
        <v>0</v>
      </c>
      <c r="U16" s="53" t="n">
        <v>29.7</v>
      </c>
      <c r="V16" s="54" t="n">
        <f aca="false">V15-U16</f>
        <v>12520.9333148475</v>
      </c>
      <c r="W16" s="53" t="n">
        <f aca="false">R16+T16+N16+U16</f>
        <v>33.68</v>
      </c>
      <c r="X16" s="53" t="n">
        <f aca="false">IF(L16&lt;0,L16*-1,0)</f>
        <v>0</v>
      </c>
      <c r="Y16" s="53" t="n">
        <f aca="false">W16+X16</f>
        <v>33.68</v>
      </c>
      <c r="Z16" s="57" t="n">
        <v>0.11</v>
      </c>
      <c r="AA16" s="58" t="n">
        <v>74</v>
      </c>
      <c r="AB16" s="58" t="n">
        <v>37</v>
      </c>
      <c r="AC16" s="59" t="n">
        <f aca="false">AC15+1</f>
        <v>7</v>
      </c>
      <c r="AD16" s="74" t="n">
        <v>342</v>
      </c>
      <c r="AE16" s="78" t="n">
        <v>618</v>
      </c>
      <c r="AF16" s="75" t="n">
        <v>1496.64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6895.99</v>
      </c>
      <c r="C17" s="54" t="n">
        <v>269020</v>
      </c>
      <c r="D17" s="58" t="n">
        <f aca="false">C17-C16</f>
        <v>0</v>
      </c>
      <c r="E17" s="54" t="n">
        <f aca="false">C17-152000</f>
        <v>117020</v>
      </c>
      <c r="F17" s="53" t="n">
        <f aca="false">D17/$D$2</f>
        <v>0</v>
      </c>
      <c r="G17" s="53" t="n">
        <v>34.1</v>
      </c>
      <c r="H17" s="55" t="n">
        <v>0</v>
      </c>
      <c r="I17" s="53" t="n">
        <f aca="false">G17+H17</f>
        <v>34.1</v>
      </c>
      <c r="J17" s="77" t="n">
        <f aca="false">IF(L17&gt;0,L17,0)</f>
        <v>0</v>
      </c>
      <c r="K17" s="53" t="n">
        <f aca="false">I17+J17</f>
        <v>34.1</v>
      </c>
      <c r="L17" s="53" t="n">
        <f aca="false">F17-(I17-W17)</f>
        <v>0</v>
      </c>
      <c r="M17" s="53" t="n">
        <v>4.4</v>
      </c>
      <c r="N17" s="53" t="n">
        <v>0</v>
      </c>
      <c r="O17" s="53" t="n">
        <f aca="false">M17-N17</f>
        <v>4.4</v>
      </c>
      <c r="P17" s="53" t="n">
        <v>0</v>
      </c>
      <c r="Q17" s="53" t="n">
        <v>0</v>
      </c>
      <c r="R17" s="53" t="n">
        <f aca="false">SUM(O17:Q17)</f>
        <v>4.4</v>
      </c>
      <c r="S17" s="54"/>
      <c r="T17" s="53" t="n">
        <v>0</v>
      </c>
      <c r="U17" s="53" t="n">
        <v>29.7</v>
      </c>
      <c r="V17" s="54" t="n">
        <f aca="false">V16-U17</f>
        <v>12491.2333148475</v>
      </c>
      <c r="W17" s="53" t="n">
        <f aca="false">R17+T17+N17+U17</f>
        <v>34.1</v>
      </c>
      <c r="X17" s="53" t="n">
        <f aca="false">IF(L17&lt;0,L17*-1,0)</f>
        <v>0</v>
      </c>
      <c r="Y17" s="53" t="n">
        <f aca="false">W17+X17</f>
        <v>34.1</v>
      </c>
      <c r="Z17" s="57" t="n">
        <v>0.1</v>
      </c>
      <c r="AA17" s="58" t="n">
        <v>69</v>
      </c>
      <c r="AB17" s="58" t="n">
        <v>34</v>
      </c>
      <c r="AC17" s="59" t="n">
        <f aca="false">AC16+1</f>
        <v>8</v>
      </c>
      <c r="AD17" s="74" t="n">
        <v>367</v>
      </c>
      <c r="AE17" s="78" t="n">
        <v>704</v>
      </c>
      <c r="AF17" s="75" t="n">
        <v>1526.51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6896</v>
      </c>
      <c r="C18" s="54" t="n">
        <v>269055</v>
      </c>
      <c r="D18" s="58" t="n">
        <f aca="false">C18-C17</f>
        <v>35</v>
      </c>
      <c r="E18" s="54" t="n">
        <f aca="false">C18-152000</f>
        <v>117055</v>
      </c>
      <c r="F18" s="53" t="n">
        <f aca="false">D18/$D$2</f>
        <v>17.6500252143217</v>
      </c>
      <c r="G18" s="53" t="n">
        <v>51.7500252143217</v>
      </c>
      <c r="H18" s="55" t="n">
        <v>0</v>
      </c>
      <c r="I18" s="53" t="n">
        <f aca="false">G18+H18</f>
        <v>51.7500252143217</v>
      </c>
      <c r="J18" s="77" t="n">
        <f aca="false">IF(L18&gt;0,L18,0)</f>
        <v>0</v>
      </c>
      <c r="K18" s="53" t="n">
        <f aca="false">I18+J18</f>
        <v>51.7500252143217</v>
      </c>
      <c r="L18" s="53" t="n">
        <f aca="false">F18-(I18-W18)</f>
        <v>0</v>
      </c>
      <c r="M18" s="53" t="n">
        <v>4.4</v>
      </c>
      <c r="N18" s="53" t="n">
        <v>0</v>
      </c>
      <c r="O18" s="53" t="n">
        <f aca="false">M18-N18</f>
        <v>4.4</v>
      </c>
      <c r="P18" s="53" t="n">
        <v>0</v>
      </c>
      <c r="Q18" s="53" t="n">
        <v>0</v>
      </c>
      <c r="R18" s="53" t="n">
        <f aca="false">SUM(O18:Q18)</f>
        <v>4.4</v>
      </c>
      <c r="S18" s="54"/>
      <c r="T18" s="53" t="n">
        <v>0</v>
      </c>
      <c r="U18" s="53" t="n">
        <v>29.7</v>
      </c>
      <c r="V18" s="54" t="n">
        <f aca="false">V17-U18</f>
        <v>12461.5333148475</v>
      </c>
      <c r="W18" s="53" t="n">
        <f aca="false">R18+T18+N18+U18</f>
        <v>34.1</v>
      </c>
      <c r="X18" s="53" t="n">
        <f aca="false">IF(L18&lt;0,L18*-1,0)</f>
        <v>0</v>
      </c>
      <c r="Y18" s="53" t="n">
        <f aca="false">W18+X18</f>
        <v>34.1</v>
      </c>
      <c r="Z18" s="57" t="n">
        <v>0</v>
      </c>
      <c r="AA18" s="86" t="n">
        <v>66</v>
      </c>
      <c r="AB18" s="58" t="n">
        <v>44</v>
      </c>
      <c r="AC18" s="59" t="n">
        <f aca="false">AC17+1</f>
        <v>9</v>
      </c>
      <c r="AD18" s="74" t="n">
        <v>390</v>
      </c>
      <c r="AE18" s="78" t="n">
        <v>805</v>
      </c>
      <c r="AF18" s="75" t="n">
        <v>1561.24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6896.02</v>
      </c>
      <c r="C19" s="54" t="n">
        <v>269127</v>
      </c>
      <c r="D19" s="58" t="n">
        <f aca="false">C19-C18</f>
        <v>72</v>
      </c>
      <c r="E19" s="54" t="n">
        <f aca="false">C19-152000</f>
        <v>117127</v>
      </c>
      <c r="F19" s="53" t="n">
        <f aca="false">D19/$D$2</f>
        <v>36.3086232980333</v>
      </c>
      <c r="G19" s="53" t="n">
        <v>70.4086232980333</v>
      </c>
      <c r="H19" s="55" t="n">
        <v>0</v>
      </c>
      <c r="I19" s="53" t="n">
        <f aca="false">G19+H19</f>
        <v>70.4086232980333</v>
      </c>
      <c r="J19" s="77" t="n">
        <f aca="false">IF(L19&gt;0,L19,0)</f>
        <v>0</v>
      </c>
      <c r="K19" s="53" t="n">
        <f aca="false">I19+J19</f>
        <v>70.4086232980333</v>
      </c>
      <c r="L19" s="53" t="n">
        <f aca="false">F19-(I19-W19)</f>
        <v>0</v>
      </c>
      <c r="M19" s="53" t="n">
        <v>4.4</v>
      </c>
      <c r="N19" s="53" t="n">
        <v>0</v>
      </c>
      <c r="O19" s="53" t="n">
        <f aca="false">M19-N19</f>
        <v>4.4</v>
      </c>
      <c r="P19" s="53" t="n">
        <v>0</v>
      </c>
      <c r="Q19" s="53" t="n">
        <v>0</v>
      </c>
      <c r="R19" s="53" t="n">
        <f aca="false">SUM(O19:Q19)</f>
        <v>4.4</v>
      </c>
      <c r="S19" s="54"/>
      <c r="T19" s="53" t="n">
        <v>0</v>
      </c>
      <c r="U19" s="53" t="n">
        <v>29.7</v>
      </c>
      <c r="V19" s="54" t="n">
        <f aca="false">V18-U19</f>
        <v>12431.8333148475</v>
      </c>
      <c r="W19" s="53" t="n">
        <f aca="false">R19+T19+N19+U19</f>
        <v>34.1</v>
      </c>
      <c r="X19" s="53" t="n">
        <f aca="false">IF(L19&lt;0,L19*-1,0)</f>
        <v>0</v>
      </c>
      <c r="Y19" s="53" t="n">
        <f aca="false">W19+X19</f>
        <v>34.1</v>
      </c>
      <c r="Z19" s="57" t="n">
        <v>0</v>
      </c>
      <c r="AA19" s="58" t="n">
        <v>66</v>
      </c>
      <c r="AB19" s="58" t="n">
        <v>36</v>
      </c>
      <c r="AC19" s="59" t="n">
        <f aca="false">AC18+1</f>
        <v>10</v>
      </c>
      <c r="AD19" s="74" t="n">
        <v>437</v>
      </c>
      <c r="AE19" s="78" t="n">
        <v>920</v>
      </c>
      <c r="AF19" s="75" t="n">
        <v>1600.39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6896.09</v>
      </c>
      <c r="C20" s="54" t="n">
        <v>269377</v>
      </c>
      <c r="D20" s="58" t="n">
        <f aca="false">C20-C19</f>
        <v>250</v>
      </c>
      <c r="E20" s="54" t="n">
        <f aca="false">C20-152000</f>
        <v>117377</v>
      </c>
      <c r="F20" s="53" t="n">
        <f aca="false">D20/$D$2</f>
        <v>126.071608673727</v>
      </c>
      <c r="G20" s="53" t="n">
        <v>159.901608673727</v>
      </c>
      <c r="H20" s="55" t="n">
        <v>0</v>
      </c>
      <c r="I20" s="53" t="n">
        <f aca="false">G20+H20</f>
        <v>159.901608673727</v>
      </c>
      <c r="J20" s="77" t="n">
        <f aca="false">IF(L20&gt;0,L20,0)</f>
        <v>0</v>
      </c>
      <c r="K20" s="53" t="n">
        <f aca="false">I20+J20</f>
        <v>159.901608673727</v>
      </c>
      <c r="L20" s="53" t="n">
        <f aca="false">F20-(I20-W20)</f>
        <v>0</v>
      </c>
      <c r="M20" s="53" t="n">
        <v>4.13</v>
      </c>
      <c r="N20" s="53" t="n">
        <v>0</v>
      </c>
      <c r="O20" s="53" t="n">
        <f aca="false">M20-N20</f>
        <v>4.13</v>
      </c>
      <c r="P20" s="53" t="n">
        <v>0</v>
      </c>
      <c r="Q20" s="53" t="n">
        <v>0</v>
      </c>
      <c r="R20" s="53" t="n">
        <f aca="false">SUM(O20:Q20)</f>
        <v>4.13</v>
      </c>
      <c r="S20" s="54"/>
      <c r="T20" s="53" t="n">
        <v>0</v>
      </c>
      <c r="U20" s="53" t="n">
        <v>29.7</v>
      </c>
      <c r="V20" s="54" t="n">
        <f aca="false">V19-U20</f>
        <v>12402.1333148475</v>
      </c>
      <c r="W20" s="53" t="n">
        <f aca="false">R20+T20+N20+U20</f>
        <v>33.83</v>
      </c>
      <c r="X20" s="53" t="n">
        <f aca="false">IF(L20&lt;0,L20*-1,0)</f>
        <v>0</v>
      </c>
      <c r="Y20" s="53" t="n">
        <f aca="false">W20+X20</f>
        <v>33.83</v>
      </c>
      <c r="Z20" s="57" t="n">
        <v>0.4</v>
      </c>
      <c r="AA20" s="58" t="n">
        <v>68</v>
      </c>
      <c r="AB20" s="58" t="n">
        <v>40</v>
      </c>
      <c r="AC20" s="59" t="n">
        <f aca="false">AC19+1</f>
        <v>11</v>
      </c>
      <c r="AD20" s="74" t="n">
        <v>498</v>
      </c>
      <c r="AE20" s="78" t="n">
        <v>1048</v>
      </c>
      <c r="AF20" s="75" t="n">
        <v>1642</v>
      </c>
    </row>
    <row r="21" customFormat="false" ht="11.1" hidden="false" customHeight="true" outlineLevel="0" collapsed="false">
      <c r="A21" s="59" t="n">
        <f aca="false">A20+1</f>
        <v>12</v>
      </c>
      <c r="B21" s="76" t="n">
        <v>6896.09</v>
      </c>
      <c r="C21" s="54" t="n">
        <v>269377</v>
      </c>
      <c r="D21" s="58" t="n">
        <f aca="false">C21-C20</f>
        <v>0</v>
      </c>
      <c r="E21" s="54" t="n">
        <f aca="false">C21-152000</f>
        <v>117377</v>
      </c>
      <c r="F21" s="53" t="n">
        <f aca="false">D21/$D$2</f>
        <v>0</v>
      </c>
      <c r="G21" s="53" t="n">
        <v>33.09</v>
      </c>
      <c r="H21" s="55" t="n">
        <v>0</v>
      </c>
      <c r="I21" s="53" t="n">
        <f aca="false">G21+H21</f>
        <v>33.09</v>
      </c>
      <c r="J21" s="77" t="n">
        <f aca="false">IF(L21&gt;0,L21,0)</f>
        <v>0</v>
      </c>
      <c r="K21" s="53" t="n">
        <f aca="false">I21+J21</f>
        <v>33.09</v>
      </c>
      <c r="L21" s="53" t="n">
        <f aca="false">F21-(I21-W21)</f>
        <v>0</v>
      </c>
      <c r="M21" s="53" t="n">
        <v>3.39</v>
      </c>
      <c r="N21" s="53" t="n">
        <v>0</v>
      </c>
      <c r="O21" s="53" t="n">
        <f aca="false">M21-N21</f>
        <v>3.39</v>
      </c>
      <c r="P21" s="53" t="n">
        <v>0</v>
      </c>
      <c r="Q21" s="53" t="n">
        <v>0</v>
      </c>
      <c r="R21" s="53" t="n">
        <f aca="false">SUM(O21:Q21)</f>
        <v>3.39</v>
      </c>
      <c r="S21" s="54"/>
      <c r="T21" s="53" t="n">
        <v>0</v>
      </c>
      <c r="U21" s="53" t="n">
        <v>29.7</v>
      </c>
      <c r="V21" s="54" t="n">
        <f aca="false">V20-U21</f>
        <v>12372.4333148475</v>
      </c>
      <c r="W21" s="53" t="n">
        <f aca="false">R21+T21+N21+U21</f>
        <v>33.09</v>
      </c>
      <c r="X21" s="53" t="n">
        <f aca="false">IF(L21&lt;0,L21*-1,0)</f>
        <v>0</v>
      </c>
      <c r="Y21" s="53" t="n">
        <f aca="false">W21+X21</f>
        <v>33.09</v>
      </c>
      <c r="Z21" s="57" t="n">
        <v>0</v>
      </c>
      <c r="AA21" s="58" t="n">
        <v>68</v>
      </c>
      <c r="AB21" s="58" t="n">
        <v>42</v>
      </c>
      <c r="AC21" s="59" t="n">
        <f aca="false">AC20+1</f>
        <v>12</v>
      </c>
      <c r="AD21" s="74" t="n">
        <v>572</v>
      </c>
      <c r="AE21" s="78" t="n">
        <v>1182</v>
      </c>
      <c r="AF21" s="75" t="n">
        <v>1683.42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6896.09</v>
      </c>
      <c r="C22" s="54" t="n">
        <v>269377</v>
      </c>
      <c r="D22" s="58" t="n">
        <f aca="false">C22-C21</f>
        <v>0</v>
      </c>
      <c r="E22" s="54" t="n">
        <f aca="false">C22-152000</f>
        <v>117377</v>
      </c>
      <c r="F22" s="53" t="n">
        <f aca="false">D22/$D$2</f>
        <v>0</v>
      </c>
      <c r="G22" s="53" t="n">
        <v>33.35</v>
      </c>
      <c r="H22" s="55" t="n">
        <v>0</v>
      </c>
      <c r="I22" s="53" t="n">
        <f aca="false">G22+H22</f>
        <v>33.35</v>
      </c>
      <c r="J22" s="77" t="n">
        <f aca="false">IF(L22&gt;0,L22,0)</f>
        <v>0</v>
      </c>
      <c r="K22" s="53" t="n">
        <f aca="false">I22+J22</f>
        <v>33.35</v>
      </c>
      <c r="L22" s="53" t="n">
        <f aca="false">F22-(I22-W22)</f>
        <v>0</v>
      </c>
      <c r="M22" s="53" t="n">
        <v>3.65</v>
      </c>
      <c r="N22" s="53" t="n">
        <v>0</v>
      </c>
      <c r="O22" s="53" t="n">
        <f aca="false">M22-N22</f>
        <v>3.65</v>
      </c>
      <c r="P22" s="53" t="n">
        <v>0</v>
      </c>
      <c r="Q22" s="53" t="n">
        <v>0</v>
      </c>
      <c r="R22" s="53" t="n">
        <f aca="false">SUM(O22:Q22)</f>
        <v>3.65</v>
      </c>
      <c r="S22" s="54"/>
      <c r="T22" s="53" t="n">
        <v>0</v>
      </c>
      <c r="U22" s="53" t="n">
        <v>29.7</v>
      </c>
      <c r="V22" s="54" t="n">
        <f aca="false">V21-U22</f>
        <v>12342.7333148475</v>
      </c>
      <c r="W22" s="53" t="n">
        <f aca="false">R22+T22+N22+U22</f>
        <v>33.35</v>
      </c>
      <c r="X22" s="53" t="n">
        <f aca="false">IF(L22&lt;0,L22*-1,0)</f>
        <v>0</v>
      </c>
      <c r="Y22" s="53" t="n">
        <f aca="false">W22+X22</f>
        <v>33.35</v>
      </c>
      <c r="Z22" s="57" t="n">
        <v>0</v>
      </c>
      <c r="AA22" s="58" t="n">
        <v>63</v>
      </c>
      <c r="AB22" s="58" t="n">
        <v>38</v>
      </c>
      <c r="AC22" s="59" t="n">
        <f aca="false">AC21+1</f>
        <v>13</v>
      </c>
      <c r="AD22" s="74" t="n">
        <v>716</v>
      </c>
      <c r="AE22" s="78" t="n">
        <v>1339</v>
      </c>
      <c r="AF22" s="75" t="n">
        <v>1725.1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6896.1</v>
      </c>
      <c r="C23" s="54" t="n">
        <v>269414</v>
      </c>
      <c r="D23" s="58" t="n">
        <f aca="false">C23-C22</f>
        <v>37</v>
      </c>
      <c r="E23" s="54" t="n">
        <f aca="false">C23-152000</f>
        <v>117414</v>
      </c>
      <c r="F23" s="53" t="n">
        <f aca="false">D23/$D$2</f>
        <v>18.6585980837115</v>
      </c>
      <c r="G23" s="53" t="n">
        <v>53.2185980837116</v>
      </c>
      <c r="H23" s="55" t="n">
        <v>0</v>
      </c>
      <c r="I23" s="53" t="n">
        <f aca="false">G23+H23</f>
        <v>53.2185980837116</v>
      </c>
      <c r="J23" s="77" t="n">
        <f aca="false">IF(L23&gt;0,L23,0)</f>
        <v>0</v>
      </c>
      <c r="K23" s="53" t="n">
        <f aca="false">I23+J23</f>
        <v>53.2185980837116</v>
      </c>
      <c r="L23" s="53" t="n">
        <f aca="false">F23-(I23-W23)</f>
        <v>0</v>
      </c>
      <c r="M23" s="53" t="n">
        <v>4.86</v>
      </c>
      <c r="N23" s="53" t="n">
        <v>0</v>
      </c>
      <c r="O23" s="53" t="n">
        <f aca="false">M23-N23</f>
        <v>4.86</v>
      </c>
      <c r="P23" s="53" t="n">
        <v>0</v>
      </c>
      <c r="Q23" s="53" t="n">
        <v>0</v>
      </c>
      <c r="R23" s="53" t="n">
        <f aca="false">SUM(O23:Q23)</f>
        <v>4.86</v>
      </c>
      <c r="S23" s="54"/>
      <c r="T23" s="53" t="n">
        <v>0</v>
      </c>
      <c r="U23" s="53" t="n">
        <v>29.7</v>
      </c>
      <c r="V23" s="54" t="n">
        <f aca="false">V22-U23</f>
        <v>12313.0333148475</v>
      </c>
      <c r="W23" s="53" t="n">
        <f aca="false">R23+T23+N23+U23</f>
        <v>34.56</v>
      </c>
      <c r="X23" s="53" t="n">
        <f aca="false">IF(L23&lt;0,L23*-1,0)</f>
        <v>0</v>
      </c>
      <c r="Y23" s="53" t="n">
        <f aca="false">W23+X23</f>
        <v>34.56</v>
      </c>
      <c r="Z23" s="57" t="n">
        <v>0</v>
      </c>
      <c r="AA23" s="86" t="n">
        <v>70</v>
      </c>
      <c r="AB23" s="58" t="n">
        <v>38</v>
      </c>
      <c r="AC23" s="59" t="n">
        <f aca="false">AC22+1</f>
        <v>14</v>
      </c>
      <c r="AD23" s="74" t="n">
        <v>901</v>
      </c>
      <c r="AE23" s="78" t="n">
        <v>1500</v>
      </c>
      <c r="AF23" s="75" t="n">
        <v>1766.22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6896.14</v>
      </c>
      <c r="C24" s="54" t="n">
        <v>269558</v>
      </c>
      <c r="D24" s="58" t="n">
        <f aca="false">C24-C23</f>
        <v>144</v>
      </c>
      <c r="E24" s="54" t="n">
        <f aca="false">C24-152000</f>
        <v>117558</v>
      </c>
      <c r="F24" s="53" t="n">
        <f aca="false">D24/$D$2</f>
        <v>72.6172465960666</v>
      </c>
      <c r="G24" s="53" t="n">
        <v>107.447246596067</v>
      </c>
      <c r="H24" s="55" t="n">
        <v>0</v>
      </c>
      <c r="I24" s="53" t="n">
        <f aca="false">G24+H24</f>
        <v>107.447246596067</v>
      </c>
      <c r="J24" s="77" t="n">
        <f aca="false">IF(L24&gt;0,L24,0)</f>
        <v>0</v>
      </c>
      <c r="K24" s="53" t="n">
        <f aca="false">I24+J24</f>
        <v>107.447246596067</v>
      </c>
      <c r="L24" s="53" t="n">
        <f aca="false">F24-(I24-W24)</f>
        <v>0</v>
      </c>
      <c r="M24" s="53" t="n">
        <v>5.13</v>
      </c>
      <c r="N24" s="53" t="n">
        <v>0</v>
      </c>
      <c r="O24" s="53" t="n">
        <f aca="false">M24-N24</f>
        <v>5.13</v>
      </c>
      <c r="P24" s="53" t="n">
        <v>0</v>
      </c>
      <c r="Q24" s="53" t="n">
        <v>0</v>
      </c>
      <c r="R24" s="53" t="n">
        <f aca="false">SUM(O24:Q24)</f>
        <v>5.13</v>
      </c>
      <c r="S24" s="54"/>
      <c r="T24" s="53" t="n">
        <v>0</v>
      </c>
      <c r="U24" s="53" t="n">
        <v>29.7</v>
      </c>
      <c r="V24" s="54" t="n">
        <f aca="false">V23-U24</f>
        <v>12283.3333148475</v>
      </c>
      <c r="W24" s="53" t="n">
        <f aca="false">R24+T24+N24+U24</f>
        <v>34.83</v>
      </c>
      <c r="X24" s="53" t="n">
        <f aca="false">IF(L24&lt;0,L24*-1,0)</f>
        <v>0</v>
      </c>
      <c r="Y24" s="53" t="n">
        <f aca="false">W24+X24</f>
        <v>34.83</v>
      </c>
      <c r="Z24" s="57" t="n">
        <v>0.12</v>
      </c>
      <c r="AA24" s="86" t="n">
        <v>72</v>
      </c>
      <c r="AB24" s="58" t="n">
        <v>44</v>
      </c>
      <c r="AC24" s="59" t="n">
        <f aca="false">AC23+1</f>
        <v>15</v>
      </c>
      <c r="AD24" s="74" t="n">
        <v>1075</v>
      </c>
      <c r="AE24" s="78" t="n">
        <v>1662</v>
      </c>
      <c r="AF24" s="75" t="n">
        <v>1807.54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6896.15</v>
      </c>
      <c r="C25" s="54" t="n">
        <v>269593</v>
      </c>
      <c r="D25" s="58" t="n">
        <f aca="false">C25-C24</f>
        <v>35</v>
      </c>
      <c r="E25" s="54" t="n">
        <f aca="false">C25-152000</f>
        <v>117593</v>
      </c>
      <c r="F25" s="53" t="n">
        <f aca="false">D25/$D$2</f>
        <v>17.6500252143217</v>
      </c>
      <c r="G25" s="53" t="n">
        <v>52.2200252143217</v>
      </c>
      <c r="H25" s="55" t="n">
        <v>0</v>
      </c>
      <c r="I25" s="53" t="n">
        <f aca="false">G25+H25</f>
        <v>52.2200252143217</v>
      </c>
      <c r="J25" s="77" t="n">
        <f aca="false">IF(L25&gt;0,L25,0)</f>
        <v>0</v>
      </c>
      <c r="K25" s="53" t="n">
        <f aca="false">I25+J25</f>
        <v>52.2200252143217</v>
      </c>
      <c r="L25" s="53" t="n">
        <f aca="false">F25-(I25-W25)</f>
        <v>0</v>
      </c>
      <c r="M25" s="53" t="n">
        <v>4.87</v>
      </c>
      <c r="N25" s="53" t="n">
        <v>0</v>
      </c>
      <c r="O25" s="53" t="n">
        <f aca="false">M25-N25</f>
        <v>4.87</v>
      </c>
      <c r="P25" s="53" t="n">
        <v>0</v>
      </c>
      <c r="Q25" s="53" t="n">
        <v>0</v>
      </c>
      <c r="R25" s="53" t="n">
        <f aca="false">SUM(O25:Q25)</f>
        <v>4.87</v>
      </c>
      <c r="S25" s="54"/>
      <c r="T25" s="53" t="n">
        <v>0</v>
      </c>
      <c r="U25" s="53" t="n">
        <v>29.7</v>
      </c>
      <c r="V25" s="54" t="n">
        <f aca="false">V24-U25</f>
        <v>12253.6333148475</v>
      </c>
      <c r="W25" s="53" t="n">
        <f aca="false">R25+T25+N25+U25</f>
        <v>34.57</v>
      </c>
      <c r="X25" s="53" t="n">
        <f aca="false">IF(L25&lt;0,L25*-1,0)</f>
        <v>0</v>
      </c>
      <c r="Y25" s="53" t="n">
        <f aca="false">W25+X25</f>
        <v>34.57</v>
      </c>
      <c r="Z25" s="57" t="n">
        <v>0.1</v>
      </c>
      <c r="AA25" s="86" t="n">
        <v>76</v>
      </c>
      <c r="AB25" s="58" t="n">
        <v>44</v>
      </c>
      <c r="AC25" s="59" t="n">
        <f aca="false">AC24+1</f>
        <v>16</v>
      </c>
      <c r="AD25" s="74" t="n">
        <v>1313</v>
      </c>
      <c r="AE25" s="87" t="n">
        <v>1828</v>
      </c>
      <c r="AF25" s="75" t="n">
        <v>1858.73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6896.14</v>
      </c>
      <c r="C26" s="54" t="n">
        <v>269558</v>
      </c>
      <c r="D26" s="58" t="n">
        <f aca="false">C26-C25</f>
        <v>-35</v>
      </c>
      <c r="E26" s="54" t="n">
        <f aca="false">C26-152000</f>
        <v>117558</v>
      </c>
      <c r="F26" s="53" t="n">
        <f aca="false">D26/$D$2</f>
        <v>-17.6500252143217</v>
      </c>
      <c r="G26" s="53" t="n">
        <v>16.5599747856783</v>
      </c>
      <c r="H26" s="55" t="n">
        <v>0</v>
      </c>
      <c r="I26" s="53" t="n">
        <f aca="false">G26+H26</f>
        <v>16.5599747856783</v>
      </c>
      <c r="J26" s="77" t="n">
        <f aca="false">IF(L26&gt;0,L26,0)</f>
        <v>0</v>
      </c>
      <c r="K26" s="53" t="n">
        <f aca="false">I26+J26</f>
        <v>16.5599747856783</v>
      </c>
      <c r="L26" s="53" t="n">
        <f aca="false">F26-(I26-W26)</f>
        <v>0</v>
      </c>
      <c r="M26" s="53" t="n">
        <v>4.51</v>
      </c>
      <c r="N26" s="53" t="n">
        <v>0</v>
      </c>
      <c r="O26" s="53" t="n">
        <f aca="false">M26-N26</f>
        <v>4.51</v>
      </c>
      <c r="P26" s="53" t="n">
        <v>0</v>
      </c>
      <c r="Q26" s="53" t="n">
        <v>0</v>
      </c>
      <c r="R26" s="53" t="n">
        <f aca="false">SUM(O26:Q26)</f>
        <v>4.51</v>
      </c>
      <c r="S26" s="54"/>
      <c r="T26" s="53" t="n">
        <v>0</v>
      </c>
      <c r="U26" s="53" t="n">
        <v>29.7</v>
      </c>
      <c r="V26" s="54" t="n">
        <f aca="false">V25-U26</f>
        <v>12223.9333148475</v>
      </c>
      <c r="W26" s="53" t="n">
        <f aca="false">R26+T26+N26+U26</f>
        <v>34.21</v>
      </c>
      <c r="X26" s="53" t="n">
        <f aca="false">IF(L26&lt;0,L26*-1,0)</f>
        <v>0</v>
      </c>
      <c r="Y26" s="53" t="n">
        <f aca="false">W26+X26</f>
        <v>34.21</v>
      </c>
      <c r="Z26" s="57" t="n">
        <v>0</v>
      </c>
      <c r="AA26" s="86" t="n">
        <v>75</v>
      </c>
      <c r="AB26" s="58" t="n">
        <v>43</v>
      </c>
      <c r="AC26" s="59" t="n">
        <f aca="false">AC25+1</f>
        <v>17</v>
      </c>
      <c r="AD26" s="74" t="n">
        <v>1559</v>
      </c>
      <c r="AE26" s="78" t="n">
        <v>1968</v>
      </c>
      <c r="AF26" s="75" t="n">
        <v>1921.09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6896.15</v>
      </c>
      <c r="C27" s="54" t="n">
        <v>269593</v>
      </c>
      <c r="D27" s="58" t="n">
        <f aca="false">C27-C26</f>
        <v>35</v>
      </c>
      <c r="E27" s="54" t="n">
        <f aca="false">C27-152000</f>
        <v>117593</v>
      </c>
      <c r="F27" s="53" t="n">
        <f aca="false">D27/$D$2</f>
        <v>17.6500252143217</v>
      </c>
      <c r="G27" s="53" t="n">
        <v>51.7500252143217</v>
      </c>
      <c r="H27" s="55" t="n">
        <v>0</v>
      </c>
      <c r="I27" s="53" t="n">
        <f aca="false">G27+H27</f>
        <v>51.7500252143217</v>
      </c>
      <c r="J27" s="77" t="n">
        <f aca="false">IF(L27&gt;0,L27,0)</f>
        <v>0</v>
      </c>
      <c r="K27" s="53" t="n">
        <f aca="false">I27+J27</f>
        <v>51.7500252143217</v>
      </c>
      <c r="L27" s="53" t="n">
        <f aca="false">F27-(I27-W27)</f>
        <v>0</v>
      </c>
      <c r="M27" s="53" t="n">
        <v>4.4</v>
      </c>
      <c r="N27" s="53" t="n">
        <v>0</v>
      </c>
      <c r="O27" s="53" t="n">
        <f aca="false">M27-N27</f>
        <v>4.4</v>
      </c>
      <c r="P27" s="53" t="n">
        <v>0</v>
      </c>
      <c r="Q27" s="53" t="n">
        <v>0</v>
      </c>
      <c r="R27" s="53" t="n">
        <f aca="false">SUM(O27:Q27)</f>
        <v>4.4</v>
      </c>
      <c r="S27" s="54"/>
      <c r="T27" s="53" t="n">
        <v>0</v>
      </c>
      <c r="U27" s="53" t="n">
        <v>29.7</v>
      </c>
      <c r="V27" s="54" t="n">
        <f aca="false">V26-U27</f>
        <v>12194.2333148475</v>
      </c>
      <c r="W27" s="53" t="n">
        <f aca="false">R27+T27+N27+U27</f>
        <v>34.1</v>
      </c>
      <c r="X27" s="53" t="n">
        <f aca="false">IF(L27&lt;0,L27*-1,0)</f>
        <v>0</v>
      </c>
      <c r="Y27" s="53" t="n">
        <f aca="false">W27+X27</f>
        <v>34.1</v>
      </c>
      <c r="Z27" s="57" t="n">
        <v>0</v>
      </c>
      <c r="AA27" s="86" t="n">
        <v>74</v>
      </c>
      <c r="AB27" s="58" t="n">
        <v>40</v>
      </c>
      <c r="AC27" s="59" t="n">
        <f aca="false">AC26+1</f>
        <v>18</v>
      </c>
      <c r="AD27" s="74" t="n">
        <v>1867</v>
      </c>
      <c r="AE27" s="78" t="n">
        <v>2133</v>
      </c>
      <c r="AF27" s="75" t="n">
        <v>1990.83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6896.15</v>
      </c>
      <c r="C28" s="54" t="n">
        <v>269593</v>
      </c>
      <c r="D28" s="58" t="n">
        <f aca="false">C28-C27</f>
        <v>0</v>
      </c>
      <c r="E28" s="54" t="n">
        <f aca="false">C28-152000</f>
        <v>117593</v>
      </c>
      <c r="F28" s="53" t="n">
        <f aca="false">D28/$D$2</f>
        <v>0</v>
      </c>
      <c r="G28" s="53" t="n">
        <v>34.38</v>
      </c>
      <c r="H28" s="55" t="n">
        <v>0</v>
      </c>
      <c r="I28" s="53" t="n">
        <f aca="false">G28+H28</f>
        <v>34.38</v>
      </c>
      <c r="J28" s="77" t="n">
        <f aca="false">IF(L28&gt;0,L28,0)</f>
        <v>0</v>
      </c>
      <c r="K28" s="53" t="n">
        <f aca="false">I28+J28</f>
        <v>34.38</v>
      </c>
      <c r="L28" s="53" t="n">
        <f aca="false">F28-(I28-W28)</f>
        <v>0</v>
      </c>
      <c r="M28" s="53" t="n">
        <v>4.68</v>
      </c>
      <c r="N28" s="53" t="n">
        <v>0</v>
      </c>
      <c r="O28" s="53" t="n">
        <f aca="false">M28-N28</f>
        <v>4.68</v>
      </c>
      <c r="P28" s="53" t="n">
        <v>0</v>
      </c>
      <c r="Q28" s="53" t="n">
        <v>0</v>
      </c>
      <c r="R28" s="53" t="n">
        <f aca="false">SUM(O28:Q28)</f>
        <v>4.68</v>
      </c>
      <c r="S28" s="54"/>
      <c r="T28" s="53" t="n">
        <v>0</v>
      </c>
      <c r="U28" s="53" t="n">
        <v>29.7</v>
      </c>
      <c r="V28" s="54" t="n">
        <f aca="false">V27-U28</f>
        <v>12164.5333148475</v>
      </c>
      <c r="W28" s="53" t="n">
        <f aca="false">R28+T28+N28+U28</f>
        <v>34.38</v>
      </c>
      <c r="X28" s="53" t="n">
        <f aca="false">IF(L28&lt;0,L28*-1,0)</f>
        <v>0</v>
      </c>
      <c r="Y28" s="53" t="n">
        <f aca="false">W28+X28</f>
        <v>34.38</v>
      </c>
      <c r="Z28" s="57" t="n">
        <v>0</v>
      </c>
      <c r="AA28" s="86" t="n">
        <v>75</v>
      </c>
      <c r="AB28" s="58" t="n">
        <v>39</v>
      </c>
      <c r="AC28" s="59" t="n">
        <f aca="false">AC27+1</f>
        <v>19</v>
      </c>
      <c r="AD28" s="74" t="n">
        <v>2157</v>
      </c>
      <c r="AE28" s="78" t="n">
        <v>2304</v>
      </c>
      <c r="AF28" s="75" t="n">
        <v>2064.09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6896.14</v>
      </c>
      <c r="C29" s="88" t="n">
        <v>269558</v>
      </c>
      <c r="D29" s="58" t="n">
        <f aca="false">C29-C28</f>
        <v>-35</v>
      </c>
      <c r="E29" s="54" t="n">
        <f aca="false">C29-152000</f>
        <v>117558</v>
      </c>
      <c r="F29" s="53" t="n">
        <f aca="false">D29/$D$2</f>
        <v>-17.6500252143217</v>
      </c>
      <c r="G29" s="53" t="n">
        <v>16.8099747856783</v>
      </c>
      <c r="H29" s="55" t="n">
        <v>0</v>
      </c>
      <c r="I29" s="53" t="n">
        <f aca="false">G29+H29</f>
        <v>16.8099747856783</v>
      </c>
      <c r="J29" s="77" t="n">
        <f aca="false">IF(L29&gt;0,L29,0)</f>
        <v>0</v>
      </c>
      <c r="K29" s="53" t="n">
        <f aca="false">I29+J29</f>
        <v>16.8099747856783</v>
      </c>
      <c r="L29" s="53" t="n">
        <f aca="false">F29-(I29-W29)</f>
        <v>0</v>
      </c>
      <c r="M29" s="53" t="n">
        <v>4.76</v>
      </c>
      <c r="N29" s="53" t="n">
        <v>0</v>
      </c>
      <c r="O29" s="53" t="n">
        <f aca="false">M29-N29</f>
        <v>4.76</v>
      </c>
      <c r="P29" s="53" t="n">
        <v>0</v>
      </c>
      <c r="Q29" s="53" t="n">
        <v>0</v>
      </c>
      <c r="R29" s="53" t="n">
        <f aca="false">SUM(O29:Q29)</f>
        <v>4.76</v>
      </c>
      <c r="S29" s="54"/>
      <c r="T29" s="53" t="n">
        <v>0</v>
      </c>
      <c r="U29" s="53" t="n">
        <v>29.7</v>
      </c>
      <c r="V29" s="54" t="n">
        <f aca="false">V28-U29</f>
        <v>12134.8333148475</v>
      </c>
      <c r="W29" s="53" t="n">
        <f aca="false">R29+T29+N29+U29</f>
        <v>34.46</v>
      </c>
      <c r="X29" s="53" t="n">
        <f aca="false">IF(L29&lt;0,L29*-1,0)</f>
        <v>0</v>
      </c>
      <c r="Y29" s="53" t="n">
        <f aca="false">W29+X29</f>
        <v>34.46</v>
      </c>
      <c r="Z29" s="57" t="n">
        <v>0</v>
      </c>
      <c r="AA29" s="86" t="n">
        <v>72</v>
      </c>
      <c r="AB29" s="58" t="n">
        <v>30</v>
      </c>
      <c r="AC29" s="59" t="n">
        <f aca="false">AC28+1</f>
        <v>20</v>
      </c>
      <c r="AD29" s="74" t="n">
        <v>2443</v>
      </c>
      <c r="AE29" s="78" t="n">
        <v>2474</v>
      </c>
      <c r="AF29" s="75" t="n">
        <v>2135.47</v>
      </c>
    </row>
    <row r="30" customFormat="false" ht="11.1" hidden="false" customHeight="true" outlineLevel="0" collapsed="false">
      <c r="A30" s="59" t="n">
        <f aca="false">A29+1</f>
        <v>21</v>
      </c>
      <c r="B30" s="76" t="n">
        <v>6896.15</v>
      </c>
      <c r="C30" s="54" t="n">
        <v>269593</v>
      </c>
      <c r="D30" s="58" t="n">
        <f aca="false">C30-C29</f>
        <v>35</v>
      </c>
      <c r="E30" s="54" t="n">
        <f aca="false">C30-152000</f>
        <v>117593</v>
      </c>
      <c r="F30" s="53" t="n">
        <f aca="false">D30/$D$2</f>
        <v>17.6500252143217</v>
      </c>
      <c r="G30" s="53" t="n">
        <v>52.1100252143217</v>
      </c>
      <c r="H30" s="55" t="n">
        <v>0</v>
      </c>
      <c r="I30" s="53" t="n">
        <f aca="false">G30+H30</f>
        <v>52.1100252143217</v>
      </c>
      <c r="J30" s="77" t="n">
        <f aca="false">IF(L30&gt;0,L30,0)</f>
        <v>0</v>
      </c>
      <c r="K30" s="53" t="n">
        <f aca="false">I30+J30</f>
        <v>52.1100252143217</v>
      </c>
      <c r="L30" s="53" t="n">
        <f aca="false">F30-(I30-W30)</f>
        <v>0</v>
      </c>
      <c r="M30" s="53" t="n">
        <v>4.76</v>
      </c>
      <c r="N30" s="53" t="n">
        <v>0</v>
      </c>
      <c r="O30" s="53" t="n">
        <f aca="false">M30-N30</f>
        <v>4.76</v>
      </c>
      <c r="P30" s="53" t="n">
        <v>0</v>
      </c>
      <c r="Q30" s="53" t="n">
        <v>0</v>
      </c>
      <c r="R30" s="53" t="n">
        <f aca="false">SUM(O30:Q30)</f>
        <v>4.76</v>
      </c>
      <c r="S30" s="54"/>
      <c r="T30" s="53" t="n">
        <v>0</v>
      </c>
      <c r="U30" s="53" t="n">
        <v>29.7</v>
      </c>
      <c r="V30" s="54" t="n">
        <f aca="false">V29-U30</f>
        <v>12105.1333148475</v>
      </c>
      <c r="W30" s="53" t="n">
        <f aca="false">R30+T30+N30+U30</f>
        <v>34.46</v>
      </c>
      <c r="X30" s="53" t="n">
        <f aca="false">IF(L30&lt;0,L30*-1,0)</f>
        <v>0</v>
      </c>
      <c r="Y30" s="53" t="n">
        <f aca="false">W30+X30</f>
        <v>34.46</v>
      </c>
      <c r="Z30" s="57" t="n">
        <v>0.06</v>
      </c>
      <c r="AA30" s="58" t="n">
        <v>73</v>
      </c>
      <c r="AB30" s="58" t="n">
        <v>35</v>
      </c>
      <c r="AC30" s="59" t="n">
        <f aca="false">AC29+1</f>
        <v>21</v>
      </c>
      <c r="AD30" s="74" t="n">
        <v>2760</v>
      </c>
      <c r="AE30" s="78" t="n">
        <v>2645</v>
      </c>
      <c r="AF30" s="75" t="n">
        <v>2202.37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6896.16</v>
      </c>
      <c r="C31" s="54" t="n">
        <v>269630</v>
      </c>
      <c r="D31" s="58" t="n">
        <f aca="false">C31-C30</f>
        <v>37</v>
      </c>
      <c r="E31" s="54" t="n">
        <f aca="false">C31-152000</f>
        <v>117630</v>
      </c>
      <c r="F31" s="53" t="n">
        <f aca="false">D31/$D$2</f>
        <v>18.6585980837115</v>
      </c>
      <c r="G31" s="53" t="n">
        <v>53.1185980837116</v>
      </c>
      <c r="H31" s="55" t="n">
        <v>0</v>
      </c>
      <c r="I31" s="53" t="n">
        <f aca="false">G31+H31</f>
        <v>53.1185980837116</v>
      </c>
      <c r="J31" s="77" t="n">
        <f aca="false">IF(L31&gt;0,L31,0)</f>
        <v>0</v>
      </c>
      <c r="K31" s="53" t="n">
        <f aca="false">I31+J31</f>
        <v>53.1185980837116</v>
      </c>
      <c r="L31" s="53" t="n">
        <f aca="false">F31-(I31-W31)</f>
        <v>0</v>
      </c>
      <c r="M31" s="53" t="n">
        <v>4.76</v>
      </c>
      <c r="N31" s="53" t="n">
        <v>0</v>
      </c>
      <c r="O31" s="53" t="n">
        <f aca="false">M31-N31</f>
        <v>4.76</v>
      </c>
      <c r="P31" s="53" t="n">
        <v>0</v>
      </c>
      <c r="Q31" s="53" t="n">
        <v>0</v>
      </c>
      <c r="R31" s="53" t="n">
        <f aca="false">SUM(O31:Q31)</f>
        <v>4.76</v>
      </c>
      <c r="S31" s="54"/>
      <c r="T31" s="53" t="n">
        <v>0</v>
      </c>
      <c r="U31" s="53" t="n">
        <v>29.7</v>
      </c>
      <c r="V31" s="54" t="n">
        <f aca="false">V30-U31</f>
        <v>12075.4333148475</v>
      </c>
      <c r="W31" s="53" t="n">
        <f aca="false">R31+T31+N31+U31</f>
        <v>34.46</v>
      </c>
      <c r="X31" s="53" t="n">
        <f aca="false">IF(L31&lt;0,L31*-1,0)</f>
        <v>0</v>
      </c>
      <c r="Y31" s="53" t="n">
        <f aca="false">W31+X31</f>
        <v>34.46</v>
      </c>
      <c r="Z31" s="57" t="n">
        <v>0</v>
      </c>
      <c r="AA31" s="58" t="n">
        <v>79</v>
      </c>
      <c r="AB31" s="58" t="n">
        <v>40</v>
      </c>
      <c r="AC31" s="59" t="n">
        <f aca="false">AC30+1</f>
        <v>22</v>
      </c>
      <c r="AD31" s="74" t="n">
        <v>3077</v>
      </c>
      <c r="AE31" s="78" t="n">
        <v>2820</v>
      </c>
      <c r="AF31" s="75" t="n">
        <v>2257.56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6896.18</v>
      </c>
      <c r="C32" s="54" t="n">
        <v>269702</v>
      </c>
      <c r="D32" s="58" t="n">
        <f aca="false">C32-C31</f>
        <v>72</v>
      </c>
      <c r="E32" s="54" t="n">
        <f aca="false">C32-152000</f>
        <v>117702</v>
      </c>
      <c r="F32" s="53" t="n">
        <f aca="false">D32/$D$2</f>
        <v>36.3086232980333</v>
      </c>
      <c r="G32" s="53" t="n">
        <v>70.7686232980333</v>
      </c>
      <c r="H32" s="55" t="n">
        <v>0</v>
      </c>
      <c r="I32" s="53" t="n">
        <f aca="false">G32+H32</f>
        <v>70.7686232980333</v>
      </c>
      <c r="J32" s="77" t="n">
        <f aca="false">IF(L32&gt;0,L32,0)</f>
        <v>0</v>
      </c>
      <c r="K32" s="53" t="n">
        <f aca="false">I32+J32</f>
        <v>70.7686232980333</v>
      </c>
      <c r="L32" s="53" t="n">
        <f aca="false">F32-(I32-W32)</f>
        <v>0</v>
      </c>
      <c r="M32" s="53" t="n">
        <v>4.76</v>
      </c>
      <c r="N32" s="53" t="n">
        <v>0</v>
      </c>
      <c r="O32" s="53" t="n">
        <f aca="false">M32-N32</f>
        <v>4.76</v>
      </c>
      <c r="P32" s="53" t="n">
        <v>0</v>
      </c>
      <c r="Q32" s="53" t="n">
        <v>0</v>
      </c>
      <c r="R32" s="53" t="n">
        <f aca="false">SUM(O32:Q32)</f>
        <v>4.76</v>
      </c>
      <c r="S32" s="54"/>
      <c r="T32" s="53" t="n">
        <v>0</v>
      </c>
      <c r="U32" s="53" t="n">
        <v>29.7</v>
      </c>
      <c r="V32" s="54" t="n">
        <f aca="false">V31-U32</f>
        <v>12045.7333148475</v>
      </c>
      <c r="W32" s="53" t="n">
        <f aca="false">R32+T32+N32+U32</f>
        <v>34.46</v>
      </c>
      <c r="X32" s="53" t="n">
        <f aca="false">IF(L32&lt;0,L32*-1,0)</f>
        <v>0</v>
      </c>
      <c r="Y32" s="53" t="n">
        <f aca="false">W32+X32</f>
        <v>34.46</v>
      </c>
      <c r="Z32" s="57" t="n">
        <v>0</v>
      </c>
      <c r="AA32" s="58" t="n">
        <v>80</v>
      </c>
      <c r="AB32" s="86" t="n">
        <v>46</v>
      </c>
      <c r="AC32" s="59" t="n">
        <f aca="false">AC31+1</f>
        <v>23</v>
      </c>
      <c r="AD32" s="74" t="n">
        <v>3431</v>
      </c>
      <c r="AE32" s="78" t="n">
        <v>2986</v>
      </c>
      <c r="AF32" s="75" t="n">
        <v>2305.82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6896.2</v>
      </c>
      <c r="C33" s="54" t="n">
        <v>269773</v>
      </c>
      <c r="D33" s="58" t="n">
        <f aca="false">C33-C32</f>
        <v>71</v>
      </c>
      <c r="E33" s="54" t="n">
        <f aca="false">C33-152000</f>
        <v>117773</v>
      </c>
      <c r="F33" s="53" t="n">
        <f aca="false">D33/$D$2</f>
        <v>35.8043368633384</v>
      </c>
      <c r="G33" s="53" t="n">
        <v>69.8643368633384</v>
      </c>
      <c r="H33" s="55" t="n">
        <v>0</v>
      </c>
      <c r="I33" s="53" t="n">
        <f aca="false">G33+H33</f>
        <v>69.8643368633384</v>
      </c>
      <c r="J33" s="77" t="n">
        <f aca="false">IF(L33&gt;0,L33,0)</f>
        <v>0</v>
      </c>
      <c r="K33" s="53" t="n">
        <f aca="false">I33+J33</f>
        <v>69.8643368633384</v>
      </c>
      <c r="L33" s="53" t="n">
        <f aca="false">F33-(I33-W33)</f>
        <v>0</v>
      </c>
      <c r="M33" s="53" t="n">
        <v>4.36</v>
      </c>
      <c r="N33" s="53" t="n">
        <v>0</v>
      </c>
      <c r="O33" s="53" t="n">
        <f aca="false">M33-N33</f>
        <v>4.36</v>
      </c>
      <c r="P33" s="53" t="n">
        <v>0</v>
      </c>
      <c r="Q33" s="53" t="n">
        <v>0</v>
      </c>
      <c r="R33" s="53" t="n">
        <f aca="false">SUM(O33:Q33)</f>
        <v>4.36</v>
      </c>
      <c r="S33" s="54"/>
      <c r="T33" s="53" t="n">
        <v>0</v>
      </c>
      <c r="U33" s="53" t="n">
        <v>29.7</v>
      </c>
      <c r="V33" s="54" t="n">
        <f aca="false">V32-U33</f>
        <v>12016.0333148475</v>
      </c>
      <c r="W33" s="53" t="n">
        <f aca="false">R33+T33+N33+U33</f>
        <v>34.06</v>
      </c>
      <c r="X33" s="53" t="n">
        <f aca="false">IF(L33&lt;0,L33*-1,0)</f>
        <v>0</v>
      </c>
      <c r="Y33" s="53" t="n">
        <f aca="false">W33+X33</f>
        <v>34.06</v>
      </c>
      <c r="Z33" s="57" t="n">
        <v>0</v>
      </c>
      <c r="AA33" s="58" t="n">
        <v>76</v>
      </c>
      <c r="AB33" s="86" t="n">
        <v>48</v>
      </c>
      <c r="AC33" s="59" t="n">
        <f aca="false">AC32+1</f>
        <v>24</v>
      </c>
      <c r="AD33" s="74" t="n">
        <v>3778</v>
      </c>
      <c r="AE33" s="78" t="n">
        <v>3159</v>
      </c>
      <c r="AF33" s="75" t="n">
        <v>2351.3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6896.23</v>
      </c>
      <c r="C34" s="54" t="n">
        <v>269880</v>
      </c>
      <c r="D34" s="58" t="n">
        <f aca="false">C34-C33</f>
        <v>107</v>
      </c>
      <c r="E34" s="54" t="n">
        <f aca="false">C34-152000</f>
        <v>117880</v>
      </c>
      <c r="F34" s="53" t="n">
        <f aca="false">D34/$D$2</f>
        <v>53.958648512355</v>
      </c>
      <c r="G34" s="53" t="n">
        <v>86.738648512355</v>
      </c>
      <c r="H34" s="55" t="n">
        <v>0</v>
      </c>
      <c r="I34" s="53" t="n">
        <f aca="false">G34+H34</f>
        <v>86.738648512355</v>
      </c>
      <c r="J34" s="77" t="n">
        <f aca="false">IF(L34&gt;0,L34,0)</f>
        <v>0</v>
      </c>
      <c r="K34" s="53" t="n">
        <f aca="false">I34+J34</f>
        <v>86.738648512355</v>
      </c>
      <c r="L34" s="53" t="n">
        <f aca="false">F34-(I34-W34)</f>
        <v>0</v>
      </c>
      <c r="M34" s="53" t="n">
        <v>3.08</v>
      </c>
      <c r="N34" s="53" t="n">
        <v>0</v>
      </c>
      <c r="O34" s="53" t="n">
        <f aca="false">M34-N34</f>
        <v>3.08</v>
      </c>
      <c r="P34" s="53" t="n">
        <v>0</v>
      </c>
      <c r="Q34" s="53" t="n">
        <v>0</v>
      </c>
      <c r="R34" s="53" t="n">
        <f aca="false">SUM(O34:Q34)</f>
        <v>3.08</v>
      </c>
      <c r="S34" s="54"/>
      <c r="T34" s="53" t="n">
        <v>0</v>
      </c>
      <c r="U34" s="53" t="n">
        <v>29.7</v>
      </c>
      <c r="V34" s="54" t="n">
        <f aca="false">V33-U34</f>
        <v>11986.3333148475</v>
      </c>
      <c r="W34" s="53" t="n">
        <f aca="false">R34+T34+N34+U34</f>
        <v>32.78</v>
      </c>
      <c r="X34" s="53" t="n">
        <f aca="false">IF(L34&lt;0,L34*-1,0)</f>
        <v>0</v>
      </c>
      <c r="Y34" s="53" t="n">
        <f aca="false">W34+X34</f>
        <v>32.78</v>
      </c>
      <c r="Z34" s="57" t="n">
        <v>0.25</v>
      </c>
      <c r="AA34" s="58" t="n">
        <v>71</v>
      </c>
      <c r="AB34" s="86" t="n">
        <v>40</v>
      </c>
      <c r="AC34" s="59" t="n">
        <f aca="false">AC33+1</f>
        <v>25</v>
      </c>
      <c r="AD34" s="74" t="n">
        <v>4048</v>
      </c>
      <c r="AE34" s="78" t="n">
        <v>3332</v>
      </c>
      <c r="AF34" s="75" t="n">
        <v>2362.83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6896.3</v>
      </c>
      <c r="C35" s="54" t="n">
        <v>270131</v>
      </c>
      <c r="D35" s="58" t="n">
        <f aca="false">C35-C34</f>
        <v>251</v>
      </c>
      <c r="E35" s="54" t="n">
        <f aca="false">C35-152000</f>
        <v>118131</v>
      </c>
      <c r="F35" s="53" t="n">
        <f aca="false">D35/$D$2</f>
        <v>126.575895108422</v>
      </c>
      <c r="G35" s="53" t="n">
        <v>161.115895108422</v>
      </c>
      <c r="H35" s="55" t="n">
        <v>0</v>
      </c>
      <c r="I35" s="53" t="n">
        <f aca="false">G35+H35</f>
        <v>161.115895108422</v>
      </c>
      <c r="J35" s="77" t="n">
        <f aca="false">IF(L35&gt;0,L35,0)</f>
        <v>0</v>
      </c>
      <c r="K35" s="53" t="n">
        <f aca="false">I35+J35</f>
        <v>161.115895108422</v>
      </c>
      <c r="L35" s="53" t="n">
        <f aca="false">F35-(I35-W35)</f>
        <v>0</v>
      </c>
      <c r="M35" s="53" t="n">
        <v>4.84</v>
      </c>
      <c r="N35" s="53" t="n">
        <v>0</v>
      </c>
      <c r="O35" s="53" t="n">
        <f aca="false">M35-N35</f>
        <v>4.84</v>
      </c>
      <c r="P35" s="53" t="n">
        <v>0</v>
      </c>
      <c r="Q35" s="53" t="n">
        <v>0</v>
      </c>
      <c r="R35" s="53" t="n">
        <f aca="false">SUM(O35:Q35)</f>
        <v>4.84</v>
      </c>
      <c r="S35" s="54"/>
      <c r="T35" s="53" t="n">
        <v>0</v>
      </c>
      <c r="U35" s="53" t="n">
        <v>29.7</v>
      </c>
      <c r="V35" s="54" t="n">
        <f aca="false">V34-U35</f>
        <v>11956.6333148475</v>
      </c>
      <c r="W35" s="53" t="n">
        <f aca="false">R35+T35+N35+U35</f>
        <v>34.54</v>
      </c>
      <c r="X35" s="53" t="n">
        <f aca="false">IF(L35&lt;0,L35*-1,0)</f>
        <v>0</v>
      </c>
      <c r="Y35" s="53" t="n">
        <f aca="false">W35+X35</f>
        <v>34.54</v>
      </c>
      <c r="Z35" s="57" t="n">
        <v>0.41</v>
      </c>
      <c r="AA35" s="58" t="n">
        <v>63</v>
      </c>
      <c r="AB35" s="58" t="n">
        <v>35</v>
      </c>
      <c r="AC35" s="59" t="n">
        <f aca="false">AC34+1</f>
        <v>26</v>
      </c>
      <c r="AD35" s="74" t="n">
        <v>4274</v>
      </c>
      <c r="AE35" s="78" t="n">
        <v>3506</v>
      </c>
      <c r="AF35" s="75" t="n">
        <v>2362.83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6896.3</v>
      </c>
      <c r="C36" s="54" t="n">
        <v>270131</v>
      </c>
      <c r="D36" s="58" t="n">
        <f aca="false">C36-C35</f>
        <v>0</v>
      </c>
      <c r="E36" s="54" t="n">
        <f aca="false">C36-152000</f>
        <v>118131</v>
      </c>
      <c r="F36" s="53" t="n">
        <f aca="false">D36/$D$2</f>
        <v>0</v>
      </c>
      <c r="G36" s="53" t="n">
        <v>35.03</v>
      </c>
      <c r="H36" s="55" t="n">
        <v>0</v>
      </c>
      <c r="I36" s="53" t="n">
        <f aca="false">G36+H36</f>
        <v>35.03</v>
      </c>
      <c r="J36" s="77" t="n">
        <f aca="false">IF(L36&gt;0,L36,0)</f>
        <v>0</v>
      </c>
      <c r="K36" s="53" t="n">
        <f aca="false">I36+J36</f>
        <v>35.03</v>
      </c>
      <c r="L36" s="53" t="n">
        <f aca="false">F36-(I36-W36)</f>
        <v>0</v>
      </c>
      <c r="M36" s="53" t="n">
        <v>5.33</v>
      </c>
      <c r="N36" s="53" t="n">
        <v>0</v>
      </c>
      <c r="O36" s="53" t="n">
        <f aca="false">M36-N36</f>
        <v>5.33</v>
      </c>
      <c r="P36" s="53" t="n">
        <v>0</v>
      </c>
      <c r="Q36" s="53" t="n">
        <v>0</v>
      </c>
      <c r="R36" s="53" t="n">
        <f aca="false">SUM(O36:Q36)</f>
        <v>5.33</v>
      </c>
      <c r="S36" s="54"/>
      <c r="T36" s="53" t="n">
        <v>0</v>
      </c>
      <c r="U36" s="53" t="n">
        <v>29.7</v>
      </c>
      <c r="V36" s="54" t="n">
        <f aca="false">V35-U36</f>
        <v>11926.9333148475</v>
      </c>
      <c r="W36" s="53" t="n">
        <f aca="false">R36+T36+N36+U36</f>
        <v>35.03</v>
      </c>
      <c r="X36" s="53" t="n">
        <f aca="false">IF(L36&lt;0,L36*-1,0)</f>
        <v>0</v>
      </c>
      <c r="Y36" s="53" t="n">
        <f aca="false">W36+X36</f>
        <v>35.03</v>
      </c>
      <c r="Z36" s="57" t="n">
        <v>0</v>
      </c>
      <c r="AA36" s="58" t="n">
        <v>67</v>
      </c>
      <c r="AB36" s="58" t="n">
        <v>40</v>
      </c>
      <c r="AC36" s="59" t="n">
        <f aca="false">AC35+1</f>
        <v>27</v>
      </c>
      <c r="AD36" s="74" t="n">
        <v>4501</v>
      </c>
      <c r="AE36" s="78" t="n">
        <v>3671</v>
      </c>
      <c r="AF36" s="75" t="n">
        <v>2362.83</v>
      </c>
    </row>
    <row r="37" customFormat="false" ht="11.1" hidden="false" customHeight="true" outlineLevel="0" collapsed="false">
      <c r="A37" s="59" t="n">
        <f aca="false">A36+1</f>
        <v>28</v>
      </c>
      <c r="B37" s="76" t="n">
        <v>6896.3</v>
      </c>
      <c r="C37" s="54" t="n">
        <v>270131</v>
      </c>
      <c r="D37" s="58" t="n">
        <f aca="false">C37-C36</f>
        <v>0</v>
      </c>
      <c r="E37" s="54" t="n">
        <f aca="false">C37-152000</f>
        <v>118131</v>
      </c>
      <c r="F37" s="53" t="n">
        <f aca="false">D37/$D$2</f>
        <v>0</v>
      </c>
      <c r="G37" s="53" t="n">
        <v>33.76</v>
      </c>
      <c r="H37" s="55" t="n">
        <v>0</v>
      </c>
      <c r="I37" s="53" t="n">
        <f aca="false">G37+H37</f>
        <v>33.76</v>
      </c>
      <c r="J37" s="77" t="n">
        <f aca="false">IF(L37&gt;0,L37,0)</f>
        <v>0</v>
      </c>
      <c r="K37" s="53" t="n">
        <f aca="false">I37+J37</f>
        <v>33.76</v>
      </c>
      <c r="L37" s="53" t="n">
        <f aca="false">F37-(I37-W37)</f>
        <v>0</v>
      </c>
      <c r="M37" s="53" t="n">
        <v>4.06</v>
      </c>
      <c r="N37" s="53" t="n">
        <v>0</v>
      </c>
      <c r="O37" s="53" t="n">
        <f aca="false">M37-N37</f>
        <v>4.06</v>
      </c>
      <c r="P37" s="53" t="n">
        <v>0</v>
      </c>
      <c r="Q37" s="53" t="n">
        <v>0</v>
      </c>
      <c r="R37" s="53" t="n">
        <f aca="false">SUM(O37:Q37)</f>
        <v>4.06</v>
      </c>
      <c r="S37" s="54"/>
      <c r="T37" s="53" t="n">
        <v>0</v>
      </c>
      <c r="U37" s="53" t="n">
        <v>29.7</v>
      </c>
      <c r="V37" s="54" t="n">
        <f aca="false">V36-U37</f>
        <v>11897.2333148475</v>
      </c>
      <c r="W37" s="53" t="n">
        <f aca="false">R37+T37+N37+U37</f>
        <v>33.76</v>
      </c>
      <c r="X37" s="53" t="n">
        <f aca="false">IF(L37&lt;0,L37*-1,0)</f>
        <v>0</v>
      </c>
      <c r="Y37" s="53" t="n">
        <f aca="false">W37+X37</f>
        <v>33.76</v>
      </c>
      <c r="Z37" s="57" t="n">
        <v>0</v>
      </c>
      <c r="AA37" s="58" t="n">
        <v>78</v>
      </c>
      <c r="AB37" s="58" t="n">
        <v>45</v>
      </c>
      <c r="AC37" s="59" t="n">
        <f aca="false">AC36+1</f>
        <v>28</v>
      </c>
      <c r="AD37" s="74" t="n">
        <v>4723</v>
      </c>
      <c r="AE37" s="78" t="n">
        <v>3836</v>
      </c>
      <c r="AF37" s="75" t="n">
        <v>2362.83</v>
      </c>
    </row>
    <row r="38" customFormat="false" ht="11.1" hidden="false" customHeight="true" outlineLevel="0" collapsed="false">
      <c r="A38" s="59" t="n">
        <f aca="false">A37+1</f>
        <v>29</v>
      </c>
      <c r="B38" s="76" t="n">
        <v>6896.3</v>
      </c>
      <c r="C38" s="54" t="n">
        <v>270131</v>
      </c>
      <c r="D38" s="58" t="n">
        <f aca="false">C38-C37</f>
        <v>0</v>
      </c>
      <c r="E38" s="54" t="n">
        <f aca="false">C38-152000</f>
        <v>118131</v>
      </c>
      <c r="F38" s="53" t="n">
        <f aca="false">D38/$D$2</f>
        <v>0</v>
      </c>
      <c r="G38" s="53" t="n">
        <v>33.76</v>
      </c>
      <c r="H38" s="55" t="n">
        <v>0</v>
      </c>
      <c r="I38" s="53" t="n">
        <f aca="false">G38+H38</f>
        <v>33.76</v>
      </c>
      <c r="J38" s="77" t="n">
        <f aca="false">IF(L38&gt;0,L38,0)</f>
        <v>0</v>
      </c>
      <c r="K38" s="53" t="n">
        <f aca="false">I38+J38</f>
        <v>33.76</v>
      </c>
      <c r="L38" s="53" t="n">
        <f aca="false">F38-(I38-W38)</f>
        <v>0</v>
      </c>
      <c r="M38" s="53" t="n">
        <v>4.06</v>
      </c>
      <c r="N38" s="53" t="n">
        <v>0</v>
      </c>
      <c r="O38" s="53" t="n">
        <f aca="false">M38-N38</f>
        <v>4.06</v>
      </c>
      <c r="P38" s="53" t="n">
        <v>0</v>
      </c>
      <c r="Q38" s="53" t="n">
        <v>0</v>
      </c>
      <c r="R38" s="53" t="n">
        <f aca="false">SUM(O38:Q38)</f>
        <v>4.06</v>
      </c>
      <c r="S38" s="54"/>
      <c r="T38" s="53" t="n">
        <v>0</v>
      </c>
      <c r="U38" s="53" t="n">
        <v>29.7</v>
      </c>
      <c r="V38" s="54" t="n">
        <f aca="false">V37-U38</f>
        <v>11867.5333148475</v>
      </c>
      <c r="W38" s="53" t="n">
        <f aca="false">R38+T38+N38+U38</f>
        <v>33.76</v>
      </c>
      <c r="X38" s="53" t="n">
        <f aca="false">IF(L38&lt;0,L38*-1,0)</f>
        <v>0</v>
      </c>
      <c r="Y38" s="53" t="n">
        <f aca="false">W38+X38</f>
        <v>33.76</v>
      </c>
      <c r="Z38" s="57" t="n">
        <v>0</v>
      </c>
      <c r="AA38" s="86" t="n">
        <v>78</v>
      </c>
      <c r="AB38" s="58" t="n">
        <v>44</v>
      </c>
      <c r="AC38" s="59" t="n">
        <f aca="false">AC37+1</f>
        <v>29</v>
      </c>
      <c r="AD38" s="74" t="n">
        <v>4963</v>
      </c>
      <c r="AE38" s="78" t="n">
        <v>4000</v>
      </c>
      <c r="AF38" s="75" t="n">
        <v>2362.83</v>
      </c>
    </row>
    <row r="39" customFormat="false" ht="11.1" hidden="false" customHeight="true" outlineLevel="0" collapsed="false">
      <c r="A39" s="59" t="n">
        <v>30</v>
      </c>
      <c r="B39" s="76" t="n">
        <v>6896.32</v>
      </c>
      <c r="C39" s="54" t="n">
        <v>270203</v>
      </c>
      <c r="D39" s="58" t="n">
        <f aca="false">C39-C38</f>
        <v>72</v>
      </c>
      <c r="E39" s="54" t="n">
        <f aca="false">C39-152000</f>
        <v>118203</v>
      </c>
      <c r="F39" s="53" t="n">
        <f aca="false">D39/$D$2</f>
        <v>36.3086232980333</v>
      </c>
      <c r="G39" s="53" t="n">
        <v>69.8286232980333</v>
      </c>
      <c r="H39" s="55" t="n">
        <v>0</v>
      </c>
      <c r="I39" s="53" t="n">
        <f aca="false">G39+H39</f>
        <v>69.8286232980333</v>
      </c>
      <c r="J39" s="77" t="n">
        <f aca="false">IF(L39&gt;0,L39,0)</f>
        <v>0</v>
      </c>
      <c r="K39" s="53" t="n">
        <f aca="false">I39+J39</f>
        <v>69.8286232980333</v>
      </c>
      <c r="L39" s="53" t="n">
        <f aca="false">F39-(I39-W39)</f>
        <v>0</v>
      </c>
      <c r="M39" s="53" t="n">
        <v>3.82</v>
      </c>
      <c r="N39" s="53" t="n">
        <v>0</v>
      </c>
      <c r="O39" s="53" t="n">
        <f aca="false">M39-N39</f>
        <v>3.82</v>
      </c>
      <c r="P39" s="53" t="n">
        <v>0</v>
      </c>
      <c r="Q39" s="53" t="n">
        <v>0</v>
      </c>
      <c r="R39" s="53" t="n">
        <f aca="false">SUM(O39:Q39)</f>
        <v>3.82</v>
      </c>
      <c r="S39" s="54"/>
      <c r="T39" s="53" t="n">
        <v>0</v>
      </c>
      <c r="U39" s="53" t="n">
        <v>29.7</v>
      </c>
      <c r="V39" s="54" t="n">
        <f aca="false">V38-U39</f>
        <v>11837.8333148475</v>
      </c>
      <c r="W39" s="53" t="n">
        <f aca="false">R39+T39+N39+U39</f>
        <v>33.52</v>
      </c>
      <c r="X39" s="53" t="n">
        <f aca="false">IF(L39&lt;0,L39*-1,0)</f>
        <v>0</v>
      </c>
      <c r="Y39" s="53" t="n">
        <f aca="false">W39+X39</f>
        <v>33.52</v>
      </c>
      <c r="Z39" s="57" t="n">
        <v>0</v>
      </c>
      <c r="AA39" s="86" t="n">
        <v>84</v>
      </c>
      <c r="AB39" s="58" t="n">
        <v>46</v>
      </c>
      <c r="AC39" s="59" t="n">
        <v>30</v>
      </c>
      <c r="AD39" s="74" t="n">
        <v>5210</v>
      </c>
      <c r="AE39" s="78" t="n">
        <v>4166</v>
      </c>
      <c r="AF39" s="75" t="n">
        <v>2362.83</v>
      </c>
    </row>
    <row r="40" customFormat="false" ht="11.1" hidden="false" customHeight="true" outlineLevel="0" collapsed="false">
      <c r="A40" s="59" t="n">
        <v>31</v>
      </c>
      <c r="B40" s="76" t="n">
        <v>6896.32</v>
      </c>
      <c r="C40" s="54" t="n">
        <v>270203</v>
      </c>
      <c r="D40" s="58" t="n">
        <f aca="false">C40-C39</f>
        <v>0</v>
      </c>
      <c r="E40" s="54" t="n">
        <f aca="false">C40-152000</f>
        <v>118203</v>
      </c>
      <c r="F40" s="53" t="n">
        <f aca="false">D40/$D$2</f>
        <v>0</v>
      </c>
      <c r="G40" s="53" t="n">
        <v>33.42</v>
      </c>
      <c r="H40" s="55" t="n">
        <v>0</v>
      </c>
      <c r="I40" s="53" t="n">
        <f aca="false">G40+H40</f>
        <v>33.42</v>
      </c>
      <c r="J40" s="77" t="n">
        <f aca="false">IF(L40&gt;0,L40,0)</f>
        <v>0</v>
      </c>
      <c r="K40" s="53" t="n">
        <f aca="false">I40+J40</f>
        <v>33.42</v>
      </c>
      <c r="L40" s="53" t="n">
        <f aca="false">F40-(I40-W40)</f>
        <v>0</v>
      </c>
      <c r="M40" s="53" t="n">
        <v>3.72</v>
      </c>
      <c r="N40" s="53" t="n">
        <v>0</v>
      </c>
      <c r="O40" s="53" t="n">
        <f aca="false">M40-N40</f>
        <v>3.72</v>
      </c>
      <c r="P40" s="53" t="n">
        <v>0</v>
      </c>
      <c r="Q40" s="53" t="n">
        <v>0</v>
      </c>
      <c r="R40" s="53" t="n">
        <f aca="false">SUM(O40:Q40)</f>
        <v>3.72</v>
      </c>
      <c r="S40" s="54"/>
      <c r="T40" s="53" t="n">
        <v>0</v>
      </c>
      <c r="U40" s="53" t="n">
        <v>29.7</v>
      </c>
      <c r="V40" s="54" t="n">
        <f aca="false">V39-U40</f>
        <v>11808.1333148475</v>
      </c>
      <c r="W40" s="53" t="n">
        <f aca="false">R40+T40+N40+U40</f>
        <v>33.42</v>
      </c>
      <c r="X40" s="53" t="n">
        <f aca="false">IF(L40&lt;0,L40*-1,0)</f>
        <v>0</v>
      </c>
      <c r="Y40" s="53" t="n">
        <f aca="false">W40+X40</f>
        <v>33.42</v>
      </c>
      <c r="Z40" s="57" t="n">
        <v>0</v>
      </c>
      <c r="AA40" s="86" t="n">
        <v>82</v>
      </c>
      <c r="AB40" s="58" t="n">
        <v>46</v>
      </c>
      <c r="AC40" s="59" t="n">
        <v>31</v>
      </c>
      <c r="AD40" s="74" t="n">
        <v>5455</v>
      </c>
      <c r="AE40" s="74" t="n">
        <v>4334</v>
      </c>
      <c r="AF40" s="75" t="n">
        <v>2403.37</v>
      </c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937.972768532526</v>
      </c>
      <c r="G42" s="54" t="n">
        <f aca="false">SUM(G10:G40)</f>
        <v>1994.33276853253</v>
      </c>
      <c r="H42" s="54" t="n">
        <f aca="false">SUM(H10:H40)</f>
        <v>0</v>
      </c>
      <c r="I42" s="54" t="n">
        <f aca="false">SUM(I10:I40)</f>
        <v>1994.33276853253</v>
      </c>
      <c r="J42" s="54" t="n">
        <f aca="false">SUM(J10:J40)</f>
        <v>0</v>
      </c>
      <c r="K42" s="54" t="n">
        <f aca="false">SUM(K10:K40)</f>
        <v>1994.33276853253</v>
      </c>
      <c r="L42" s="54" t="n">
        <f aca="false">SUM(L10:L40)</f>
        <v>0</v>
      </c>
      <c r="M42" s="54" t="n">
        <f aca="false">SUM(M10:M40)</f>
        <v>135.66</v>
      </c>
      <c r="N42" s="54" t="n">
        <f aca="false">SUM(N10:N40)</f>
        <v>0</v>
      </c>
      <c r="O42" s="54" t="n">
        <f aca="false">SUM(O10:O40)</f>
        <v>135.66</v>
      </c>
      <c r="P42" s="54" t="n">
        <f aca="false">SUM(P10:P40)</f>
        <v>0</v>
      </c>
      <c r="Q42" s="54" t="n">
        <f aca="false">SUM(Q10:Q40)</f>
        <v>0</v>
      </c>
      <c r="R42" s="54" t="n">
        <f aca="false">SUM(R10:R40)</f>
        <v>135.66</v>
      </c>
      <c r="S42" s="54"/>
      <c r="T42" s="54" t="n">
        <f aca="false">SUM(T10:T40)</f>
        <v>0</v>
      </c>
      <c r="U42" s="54" t="n">
        <f aca="false">SUM(U10:U40)</f>
        <v>920.7</v>
      </c>
      <c r="V42" s="54"/>
      <c r="W42" s="54" t="n">
        <f aca="false">SUM(W10:W40)</f>
        <v>1056.36</v>
      </c>
      <c r="X42" s="54" t="n">
        <f aca="false">SUM(X10:X40)</f>
        <v>0</v>
      </c>
      <c r="Y42" s="54" t="n">
        <f aca="false">SUM(Y10:Y40)</f>
        <v>1056.36</v>
      </c>
      <c r="Z42" s="57" t="n">
        <f aca="false">SUM(Z10:Z40)</f>
        <v>3.25</v>
      </c>
      <c r="AA42" s="58" t="n">
        <f aca="false">AVERAGE(AA10:AA40)</f>
        <v>71.4516129032258</v>
      </c>
      <c r="AB42" s="58" t="n">
        <f aca="false">AVERAGE(AB10:AB40)</f>
        <v>40.1612903225807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1860</v>
      </c>
      <c r="E43" s="54"/>
      <c r="F43" s="54" t="n">
        <f aca="false">F42*$D$2</f>
        <v>1860</v>
      </c>
      <c r="G43" s="54" t="n">
        <f aca="false">G42*$D$2</f>
        <v>3954.76188</v>
      </c>
      <c r="H43" s="54" t="n">
        <f aca="false">H42*$D$2</f>
        <v>0</v>
      </c>
      <c r="I43" s="54" t="n">
        <f aca="false">I42*$D$2</f>
        <v>3954.76188</v>
      </c>
      <c r="J43" s="54" t="n">
        <f aca="false">J42*$D$2</f>
        <v>0</v>
      </c>
      <c r="K43" s="54" t="n">
        <f aca="false">K42*$D$2</f>
        <v>3954.76188</v>
      </c>
      <c r="L43" s="54" t="n">
        <f aca="false">L42*$D$2</f>
        <v>0</v>
      </c>
      <c r="M43" s="54" t="n">
        <f aca="false">M42*$D$2</f>
        <v>269.01378</v>
      </c>
      <c r="N43" s="54" t="n">
        <f aca="false">N42*$D$2</f>
        <v>0</v>
      </c>
      <c r="O43" s="54" t="n">
        <f aca="false">O42*$D$2</f>
        <v>269.01378</v>
      </c>
      <c r="P43" s="54" t="n">
        <f aca="false">P42*$D$2</f>
        <v>0</v>
      </c>
      <c r="Q43" s="54" t="n">
        <f aca="false">Q42*$D$2</f>
        <v>0</v>
      </c>
      <c r="R43" s="54" t="n">
        <f aca="false">R42*$D$2</f>
        <v>269.01378</v>
      </c>
      <c r="S43" s="54"/>
      <c r="T43" s="54" t="n">
        <f aca="false">T42*$D$2</f>
        <v>0</v>
      </c>
      <c r="U43" s="54" t="n">
        <f aca="false">U42*$D$2</f>
        <v>1825.7481</v>
      </c>
      <c r="V43" s="54"/>
      <c r="W43" s="54" t="n">
        <f aca="false">W42*$D$2</f>
        <v>2094.76188</v>
      </c>
      <c r="X43" s="54" t="n">
        <f aca="false">X42*$D$2</f>
        <v>0</v>
      </c>
      <c r="Y43" s="54" t="n">
        <f aca="false">Y42*$D$2</f>
        <v>2094.76188</v>
      </c>
      <c r="Z43" s="57"/>
      <c r="AA43" s="58" t="n">
        <f aca="false">MAX(AA10:AA40)</f>
        <v>84</v>
      </c>
      <c r="AB43" s="58" t="n">
        <f aca="false">MAX(AB10:AB40)</f>
        <v>48</v>
      </c>
      <c r="AC43" s="59" t="s">
        <v>47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7"/>
      <c r="AA45" s="58" t="n">
        <f aca="false">MIN(AA10:AA40)</f>
        <v>54</v>
      </c>
      <c r="AB45" s="58" t="n">
        <f aca="false">MIN(AB10:AB40)</f>
        <v>30</v>
      </c>
      <c r="AC45" s="59" t="s">
        <v>49</v>
      </c>
      <c r="AD45" s="74"/>
      <c r="AE45" s="74"/>
      <c r="AF45" s="75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1835.60262228946</v>
      </c>
      <c r="G48" s="54" t="n">
        <f aca="false">G8+G42</f>
        <v>5710.74968734241</v>
      </c>
      <c r="H48" s="58" t="n">
        <f aca="false">H8+H42</f>
        <v>0</v>
      </c>
      <c r="I48" s="54" t="n">
        <f aca="false">I8+I42</f>
        <v>5710.64968734241</v>
      </c>
      <c r="J48" s="54" t="n">
        <f aca="false">J8+J42</f>
        <v>541.35061522945</v>
      </c>
      <c r="K48" s="54" t="n">
        <f aca="false">K8+K42</f>
        <v>6252.00030257186</v>
      </c>
      <c r="L48" s="54" t="n">
        <f aca="false">L8+L42</f>
        <v>403.60293494705</v>
      </c>
      <c r="M48" s="54" t="n">
        <f aca="false">M8+M42</f>
        <v>490.87</v>
      </c>
      <c r="N48" s="54" t="n">
        <f aca="false">N8+N42</f>
        <v>0</v>
      </c>
      <c r="O48" s="54" t="n">
        <f aca="false">O8+O42</f>
        <v>286.37</v>
      </c>
      <c r="P48" s="54" t="n">
        <f aca="false">P8+P42</f>
        <v>680.36</v>
      </c>
      <c r="Q48" s="54" t="n">
        <f aca="false">Q8+Q42</f>
        <v>0</v>
      </c>
      <c r="R48" s="54" t="n">
        <f aca="false">R8+R42</f>
        <v>1047.23</v>
      </c>
      <c r="S48" s="54"/>
      <c r="T48" s="54" t="n">
        <f aca="false">T8+T42</f>
        <v>0</v>
      </c>
      <c r="U48" s="54" t="n">
        <f aca="false">U8+U42</f>
        <v>3107.42</v>
      </c>
      <c r="V48" s="54" t="n">
        <f aca="false">V40</f>
        <v>11808.1333148475</v>
      </c>
      <c r="W48" s="54" t="n">
        <f aca="false">W8+W42</f>
        <v>4278.65</v>
      </c>
      <c r="X48" s="54" t="n">
        <f aca="false">X8+X42</f>
        <v>137.7476802824</v>
      </c>
      <c r="Y48" s="54" t="n">
        <f aca="false">Y8+Y42</f>
        <v>4416.3976802824</v>
      </c>
      <c r="Z48" s="77" t="n">
        <f aca="false">Z8+Z42</f>
        <v>6.27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3640</v>
      </c>
      <c r="E49" s="54" t="n">
        <f aca="false">E40</f>
        <v>118203</v>
      </c>
      <c r="F49" s="54" t="n">
        <f aca="false">F48*$D$2</f>
        <v>3640</v>
      </c>
      <c r="G49" s="54" t="n">
        <f aca="false">G48*$D$2</f>
        <v>11324.41663</v>
      </c>
      <c r="H49" s="58" t="n">
        <f aca="false">H48*$D$2</f>
        <v>0</v>
      </c>
      <c r="I49" s="54" t="n">
        <f aca="false">I48*$D$2</f>
        <v>11324.21833</v>
      </c>
      <c r="J49" s="54" t="n">
        <f aca="false">J48*$D$2</f>
        <v>1073.49827</v>
      </c>
      <c r="K49" s="54" t="n">
        <f aca="false">K48*$D$2</f>
        <v>12397.7166</v>
      </c>
      <c r="L49" s="54" t="n">
        <f aca="false">L48*$D$2</f>
        <v>800.34462</v>
      </c>
      <c r="M49" s="54" t="n">
        <f aca="false">M48*$D$2</f>
        <v>973.39521</v>
      </c>
      <c r="N49" s="54" t="n">
        <f aca="false">N48*$D$2</f>
        <v>0</v>
      </c>
      <c r="O49" s="54" t="n">
        <f aca="false">O48*$D$2</f>
        <v>567.87171</v>
      </c>
      <c r="P49" s="54" t="n">
        <f aca="false">P48*$D$2</f>
        <v>1349.15388</v>
      </c>
      <c r="Q49" s="54" t="n">
        <f aca="false">Q48*$D$2</f>
        <v>0</v>
      </c>
      <c r="R49" s="54" t="n">
        <f aca="false">R48*$D$2</f>
        <v>2076.65709</v>
      </c>
      <c r="S49" s="54" t="n">
        <f aca="false">S48*$D$2</f>
        <v>0</v>
      </c>
      <c r="T49" s="54" t="n">
        <f aca="false">T48*$D$2</f>
        <v>0</v>
      </c>
      <c r="U49" s="54" t="n">
        <f aca="false">U48*$D$2</f>
        <v>6162.01386</v>
      </c>
      <c r="V49" s="54" t="n">
        <f aca="false">V40*$D$2</f>
        <v>23415.5283633425</v>
      </c>
      <c r="W49" s="54" t="n">
        <f aca="false">W48*$D$2</f>
        <v>8484.56295</v>
      </c>
      <c r="X49" s="54" t="n">
        <f aca="false">X48*$D$2</f>
        <v>273.15365</v>
      </c>
      <c r="Y49" s="54" t="n">
        <f aca="false">Y48*$D$2</f>
        <v>8757.7166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53" t="str">
        <f aca="false">"JUN /9"</f>
        <v>JUN /9</v>
      </c>
      <c r="B51" s="89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6924.15</v>
      </c>
      <c r="C52" s="54" t="n">
        <v>381833</v>
      </c>
      <c r="D52" s="86"/>
      <c r="E52" s="54" t="n">
        <f aca="false">C52-152000</f>
        <v>229833</v>
      </c>
      <c r="F52" s="53"/>
      <c r="G52" s="53"/>
      <c r="H52" s="86"/>
      <c r="I52" s="55"/>
      <c r="J52" s="53"/>
      <c r="K52" s="43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"5/12/94 thru 6/9/94"</f>
        <v>5/12/94 thru 6/9/94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86"/>
      <c r="Q53" s="86"/>
      <c r="R53" s="86"/>
      <c r="S53" s="54"/>
      <c r="T53" s="86"/>
      <c r="U53" s="86"/>
      <c r="V53" s="54"/>
      <c r="W53" s="86"/>
      <c r="X53" s="86"/>
      <c r="Y53" s="86"/>
      <c r="Z53" s="57"/>
      <c r="AA53" s="58"/>
      <c r="AB53" s="58"/>
      <c r="AC53" s="59"/>
      <c r="AD53" s="90"/>
      <c r="AE53" s="90"/>
    </row>
    <row r="54" customFormat="false" ht="11.1" hidden="false" customHeight="true" outlineLevel="0" collapsed="false">
      <c r="A54" s="86"/>
      <c r="B54" s="57" t="n">
        <f aca="false">B52-B21</f>
        <v>28.0599999999995</v>
      </c>
      <c r="C54" s="54"/>
      <c r="D54" s="54" t="n">
        <f aca="false">C52-C23</f>
        <v>112419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/>
      <c r="U54" s="86"/>
      <c r="V54" s="54"/>
      <c r="W54" s="86"/>
      <c r="X54" s="86"/>
      <c r="Y54" s="86"/>
      <c r="Z54" s="57"/>
      <c r="AA54" s="58"/>
      <c r="AB54" s="58"/>
      <c r="AC54" s="59"/>
      <c r="AD54" s="90"/>
      <c r="AE54" s="90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1"/>
      <c r="H55" s="55"/>
      <c r="I55" s="86"/>
      <c r="J55" s="86"/>
      <c r="K55" s="86"/>
      <c r="L55" s="86"/>
      <c r="M55" s="77"/>
      <c r="N55" s="77"/>
      <c r="O55" s="77"/>
      <c r="P55" s="86"/>
      <c r="Q55" s="86"/>
      <c r="R55" s="86"/>
      <c r="S55" s="54"/>
      <c r="T55" s="86"/>
      <c r="U55" s="86"/>
      <c r="V55" s="54"/>
      <c r="W55" s="86"/>
      <c r="X55" s="86"/>
      <c r="Y55" s="86"/>
      <c r="Z55" s="57"/>
      <c r="AA55" s="58"/>
      <c r="AB55" s="58"/>
      <c r="AC55" s="59"/>
      <c r="AD55" s="90"/>
      <c r="AE55" s="90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60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54</v>
      </c>
      <c r="Q4" s="63" t="s">
        <v>15</v>
      </c>
      <c r="R4" s="63" t="s">
        <v>12</v>
      </c>
      <c r="S4" s="64" t="s">
        <v>14</v>
      </c>
      <c r="T4" s="63" t="s">
        <v>16</v>
      </c>
      <c r="U4" s="63" t="s">
        <v>17</v>
      </c>
      <c r="V4" s="64" t="s">
        <v>18</v>
      </c>
      <c r="W4" s="63" t="s">
        <v>10</v>
      </c>
      <c r="X4" s="63" t="s">
        <v>11</v>
      </c>
      <c r="Y4" s="63" t="s">
        <v>12</v>
      </c>
      <c r="Z4" s="66" t="s">
        <v>19</v>
      </c>
      <c r="AA4" s="67" t="s">
        <v>20</v>
      </c>
      <c r="AB4" s="67" t="s">
        <v>21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61</v>
      </c>
      <c r="B5" s="63" t="s">
        <v>23</v>
      </c>
      <c r="C5" s="64" t="s">
        <v>5</v>
      </c>
      <c r="D5" s="63" t="s">
        <v>24</v>
      </c>
      <c r="E5" s="64" t="s">
        <v>25</v>
      </c>
      <c r="F5" s="63" t="s">
        <v>26</v>
      </c>
      <c r="G5" s="63" t="s">
        <v>27</v>
      </c>
      <c r="H5" s="65" t="s">
        <v>28</v>
      </c>
      <c r="I5" s="63" t="s">
        <v>29</v>
      </c>
      <c r="J5" s="63" t="s">
        <v>29</v>
      </c>
      <c r="K5" s="63" t="s">
        <v>29</v>
      </c>
      <c r="L5" s="63" t="s">
        <v>30</v>
      </c>
      <c r="M5" s="63" t="s">
        <v>31</v>
      </c>
      <c r="N5" s="63" t="s">
        <v>32</v>
      </c>
      <c r="O5" s="63" t="s">
        <v>56</v>
      </c>
      <c r="P5" s="63" t="s">
        <v>57</v>
      </c>
      <c r="Q5" s="63" t="s">
        <v>35</v>
      </c>
      <c r="R5" s="63" t="s">
        <v>14</v>
      </c>
      <c r="S5" s="64" t="s">
        <v>36</v>
      </c>
      <c r="T5" s="63" t="s">
        <v>37</v>
      </c>
      <c r="U5" s="63" t="s">
        <v>38</v>
      </c>
      <c r="V5" s="64" t="s">
        <v>39</v>
      </c>
      <c r="W5" s="63" t="s">
        <v>40</v>
      </c>
      <c r="X5" s="63" t="s">
        <v>40</v>
      </c>
      <c r="Y5" s="63" t="s">
        <v>40</v>
      </c>
      <c r="Z5" s="69"/>
      <c r="AA5" s="67" t="s">
        <v>41</v>
      </c>
      <c r="AB5" s="67" t="s">
        <v>41</v>
      </c>
      <c r="AC5" s="70" t="s">
        <v>61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/>
    </row>
    <row r="7" customFormat="false" ht="11.1" hidden="false" customHeight="true" outlineLevel="0" collapsed="false">
      <c r="A7" s="53" t="s">
        <v>42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43</v>
      </c>
      <c r="B8" s="76" t="n">
        <f aca="false" t="array" ref="B8:C8">JAN!$B$40:$C$40</f>
        <v>6896.32</v>
      </c>
      <c r="C8" s="54" t="n">
        <v>270203</v>
      </c>
      <c r="D8" s="54" t="n">
        <f aca="false" t="array" ref="D8:E8">JAN!$D$49:$E$49</f>
        <v>3640</v>
      </c>
      <c r="E8" s="54" t="n">
        <v>118203</v>
      </c>
      <c r="F8" s="54" t="n">
        <f aca="false" t="array" ref="F8:Z8">JAN!$F$48:$Z$48</f>
        <v>1835.60262228946</v>
      </c>
      <c r="G8" s="54" t="n">
        <v>5710.74968734241</v>
      </c>
      <c r="H8" s="58" t="n">
        <v>0</v>
      </c>
      <c r="I8" s="54" t="n">
        <v>5710.64968734241</v>
      </c>
      <c r="J8" s="54" t="n">
        <v>541.35061522945</v>
      </c>
      <c r="K8" s="54" t="n">
        <v>6252.00030257186</v>
      </c>
      <c r="L8" s="54" t="n">
        <v>403.60293494705</v>
      </c>
      <c r="M8" s="54" t="n">
        <v>490.87</v>
      </c>
      <c r="N8" s="54" t="n">
        <v>0</v>
      </c>
      <c r="O8" s="54" t="n">
        <v>286.37</v>
      </c>
      <c r="P8" s="54" t="n">
        <v>680.36</v>
      </c>
      <c r="Q8" s="54" t="n">
        <v>0</v>
      </c>
      <c r="R8" s="54" t="n">
        <v>1047.23</v>
      </c>
      <c r="S8" s="54" t="n">
        <v>0</v>
      </c>
      <c r="T8" s="54" t="n">
        <v>0</v>
      </c>
      <c r="U8" s="54" t="n">
        <v>3107.42</v>
      </c>
      <c r="V8" s="54" t="n">
        <v>11808.1333148475</v>
      </c>
      <c r="W8" s="54" t="n">
        <v>4278.65</v>
      </c>
      <c r="X8" s="54" t="n">
        <v>137.7476802824</v>
      </c>
      <c r="Y8" s="54" t="n">
        <v>4416.3976802824</v>
      </c>
      <c r="Z8" s="77" t="n">
        <v>6.27</v>
      </c>
      <c r="AA8" s="58"/>
      <c r="AB8" s="58"/>
      <c r="AC8" s="59"/>
      <c r="AD8" s="78" t="n">
        <v>285</v>
      </c>
      <c r="AE8" s="74" t="n">
        <v>251</v>
      </c>
      <c r="AF8" s="78" t="n">
        <v>1207.63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6896.32</v>
      </c>
      <c r="C10" s="54" t="n">
        <v>270203</v>
      </c>
      <c r="D10" s="58" t="n">
        <f aca="false">C10-C8</f>
        <v>0</v>
      </c>
      <c r="E10" s="54" t="n">
        <f aca="false">C10-152000</f>
        <v>118203</v>
      </c>
      <c r="F10" s="53" t="n">
        <f aca="false">D10/$D$2</f>
        <v>0</v>
      </c>
      <c r="G10" s="53" t="n">
        <v>32.99</v>
      </c>
      <c r="H10" s="55" t="n">
        <v>0</v>
      </c>
      <c r="I10" s="53" t="n">
        <f aca="false">G10+H10</f>
        <v>32.99</v>
      </c>
      <c r="J10" s="77" t="n">
        <f aca="false">IF(L10&gt;0,L10,0)</f>
        <v>0</v>
      </c>
      <c r="K10" s="53" t="n">
        <f aca="false">I10+J10</f>
        <v>32.99</v>
      </c>
      <c r="L10" s="53" t="n">
        <f aca="false">F10-(I10-W10)</f>
        <v>0</v>
      </c>
      <c r="M10" s="53" t="n">
        <v>3.29</v>
      </c>
      <c r="N10" s="53" t="n">
        <v>0</v>
      </c>
      <c r="O10" s="53" t="n">
        <f aca="false">M10-N10</f>
        <v>3.29</v>
      </c>
      <c r="P10" s="53" t="n">
        <v>0</v>
      </c>
      <c r="Q10" s="53" t="n">
        <v>0</v>
      </c>
      <c r="R10" s="53" t="n">
        <f aca="false">SUM(O10:Q10)</f>
        <v>3.29</v>
      </c>
      <c r="S10" s="54"/>
      <c r="T10" s="53" t="n">
        <v>0</v>
      </c>
      <c r="U10" s="53" t="n">
        <v>29.7</v>
      </c>
      <c r="V10" s="54" t="n">
        <f aca="false">V8-U10</f>
        <v>11778.4333148475</v>
      </c>
      <c r="W10" s="53" t="n">
        <f aca="false">R10+T10+N10+U10</f>
        <v>32.99</v>
      </c>
      <c r="X10" s="53" t="n">
        <f aca="false">IF(L10&lt;0,L10*-1,0)</f>
        <v>0</v>
      </c>
      <c r="Y10" s="53" t="n">
        <f aca="false">W10+X10</f>
        <v>32.99</v>
      </c>
      <c r="Z10" s="57" t="n">
        <v>0</v>
      </c>
      <c r="AA10" s="58" t="n">
        <v>54</v>
      </c>
      <c r="AB10" s="58" t="n">
        <v>36</v>
      </c>
      <c r="AC10" s="59" t="n">
        <v>1</v>
      </c>
      <c r="AD10" s="75" t="n">
        <v>303</v>
      </c>
      <c r="AE10" s="78" t="n">
        <v>273</v>
      </c>
      <c r="AF10" s="75" t="n">
        <v>1256.86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6896.33</v>
      </c>
      <c r="C11" s="54" t="n">
        <v>270239</v>
      </c>
      <c r="D11" s="58" t="n">
        <f aca="false">C11-C10</f>
        <v>36</v>
      </c>
      <c r="E11" s="54" t="n">
        <f aca="false">C11-152000</f>
        <v>118239</v>
      </c>
      <c r="F11" s="53" t="n">
        <f aca="false">D11/$D$2</f>
        <v>18.1543116490166</v>
      </c>
      <c r="G11" s="53" t="n">
        <v>50.9343116490166</v>
      </c>
      <c r="H11" s="55" t="n">
        <v>0</v>
      </c>
      <c r="I11" s="53" t="n">
        <f aca="false">G11+H11</f>
        <v>50.9343116490166</v>
      </c>
      <c r="J11" s="77" t="n">
        <f aca="false">IF(L11&gt;0,L11,0)</f>
        <v>0</v>
      </c>
      <c r="K11" s="53" t="n">
        <f aca="false">I11+J11</f>
        <v>50.9343116490166</v>
      </c>
      <c r="L11" s="53" t="n">
        <f aca="false">F11-(I11-W11)</f>
        <v>0</v>
      </c>
      <c r="M11" s="53" t="n">
        <v>3.08</v>
      </c>
      <c r="N11" s="53" t="n">
        <v>0</v>
      </c>
      <c r="O11" s="53" t="n">
        <f aca="false">M11-N11</f>
        <v>3.08</v>
      </c>
      <c r="P11" s="53" t="n">
        <v>0</v>
      </c>
      <c r="Q11" s="53" t="n">
        <v>0</v>
      </c>
      <c r="R11" s="53" t="n">
        <f aca="false">SUM(O11:Q11)</f>
        <v>3.08</v>
      </c>
      <c r="S11" s="54"/>
      <c r="T11" s="53" t="n">
        <v>0</v>
      </c>
      <c r="U11" s="53" t="n">
        <v>29.7</v>
      </c>
      <c r="V11" s="54" t="n">
        <f aca="false">V10-U11</f>
        <v>11748.7333148475</v>
      </c>
      <c r="W11" s="53" t="n">
        <f aca="false">R11+T11+N11+U11</f>
        <v>32.78</v>
      </c>
      <c r="X11" s="53" t="n">
        <f aca="false">IF(L11&lt;0,L11*-1,0)</f>
        <v>0</v>
      </c>
      <c r="Y11" s="53" t="n">
        <f aca="false">W11+X11</f>
        <v>32.78</v>
      </c>
      <c r="Z11" s="57" t="n">
        <v>0</v>
      </c>
      <c r="AA11" s="58" t="n">
        <v>61</v>
      </c>
      <c r="AB11" s="58" t="n">
        <v>36</v>
      </c>
      <c r="AC11" s="59" t="n">
        <f aca="false">AC10+1</f>
        <v>2</v>
      </c>
      <c r="AD11" s="75" t="n">
        <v>306</v>
      </c>
      <c r="AE11" s="78" t="n">
        <v>300</v>
      </c>
      <c r="AF11" s="75" t="n">
        <v>1306.42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6896.35</v>
      </c>
      <c r="C12" s="54" t="n">
        <v>270311</v>
      </c>
      <c r="D12" s="58" t="n">
        <f aca="false">C12-C11</f>
        <v>72</v>
      </c>
      <c r="E12" s="54" t="n">
        <f aca="false">C12-152000</f>
        <v>118311</v>
      </c>
      <c r="F12" s="53" t="n">
        <f aca="false">D12/$D$2</f>
        <v>36.3086232980333</v>
      </c>
      <c r="G12" s="53" t="n">
        <v>69.0886232980333</v>
      </c>
      <c r="H12" s="55" t="n">
        <v>0</v>
      </c>
      <c r="I12" s="53" t="n">
        <f aca="false">G12+H12</f>
        <v>69.0886232980333</v>
      </c>
      <c r="J12" s="77" t="n">
        <f aca="false">IF(L12&gt;0,L12,0)</f>
        <v>0</v>
      </c>
      <c r="K12" s="53" t="n">
        <f aca="false">I12+J12</f>
        <v>69.0886232980333</v>
      </c>
      <c r="L12" s="53" t="n">
        <f aca="false">F12-(I12-W12)</f>
        <v>0</v>
      </c>
      <c r="M12" s="53" t="n">
        <v>3.08</v>
      </c>
      <c r="N12" s="53" t="n">
        <v>0</v>
      </c>
      <c r="O12" s="53" t="n">
        <f aca="false">M12-N12</f>
        <v>3.08</v>
      </c>
      <c r="P12" s="53" t="n">
        <v>0</v>
      </c>
      <c r="Q12" s="53" t="n">
        <v>0</v>
      </c>
      <c r="R12" s="53" t="n">
        <f aca="false">SUM(O12:Q12)</f>
        <v>3.08</v>
      </c>
      <c r="S12" s="54"/>
      <c r="T12" s="53" t="n">
        <v>0</v>
      </c>
      <c r="U12" s="53" t="n">
        <v>29.7</v>
      </c>
      <c r="V12" s="54" t="n">
        <f aca="false">V11-U12</f>
        <v>11719.0333148475</v>
      </c>
      <c r="W12" s="53" t="n">
        <f aca="false">R12+T12+N12+U12</f>
        <v>32.78</v>
      </c>
      <c r="X12" s="53" t="n">
        <f aca="false">IF(L12&lt;0,L12*-1,0)</f>
        <v>0</v>
      </c>
      <c r="Y12" s="53" t="n">
        <f aca="false">W12+X12</f>
        <v>32.78</v>
      </c>
      <c r="Z12" s="57" t="n">
        <v>0</v>
      </c>
      <c r="AA12" s="58" t="n">
        <v>62</v>
      </c>
      <c r="AB12" s="58" t="n">
        <v>38</v>
      </c>
      <c r="AC12" s="59" t="n">
        <f aca="false">AC11+1</f>
        <v>3</v>
      </c>
      <c r="AD12" s="75" t="n">
        <v>316</v>
      </c>
      <c r="AE12" s="78" t="n">
        <v>341</v>
      </c>
      <c r="AF12" s="75" t="n">
        <v>1355.74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6896.37</v>
      </c>
      <c r="C13" s="54" t="n">
        <v>270383</v>
      </c>
      <c r="D13" s="58" t="n">
        <f aca="false">C13-C12</f>
        <v>72</v>
      </c>
      <c r="E13" s="54" t="n">
        <f aca="false">C13-152000</f>
        <v>118383</v>
      </c>
      <c r="F13" s="53" t="n">
        <f aca="false">D13/$D$2</f>
        <v>36.3086232980333</v>
      </c>
      <c r="G13" s="53" t="n">
        <v>69.0886232980333</v>
      </c>
      <c r="H13" s="55" t="n">
        <v>0</v>
      </c>
      <c r="I13" s="53" t="n">
        <f aca="false">G13+H13</f>
        <v>69.0886232980333</v>
      </c>
      <c r="J13" s="77" t="n">
        <f aca="false">IF(L13&gt;0,L13,0)</f>
        <v>0</v>
      </c>
      <c r="K13" s="53" t="n">
        <f aca="false">I13+J13</f>
        <v>69.0886232980333</v>
      </c>
      <c r="L13" s="53" t="n">
        <f aca="false">F13-(I13-W13)</f>
        <v>0</v>
      </c>
      <c r="M13" s="53" t="n">
        <v>3.08</v>
      </c>
      <c r="N13" s="53" t="n">
        <v>0</v>
      </c>
      <c r="O13" s="53" t="n">
        <f aca="false">M13-N13</f>
        <v>3.08</v>
      </c>
      <c r="P13" s="53" t="n">
        <v>0</v>
      </c>
      <c r="Q13" s="53" t="n">
        <v>0</v>
      </c>
      <c r="R13" s="53" t="n">
        <f aca="false">SUM(O13:Q13)</f>
        <v>3.08</v>
      </c>
      <c r="S13" s="54"/>
      <c r="T13" s="53" t="n">
        <v>0</v>
      </c>
      <c r="U13" s="53" t="n">
        <v>29.7</v>
      </c>
      <c r="V13" s="54" t="n">
        <f aca="false">V12-U13</f>
        <v>11689.3333148474</v>
      </c>
      <c r="W13" s="53" t="n">
        <f aca="false">R13+T13+N13+U13</f>
        <v>32.78</v>
      </c>
      <c r="X13" s="53" t="n">
        <f aca="false">IF(L13&lt;0,L13*-1,0)</f>
        <v>0</v>
      </c>
      <c r="Y13" s="53" t="n">
        <f aca="false">W13+X13</f>
        <v>32.78</v>
      </c>
      <c r="Z13" s="57" t="n">
        <v>0</v>
      </c>
      <c r="AA13" s="58" t="n">
        <v>70</v>
      </c>
      <c r="AB13" s="58" t="n">
        <v>39</v>
      </c>
      <c r="AC13" s="59" t="n">
        <f aca="false">AC12+1</f>
        <v>4</v>
      </c>
      <c r="AD13" s="75" t="n">
        <v>316</v>
      </c>
      <c r="AE13" s="78" t="n">
        <v>395</v>
      </c>
      <c r="AF13" s="75" t="n">
        <v>1405.31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6896.39</v>
      </c>
      <c r="C14" s="54" t="n">
        <v>270455</v>
      </c>
      <c r="D14" s="58" t="n">
        <f aca="false">C14-C13</f>
        <v>72</v>
      </c>
      <c r="E14" s="54" t="n">
        <f aca="false">C14-152000</f>
        <v>118455</v>
      </c>
      <c r="F14" s="53" t="n">
        <f aca="false">D14/$D$2</f>
        <v>36.3086232980333</v>
      </c>
      <c r="G14" s="53" t="n">
        <v>69.0886232980333</v>
      </c>
      <c r="H14" s="55" t="n">
        <v>0</v>
      </c>
      <c r="I14" s="53" t="n">
        <f aca="false">G14+H14</f>
        <v>69.0886232980333</v>
      </c>
      <c r="J14" s="77" t="n">
        <f aca="false">IF(L14&gt;0,L14,0)</f>
        <v>0</v>
      </c>
      <c r="K14" s="53" t="n">
        <f aca="false">I14+J14</f>
        <v>69.0886232980333</v>
      </c>
      <c r="L14" s="53" t="n">
        <f aca="false">F14-(I14-W14)</f>
        <v>0</v>
      </c>
      <c r="M14" s="53" t="n">
        <v>3.08</v>
      </c>
      <c r="N14" s="53" t="n">
        <v>0</v>
      </c>
      <c r="O14" s="53" t="n">
        <f aca="false">M14-N14</f>
        <v>3.08</v>
      </c>
      <c r="P14" s="53" t="n">
        <v>0</v>
      </c>
      <c r="Q14" s="53" t="n">
        <v>0</v>
      </c>
      <c r="R14" s="53" t="n">
        <f aca="false">SUM(O14:Q14)</f>
        <v>3.08</v>
      </c>
      <c r="S14" s="54"/>
      <c r="T14" s="53" t="n">
        <v>0</v>
      </c>
      <c r="U14" s="53" t="n">
        <v>29.7</v>
      </c>
      <c r="V14" s="54" t="n">
        <f aca="false">V13-U14</f>
        <v>11659.6333148474</v>
      </c>
      <c r="W14" s="53" t="n">
        <f aca="false">R14+T14+N14+U14</f>
        <v>32.78</v>
      </c>
      <c r="X14" s="53" t="n">
        <f aca="false">IF(L14&lt;0,L14*-1,0)</f>
        <v>0</v>
      </c>
      <c r="Y14" s="53" t="n">
        <f aca="false">W14+X14</f>
        <v>32.78</v>
      </c>
      <c r="Z14" s="57" t="n">
        <v>0</v>
      </c>
      <c r="AA14" s="58" t="n">
        <v>76</v>
      </c>
      <c r="AB14" s="58" t="n">
        <v>43</v>
      </c>
      <c r="AC14" s="59" t="n">
        <f aca="false">AC13+1</f>
        <v>5</v>
      </c>
      <c r="AD14" s="75" t="n">
        <v>316</v>
      </c>
      <c r="AE14" s="78" t="n">
        <v>466</v>
      </c>
      <c r="AF14" s="75" t="n">
        <v>1437.16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6896.42</v>
      </c>
      <c r="C15" s="54" t="n">
        <v>270562</v>
      </c>
      <c r="D15" s="58" t="n">
        <f aca="false">C15-C14</f>
        <v>107</v>
      </c>
      <c r="E15" s="54" t="n">
        <f aca="false">C15-152000</f>
        <v>118562</v>
      </c>
      <c r="F15" s="53" t="n">
        <f aca="false">D15/$D$2</f>
        <v>53.958648512355</v>
      </c>
      <c r="G15" s="53" t="n">
        <v>86.878648512355</v>
      </c>
      <c r="H15" s="55" t="n">
        <v>0</v>
      </c>
      <c r="I15" s="53" t="n">
        <f aca="false">G15+H15</f>
        <v>86.878648512355</v>
      </c>
      <c r="J15" s="77" t="n">
        <f aca="false">IF(L15&gt;0,L15,0)</f>
        <v>0</v>
      </c>
      <c r="K15" s="53" t="n">
        <f aca="false">I15+J15</f>
        <v>86.878648512355</v>
      </c>
      <c r="L15" s="53" t="n">
        <f aca="false">F15-(I15-W15)</f>
        <v>0</v>
      </c>
      <c r="M15" s="53" t="n">
        <v>3.22</v>
      </c>
      <c r="N15" s="53" t="n">
        <v>0</v>
      </c>
      <c r="O15" s="53" t="n">
        <f aca="false">M15-N15</f>
        <v>3.22</v>
      </c>
      <c r="P15" s="53" t="n">
        <v>0</v>
      </c>
      <c r="Q15" s="53" t="n">
        <v>0</v>
      </c>
      <c r="R15" s="53" t="n">
        <f aca="false">SUM(O15:Q15)</f>
        <v>3.22</v>
      </c>
      <c r="S15" s="54"/>
      <c r="T15" s="53" t="n">
        <v>0</v>
      </c>
      <c r="U15" s="53" t="n">
        <v>29.7</v>
      </c>
      <c r="V15" s="54" t="n">
        <f aca="false">V14-U15</f>
        <v>11629.9333148474</v>
      </c>
      <c r="W15" s="53" t="n">
        <f aca="false">R15+T15+N15+U15</f>
        <v>32.92</v>
      </c>
      <c r="X15" s="53" t="n">
        <f aca="false">IF(L15&lt;0,L15*-1,0)</f>
        <v>0</v>
      </c>
      <c r="Y15" s="53" t="n">
        <f aca="false">W15+X15</f>
        <v>32.92</v>
      </c>
      <c r="Z15" s="57" t="n">
        <v>0</v>
      </c>
      <c r="AA15" s="58" t="n">
        <v>73</v>
      </c>
      <c r="AB15" s="58" t="n">
        <v>39</v>
      </c>
      <c r="AC15" s="59" t="n">
        <f aca="false">AC14+1</f>
        <v>6</v>
      </c>
      <c r="AD15" s="74" t="n">
        <v>325</v>
      </c>
      <c r="AE15" s="78" t="n">
        <v>538</v>
      </c>
      <c r="AF15" s="75" t="n">
        <v>1467.01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6896.44</v>
      </c>
      <c r="C16" s="54" t="n">
        <v>270634</v>
      </c>
      <c r="D16" s="58" t="n">
        <f aca="false">C16-C15</f>
        <v>72</v>
      </c>
      <c r="E16" s="54" t="n">
        <f aca="false">C16-152000</f>
        <v>118634</v>
      </c>
      <c r="F16" s="53" t="n">
        <f aca="false">D16/$D$2</f>
        <v>36.3086232980333</v>
      </c>
      <c r="G16" s="53" t="n">
        <v>69.3986232980333</v>
      </c>
      <c r="H16" s="55" t="n">
        <v>0</v>
      </c>
      <c r="I16" s="53" t="n">
        <f aca="false">G16+H16</f>
        <v>69.3986232980333</v>
      </c>
      <c r="J16" s="77" t="n">
        <f aca="false">IF(L16&gt;0,L16,0)</f>
        <v>0</v>
      </c>
      <c r="K16" s="53" t="n">
        <f aca="false">I16+J16</f>
        <v>69.3986232980333</v>
      </c>
      <c r="L16" s="53" t="n">
        <f aca="false">F16-(I16-W16)</f>
        <v>0</v>
      </c>
      <c r="M16" s="53" t="n">
        <v>3.39</v>
      </c>
      <c r="N16" s="53" t="n">
        <v>0</v>
      </c>
      <c r="O16" s="53" t="n">
        <f aca="false">M16-N16</f>
        <v>3.39</v>
      </c>
      <c r="P16" s="53" t="n">
        <v>0</v>
      </c>
      <c r="Q16" s="53" t="n">
        <v>0</v>
      </c>
      <c r="R16" s="53" t="n">
        <f aca="false">SUM(O16:Q16)</f>
        <v>3.39</v>
      </c>
      <c r="S16" s="54"/>
      <c r="T16" s="53" t="n">
        <v>0</v>
      </c>
      <c r="U16" s="53" t="n">
        <v>29.7</v>
      </c>
      <c r="V16" s="54" t="n">
        <f aca="false">V15-U16</f>
        <v>11600.2333148474</v>
      </c>
      <c r="W16" s="53" t="n">
        <f aca="false">R16+T16+N16+U16</f>
        <v>33.09</v>
      </c>
      <c r="X16" s="53" t="n">
        <f aca="false">IF(L16&lt;0,L16*-1,0)</f>
        <v>0</v>
      </c>
      <c r="Y16" s="53" t="n">
        <f aca="false">W16+X16</f>
        <v>33.09</v>
      </c>
      <c r="Z16" s="57" t="n">
        <v>0</v>
      </c>
      <c r="AA16" s="58" t="n">
        <v>74</v>
      </c>
      <c r="AB16" s="58" t="n">
        <v>37</v>
      </c>
      <c r="AC16" s="59" t="n">
        <f aca="false">AC15+1</f>
        <v>7</v>
      </c>
      <c r="AD16" s="74" t="n">
        <v>342</v>
      </c>
      <c r="AE16" s="78" t="n">
        <v>618</v>
      </c>
      <c r="AF16" s="75" t="n">
        <v>1496.64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6896.47</v>
      </c>
      <c r="C17" s="54" t="n">
        <v>270742</v>
      </c>
      <c r="D17" s="58" t="n">
        <f aca="false">C17-C16</f>
        <v>108</v>
      </c>
      <c r="E17" s="54" t="n">
        <f aca="false">C17-152000</f>
        <v>118742</v>
      </c>
      <c r="F17" s="53" t="n">
        <f aca="false">D17/$D$2</f>
        <v>54.4629349470499</v>
      </c>
      <c r="G17" s="53" t="n">
        <v>87.6429349470499</v>
      </c>
      <c r="H17" s="55" t="n">
        <v>0</v>
      </c>
      <c r="I17" s="53" t="n">
        <f aca="false">G17+H17</f>
        <v>87.6429349470499</v>
      </c>
      <c r="J17" s="77" t="n">
        <f aca="false">IF(L17&gt;0,L17,0)</f>
        <v>0</v>
      </c>
      <c r="K17" s="53" t="n">
        <f aca="false">I17+J17</f>
        <v>87.6429349470499</v>
      </c>
      <c r="L17" s="53" t="n">
        <f aca="false">F17-(I17-W17)</f>
        <v>0</v>
      </c>
      <c r="M17" s="53" t="n">
        <v>3.48</v>
      </c>
      <c r="N17" s="53" t="n">
        <v>0</v>
      </c>
      <c r="O17" s="53" t="n">
        <f aca="false">M17-N17</f>
        <v>3.48</v>
      </c>
      <c r="P17" s="53" t="n">
        <v>0</v>
      </c>
      <c r="Q17" s="53" t="n">
        <v>0</v>
      </c>
      <c r="R17" s="53" t="n">
        <f aca="false">SUM(O17:Q17)</f>
        <v>3.48</v>
      </c>
      <c r="S17" s="54"/>
      <c r="T17" s="53" t="n">
        <v>0</v>
      </c>
      <c r="U17" s="53" t="n">
        <v>29.7</v>
      </c>
      <c r="V17" s="54" t="n">
        <f aca="false">V16-U17</f>
        <v>11570.5333148474</v>
      </c>
      <c r="W17" s="53" t="n">
        <f aca="false">R17+T17+N17+U17</f>
        <v>33.18</v>
      </c>
      <c r="X17" s="53" t="n">
        <f aca="false">IF(L17&lt;0,L17*-1,0)</f>
        <v>0</v>
      </c>
      <c r="Y17" s="53" t="n">
        <f aca="false">W17+X17</f>
        <v>33.18</v>
      </c>
      <c r="Z17" s="57" t="n">
        <v>0.08</v>
      </c>
      <c r="AA17" s="58" t="n">
        <v>69</v>
      </c>
      <c r="AB17" s="58" t="n">
        <v>34</v>
      </c>
      <c r="AC17" s="59" t="n">
        <f aca="false">AC16+1</f>
        <v>8</v>
      </c>
      <c r="AD17" s="74" t="n">
        <v>367</v>
      </c>
      <c r="AE17" s="78" t="n">
        <v>704</v>
      </c>
      <c r="AF17" s="75" t="n">
        <v>1526.51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6896.48</v>
      </c>
      <c r="C18" s="54" t="n">
        <v>270777</v>
      </c>
      <c r="D18" s="58" t="n">
        <f aca="false">C18-C17</f>
        <v>35</v>
      </c>
      <c r="E18" s="54" t="n">
        <f aca="false">C18-152000</f>
        <v>118777</v>
      </c>
      <c r="F18" s="53" t="n">
        <f aca="false">D18/$D$2</f>
        <v>17.6500252143217</v>
      </c>
      <c r="G18" s="53" t="n">
        <v>51.2300252143217</v>
      </c>
      <c r="H18" s="55" t="n">
        <v>0</v>
      </c>
      <c r="I18" s="53" t="n">
        <f aca="false">G18+H18</f>
        <v>51.2300252143217</v>
      </c>
      <c r="J18" s="77" t="n">
        <f aca="false">IF(L18&gt;0,L18,0)</f>
        <v>0</v>
      </c>
      <c r="K18" s="53" t="n">
        <f aca="false">I18+J18</f>
        <v>51.2300252143217</v>
      </c>
      <c r="L18" s="53" t="n">
        <f aca="false">F18-(I18-W18)</f>
        <v>0</v>
      </c>
      <c r="M18" s="53" t="n">
        <v>3.88</v>
      </c>
      <c r="N18" s="53" t="n">
        <v>0</v>
      </c>
      <c r="O18" s="53" t="n">
        <f aca="false">M18-N18</f>
        <v>3.88</v>
      </c>
      <c r="P18" s="53" t="n">
        <v>0</v>
      </c>
      <c r="Q18" s="53" t="n">
        <v>0</v>
      </c>
      <c r="R18" s="53" t="n">
        <f aca="false">SUM(O18:Q18)</f>
        <v>3.88</v>
      </c>
      <c r="S18" s="54"/>
      <c r="T18" s="53" t="n">
        <v>0</v>
      </c>
      <c r="U18" s="53" t="n">
        <v>29.7</v>
      </c>
      <c r="V18" s="54" t="n">
        <f aca="false">V17-U18</f>
        <v>11540.8333148474</v>
      </c>
      <c r="W18" s="53" t="n">
        <f aca="false">R18+T18+N18+U18</f>
        <v>33.58</v>
      </c>
      <c r="X18" s="53" t="n">
        <f aca="false">IF(L18&lt;0,L18*-1,0)</f>
        <v>0</v>
      </c>
      <c r="Y18" s="53" t="n">
        <f aca="false">W18+X18</f>
        <v>33.58</v>
      </c>
      <c r="Z18" s="57" t="n">
        <v>0</v>
      </c>
      <c r="AA18" s="86" t="n">
        <v>66</v>
      </c>
      <c r="AB18" s="58" t="n">
        <v>44</v>
      </c>
      <c r="AC18" s="59" t="n">
        <f aca="false">AC17+1</f>
        <v>9</v>
      </c>
      <c r="AD18" s="74" t="n">
        <v>390</v>
      </c>
      <c r="AE18" s="78" t="n">
        <v>805</v>
      </c>
      <c r="AF18" s="75" t="n">
        <v>1561.24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6896.5</v>
      </c>
      <c r="C19" s="54" t="n">
        <v>270849</v>
      </c>
      <c r="D19" s="58" t="n">
        <f aca="false">C19-C18</f>
        <v>72</v>
      </c>
      <c r="E19" s="54" t="n">
        <f aca="false">C19-152000</f>
        <v>118849</v>
      </c>
      <c r="F19" s="53" t="n">
        <f aca="false">D19/$D$2</f>
        <v>36.3086232980333</v>
      </c>
      <c r="G19" s="53" t="n">
        <v>71.0586232980333</v>
      </c>
      <c r="H19" s="55" t="n">
        <v>0</v>
      </c>
      <c r="I19" s="53" t="n">
        <f aca="false">G19+H19</f>
        <v>71.0586232980333</v>
      </c>
      <c r="J19" s="77" t="n">
        <f aca="false">IF(L19&gt;0,L19,0)</f>
        <v>0</v>
      </c>
      <c r="K19" s="53" t="n">
        <f aca="false">I19+J19</f>
        <v>71.0586232980333</v>
      </c>
      <c r="L19" s="53" t="n">
        <f aca="false">F19-(I19-W19)</f>
        <v>0</v>
      </c>
      <c r="M19" s="53" t="n">
        <v>5.05</v>
      </c>
      <c r="N19" s="53" t="n">
        <v>0</v>
      </c>
      <c r="O19" s="53" t="n">
        <f aca="false">M19-N19</f>
        <v>5.05</v>
      </c>
      <c r="P19" s="53" t="n">
        <v>0</v>
      </c>
      <c r="Q19" s="53" t="n">
        <v>0</v>
      </c>
      <c r="R19" s="53" t="n">
        <f aca="false">SUM(O19:Q19)</f>
        <v>5.05</v>
      </c>
      <c r="S19" s="54"/>
      <c r="T19" s="53" t="n">
        <v>0</v>
      </c>
      <c r="U19" s="53" t="n">
        <v>29.7</v>
      </c>
      <c r="V19" s="54" t="n">
        <f aca="false">V18-U19</f>
        <v>11511.1333148474</v>
      </c>
      <c r="W19" s="53" t="n">
        <f aca="false">R19+T19+N19+U19</f>
        <v>34.75</v>
      </c>
      <c r="X19" s="53" t="n">
        <f aca="false">IF(L19&lt;0,L19*-1,0)</f>
        <v>0</v>
      </c>
      <c r="Y19" s="53" t="n">
        <f aca="false">W19+X19</f>
        <v>34.75</v>
      </c>
      <c r="Z19" s="57" t="n">
        <v>0</v>
      </c>
      <c r="AA19" s="58" t="n">
        <v>66</v>
      </c>
      <c r="AB19" s="58" t="n">
        <v>36</v>
      </c>
      <c r="AC19" s="59" t="n">
        <f aca="false">AC18+1</f>
        <v>10</v>
      </c>
      <c r="AD19" s="74" t="n">
        <v>437</v>
      </c>
      <c r="AE19" s="78" t="n">
        <v>920</v>
      </c>
      <c r="AF19" s="75" t="n">
        <v>1600.39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6896.54</v>
      </c>
      <c r="C20" s="54" t="n">
        <v>270993</v>
      </c>
      <c r="D20" s="58" t="n">
        <f aca="false">C20-C19</f>
        <v>144</v>
      </c>
      <c r="E20" s="54" t="n">
        <f aca="false">C20-152000</f>
        <v>118993</v>
      </c>
      <c r="F20" s="53" t="n">
        <f aca="false">D20/$D$2</f>
        <v>72.6172465960666</v>
      </c>
      <c r="G20" s="53" t="n">
        <v>107.447246596067</v>
      </c>
      <c r="H20" s="55" t="n">
        <v>0</v>
      </c>
      <c r="I20" s="53" t="n">
        <f aca="false">G20+H20</f>
        <v>107.447246596067</v>
      </c>
      <c r="J20" s="77" t="n">
        <f aca="false">IF(L20&gt;0,L20,0)</f>
        <v>0</v>
      </c>
      <c r="K20" s="53" t="n">
        <f aca="false">I20+J20</f>
        <v>107.447246596067</v>
      </c>
      <c r="L20" s="53" t="n">
        <f aca="false">F20-(I20-W20)</f>
        <v>0</v>
      </c>
      <c r="M20" s="53" t="n">
        <v>5.13</v>
      </c>
      <c r="N20" s="53" t="n">
        <v>0</v>
      </c>
      <c r="O20" s="53" t="n">
        <f aca="false">M20-N20</f>
        <v>5.13</v>
      </c>
      <c r="P20" s="53" t="n">
        <v>0</v>
      </c>
      <c r="Q20" s="53" t="n">
        <v>0</v>
      </c>
      <c r="R20" s="53" t="n">
        <f aca="false">SUM(O20:Q20)</f>
        <v>5.13</v>
      </c>
      <c r="S20" s="54"/>
      <c r="T20" s="53" t="n">
        <v>0</v>
      </c>
      <c r="U20" s="53" t="n">
        <v>29.7</v>
      </c>
      <c r="V20" s="54" t="n">
        <f aca="false">V19-U20</f>
        <v>11481.4333148474</v>
      </c>
      <c r="W20" s="53" t="n">
        <f aca="false">R20+T20+N20+U20</f>
        <v>34.83</v>
      </c>
      <c r="X20" s="53" t="n">
        <f aca="false">IF(L20&lt;0,L20*-1,0)</f>
        <v>0</v>
      </c>
      <c r="Y20" s="53" t="n">
        <f aca="false">W20+X20</f>
        <v>34.83</v>
      </c>
      <c r="Z20" s="57" t="n">
        <v>0</v>
      </c>
      <c r="AA20" s="58" t="n">
        <v>68</v>
      </c>
      <c r="AB20" s="58" t="n">
        <v>40</v>
      </c>
      <c r="AC20" s="59" t="n">
        <f aca="false">AC19+1</f>
        <v>11</v>
      </c>
      <c r="AD20" s="74" t="n">
        <v>498</v>
      </c>
      <c r="AE20" s="78" t="n">
        <v>1048</v>
      </c>
      <c r="AF20" s="75" t="n">
        <v>1642</v>
      </c>
    </row>
    <row r="21" customFormat="false" ht="11.1" hidden="false" customHeight="true" outlineLevel="0" collapsed="false">
      <c r="A21" s="59" t="n">
        <f aca="false">A20+1</f>
        <v>12</v>
      </c>
      <c r="B21" s="76" t="n">
        <v>6896.55</v>
      </c>
      <c r="C21" s="54" t="n">
        <v>271028</v>
      </c>
      <c r="D21" s="58" t="n">
        <f aca="false">C21-C20</f>
        <v>35</v>
      </c>
      <c r="E21" s="54" t="n">
        <f aca="false">C21-152000</f>
        <v>119028</v>
      </c>
      <c r="F21" s="53" t="n">
        <f aca="false">D21/$D$2</f>
        <v>17.6500252143217</v>
      </c>
      <c r="G21" s="53" t="n">
        <v>52.1300252143217</v>
      </c>
      <c r="H21" s="55" t="n">
        <v>0</v>
      </c>
      <c r="I21" s="53" t="n">
        <f aca="false">G21+H21</f>
        <v>52.1300252143217</v>
      </c>
      <c r="J21" s="77" t="n">
        <f aca="false">IF(L21&gt;0,L21,0)</f>
        <v>0</v>
      </c>
      <c r="K21" s="53" t="n">
        <f aca="false">I21+J21</f>
        <v>52.1300252143217</v>
      </c>
      <c r="L21" s="53" t="n">
        <f aca="false">F21-(I21-W21)</f>
        <v>0</v>
      </c>
      <c r="M21" s="53" t="n">
        <v>4.78</v>
      </c>
      <c r="N21" s="53" t="n">
        <v>0</v>
      </c>
      <c r="O21" s="53" t="n">
        <f aca="false">M21-N21</f>
        <v>4.78</v>
      </c>
      <c r="P21" s="53" t="n">
        <v>0</v>
      </c>
      <c r="Q21" s="53" t="n">
        <v>0</v>
      </c>
      <c r="R21" s="53" t="n">
        <f aca="false">SUM(O21:Q21)</f>
        <v>4.78</v>
      </c>
      <c r="S21" s="54"/>
      <c r="T21" s="53" t="n">
        <v>0</v>
      </c>
      <c r="U21" s="53" t="n">
        <v>29.7</v>
      </c>
      <c r="V21" s="54" t="n">
        <f aca="false">V20-U21</f>
        <v>11451.7333148474</v>
      </c>
      <c r="W21" s="53" t="n">
        <f aca="false">R21+T21+N21+U21</f>
        <v>34.48</v>
      </c>
      <c r="X21" s="53" t="n">
        <f aca="false">IF(L21&lt;0,L21*-1,0)</f>
        <v>0</v>
      </c>
      <c r="Y21" s="53" t="n">
        <f aca="false">W21+X21</f>
        <v>34.48</v>
      </c>
      <c r="Z21" s="57" t="n">
        <v>0</v>
      </c>
      <c r="AA21" s="58" t="n">
        <v>68</v>
      </c>
      <c r="AB21" s="58" t="n">
        <v>42</v>
      </c>
      <c r="AC21" s="59" t="n">
        <f aca="false">AC20+1</f>
        <v>12</v>
      </c>
      <c r="AD21" s="74" t="n">
        <v>572</v>
      </c>
      <c r="AE21" s="78" t="n">
        <v>1182</v>
      </c>
      <c r="AF21" s="75" t="n">
        <v>1683.42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6896.55</v>
      </c>
      <c r="C22" s="54" t="n">
        <v>271028</v>
      </c>
      <c r="D22" s="58" t="n">
        <f aca="false">C22-C21</f>
        <v>0</v>
      </c>
      <c r="E22" s="54" t="n">
        <f aca="false">C22-152000</f>
        <v>119028</v>
      </c>
      <c r="F22" s="53" t="n">
        <f aca="false">D22/$D$2</f>
        <v>0</v>
      </c>
      <c r="G22" s="53" t="n">
        <v>34.13</v>
      </c>
      <c r="H22" s="55" t="n">
        <v>0</v>
      </c>
      <c r="I22" s="53" t="n">
        <f aca="false">G22+H22</f>
        <v>34.13</v>
      </c>
      <c r="J22" s="77" t="n">
        <f aca="false">IF(L22&gt;0,L22,0)</f>
        <v>0</v>
      </c>
      <c r="K22" s="53" t="n">
        <f aca="false">I22+J22</f>
        <v>34.13</v>
      </c>
      <c r="L22" s="53" t="n">
        <f aca="false">F22-(I22-W22)</f>
        <v>0</v>
      </c>
      <c r="M22" s="53" t="n">
        <v>4.4</v>
      </c>
      <c r="N22" s="53" t="n">
        <v>0</v>
      </c>
      <c r="O22" s="53" t="n">
        <f aca="false">M22-N22</f>
        <v>4.4</v>
      </c>
      <c r="P22" s="53" t="n">
        <v>0</v>
      </c>
      <c r="Q22" s="53" t="n">
        <v>0</v>
      </c>
      <c r="R22" s="53" t="n">
        <f aca="false">SUM(O22:Q22)</f>
        <v>4.4</v>
      </c>
      <c r="S22" s="54"/>
      <c r="T22" s="53" t="n">
        <v>0</v>
      </c>
      <c r="U22" s="53" t="n">
        <v>29.73</v>
      </c>
      <c r="V22" s="54" t="n">
        <f aca="false">V21-U22</f>
        <v>11422.0033148474</v>
      </c>
      <c r="W22" s="53" t="n">
        <f aca="false">R22+T22+N22+U22</f>
        <v>34.13</v>
      </c>
      <c r="X22" s="53" t="n">
        <f aca="false">IF(L22&lt;0,L22*-1,0)</f>
        <v>0</v>
      </c>
      <c r="Y22" s="53" t="n">
        <f aca="false">W22+X22</f>
        <v>34.13</v>
      </c>
      <c r="Z22" s="57" t="n">
        <v>0.11</v>
      </c>
      <c r="AA22" s="58" t="n">
        <v>63</v>
      </c>
      <c r="AB22" s="58" t="n">
        <v>38</v>
      </c>
      <c r="AC22" s="59" t="n">
        <f aca="false">AC21+1</f>
        <v>13</v>
      </c>
      <c r="AD22" s="74" t="n">
        <v>716</v>
      </c>
      <c r="AE22" s="78" t="n">
        <v>1339</v>
      </c>
      <c r="AF22" s="75" t="n">
        <v>1725.1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6896.65</v>
      </c>
      <c r="C23" s="54" t="n">
        <v>271387</v>
      </c>
      <c r="D23" s="58" t="n">
        <f aca="false">C23-C22</f>
        <v>359</v>
      </c>
      <c r="E23" s="54" t="n">
        <f aca="false">C23-152000</f>
        <v>119387</v>
      </c>
      <c r="F23" s="53" t="n">
        <f aca="false">D23/$D$2</f>
        <v>181.038830055472</v>
      </c>
      <c r="G23" s="53" t="n">
        <v>215.408830055472</v>
      </c>
      <c r="H23" s="55" t="n">
        <v>0</v>
      </c>
      <c r="I23" s="53" t="n">
        <f aca="false">G23+H23</f>
        <v>215.408830055472</v>
      </c>
      <c r="J23" s="77" t="n">
        <f aca="false">IF(L23&gt;0,L23,0)</f>
        <v>0</v>
      </c>
      <c r="K23" s="53" t="n">
        <f aca="false">I23+J23</f>
        <v>215.408830055472</v>
      </c>
      <c r="L23" s="53" t="n">
        <f aca="false">F23-(I23-W23)</f>
        <v>0</v>
      </c>
      <c r="M23" s="53" t="n">
        <v>4.4</v>
      </c>
      <c r="N23" s="53" t="n">
        <v>0</v>
      </c>
      <c r="O23" s="53" t="n">
        <f aca="false">M23-N23</f>
        <v>4.4</v>
      </c>
      <c r="P23" s="53" t="n">
        <v>0</v>
      </c>
      <c r="Q23" s="53" t="n">
        <v>0</v>
      </c>
      <c r="R23" s="53" t="n">
        <f aca="false">SUM(O23:Q23)</f>
        <v>4.4</v>
      </c>
      <c r="S23" s="54"/>
      <c r="T23" s="53" t="n">
        <v>0</v>
      </c>
      <c r="U23" s="53" t="n">
        <v>29.97</v>
      </c>
      <c r="V23" s="54" t="n">
        <f aca="false">V22-U23</f>
        <v>11392.0333148474</v>
      </c>
      <c r="W23" s="53" t="n">
        <f aca="false">R23+T23+N23+U23</f>
        <v>34.37</v>
      </c>
      <c r="X23" s="53" t="n">
        <f aca="false">IF(L23&lt;0,L23*-1,0)</f>
        <v>0</v>
      </c>
      <c r="Y23" s="53" t="n">
        <f aca="false">W23+X23</f>
        <v>34.37</v>
      </c>
      <c r="Z23" s="57" t="n">
        <v>0.28</v>
      </c>
      <c r="AA23" s="86" t="n">
        <v>70</v>
      </c>
      <c r="AB23" s="58" t="n">
        <v>38</v>
      </c>
      <c r="AC23" s="59" t="n">
        <f aca="false">AC22+1</f>
        <v>14</v>
      </c>
      <c r="AD23" s="74" t="n">
        <v>901</v>
      </c>
      <c r="AE23" s="78" t="n">
        <v>1500</v>
      </c>
      <c r="AF23" s="75" t="n">
        <v>1766.22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6896.67</v>
      </c>
      <c r="C24" s="54" t="n">
        <v>271459</v>
      </c>
      <c r="D24" s="58" t="n">
        <f aca="false">C24-C23</f>
        <v>72</v>
      </c>
      <c r="E24" s="54" t="n">
        <f aca="false">C24-152000</f>
        <v>119459</v>
      </c>
      <c r="F24" s="53" t="n">
        <f aca="false">D24/$D$2</f>
        <v>36.3086232980333</v>
      </c>
      <c r="G24" s="53" t="n">
        <v>70.4086232980333</v>
      </c>
      <c r="H24" s="55" t="n">
        <v>0</v>
      </c>
      <c r="I24" s="53" t="n">
        <f aca="false">G24+H24</f>
        <v>70.4086232980333</v>
      </c>
      <c r="J24" s="77" t="n">
        <f aca="false">IF(L24&gt;0,L24,0)</f>
        <v>0</v>
      </c>
      <c r="K24" s="53" t="n">
        <f aca="false">I24+J24</f>
        <v>70.4086232980333</v>
      </c>
      <c r="L24" s="53" t="n">
        <f aca="false">F24-(I24-W24)</f>
        <v>0</v>
      </c>
      <c r="M24" s="53" t="n">
        <v>4.4</v>
      </c>
      <c r="N24" s="53" t="n">
        <v>0</v>
      </c>
      <c r="O24" s="53" t="n">
        <f aca="false">M24-N24</f>
        <v>4.4</v>
      </c>
      <c r="P24" s="53" t="n">
        <v>0</v>
      </c>
      <c r="Q24" s="53" t="n">
        <v>0</v>
      </c>
      <c r="R24" s="53" t="n">
        <f aca="false">SUM(O24:Q24)</f>
        <v>4.4</v>
      </c>
      <c r="S24" s="54"/>
      <c r="T24" s="53" t="n">
        <v>0</v>
      </c>
      <c r="U24" s="53" t="n">
        <v>29.7</v>
      </c>
      <c r="V24" s="54" t="n">
        <f aca="false">V23-U24</f>
        <v>11362.3333148474</v>
      </c>
      <c r="W24" s="53" t="n">
        <f aca="false">R24+T24+N24+U24</f>
        <v>34.1</v>
      </c>
      <c r="X24" s="53" t="n">
        <f aca="false">IF(L24&lt;0,L24*-1,0)</f>
        <v>0</v>
      </c>
      <c r="Y24" s="53" t="n">
        <f aca="false">W24+X24</f>
        <v>34.1</v>
      </c>
      <c r="Z24" s="57" t="n">
        <v>0</v>
      </c>
      <c r="AA24" s="86" t="n">
        <v>72</v>
      </c>
      <c r="AB24" s="58" t="n">
        <v>44</v>
      </c>
      <c r="AC24" s="59" t="n">
        <f aca="false">AC23+1</f>
        <v>15</v>
      </c>
      <c r="AD24" s="74" t="n">
        <v>1075</v>
      </c>
      <c r="AE24" s="78" t="n">
        <v>1662</v>
      </c>
      <c r="AF24" s="75" t="n">
        <v>1807.54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6896.69</v>
      </c>
      <c r="C25" s="54" t="n">
        <v>271531</v>
      </c>
      <c r="D25" s="58" t="n">
        <f aca="false">C25-C24</f>
        <v>72</v>
      </c>
      <c r="E25" s="54" t="n">
        <f aca="false">C25-152000</f>
        <v>119531</v>
      </c>
      <c r="F25" s="53" t="n">
        <f aca="false">D25/$D$2</f>
        <v>36.3086232980333</v>
      </c>
      <c r="G25" s="53" t="n">
        <v>70.4086232980333</v>
      </c>
      <c r="H25" s="55" t="n">
        <v>0</v>
      </c>
      <c r="I25" s="53" t="n">
        <f aca="false">G25+H25</f>
        <v>70.4086232980333</v>
      </c>
      <c r="J25" s="77" t="n">
        <f aca="false">IF(L25&gt;0,L25,0)</f>
        <v>0</v>
      </c>
      <c r="K25" s="53" t="n">
        <f aca="false">I25+J25</f>
        <v>70.4086232980333</v>
      </c>
      <c r="L25" s="53" t="n">
        <f aca="false">F25-(I25-W25)</f>
        <v>0</v>
      </c>
      <c r="M25" s="53" t="n">
        <v>4.4</v>
      </c>
      <c r="N25" s="53" t="n">
        <v>0</v>
      </c>
      <c r="O25" s="53" t="n">
        <f aca="false">M25-N25</f>
        <v>4.4</v>
      </c>
      <c r="P25" s="53" t="n">
        <v>0</v>
      </c>
      <c r="Q25" s="53" t="n">
        <v>0</v>
      </c>
      <c r="R25" s="53" t="n">
        <f aca="false">SUM(O25:Q25)</f>
        <v>4.4</v>
      </c>
      <c r="S25" s="54"/>
      <c r="T25" s="53" t="n">
        <v>0</v>
      </c>
      <c r="U25" s="53" t="n">
        <v>29.7</v>
      </c>
      <c r="V25" s="54" t="n">
        <f aca="false">V24-U25</f>
        <v>11332.6333148474</v>
      </c>
      <c r="W25" s="53" t="n">
        <f aca="false">R25+T25+N25+U25</f>
        <v>34.1</v>
      </c>
      <c r="X25" s="53" t="n">
        <f aca="false">IF(L25&lt;0,L25*-1,0)</f>
        <v>0</v>
      </c>
      <c r="Y25" s="53" t="n">
        <f aca="false">W25+X25</f>
        <v>34.1</v>
      </c>
      <c r="Z25" s="57" t="n">
        <v>0</v>
      </c>
      <c r="AA25" s="86" t="n">
        <v>76</v>
      </c>
      <c r="AB25" s="58" t="n">
        <v>44</v>
      </c>
      <c r="AC25" s="59" t="n">
        <f aca="false">AC24+1</f>
        <v>16</v>
      </c>
      <c r="AD25" s="74" t="n">
        <v>1313</v>
      </c>
      <c r="AE25" s="87" t="n">
        <v>1828</v>
      </c>
      <c r="AF25" s="75" t="n">
        <v>1858.73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6896.7</v>
      </c>
      <c r="C26" s="54" t="n">
        <v>271567</v>
      </c>
      <c r="D26" s="58" t="n">
        <f aca="false">C26-C25</f>
        <v>36</v>
      </c>
      <c r="E26" s="54" t="n">
        <f aca="false">C26-152000</f>
        <v>119567</v>
      </c>
      <c r="F26" s="53" t="n">
        <f aca="false">D26/$D$2</f>
        <v>18.1543116490166</v>
      </c>
      <c r="G26" s="53" t="n">
        <v>52.2543116490166</v>
      </c>
      <c r="H26" s="55" t="n">
        <v>0</v>
      </c>
      <c r="I26" s="53" t="n">
        <f aca="false">G26+H26</f>
        <v>52.2543116490166</v>
      </c>
      <c r="J26" s="77" t="n">
        <f aca="false">IF(L26&gt;0,L26,0)</f>
        <v>0</v>
      </c>
      <c r="K26" s="53" t="n">
        <f aca="false">I26+J26</f>
        <v>52.2543116490166</v>
      </c>
      <c r="L26" s="53" t="n">
        <f aca="false">F26-(I26-W26)</f>
        <v>0</v>
      </c>
      <c r="M26" s="53" t="n">
        <v>4.4</v>
      </c>
      <c r="N26" s="53" t="n">
        <v>0</v>
      </c>
      <c r="O26" s="53" t="n">
        <f aca="false">M26-N26</f>
        <v>4.4</v>
      </c>
      <c r="P26" s="53" t="n">
        <v>0</v>
      </c>
      <c r="Q26" s="53" t="n">
        <v>0</v>
      </c>
      <c r="R26" s="53" t="n">
        <f aca="false">SUM(O26:Q26)</f>
        <v>4.4</v>
      </c>
      <c r="S26" s="54"/>
      <c r="T26" s="53" t="n">
        <v>0</v>
      </c>
      <c r="U26" s="53" t="n">
        <v>29.7</v>
      </c>
      <c r="V26" s="54" t="n">
        <f aca="false">V25-U26</f>
        <v>11302.9333148474</v>
      </c>
      <c r="W26" s="53" t="n">
        <f aca="false">R26+T26+N26+U26</f>
        <v>34.1</v>
      </c>
      <c r="X26" s="53" t="n">
        <f aca="false">IF(L26&lt;0,L26*-1,0)</f>
        <v>0</v>
      </c>
      <c r="Y26" s="53" t="n">
        <f aca="false">W26+X26</f>
        <v>34.1</v>
      </c>
      <c r="Z26" s="57" t="n">
        <v>0</v>
      </c>
      <c r="AA26" s="86" t="n">
        <v>75</v>
      </c>
      <c r="AB26" s="58" t="n">
        <v>43</v>
      </c>
      <c r="AC26" s="59" t="n">
        <f aca="false">AC25+1</f>
        <v>17</v>
      </c>
      <c r="AD26" s="74" t="n">
        <v>1559</v>
      </c>
      <c r="AE26" s="78" t="n">
        <v>1968</v>
      </c>
      <c r="AF26" s="75" t="n">
        <v>1921.09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6896.72</v>
      </c>
      <c r="C27" s="54" t="n">
        <v>271639</v>
      </c>
      <c r="D27" s="58" t="n">
        <f aca="false">C27-C26</f>
        <v>72</v>
      </c>
      <c r="E27" s="54" t="n">
        <f aca="false">C27-152000</f>
        <v>119639</v>
      </c>
      <c r="F27" s="53" t="n">
        <f aca="false">D27/$D$2</f>
        <v>36.3086232980333</v>
      </c>
      <c r="G27" s="53" t="n">
        <v>70.4086232980333</v>
      </c>
      <c r="H27" s="55" t="n">
        <v>0</v>
      </c>
      <c r="I27" s="53" t="n">
        <f aca="false">G27+H27</f>
        <v>70.4086232980333</v>
      </c>
      <c r="J27" s="77" t="n">
        <f aca="false">IF(L27&gt;0,L27,0)</f>
        <v>0</v>
      </c>
      <c r="K27" s="53" t="n">
        <f aca="false">I27+J27</f>
        <v>70.4086232980333</v>
      </c>
      <c r="L27" s="53" t="n">
        <f aca="false">F27-(I27-W27)</f>
        <v>0</v>
      </c>
      <c r="M27" s="53" t="n">
        <v>4.4</v>
      </c>
      <c r="N27" s="53" t="n">
        <v>0</v>
      </c>
      <c r="O27" s="53" t="n">
        <f aca="false">M27-N27</f>
        <v>4.4</v>
      </c>
      <c r="P27" s="53" t="n">
        <v>0</v>
      </c>
      <c r="Q27" s="53" t="n">
        <v>0</v>
      </c>
      <c r="R27" s="53" t="n">
        <f aca="false">SUM(O27:Q27)</f>
        <v>4.4</v>
      </c>
      <c r="S27" s="54"/>
      <c r="T27" s="53" t="n">
        <v>0</v>
      </c>
      <c r="U27" s="53" t="n">
        <v>29.7</v>
      </c>
      <c r="V27" s="54" t="n">
        <f aca="false">V26-U27</f>
        <v>11273.2333148474</v>
      </c>
      <c r="W27" s="53" t="n">
        <f aca="false">R27+T27+N27+U27</f>
        <v>34.1</v>
      </c>
      <c r="X27" s="53" t="n">
        <f aca="false">IF(L27&lt;0,L27*-1,0)</f>
        <v>0</v>
      </c>
      <c r="Y27" s="53" t="n">
        <f aca="false">W27+X27</f>
        <v>34.1</v>
      </c>
      <c r="Z27" s="57" t="n">
        <v>0</v>
      </c>
      <c r="AA27" s="86" t="n">
        <v>74</v>
      </c>
      <c r="AB27" s="58" t="n">
        <v>40</v>
      </c>
      <c r="AC27" s="59" t="n">
        <f aca="false">AC26+1</f>
        <v>18</v>
      </c>
      <c r="AD27" s="74" t="n">
        <v>1867</v>
      </c>
      <c r="AE27" s="78" t="n">
        <v>2133</v>
      </c>
      <c r="AF27" s="75" t="n">
        <v>1990.83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6896.75</v>
      </c>
      <c r="C28" s="88" t="n">
        <v>271746</v>
      </c>
      <c r="D28" s="58" t="n">
        <f aca="false">C28-C27</f>
        <v>107</v>
      </c>
      <c r="E28" s="54" t="n">
        <f aca="false">C28-152000</f>
        <v>119746</v>
      </c>
      <c r="F28" s="53" t="n">
        <f aca="false">D28/$D$2</f>
        <v>53.958648512355</v>
      </c>
      <c r="G28" s="53" t="n">
        <v>94.518648512355</v>
      </c>
      <c r="H28" s="55" t="n">
        <v>0</v>
      </c>
      <c r="I28" s="53" t="n">
        <f aca="false">G28+H28</f>
        <v>94.518648512355</v>
      </c>
      <c r="J28" s="77" t="n">
        <f aca="false">IF(L28&gt;0,L28,0)</f>
        <v>0</v>
      </c>
      <c r="K28" s="53" t="n">
        <f aca="false">I28+J28</f>
        <v>94.518648512355</v>
      </c>
      <c r="L28" s="53" t="n">
        <f aca="false">F28-(I28-W28)</f>
        <v>-6.46</v>
      </c>
      <c r="M28" s="0" t="n">
        <v>4.4</v>
      </c>
      <c r="N28" s="53" t="n">
        <v>0</v>
      </c>
      <c r="O28" s="53" t="n">
        <f aca="false">M28-N28</f>
        <v>4.4</v>
      </c>
      <c r="P28" s="53" t="n">
        <v>0</v>
      </c>
      <c r="Q28" s="53" t="n">
        <v>0</v>
      </c>
      <c r="R28" s="53" t="n">
        <f aca="false">SUM(O28:Q28)</f>
        <v>4.4</v>
      </c>
      <c r="S28" s="54"/>
      <c r="T28" s="53" t="n">
        <v>0</v>
      </c>
      <c r="U28" s="53" t="n">
        <v>29.7</v>
      </c>
      <c r="V28" s="54" t="n">
        <f aca="false">V27-U28</f>
        <v>11243.5333148474</v>
      </c>
      <c r="W28" s="53" t="n">
        <f aca="false">R28+T28+N28+U28</f>
        <v>34.1</v>
      </c>
      <c r="X28" s="53" t="n">
        <f aca="false">IF(L28&lt;0,L28*-1,0)</f>
        <v>6.46</v>
      </c>
      <c r="Y28" s="53" t="n">
        <f aca="false">W28+X28</f>
        <v>40.56</v>
      </c>
      <c r="Z28" s="57" t="n">
        <v>0</v>
      </c>
      <c r="AA28" s="86" t="n">
        <v>75</v>
      </c>
      <c r="AB28" s="58" t="n">
        <v>39</v>
      </c>
      <c r="AC28" s="59" t="n">
        <f aca="false">AC27+1</f>
        <v>19</v>
      </c>
      <c r="AD28" s="74" t="n">
        <v>2157</v>
      </c>
      <c r="AE28" s="78" t="n">
        <v>2304</v>
      </c>
      <c r="AF28" s="75" t="n">
        <v>2064.09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6896.79</v>
      </c>
      <c r="C29" s="54" t="n">
        <v>271890</v>
      </c>
      <c r="D29" s="58" t="n">
        <f aca="false">C29-C28</f>
        <v>144</v>
      </c>
      <c r="E29" s="54" t="n">
        <f aca="false">C29-152000</f>
        <v>119890</v>
      </c>
      <c r="F29" s="53" t="n">
        <f aca="false">D29/$D$2</f>
        <v>72.6172465960666</v>
      </c>
      <c r="G29" s="53" t="n">
        <v>113.297246596067</v>
      </c>
      <c r="H29" s="55" t="n">
        <v>0</v>
      </c>
      <c r="I29" s="53" t="n">
        <f aca="false">G29+H29</f>
        <v>113.297246596067</v>
      </c>
      <c r="J29" s="77" t="n">
        <f aca="false">IF(L29&gt;0,L29,0)</f>
        <v>0</v>
      </c>
      <c r="K29" s="53" t="n">
        <f aca="false">I29+J29</f>
        <v>113.297246596067</v>
      </c>
      <c r="L29" s="53" t="n">
        <f aca="false">F29-(I29-W29)</f>
        <v>-0.120000000000005</v>
      </c>
      <c r="M29" s="53" t="n">
        <v>10.86</v>
      </c>
      <c r="N29" s="53" t="n">
        <v>0</v>
      </c>
      <c r="O29" s="53" t="n">
        <f aca="false">M29-N29</f>
        <v>10.86</v>
      </c>
      <c r="P29" s="53" t="n">
        <v>0</v>
      </c>
      <c r="Q29" s="53" t="n">
        <v>0</v>
      </c>
      <c r="R29" s="53" t="n">
        <f aca="false">SUM(O29:Q29)</f>
        <v>10.86</v>
      </c>
      <c r="S29" s="54"/>
      <c r="T29" s="53" t="n">
        <v>0</v>
      </c>
      <c r="U29" s="53" t="n">
        <v>29.7</v>
      </c>
      <c r="V29" s="54" t="n">
        <f aca="false">V28-U29</f>
        <v>11213.8333148474</v>
      </c>
      <c r="W29" s="53" t="n">
        <f aca="false">R29+T29+N29+U29</f>
        <v>40.56</v>
      </c>
      <c r="X29" s="53" t="n">
        <f aca="false">IF(L29&lt;0,L29*-1,0)</f>
        <v>0.120000000000005</v>
      </c>
      <c r="Y29" s="53" t="n">
        <f aca="false">W29+X29</f>
        <v>40.68</v>
      </c>
      <c r="Z29" s="57" t="n">
        <v>0</v>
      </c>
      <c r="AA29" s="86" t="n">
        <v>72</v>
      </c>
      <c r="AB29" s="58" t="n">
        <v>30</v>
      </c>
      <c r="AC29" s="59" t="n">
        <f aca="false">AC28+1</f>
        <v>20</v>
      </c>
      <c r="AD29" s="74" t="n">
        <v>2443</v>
      </c>
      <c r="AE29" s="78" t="n">
        <v>2474</v>
      </c>
      <c r="AF29" s="75" t="n">
        <v>2135.47</v>
      </c>
    </row>
    <row r="30" customFormat="false" ht="11.1" hidden="false" customHeight="true" outlineLevel="0" collapsed="false">
      <c r="A30" s="59" t="n">
        <f aca="false">A29+1</f>
        <v>21</v>
      </c>
      <c r="B30" s="76" t="n">
        <v>6896.72</v>
      </c>
      <c r="C30" s="54" t="n">
        <v>271997</v>
      </c>
      <c r="D30" s="58" t="n">
        <f aca="false">C30-C29</f>
        <v>107</v>
      </c>
      <c r="E30" s="54" t="n">
        <f aca="false">C30-152000</f>
        <v>119997</v>
      </c>
      <c r="F30" s="53" t="n">
        <f aca="false">D30/$D$2</f>
        <v>53.958648512355</v>
      </c>
      <c r="G30" s="53" t="n">
        <v>89.058648512355</v>
      </c>
      <c r="H30" s="55" t="n">
        <v>0</v>
      </c>
      <c r="I30" s="53" t="n">
        <f aca="false">G30+H30</f>
        <v>89.058648512355</v>
      </c>
      <c r="J30" s="77" t="n">
        <f aca="false">IF(L30&gt;0,L30,0)</f>
        <v>5.58000000000001</v>
      </c>
      <c r="K30" s="53" t="n">
        <f aca="false">I30+J30</f>
        <v>94.638648512355</v>
      </c>
      <c r="L30" s="53" t="n">
        <f aca="false">F30-(I30-W30)</f>
        <v>5.58000000000001</v>
      </c>
      <c r="M30" s="53" t="n">
        <v>10.98</v>
      </c>
      <c r="N30" s="53" t="n">
        <v>0</v>
      </c>
      <c r="O30" s="53" t="n">
        <f aca="false">M30-N30</f>
        <v>10.98</v>
      </c>
      <c r="P30" s="53" t="n">
        <v>0</v>
      </c>
      <c r="Q30" s="53" t="n">
        <v>0</v>
      </c>
      <c r="R30" s="53" t="n">
        <f aca="false">SUM(O30:Q30)</f>
        <v>10.98</v>
      </c>
      <c r="S30" s="54"/>
      <c r="T30" s="53" t="n">
        <v>0</v>
      </c>
      <c r="U30" s="53" t="n">
        <v>29.7</v>
      </c>
      <c r="V30" s="54" t="n">
        <f aca="false">V29-U30</f>
        <v>11184.1333148474</v>
      </c>
      <c r="W30" s="53" t="n">
        <f aca="false">R30+T30+N30+U30</f>
        <v>40.68</v>
      </c>
      <c r="X30" s="53" t="n">
        <f aca="false">IF(L30&lt;0,L30*-1,0)</f>
        <v>0</v>
      </c>
      <c r="Y30" s="53" t="n">
        <f aca="false">W30+X30</f>
        <v>40.68</v>
      </c>
      <c r="Z30" s="57" t="n">
        <v>0</v>
      </c>
      <c r="AA30" s="58" t="n">
        <v>73</v>
      </c>
      <c r="AB30" s="58" t="n">
        <v>35</v>
      </c>
      <c r="AC30" s="59" t="n">
        <f aca="false">AC29+1</f>
        <v>21</v>
      </c>
      <c r="AD30" s="74" t="n">
        <v>2760</v>
      </c>
      <c r="AE30" s="78" t="n">
        <v>2645</v>
      </c>
      <c r="AF30" s="75" t="n">
        <v>2202.37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6896.89</v>
      </c>
      <c r="C31" s="54" t="n">
        <v>272249</v>
      </c>
      <c r="D31" s="58" t="n">
        <f aca="false">C31-C30</f>
        <v>252</v>
      </c>
      <c r="E31" s="54" t="n">
        <f aca="false">C31-152000</f>
        <v>120249</v>
      </c>
      <c r="F31" s="53" t="n">
        <f aca="false">D31/$D$2</f>
        <v>127.080181543116</v>
      </c>
      <c r="G31" s="53" t="n">
        <v>161.400181543116</v>
      </c>
      <c r="H31" s="55" t="n">
        <v>0</v>
      </c>
      <c r="I31" s="53" t="n">
        <f aca="false">G31+H31</f>
        <v>161.400181543116</v>
      </c>
      <c r="J31" s="77" t="n">
        <f aca="false">IF(L31&gt;0,L31,0)</f>
        <v>0.780000000000001</v>
      </c>
      <c r="K31" s="53" t="n">
        <f aca="false">I31+J31</f>
        <v>162.180181543117</v>
      </c>
      <c r="L31" s="53" t="n">
        <f aca="false">F31-(I31-W31)</f>
        <v>0.780000000000001</v>
      </c>
      <c r="M31" s="53" t="n">
        <v>5.4</v>
      </c>
      <c r="N31" s="53" t="n">
        <v>0</v>
      </c>
      <c r="O31" s="53" t="n">
        <f aca="false">M31-N31</f>
        <v>5.4</v>
      </c>
      <c r="P31" s="53" t="n">
        <v>0</v>
      </c>
      <c r="Q31" s="53" t="n">
        <v>0</v>
      </c>
      <c r="R31" s="53" t="n">
        <f aca="false">SUM(O31:Q31)</f>
        <v>5.4</v>
      </c>
      <c r="S31" s="54"/>
      <c r="T31" s="53" t="n">
        <v>0</v>
      </c>
      <c r="U31" s="53" t="n">
        <v>29.7</v>
      </c>
      <c r="V31" s="54" t="n">
        <f aca="false">V30-U31</f>
        <v>11154.4333148474</v>
      </c>
      <c r="W31" s="53" t="n">
        <f aca="false">R31+T31+N31+U31</f>
        <v>35.1</v>
      </c>
      <c r="X31" s="53" t="n">
        <f aca="false">IF(L31&lt;0,L31*-1,0)</f>
        <v>0</v>
      </c>
      <c r="Y31" s="53" t="n">
        <f aca="false">W31+X31</f>
        <v>35.1</v>
      </c>
      <c r="Z31" s="57" t="n">
        <v>0</v>
      </c>
      <c r="AA31" s="58" t="n">
        <v>79</v>
      </c>
      <c r="AB31" s="58" t="n">
        <v>40</v>
      </c>
      <c r="AC31" s="59" t="n">
        <f aca="false">AC30+1</f>
        <v>22</v>
      </c>
      <c r="AD31" s="74" t="n">
        <v>3077</v>
      </c>
      <c r="AE31" s="78" t="n">
        <v>2820</v>
      </c>
      <c r="AF31" s="75" t="n">
        <v>2257.56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6896.94</v>
      </c>
      <c r="C32" s="54" t="n">
        <v>272428</v>
      </c>
      <c r="D32" s="58" t="n">
        <f aca="false">C32-C31</f>
        <v>179</v>
      </c>
      <c r="E32" s="54" t="n">
        <f aca="false">C32-152000</f>
        <v>120428</v>
      </c>
      <c r="F32" s="53" t="n">
        <f aca="false">D32/$D$2</f>
        <v>90.2672718103883</v>
      </c>
      <c r="G32" s="53" t="n">
        <v>124.367271810388</v>
      </c>
      <c r="H32" s="55" t="n">
        <v>0</v>
      </c>
      <c r="I32" s="53" t="n">
        <f aca="false">G32+H32</f>
        <v>124.367271810388</v>
      </c>
      <c r="J32" s="77" t="n">
        <f aca="false">IF(L32&gt;0,L32,0)</f>
        <v>0.219999999999985</v>
      </c>
      <c r="K32" s="53" t="n">
        <f aca="false">I32+J32</f>
        <v>124.587271810388</v>
      </c>
      <c r="L32" s="53" t="n">
        <f aca="false">F32-(I32-W32)</f>
        <v>0.219999999999985</v>
      </c>
      <c r="M32" s="53" t="n">
        <v>4.62</v>
      </c>
      <c r="N32" s="53" t="n">
        <v>0</v>
      </c>
      <c r="O32" s="53" t="n">
        <f aca="false">M32-N32</f>
        <v>4.62</v>
      </c>
      <c r="P32" s="53" t="n">
        <v>0</v>
      </c>
      <c r="Q32" s="53" t="n">
        <v>0</v>
      </c>
      <c r="R32" s="53" t="n">
        <f aca="false">SUM(O32:Q32)</f>
        <v>4.62</v>
      </c>
      <c r="S32" s="54"/>
      <c r="T32" s="53" t="n">
        <v>0</v>
      </c>
      <c r="U32" s="53" t="n">
        <v>29.7</v>
      </c>
      <c r="V32" s="54" t="n">
        <f aca="false">V31-U32</f>
        <v>11124.7333148474</v>
      </c>
      <c r="W32" s="53" t="n">
        <f aca="false">R32+T32+N32+U32</f>
        <v>34.32</v>
      </c>
      <c r="X32" s="53" t="n">
        <f aca="false">IF(L32&lt;0,L32*-1,0)</f>
        <v>0</v>
      </c>
      <c r="Y32" s="53" t="n">
        <f aca="false">W32+X32</f>
        <v>34.32</v>
      </c>
      <c r="Z32" s="57" t="n">
        <v>0</v>
      </c>
      <c r="AA32" s="58" t="n">
        <v>80</v>
      </c>
      <c r="AB32" s="86" t="n">
        <v>46</v>
      </c>
      <c r="AC32" s="59" t="n">
        <f aca="false">AC31+1</f>
        <v>23</v>
      </c>
      <c r="AD32" s="74" t="n">
        <v>3431</v>
      </c>
      <c r="AE32" s="78" t="n">
        <v>2986</v>
      </c>
      <c r="AF32" s="75" t="n">
        <v>2305.82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6897.02</v>
      </c>
      <c r="C33" s="54" t="n">
        <v>272715</v>
      </c>
      <c r="D33" s="58" t="n">
        <f aca="false">C33-C32</f>
        <v>287</v>
      </c>
      <c r="E33" s="54" t="n">
        <f aca="false">C33-152000</f>
        <v>120715</v>
      </c>
      <c r="F33" s="53" t="n">
        <f aca="false">D33/$D$2</f>
        <v>144.730206757438</v>
      </c>
      <c r="G33" s="53" t="n">
        <v>178.830206757438</v>
      </c>
      <c r="H33" s="55" t="n">
        <v>0</v>
      </c>
      <c r="I33" s="53" t="n">
        <f aca="false">G33+H33</f>
        <v>178.830206757438</v>
      </c>
      <c r="J33" s="77" t="n">
        <f aca="false">IF(L33&gt;0,L33,0)</f>
        <v>0</v>
      </c>
      <c r="K33" s="53" t="n">
        <f aca="false">I33+J33</f>
        <v>178.830206757438</v>
      </c>
      <c r="L33" s="53" t="n">
        <f aca="false">F33-(I33-W33)</f>
        <v>0</v>
      </c>
      <c r="M33" s="53" t="n">
        <v>4.4</v>
      </c>
      <c r="N33" s="53" t="n">
        <v>0</v>
      </c>
      <c r="O33" s="53" t="n">
        <f aca="false">M33-N33</f>
        <v>4.4</v>
      </c>
      <c r="P33" s="53" t="n">
        <v>0</v>
      </c>
      <c r="Q33" s="53" t="n">
        <v>0</v>
      </c>
      <c r="R33" s="53" t="n">
        <f aca="false">SUM(O33:Q33)</f>
        <v>4.4</v>
      </c>
      <c r="S33" s="54"/>
      <c r="T33" s="53" t="n">
        <v>0</v>
      </c>
      <c r="U33" s="53" t="n">
        <v>29.7</v>
      </c>
      <c r="V33" s="54" t="n">
        <f aca="false">V32-U33</f>
        <v>11095.0333148474</v>
      </c>
      <c r="W33" s="53" t="n">
        <f aca="false">R33+T33+N33+U33</f>
        <v>34.1</v>
      </c>
      <c r="X33" s="53" t="n">
        <f aca="false">IF(L33&lt;0,L33*-1,0)</f>
        <v>0</v>
      </c>
      <c r="Y33" s="53" t="n">
        <f aca="false">W33+X33</f>
        <v>34.1</v>
      </c>
      <c r="Z33" s="57" t="n">
        <v>0</v>
      </c>
      <c r="AA33" s="58" t="n">
        <v>76</v>
      </c>
      <c r="AB33" s="86" t="n">
        <v>48</v>
      </c>
      <c r="AC33" s="59" t="n">
        <f aca="false">AC32+1</f>
        <v>24</v>
      </c>
      <c r="AD33" s="74" t="n">
        <v>3778</v>
      </c>
      <c r="AE33" s="78" t="n">
        <v>3159</v>
      </c>
      <c r="AF33" s="75" t="n">
        <v>2351.3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6897.12</v>
      </c>
      <c r="C34" s="54" t="n">
        <v>273078</v>
      </c>
      <c r="D34" s="58" t="n">
        <f aca="false">C34-C33</f>
        <v>363</v>
      </c>
      <c r="E34" s="54" t="n">
        <f aca="false">C34-152000</f>
        <v>121078</v>
      </c>
      <c r="F34" s="53" t="n">
        <f aca="false">D34/$D$2</f>
        <v>183.055975794251</v>
      </c>
      <c r="G34" s="53" t="n">
        <v>217.155975794251</v>
      </c>
      <c r="H34" s="55" t="n">
        <v>0</v>
      </c>
      <c r="I34" s="53" t="n">
        <f aca="false">G34+H34</f>
        <v>217.155975794251</v>
      </c>
      <c r="J34" s="77" t="n">
        <f aca="false">IF(L34&gt;0,L34,0)</f>
        <v>0</v>
      </c>
      <c r="K34" s="53" t="n">
        <f aca="false">I34+J34</f>
        <v>217.155975794251</v>
      </c>
      <c r="L34" s="53" t="n">
        <f aca="false">F34-(I34-W34)</f>
        <v>0</v>
      </c>
      <c r="M34" s="53" t="n">
        <v>4.4</v>
      </c>
      <c r="N34" s="53" t="n">
        <v>0</v>
      </c>
      <c r="O34" s="53" t="n">
        <f aca="false">M34-N34</f>
        <v>4.4</v>
      </c>
      <c r="P34" s="53" t="n">
        <v>0</v>
      </c>
      <c r="Q34" s="53" t="n">
        <v>0</v>
      </c>
      <c r="R34" s="53" t="n">
        <f aca="false">SUM(O34:Q34)</f>
        <v>4.4</v>
      </c>
      <c r="S34" s="54"/>
      <c r="T34" s="53" t="n">
        <v>0</v>
      </c>
      <c r="U34" s="53" t="n">
        <v>29.7</v>
      </c>
      <c r="V34" s="54" t="n">
        <f aca="false">V33-U34</f>
        <v>11065.3333148474</v>
      </c>
      <c r="W34" s="53" t="n">
        <f aca="false">R34+T34+N34+U34</f>
        <v>34.1</v>
      </c>
      <c r="X34" s="53" t="n">
        <f aca="false">IF(L34&lt;0,L34*-1,0)</f>
        <v>0</v>
      </c>
      <c r="Y34" s="53" t="n">
        <f aca="false">W34+X34</f>
        <v>34.1</v>
      </c>
      <c r="Z34" s="57" t="n">
        <v>0</v>
      </c>
      <c r="AA34" s="58" t="n">
        <v>71</v>
      </c>
      <c r="AB34" s="86" t="n">
        <v>40</v>
      </c>
      <c r="AC34" s="59" t="n">
        <f aca="false">AC33+1</f>
        <v>25</v>
      </c>
      <c r="AD34" s="74" t="n">
        <v>4048</v>
      </c>
      <c r="AE34" s="78" t="n">
        <v>3332</v>
      </c>
      <c r="AF34" s="75" t="n">
        <v>2362.83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6897.2</v>
      </c>
      <c r="C35" s="54" t="n">
        <v>273367</v>
      </c>
      <c r="D35" s="58" t="n">
        <f aca="false">C35-C34</f>
        <v>289</v>
      </c>
      <c r="E35" s="54" t="n">
        <f aca="false">C35-152000</f>
        <v>121367</v>
      </c>
      <c r="F35" s="53" t="n">
        <f aca="false">D35/$D$2</f>
        <v>145.738779626828</v>
      </c>
      <c r="G35" s="53" t="n">
        <v>180.998779626828</v>
      </c>
      <c r="H35" s="55" t="n">
        <v>0</v>
      </c>
      <c r="I35" s="53" t="n">
        <f aca="false">G35+H35</f>
        <v>180.998779626828</v>
      </c>
      <c r="J35" s="77" t="n">
        <f aca="false">IF(L35&gt;0,L35,0)</f>
        <v>0</v>
      </c>
      <c r="K35" s="53" t="n">
        <f aca="false">I35+J35</f>
        <v>180.998779626828</v>
      </c>
      <c r="L35" s="53" t="n">
        <f aca="false">F35-(I35-W35)</f>
        <v>-1.16</v>
      </c>
      <c r="M35" s="53" t="n">
        <v>4.4</v>
      </c>
      <c r="N35" s="53" t="n">
        <v>0</v>
      </c>
      <c r="O35" s="53" t="n">
        <f aca="false">M35-N35</f>
        <v>4.4</v>
      </c>
      <c r="P35" s="53" t="n">
        <v>0</v>
      </c>
      <c r="Q35" s="53" t="n">
        <v>0</v>
      </c>
      <c r="R35" s="53" t="n">
        <f aca="false">SUM(O35:Q35)</f>
        <v>4.4</v>
      </c>
      <c r="S35" s="54"/>
      <c r="T35" s="53" t="n">
        <v>0</v>
      </c>
      <c r="U35" s="53" t="n">
        <v>29.7</v>
      </c>
      <c r="V35" s="54" t="n">
        <f aca="false">V34-U35</f>
        <v>11035.6333148474</v>
      </c>
      <c r="W35" s="53" t="n">
        <f aca="false">R35+T35+N35+U35</f>
        <v>34.1</v>
      </c>
      <c r="X35" s="53" t="n">
        <f aca="false">IF(L35&lt;0,L35*-1,0)</f>
        <v>1.16</v>
      </c>
      <c r="Y35" s="53" t="n">
        <f aca="false">W35+X35</f>
        <v>35.26</v>
      </c>
      <c r="Z35" s="57" t="n">
        <v>0</v>
      </c>
      <c r="AA35" s="58" t="n">
        <v>63</v>
      </c>
      <c r="AB35" s="58" t="n">
        <v>35</v>
      </c>
      <c r="AC35" s="59" t="n">
        <f aca="false">AC34+1</f>
        <v>26</v>
      </c>
      <c r="AD35" s="74" t="n">
        <v>4274</v>
      </c>
      <c r="AE35" s="78" t="n">
        <v>3506</v>
      </c>
      <c r="AF35" s="75" t="n">
        <v>2362.83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6897.29</v>
      </c>
      <c r="C36" s="54" t="n">
        <v>273692</v>
      </c>
      <c r="D36" s="58" t="n">
        <f aca="false">C36-C35</f>
        <v>325</v>
      </c>
      <c r="E36" s="54" t="n">
        <f aca="false">C36-152000</f>
        <v>121692</v>
      </c>
      <c r="F36" s="53" t="n">
        <f aca="false">D36/$D$2</f>
        <v>163.893091275845</v>
      </c>
      <c r="G36" s="53" t="n">
        <v>198.833091275845</v>
      </c>
      <c r="H36" s="55" t="n">
        <v>0</v>
      </c>
      <c r="I36" s="53" t="n">
        <f aca="false">G36+H36</f>
        <v>198.833091275845</v>
      </c>
      <c r="J36" s="77" t="n">
        <f aca="false">IF(L36&gt;0,L36,0)</f>
        <v>0.319999999999993</v>
      </c>
      <c r="K36" s="53" t="n">
        <f aca="false">I36+J36</f>
        <v>199.153091275845</v>
      </c>
      <c r="L36" s="53" t="n">
        <f aca="false">F36-(I36-W36)</f>
        <v>0.319999999999993</v>
      </c>
      <c r="M36" s="53" t="n">
        <v>5.56</v>
      </c>
      <c r="N36" s="53" t="n">
        <v>0</v>
      </c>
      <c r="O36" s="53" t="n">
        <f aca="false">M36-N36</f>
        <v>5.56</v>
      </c>
      <c r="P36" s="53" t="n">
        <v>0</v>
      </c>
      <c r="Q36" s="53" t="n">
        <v>0</v>
      </c>
      <c r="R36" s="53" t="n">
        <f aca="false">SUM(O36:Q36)</f>
        <v>5.56</v>
      </c>
      <c r="S36" s="54"/>
      <c r="T36" s="53" t="n">
        <v>0</v>
      </c>
      <c r="U36" s="53" t="n">
        <v>29.7</v>
      </c>
      <c r="V36" s="54" t="n">
        <f aca="false">V35-U36</f>
        <v>11005.9333148474</v>
      </c>
      <c r="W36" s="53" t="n">
        <f aca="false">R36+T36+N36+U36</f>
        <v>35.26</v>
      </c>
      <c r="X36" s="53" t="n">
        <f aca="false">IF(L36&lt;0,L36*-1,0)</f>
        <v>0</v>
      </c>
      <c r="Y36" s="53" t="n">
        <f aca="false">W36+X36</f>
        <v>35.26</v>
      </c>
      <c r="Z36" s="57" t="n">
        <v>0</v>
      </c>
      <c r="AA36" s="58" t="n">
        <v>67</v>
      </c>
      <c r="AB36" s="58" t="n">
        <v>40</v>
      </c>
      <c r="AC36" s="59" t="n">
        <f aca="false">AC35+1</f>
        <v>27</v>
      </c>
      <c r="AD36" s="74" t="n">
        <v>4501</v>
      </c>
      <c r="AE36" s="78" t="n">
        <v>3671</v>
      </c>
      <c r="AF36" s="75" t="n">
        <v>2362.83</v>
      </c>
    </row>
    <row r="37" customFormat="false" ht="11.1" hidden="false" customHeight="true" outlineLevel="0" collapsed="false">
      <c r="A37" s="59" t="n">
        <f aca="false">A36+1</f>
        <v>28</v>
      </c>
      <c r="B37" s="76" t="n">
        <v>6897.44</v>
      </c>
      <c r="C37" s="54" t="n">
        <v>274235</v>
      </c>
      <c r="D37" s="58" t="n">
        <f aca="false">C37-C36</f>
        <v>543</v>
      </c>
      <c r="E37" s="54" t="n">
        <f aca="false">C37-152000</f>
        <v>122235</v>
      </c>
      <c r="F37" s="53" t="n">
        <f aca="false">D37/$D$2</f>
        <v>273.827534039334</v>
      </c>
      <c r="G37" s="53" t="n">
        <v>308.767534039334</v>
      </c>
      <c r="H37" s="55" t="n">
        <v>0</v>
      </c>
      <c r="I37" s="53" t="n">
        <f aca="false">G37+H37</f>
        <v>308.767534039334</v>
      </c>
      <c r="J37" s="77" t="n">
        <f aca="false">IF(L37&gt;0,L37,0)</f>
        <v>0</v>
      </c>
      <c r="K37" s="53" t="n">
        <f aca="false">I37+J37</f>
        <v>308.767534039334</v>
      </c>
      <c r="L37" s="53" t="n">
        <f aca="false">F37-(I37-W37)</f>
        <v>0</v>
      </c>
      <c r="M37" s="53" t="n">
        <v>5.24</v>
      </c>
      <c r="N37" s="53" t="n">
        <v>0</v>
      </c>
      <c r="O37" s="53" t="n">
        <f aca="false">M37-N37</f>
        <v>5.24</v>
      </c>
      <c r="P37" s="53" t="n">
        <v>0</v>
      </c>
      <c r="Q37" s="53" t="n">
        <v>0</v>
      </c>
      <c r="R37" s="53" t="n">
        <f aca="false">SUM(O37:Q37)</f>
        <v>5.24</v>
      </c>
      <c r="S37" s="54"/>
      <c r="T37" s="53" t="n">
        <v>0</v>
      </c>
      <c r="U37" s="53" t="n">
        <v>29.7</v>
      </c>
      <c r="V37" s="54" t="n">
        <f aca="false">V36-U37</f>
        <v>10976.2333148474</v>
      </c>
      <c r="W37" s="53" t="n">
        <f aca="false">R37+T37+N37+U37</f>
        <v>34.94</v>
      </c>
      <c r="X37" s="53" t="n">
        <f aca="false">IF(L37&lt;0,L37*-1,0)</f>
        <v>0</v>
      </c>
      <c r="Y37" s="53" t="n">
        <f aca="false">W37+X37</f>
        <v>34.94</v>
      </c>
      <c r="Z37" s="57" t="n">
        <v>0.62</v>
      </c>
      <c r="AA37" s="58" t="n">
        <v>78</v>
      </c>
      <c r="AB37" s="58" t="n">
        <v>45</v>
      </c>
      <c r="AC37" s="59" t="n">
        <f aca="false">AC36+1</f>
        <v>28</v>
      </c>
      <c r="AD37" s="74" t="n">
        <v>4723</v>
      </c>
      <c r="AE37" s="78" t="n">
        <v>3836</v>
      </c>
      <c r="AF37" s="75" t="n">
        <v>2362.83</v>
      </c>
    </row>
    <row r="38" customFormat="false" ht="3" hidden="false" customHeight="true" outlineLevel="0" collapsed="false">
      <c r="A38" s="79"/>
      <c r="B38" s="79"/>
      <c r="C38" s="81"/>
      <c r="D38" s="79"/>
      <c r="E38" s="81"/>
      <c r="F38" s="79"/>
      <c r="G38" s="79"/>
      <c r="H38" s="82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81"/>
      <c r="T38" s="79"/>
      <c r="U38" s="79"/>
      <c r="V38" s="79"/>
      <c r="W38" s="79"/>
      <c r="X38" s="79"/>
      <c r="Y38" s="79"/>
      <c r="Z38" s="83"/>
      <c r="AA38" s="84" t="n">
        <v>73</v>
      </c>
      <c r="AB38" s="84"/>
      <c r="AC38" s="85"/>
      <c r="AD38" s="74"/>
      <c r="AE38" s="74"/>
      <c r="AF38" s="75"/>
    </row>
    <row r="39" customFormat="false" ht="11.1" hidden="false" customHeight="true" outlineLevel="0" collapsed="false">
      <c r="A39" s="53" t="s">
        <v>45</v>
      </c>
      <c r="B39" s="53"/>
      <c r="C39" s="54"/>
      <c r="D39" s="54"/>
      <c r="E39" s="54"/>
      <c r="F39" s="54" t="n">
        <f aca="false">SUM(F10:F37)</f>
        <v>2033.28290468986</v>
      </c>
      <c r="G39" s="54" t="n">
        <f aca="false">SUM(G10:G37)</f>
        <v>2997.22290468986</v>
      </c>
      <c r="H39" s="54" t="n">
        <f aca="false">SUM(H10:H37)</f>
        <v>0</v>
      </c>
      <c r="I39" s="54" t="n">
        <f aca="false">SUM(I10:I37)</f>
        <v>2997.22290468986</v>
      </c>
      <c r="J39" s="54" t="n">
        <f aca="false">SUM(J10:J37)</f>
        <v>6.89999999999998</v>
      </c>
      <c r="K39" s="54" t="n">
        <f aca="false">SUM(K10:K37)</f>
        <v>3004.12290468986</v>
      </c>
      <c r="L39" s="54" t="n">
        <f aca="false">SUM(L10:L37)</f>
        <v>-0.840000000000018</v>
      </c>
      <c r="M39" s="54" t="n">
        <f aca="false">SUM(M10:M37)</f>
        <v>131.2</v>
      </c>
      <c r="N39" s="54" t="n">
        <f aca="false">SUM(N10:N37)</f>
        <v>0</v>
      </c>
      <c r="O39" s="54" t="n">
        <f aca="false">SUM(O10:O37)</f>
        <v>131.2</v>
      </c>
      <c r="P39" s="54" t="n">
        <f aca="false">SUM(P10:P37)</f>
        <v>0</v>
      </c>
      <c r="Q39" s="54" t="n">
        <f aca="false">SUM(Q10:Q37)</f>
        <v>0</v>
      </c>
      <c r="R39" s="54" t="n">
        <f aca="false">SUM(R10:R37)</f>
        <v>131.2</v>
      </c>
      <c r="S39" s="54"/>
      <c r="T39" s="54" t="n">
        <f aca="false">SUM(T10:T37)</f>
        <v>0</v>
      </c>
      <c r="U39" s="54" t="n">
        <f aca="false">SUM(U10:U37)</f>
        <v>831.9</v>
      </c>
      <c r="V39" s="54"/>
      <c r="W39" s="54" t="n">
        <f aca="false">SUM(W10:W37)</f>
        <v>963.1</v>
      </c>
      <c r="X39" s="54" t="n">
        <f aca="false">SUM(X10:X37)</f>
        <v>7.74</v>
      </c>
      <c r="Y39" s="54" t="n">
        <f aca="false">SUM(Y10:Y37)</f>
        <v>970.84</v>
      </c>
      <c r="Z39" s="57" t="n">
        <f aca="false">SUM(Z10:Z37)</f>
        <v>1.09</v>
      </c>
      <c r="AA39" s="58" t="n">
        <f aca="false">AVERAGE(AA10:AA37)</f>
        <v>70.3928571428571</v>
      </c>
      <c r="AB39" s="58" t="n">
        <f aca="false">AVERAGE(AB10:AB37)</f>
        <v>39.6071428571429</v>
      </c>
      <c r="AC39" s="59"/>
      <c r="AD39" s="74"/>
      <c r="AE39" s="74"/>
      <c r="AF39" s="75"/>
    </row>
    <row r="40" customFormat="false" ht="11.1" hidden="false" customHeight="true" outlineLevel="0" collapsed="false">
      <c r="A40" s="53" t="s">
        <v>46</v>
      </c>
      <c r="B40" s="53"/>
      <c r="C40" s="54"/>
      <c r="D40" s="54" t="n">
        <f aca="false">SUM(D10:D37)</f>
        <v>4032</v>
      </c>
      <c r="E40" s="54"/>
      <c r="F40" s="54" t="n">
        <f aca="false">F39*$D$2</f>
        <v>4032</v>
      </c>
      <c r="G40" s="54" t="n">
        <f aca="false">G39*$D$2</f>
        <v>5943.49302</v>
      </c>
      <c r="H40" s="54" t="n">
        <f aca="false">H39*$D$2</f>
        <v>0</v>
      </c>
      <c r="I40" s="54" t="n">
        <f aca="false">I39*$D$2</f>
        <v>5943.49302</v>
      </c>
      <c r="J40" s="54" t="n">
        <f aca="false">J39*$D$2</f>
        <v>13.6827</v>
      </c>
      <c r="K40" s="54" t="n">
        <f aca="false">K39*$D$2</f>
        <v>5957.17572</v>
      </c>
      <c r="L40" s="54" t="n">
        <f aca="false">L39*$D$2</f>
        <v>-1.66572000000004</v>
      </c>
      <c r="M40" s="54" t="n">
        <f aca="false">M39*$D$2</f>
        <v>260.1696</v>
      </c>
      <c r="N40" s="54" t="n">
        <f aca="false">N39*$D$2</f>
        <v>0</v>
      </c>
      <c r="O40" s="54" t="n">
        <f aca="false">O39*$D$2</f>
        <v>260.1696</v>
      </c>
      <c r="P40" s="54" t="n">
        <f aca="false">P39*$D$2</f>
        <v>0</v>
      </c>
      <c r="Q40" s="54" t="n">
        <f aca="false">Q39*$D$2</f>
        <v>0</v>
      </c>
      <c r="R40" s="54" t="n">
        <f aca="false">R39*$D$2</f>
        <v>260.1696</v>
      </c>
      <c r="S40" s="54"/>
      <c r="T40" s="54" t="n">
        <f aca="false">T39*$D$2</f>
        <v>0</v>
      </c>
      <c r="U40" s="54" t="n">
        <f aca="false">U39*$D$2</f>
        <v>1649.6577</v>
      </c>
      <c r="V40" s="54" t="n">
        <f aca="false">V39*$D$2</f>
        <v>0</v>
      </c>
      <c r="W40" s="54" t="n">
        <f aca="false">W39*$D$2</f>
        <v>1909.8273</v>
      </c>
      <c r="X40" s="54" t="n">
        <f aca="false">X39*$D$2</f>
        <v>15.34842</v>
      </c>
      <c r="Y40" s="54" t="n">
        <f aca="false">Y39*$D$2</f>
        <v>1925.17572</v>
      </c>
      <c r="Z40" s="57"/>
      <c r="AA40" s="58" t="n">
        <f aca="false">MAX(AA10:AA37)</f>
        <v>80</v>
      </c>
      <c r="AB40" s="58" t="n">
        <f aca="false">MAX(AB10:AB37)</f>
        <v>48</v>
      </c>
      <c r="AC40" s="59" t="s">
        <v>47</v>
      </c>
      <c r="AD40" s="74"/>
      <c r="AE40" s="74"/>
      <c r="AF40" s="75"/>
    </row>
    <row r="41" customFormat="false" ht="3" hidden="false" customHeight="true" outlineLevel="0" collapsed="false">
      <c r="A41" s="79"/>
      <c r="B41" s="79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79"/>
      <c r="W41" s="81"/>
      <c r="X41" s="81"/>
      <c r="Y41" s="81"/>
      <c r="Z41" s="57"/>
      <c r="AA41" s="58"/>
      <c r="AB41" s="58"/>
      <c r="AC41" s="59"/>
      <c r="AD41" s="74"/>
      <c r="AE41" s="74"/>
      <c r="AF41" s="75"/>
    </row>
    <row r="42" customFormat="false" ht="11.1" hidden="false" customHeight="true" outlineLevel="0" collapsed="false">
      <c r="A42" s="53" t="s">
        <v>48</v>
      </c>
      <c r="B42" s="53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7"/>
      <c r="AA42" s="58" t="n">
        <f aca="false">MIN(AA10:AA37)</f>
        <v>54</v>
      </c>
      <c r="AB42" s="58" t="n">
        <f aca="false">MIN(AB10:AB37)</f>
        <v>30</v>
      </c>
      <c r="AC42" s="59" t="s">
        <v>49</v>
      </c>
      <c r="AD42" s="74"/>
      <c r="AE42" s="74"/>
      <c r="AF42" s="75"/>
    </row>
    <row r="43" customFormat="false" ht="11.1" hidden="false" customHeight="true" outlineLevel="0" collapsed="false">
      <c r="A43" s="53" t="s">
        <v>50</v>
      </c>
      <c r="B43" s="53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7"/>
      <c r="AA43" s="58"/>
      <c r="AB43" s="58"/>
      <c r="AC43" s="59"/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4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3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51</v>
      </c>
      <c r="B45" s="53"/>
      <c r="C45" s="54"/>
      <c r="D45" s="54"/>
      <c r="E45" s="54"/>
      <c r="F45" s="54" t="n">
        <f aca="false">F8+F39</f>
        <v>3868.88552697932</v>
      </c>
      <c r="G45" s="54" t="n">
        <f aca="false">G8+G39</f>
        <v>8707.97259203227</v>
      </c>
      <c r="H45" s="58" t="n">
        <f aca="false">H8+H39</f>
        <v>0</v>
      </c>
      <c r="I45" s="54" t="n">
        <f aca="false">I8+I39</f>
        <v>8707.87259203227</v>
      </c>
      <c r="J45" s="54" t="n">
        <f aca="false">J8+J39</f>
        <v>548.25061522945</v>
      </c>
      <c r="K45" s="54" t="n">
        <f aca="false">K8+K39</f>
        <v>9256.12320726173</v>
      </c>
      <c r="L45" s="54" t="n">
        <f aca="false">L8+L39</f>
        <v>402.76293494705</v>
      </c>
      <c r="M45" s="54" t="n">
        <f aca="false">M8+M39</f>
        <v>622.07</v>
      </c>
      <c r="N45" s="54" t="n">
        <f aca="false">N8+N39</f>
        <v>0</v>
      </c>
      <c r="O45" s="54" t="n">
        <f aca="false">O8+O39</f>
        <v>417.57</v>
      </c>
      <c r="P45" s="54" t="n">
        <f aca="false">P8+P39</f>
        <v>680.36</v>
      </c>
      <c r="Q45" s="54" t="n">
        <f aca="false">Q8+Q39</f>
        <v>0</v>
      </c>
      <c r="R45" s="54" t="n">
        <f aca="false">R8+R39</f>
        <v>1178.43</v>
      </c>
      <c r="S45" s="54"/>
      <c r="T45" s="54" t="n">
        <f aca="false">T8+T39</f>
        <v>0</v>
      </c>
      <c r="U45" s="54" t="n">
        <f aca="false">U8+U39</f>
        <v>3939.32</v>
      </c>
      <c r="V45" s="54" t="n">
        <f aca="false">V37</f>
        <v>10976.2333148474</v>
      </c>
      <c r="W45" s="54" t="n">
        <f aca="false">W8+W39</f>
        <v>5241.75</v>
      </c>
      <c r="X45" s="54" t="n">
        <f aca="false">X8+X39</f>
        <v>145.4876802824</v>
      </c>
      <c r="Y45" s="54" t="n">
        <f aca="false">Y8+Y39</f>
        <v>5387.2376802824</v>
      </c>
      <c r="Z45" s="77" t="n">
        <f aca="false">Z8+Z39</f>
        <v>7.36</v>
      </c>
      <c r="AA45" s="58"/>
      <c r="AB45" s="58"/>
      <c r="AC45" s="59"/>
      <c r="AD45" s="74"/>
      <c r="AE45" s="74"/>
      <c r="AF45" s="75"/>
    </row>
    <row r="46" customFormat="false" ht="11.1" hidden="false" customHeight="true" outlineLevel="0" collapsed="false">
      <c r="A46" s="53" t="s">
        <v>52</v>
      </c>
      <c r="B46" s="53"/>
      <c r="C46" s="54"/>
      <c r="D46" s="54" t="n">
        <f aca="false">D8+D40</f>
        <v>7672</v>
      </c>
      <c r="E46" s="54" t="n">
        <f aca="false">E37</f>
        <v>122235</v>
      </c>
      <c r="F46" s="54" t="n">
        <f aca="false">F45*$D$2</f>
        <v>7672</v>
      </c>
      <c r="G46" s="54" t="n">
        <f aca="false">G45*$D$2</f>
        <v>17267.90965</v>
      </c>
      <c r="H46" s="58" t="n">
        <f aca="false">H45*$D$2</f>
        <v>0</v>
      </c>
      <c r="I46" s="54" t="n">
        <f aca="false">I45*$D$2</f>
        <v>17267.71135</v>
      </c>
      <c r="J46" s="54" t="n">
        <f aca="false">J45*$D$2</f>
        <v>1087.18097</v>
      </c>
      <c r="K46" s="54" t="n">
        <f aca="false">K45*$D$2</f>
        <v>18354.89232</v>
      </c>
      <c r="L46" s="54" t="n">
        <f aca="false">L45*$D$2</f>
        <v>798.6789</v>
      </c>
      <c r="M46" s="54" t="n">
        <f aca="false">M45*$D$2</f>
        <v>1233.56481</v>
      </c>
      <c r="N46" s="54" t="n">
        <f aca="false">N45*$D$2</f>
        <v>0</v>
      </c>
      <c r="O46" s="54" t="n">
        <f aca="false">O45*$D$2</f>
        <v>828.04131</v>
      </c>
      <c r="P46" s="54" t="n">
        <f aca="false">P45*$D$2</f>
        <v>1349.15388</v>
      </c>
      <c r="Q46" s="54" t="n">
        <f aca="false">Q45*$D$2</f>
        <v>0</v>
      </c>
      <c r="R46" s="54" t="n">
        <f aca="false">R45*$D$2</f>
        <v>2336.82669</v>
      </c>
      <c r="S46" s="54" t="n">
        <f aca="false">S45*$D$2</f>
        <v>0</v>
      </c>
      <c r="T46" s="54" t="n">
        <f aca="false">T45*$D$2</f>
        <v>0</v>
      </c>
      <c r="U46" s="54" t="n">
        <f aca="false">U45*$D$2</f>
        <v>7811.67156</v>
      </c>
      <c r="V46" s="54" t="n">
        <f aca="false">V45*$D$2</f>
        <v>21765.8706633425</v>
      </c>
      <c r="W46" s="54" t="n">
        <f aca="false">W45*$D$2</f>
        <v>10394.39025</v>
      </c>
      <c r="X46" s="54" t="n">
        <f aca="false">X45*$D$2</f>
        <v>288.50207</v>
      </c>
      <c r="Y46" s="54" t="n">
        <f aca="false">Y45*$D$2</f>
        <v>10682.89232</v>
      </c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79"/>
      <c r="E47" s="81"/>
      <c r="F47" s="79"/>
      <c r="G47" s="79"/>
      <c r="H47" s="82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81"/>
      <c r="T47" s="79"/>
      <c r="U47" s="79"/>
      <c r="V47" s="81"/>
      <c r="W47" s="79"/>
      <c r="X47" s="79"/>
      <c r="Y47" s="79"/>
      <c r="Z47" s="57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tr">
        <f aca="false">"JUN /9"</f>
        <v>JUN /9</v>
      </c>
      <c r="B48" s="89"/>
      <c r="C48" s="54"/>
      <c r="D48" s="53"/>
      <c r="E48" s="54"/>
      <c r="F48" s="53"/>
      <c r="G48" s="53"/>
      <c r="H48" s="55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4"/>
      <c r="T48" s="53"/>
      <c r="U48" s="53"/>
      <c r="V48" s="54"/>
      <c r="W48" s="53"/>
      <c r="X48" s="53"/>
      <c r="Y48" s="53"/>
      <c r="Z48" s="57"/>
      <c r="AA48" s="58"/>
      <c r="AB48" s="58"/>
      <c r="AC48" s="59"/>
      <c r="AD48" s="60"/>
      <c r="AE48" s="60"/>
    </row>
    <row r="49" customFormat="false" ht="11.1" hidden="false" customHeight="true" outlineLevel="0" collapsed="false">
      <c r="A49" s="53"/>
      <c r="B49" s="76" t="n">
        <v>6924.15</v>
      </c>
      <c r="C49" s="54" t="n">
        <v>381833</v>
      </c>
      <c r="D49" s="86"/>
      <c r="E49" s="54" t="n">
        <f aca="false">C49-152000</f>
        <v>229833</v>
      </c>
      <c r="F49" s="53"/>
      <c r="G49" s="53"/>
      <c r="H49" s="86"/>
      <c r="I49" s="55"/>
      <c r="J49" s="53"/>
      <c r="K49" s="43"/>
      <c r="L49" s="53"/>
      <c r="M49" s="53"/>
      <c r="N49" s="53"/>
      <c r="O49" s="53"/>
      <c r="P49" s="53"/>
      <c r="Q49" s="53"/>
      <c r="R49" s="53"/>
      <c r="S49" s="54"/>
      <c r="T49" s="53"/>
      <c r="U49" s="53"/>
      <c r="V49" s="54"/>
      <c r="W49" s="53"/>
      <c r="X49" s="53"/>
      <c r="Y49" s="53"/>
      <c r="Z49" s="57"/>
      <c r="AA49" s="58"/>
      <c r="AB49" s="58"/>
      <c r="AC49" s="59"/>
      <c r="AD49" s="60"/>
      <c r="AE49" s="60"/>
    </row>
    <row r="50" customFormat="false" ht="3" hidden="false" customHeight="true" outlineLevel="0" collapsed="false">
      <c r="A50" s="86" t="str">
        <f aca="false">"5/12/94 thru 6/9/94"</f>
        <v>5/12/94 thru 6/9/94</v>
      </c>
      <c r="B50" s="86"/>
      <c r="C50" s="54"/>
      <c r="D50" s="54"/>
      <c r="E50" s="54"/>
      <c r="F50" s="86"/>
      <c r="G50" s="86"/>
      <c r="H50" s="55"/>
      <c r="I50" s="86"/>
      <c r="J50" s="86"/>
      <c r="K50" s="86"/>
      <c r="L50" s="86"/>
      <c r="M50" s="77"/>
      <c r="N50" s="77"/>
      <c r="O50" s="77"/>
      <c r="P50" s="86"/>
      <c r="Q50" s="86"/>
      <c r="R50" s="86"/>
      <c r="S50" s="54"/>
      <c r="T50" s="86"/>
      <c r="U50" s="86"/>
      <c r="V50" s="54"/>
      <c r="W50" s="86"/>
      <c r="X50" s="86"/>
      <c r="Y50" s="86"/>
      <c r="Z50" s="57"/>
      <c r="AA50" s="58"/>
      <c r="AB50" s="58"/>
      <c r="AC50" s="59"/>
      <c r="AD50" s="90"/>
      <c r="AE50" s="90"/>
    </row>
    <row r="51" customFormat="false" ht="11.1" hidden="false" customHeight="true" outlineLevel="0" collapsed="false">
      <c r="A51" s="86"/>
      <c r="B51" s="57" t="n">
        <f aca="false">B49-B21</f>
        <v>27.5999999999995</v>
      </c>
      <c r="C51" s="54"/>
      <c r="D51" s="54" t="n">
        <f aca="false">C49-C22</f>
        <v>110805</v>
      </c>
      <c r="E51" s="54"/>
      <c r="F51" s="86"/>
      <c r="G51" s="86"/>
      <c r="H51" s="55"/>
      <c r="I51" s="86"/>
      <c r="J51" s="86"/>
      <c r="K51" s="86"/>
      <c r="L51" s="86"/>
      <c r="M51" s="77"/>
      <c r="N51" s="77"/>
      <c r="O51" s="77"/>
      <c r="P51" s="86"/>
      <c r="Q51" s="86"/>
      <c r="R51" s="86"/>
      <c r="S51" s="54"/>
      <c r="T51" s="86"/>
      <c r="U51" s="86"/>
      <c r="V51" s="54"/>
      <c r="W51" s="86"/>
      <c r="X51" s="86"/>
      <c r="Y51" s="86"/>
      <c r="Z51" s="57"/>
      <c r="AA51" s="58"/>
      <c r="AB51" s="58"/>
      <c r="AC51" s="59"/>
      <c r="AD51" s="90"/>
      <c r="AE51" s="90"/>
    </row>
    <row r="52" customFormat="false" ht="11.1" hidden="false" customHeight="true" outlineLevel="0" collapsed="false">
      <c r="A52" s="86"/>
      <c r="B52" s="86"/>
      <c r="C52" s="54"/>
      <c r="D52" s="86"/>
      <c r="E52" s="54"/>
      <c r="F52" s="86"/>
      <c r="G52" s="91"/>
      <c r="H52" s="55"/>
      <c r="I52" s="86"/>
      <c r="J52" s="86"/>
      <c r="K52" s="86"/>
      <c r="L52" s="86"/>
      <c r="M52" s="77"/>
      <c r="N52" s="77"/>
      <c r="O52" s="77"/>
      <c r="P52" s="86"/>
      <c r="Q52" s="86"/>
      <c r="R52" s="86"/>
      <c r="S52" s="54"/>
      <c r="T52" s="86"/>
      <c r="U52" s="86"/>
      <c r="V52" s="54"/>
      <c r="W52" s="86"/>
      <c r="X52" s="86"/>
      <c r="Y52" s="86"/>
      <c r="Z52" s="57"/>
      <c r="AA52" s="58"/>
      <c r="AB52" s="58"/>
      <c r="AC52" s="59"/>
      <c r="AD52" s="90"/>
      <c r="AE52" s="90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62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54</v>
      </c>
      <c r="Q4" s="63" t="s">
        <v>15</v>
      </c>
      <c r="R4" s="63" t="s">
        <v>12</v>
      </c>
      <c r="S4" s="64" t="s">
        <v>14</v>
      </c>
      <c r="T4" s="63" t="s">
        <v>16</v>
      </c>
      <c r="U4" s="63" t="s">
        <v>17</v>
      </c>
      <c r="V4" s="64" t="s">
        <v>18</v>
      </c>
      <c r="W4" s="63" t="s">
        <v>10</v>
      </c>
      <c r="X4" s="63" t="s">
        <v>11</v>
      </c>
      <c r="Y4" s="63" t="s">
        <v>12</v>
      </c>
      <c r="Z4" s="66" t="s">
        <v>19</v>
      </c>
      <c r="AA4" s="67" t="s">
        <v>20</v>
      </c>
      <c r="AB4" s="67" t="s">
        <v>21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63</v>
      </c>
      <c r="B5" s="63" t="s">
        <v>23</v>
      </c>
      <c r="C5" s="64" t="s">
        <v>5</v>
      </c>
      <c r="D5" s="63" t="s">
        <v>24</v>
      </c>
      <c r="E5" s="64" t="s">
        <v>25</v>
      </c>
      <c r="F5" s="63" t="s">
        <v>26</v>
      </c>
      <c r="G5" s="63" t="s">
        <v>27</v>
      </c>
      <c r="H5" s="65" t="s">
        <v>28</v>
      </c>
      <c r="I5" s="63" t="s">
        <v>29</v>
      </c>
      <c r="J5" s="63" t="s">
        <v>29</v>
      </c>
      <c r="K5" s="63" t="s">
        <v>29</v>
      </c>
      <c r="L5" s="63" t="s">
        <v>30</v>
      </c>
      <c r="M5" s="63" t="s">
        <v>31</v>
      </c>
      <c r="N5" s="63" t="s">
        <v>32</v>
      </c>
      <c r="O5" s="63" t="s">
        <v>56</v>
      </c>
      <c r="P5" s="63" t="s">
        <v>57</v>
      </c>
      <c r="Q5" s="63" t="s">
        <v>35</v>
      </c>
      <c r="R5" s="63" t="s">
        <v>14</v>
      </c>
      <c r="S5" s="64" t="s">
        <v>36</v>
      </c>
      <c r="T5" s="63" t="s">
        <v>37</v>
      </c>
      <c r="U5" s="63" t="s">
        <v>38</v>
      </c>
      <c r="V5" s="64" t="s">
        <v>39</v>
      </c>
      <c r="W5" s="63" t="s">
        <v>40</v>
      </c>
      <c r="X5" s="63" t="s">
        <v>40</v>
      </c>
      <c r="Y5" s="63" t="s">
        <v>40</v>
      </c>
      <c r="Z5" s="69"/>
      <c r="AA5" s="67" t="s">
        <v>41</v>
      </c>
      <c r="AB5" s="67" t="s">
        <v>41</v>
      </c>
      <c r="AC5" s="70" t="s">
        <v>63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/>
    </row>
    <row r="7" customFormat="false" ht="11.1" hidden="false" customHeight="true" outlineLevel="0" collapsed="false">
      <c r="A7" s="53" t="s">
        <v>42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43</v>
      </c>
      <c r="B8" s="76" t="n">
        <f aca="false" t="array" ref="B8:C8">FEB!$B$37:$C$37</f>
        <v>6897.44</v>
      </c>
      <c r="C8" s="54" t="n">
        <v>274235</v>
      </c>
      <c r="D8" s="54" t="n">
        <f aca="false" t="array" ref="D8:E8">FEB!$D$46:$E$46</f>
        <v>7672</v>
      </c>
      <c r="E8" s="54" t="n">
        <v>122235</v>
      </c>
      <c r="F8" s="54" t="n">
        <f aca="false" t="array" ref="F8:Z8">FEB!$F$45:$Z$45</f>
        <v>3868.88552697932</v>
      </c>
      <c r="G8" s="54" t="n">
        <v>8707.97259203227</v>
      </c>
      <c r="H8" s="58" t="n">
        <v>0</v>
      </c>
      <c r="I8" s="54" t="n">
        <v>8707.87259203227</v>
      </c>
      <c r="J8" s="54" t="n">
        <v>548.25061522945</v>
      </c>
      <c r="K8" s="54" t="n">
        <v>9256.12320726173</v>
      </c>
      <c r="L8" s="54" t="n">
        <v>402.76293494705</v>
      </c>
      <c r="M8" s="54" t="n">
        <v>622.07</v>
      </c>
      <c r="N8" s="54" t="n">
        <v>0</v>
      </c>
      <c r="O8" s="54" t="n">
        <v>417.57</v>
      </c>
      <c r="P8" s="54" t="n">
        <v>680.36</v>
      </c>
      <c r="Q8" s="54" t="n">
        <v>0</v>
      </c>
      <c r="R8" s="54" t="n">
        <v>1178.43</v>
      </c>
      <c r="S8" s="54" t="n">
        <v>0</v>
      </c>
      <c r="T8" s="54" t="n">
        <v>0</v>
      </c>
      <c r="U8" s="54" t="n">
        <v>3939.32</v>
      </c>
      <c r="V8" s="54" t="n">
        <v>10976.2333148474</v>
      </c>
      <c r="W8" s="54" t="n">
        <v>5241.75</v>
      </c>
      <c r="X8" s="54" t="n">
        <v>145.4876802824</v>
      </c>
      <c r="Y8" s="54" t="n">
        <v>5387.2376802824</v>
      </c>
      <c r="Z8" s="77" t="n">
        <v>7.36</v>
      </c>
      <c r="AA8" s="58"/>
      <c r="AB8" s="58"/>
      <c r="AC8" s="59"/>
      <c r="AD8" s="78" t="n">
        <v>285</v>
      </c>
      <c r="AE8" s="74" t="n">
        <v>251</v>
      </c>
      <c r="AF8" s="78" t="n">
        <v>1207.63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6897.63</v>
      </c>
      <c r="C10" s="54" t="n">
        <v>274922</v>
      </c>
      <c r="D10" s="58" t="n">
        <f aca="false">C10-C8</f>
        <v>687</v>
      </c>
      <c r="E10" s="54" t="n">
        <f aca="false">C10-152000</f>
        <v>122922</v>
      </c>
      <c r="F10" s="53" t="n">
        <f aca="false">D10/$D$2</f>
        <v>346.444780635401</v>
      </c>
      <c r="G10" s="53" t="n">
        <v>120.21</v>
      </c>
      <c r="H10" s="55" t="n">
        <v>10.26</v>
      </c>
      <c r="I10" s="53" t="n">
        <f aca="false">G10+H10</f>
        <v>130.47</v>
      </c>
      <c r="J10" s="77" t="n">
        <f aca="false">IF(L10&gt;0,L10,0)</f>
        <v>257.874780635401</v>
      </c>
      <c r="K10" s="53" t="n">
        <f aca="false">I10+J10</f>
        <v>388.344780635401</v>
      </c>
      <c r="L10" s="53" t="n">
        <f aca="false">F10-(I10-W10)</f>
        <v>257.874780635401</v>
      </c>
      <c r="M10" s="53" t="n">
        <v>4.9</v>
      </c>
      <c r="N10" s="53" t="n">
        <v>0</v>
      </c>
      <c r="O10" s="53" t="n">
        <f aca="false">M10-N10</f>
        <v>4.9</v>
      </c>
      <c r="P10" s="53" t="n">
        <v>0</v>
      </c>
      <c r="Q10" s="53" t="n">
        <v>0</v>
      </c>
      <c r="R10" s="53" t="n">
        <f aca="false">SUM(O10:Q10)</f>
        <v>4.9</v>
      </c>
      <c r="S10" s="54"/>
      <c r="T10" s="53" t="n">
        <v>0</v>
      </c>
      <c r="U10" s="53" t="n">
        <v>37</v>
      </c>
      <c r="V10" s="54" t="n">
        <f aca="false">V8-U10</f>
        <v>10939.2333148474</v>
      </c>
      <c r="W10" s="53" t="n">
        <f aca="false">R10+T10+N10+U10</f>
        <v>41.9</v>
      </c>
      <c r="X10" s="53" t="n">
        <f aca="false">IF(L10&lt;0,L10*-1,0)</f>
        <v>0</v>
      </c>
      <c r="Y10" s="53" t="n">
        <f aca="false">W10+X10</f>
        <v>41.9</v>
      </c>
      <c r="Z10" s="57" t="n">
        <v>1.23</v>
      </c>
      <c r="AA10" s="58" t="n">
        <v>39</v>
      </c>
      <c r="AB10" s="58" t="n">
        <v>36</v>
      </c>
      <c r="AC10" s="59" t="n">
        <v>1</v>
      </c>
      <c r="AD10" s="75" t="n">
        <v>303</v>
      </c>
      <c r="AE10" s="78" t="n">
        <v>273</v>
      </c>
      <c r="AF10" s="75" t="n">
        <v>1256.86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6897.75</v>
      </c>
      <c r="C11" s="54" t="n">
        <v>275356</v>
      </c>
      <c r="D11" s="58" t="n">
        <f aca="false">C11-C10</f>
        <v>434</v>
      </c>
      <c r="E11" s="54" t="n">
        <f aca="false">C11-152000</f>
        <v>123356</v>
      </c>
      <c r="F11" s="53" t="n">
        <f aca="false">D11/$D$2</f>
        <v>218.86031265759</v>
      </c>
      <c r="G11" s="53" t="n">
        <v>125.27</v>
      </c>
      <c r="H11" s="55" t="n">
        <v>10.64</v>
      </c>
      <c r="I11" s="53" t="n">
        <f aca="false">G11+H11</f>
        <v>135.91</v>
      </c>
      <c r="J11" s="77" t="n">
        <f aca="false">IF(L11&gt;0,L11,0)</f>
        <v>126.14031265759</v>
      </c>
      <c r="K11" s="53" t="n">
        <f aca="false">I11+J11</f>
        <v>262.05031265759</v>
      </c>
      <c r="L11" s="53" t="n">
        <f aca="false">F11-(I11-W11)</f>
        <v>126.14031265759</v>
      </c>
      <c r="M11" s="53" t="n">
        <v>4.01</v>
      </c>
      <c r="N11" s="53" t="n">
        <v>0</v>
      </c>
      <c r="O11" s="53" t="n">
        <f aca="false">M11-N11</f>
        <v>4.01</v>
      </c>
      <c r="P11" s="53" t="n">
        <v>0</v>
      </c>
      <c r="Q11" s="53" t="n">
        <v>0</v>
      </c>
      <c r="R11" s="53" t="n">
        <f aca="false">SUM(O11:Q11)</f>
        <v>4.01</v>
      </c>
      <c r="S11" s="54"/>
      <c r="T11" s="53" t="n">
        <v>0</v>
      </c>
      <c r="U11" s="53" t="n">
        <v>39.18</v>
      </c>
      <c r="V11" s="54" t="n">
        <f aca="false">V10-U11</f>
        <v>10900.0533148474</v>
      </c>
      <c r="W11" s="53" t="n">
        <f aca="false">R11+T11+N11+U11</f>
        <v>43.19</v>
      </c>
      <c r="X11" s="53" t="n">
        <f aca="false">IF(L11&lt;0,L11*-1,0)</f>
        <v>0</v>
      </c>
      <c r="Y11" s="53" t="n">
        <f aca="false">W11+X11</f>
        <v>43.19</v>
      </c>
      <c r="Z11" s="57" t="n">
        <v>0.32</v>
      </c>
      <c r="AA11" s="58" t="n">
        <v>45</v>
      </c>
      <c r="AB11" s="58" t="n">
        <v>34</v>
      </c>
      <c r="AC11" s="59" t="n">
        <f aca="false">AC10+1</f>
        <v>2</v>
      </c>
      <c r="AD11" s="75" t="n">
        <v>306</v>
      </c>
      <c r="AE11" s="78" t="n">
        <v>300</v>
      </c>
      <c r="AF11" s="75" t="n">
        <v>1306.42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6897.88</v>
      </c>
      <c r="C12" s="54" t="n">
        <v>275827</v>
      </c>
      <c r="D12" s="58" t="n">
        <f aca="false">C12-C11</f>
        <v>471</v>
      </c>
      <c r="E12" s="54" t="n">
        <f aca="false">C12-152000</f>
        <v>123827</v>
      </c>
      <c r="F12" s="53" t="n">
        <f aca="false">D12/$D$2</f>
        <v>237.518910741301</v>
      </c>
      <c r="G12" s="53" t="n">
        <v>113.48</v>
      </c>
      <c r="H12" s="55" t="n">
        <v>10.59</v>
      </c>
      <c r="I12" s="53" t="n">
        <f aca="false">G12+H12</f>
        <v>124.07</v>
      </c>
      <c r="J12" s="77" t="n">
        <f aca="false">IF(L12&gt;0,L12,0)</f>
        <v>156.108910741301</v>
      </c>
      <c r="K12" s="53" t="n">
        <f aca="false">I12+J12</f>
        <v>280.178910741301</v>
      </c>
      <c r="L12" s="53" t="n">
        <f aca="false">F12-(I12-W12)</f>
        <v>156.108910741301</v>
      </c>
      <c r="M12" s="53" t="n">
        <v>3.72</v>
      </c>
      <c r="N12" s="53" t="n">
        <v>0</v>
      </c>
      <c r="O12" s="53" t="n">
        <f aca="false">M12-N12</f>
        <v>3.72</v>
      </c>
      <c r="P12" s="53" t="n">
        <v>0</v>
      </c>
      <c r="Q12" s="53" t="n">
        <v>0</v>
      </c>
      <c r="R12" s="53" t="n">
        <f aca="false">SUM(O12:Q12)</f>
        <v>3.72</v>
      </c>
      <c r="S12" s="54"/>
      <c r="T12" s="53" t="n">
        <v>0</v>
      </c>
      <c r="U12" s="53" t="n">
        <v>38.94</v>
      </c>
      <c r="V12" s="54" t="n">
        <f aca="false">V11-U12</f>
        <v>10861.1133148474</v>
      </c>
      <c r="W12" s="53" t="n">
        <f aca="false">R12+T12+N12+U12</f>
        <v>42.66</v>
      </c>
      <c r="X12" s="53" t="n">
        <f aca="false">IF(L12&lt;0,L12*-1,0)</f>
        <v>0</v>
      </c>
      <c r="Y12" s="53" t="n">
        <f aca="false">W12+X12</f>
        <v>42.66</v>
      </c>
      <c r="Z12" s="57" t="n">
        <v>0</v>
      </c>
      <c r="AA12" s="58" t="n">
        <v>43</v>
      </c>
      <c r="AB12" s="58" t="n">
        <v>35</v>
      </c>
      <c r="AC12" s="59" t="n">
        <f aca="false">AC11+1</f>
        <v>3</v>
      </c>
      <c r="AD12" s="75" t="n">
        <v>316</v>
      </c>
      <c r="AE12" s="78" t="n">
        <v>341</v>
      </c>
      <c r="AF12" s="75" t="n">
        <v>1355.74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6897.98</v>
      </c>
      <c r="C13" s="54" t="n">
        <v>276188</v>
      </c>
      <c r="D13" s="58" t="n">
        <f aca="false">C13-C12</f>
        <v>361</v>
      </c>
      <c r="E13" s="54" t="n">
        <f aca="false">C13-152000</f>
        <v>124188</v>
      </c>
      <c r="F13" s="53" t="n">
        <f aca="false">D13/$D$2</f>
        <v>182.047402924861</v>
      </c>
      <c r="G13" s="53" t="n">
        <v>111.8</v>
      </c>
      <c r="H13" s="55" t="n">
        <v>11.85</v>
      </c>
      <c r="I13" s="53" t="n">
        <f aca="false">G13+H13</f>
        <v>123.65</v>
      </c>
      <c r="J13" s="77" t="n">
        <f aca="false">IF(L13&gt;0,L13,0)</f>
        <v>101.357402924861</v>
      </c>
      <c r="K13" s="53" t="n">
        <f aca="false">I13+J13</f>
        <v>225.007402924861</v>
      </c>
      <c r="L13" s="53" t="n">
        <f aca="false">F13-(I13-W13)</f>
        <v>101.357402924861</v>
      </c>
      <c r="M13" s="53" t="n">
        <v>3.72</v>
      </c>
      <c r="N13" s="53" t="n">
        <v>0</v>
      </c>
      <c r="O13" s="53" t="n">
        <f aca="false">M13-N13</f>
        <v>3.72</v>
      </c>
      <c r="P13" s="53" t="n">
        <v>0</v>
      </c>
      <c r="Q13" s="53" t="n">
        <v>0</v>
      </c>
      <c r="R13" s="53" t="n">
        <f aca="false">SUM(O13:Q13)</f>
        <v>3.72</v>
      </c>
      <c r="S13" s="54"/>
      <c r="T13" s="53" t="n">
        <v>0</v>
      </c>
      <c r="U13" s="53" t="n">
        <v>39.24</v>
      </c>
      <c r="V13" s="54" t="n">
        <f aca="false">V12-U13</f>
        <v>10821.8733148474</v>
      </c>
      <c r="W13" s="53" t="n">
        <f aca="false">R13+T13+N13+U13</f>
        <v>42.96</v>
      </c>
      <c r="X13" s="53" t="n">
        <f aca="false">IF(L13&lt;0,L13*-1,0)</f>
        <v>0</v>
      </c>
      <c r="Y13" s="53" t="n">
        <f aca="false">W13+X13</f>
        <v>42.96</v>
      </c>
      <c r="Z13" s="57" t="n">
        <v>0.28</v>
      </c>
      <c r="AA13" s="58" t="n">
        <v>44</v>
      </c>
      <c r="AB13" s="58" t="n">
        <v>34</v>
      </c>
      <c r="AC13" s="59" t="n">
        <f aca="false">AC12+1</f>
        <v>4</v>
      </c>
      <c r="AD13" s="75" t="n">
        <v>316</v>
      </c>
      <c r="AE13" s="78" t="n">
        <v>395</v>
      </c>
      <c r="AF13" s="75" t="n">
        <v>1405.31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6898.22</v>
      </c>
      <c r="C14" s="54" t="n">
        <v>277063</v>
      </c>
      <c r="D14" s="58" t="n">
        <f aca="false">C14-C13</f>
        <v>875</v>
      </c>
      <c r="E14" s="54" t="n">
        <f aca="false">C14-152000</f>
        <v>125063</v>
      </c>
      <c r="F14" s="53" t="n">
        <f aca="false">D14/$D$2</f>
        <v>441.250630358043</v>
      </c>
      <c r="G14" s="53" t="n">
        <v>107.78</v>
      </c>
      <c r="H14" s="55" t="n">
        <v>14.16</v>
      </c>
      <c r="I14" s="53" t="n">
        <f aca="false">G14+H14</f>
        <v>121.94</v>
      </c>
      <c r="J14" s="77" t="n">
        <f aca="false">IF(L14&gt;0,L14,0)</f>
        <v>362.610630358043</v>
      </c>
      <c r="K14" s="53" t="n">
        <f aca="false">I14+J14</f>
        <v>484.550630358043</v>
      </c>
      <c r="L14" s="53" t="n">
        <f aca="false">F14-(I14-W14)</f>
        <v>362.610630358043</v>
      </c>
      <c r="M14" s="53" t="n">
        <v>3.72</v>
      </c>
      <c r="N14" s="53" t="n">
        <v>0</v>
      </c>
      <c r="O14" s="53" t="n">
        <f aca="false">M14-N14</f>
        <v>3.72</v>
      </c>
      <c r="P14" s="53" t="n">
        <v>0</v>
      </c>
      <c r="Q14" s="53" t="n">
        <v>0</v>
      </c>
      <c r="R14" s="53" t="n">
        <f aca="false">SUM(O14:Q14)</f>
        <v>3.72</v>
      </c>
      <c r="S14" s="54"/>
      <c r="T14" s="53" t="n">
        <v>0</v>
      </c>
      <c r="U14" s="53" t="n">
        <v>39.58</v>
      </c>
      <c r="V14" s="54" t="n">
        <f aca="false">V13-U14</f>
        <v>10782.2933148474</v>
      </c>
      <c r="W14" s="53" t="n">
        <f aca="false">R14+T14+N14+U14</f>
        <v>43.3</v>
      </c>
      <c r="X14" s="53" t="n">
        <f aca="false">IF(L14&lt;0,L14*-1,0)</f>
        <v>0</v>
      </c>
      <c r="Y14" s="53" t="n">
        <f aca="false">W14+X14</f>
        <v>43.3</v>
      </c>
      <c r="Z14" s="57" t="n">
        <v>0.81</v>
      </c>
      <c r="AA14" s="58" t="n">
        <v>41</v>
      </c>
      <c r="AB14" s="58" t="n">
        <v>34</v>
      </c>
      <c r="AC14" s="59" t="n">
        <f aca="false">AC13+1</f>
        <v>5</v>
      </c>
      <c r="AD14" s="75" t="n">
        <v>316</v>
      </c>
      <c r="AE14" s="78" t="n">
        <v>466</v>
      </c>
      <c r="AF14" s="75" t="n">
        <v>1437.16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6898.23</v>
      </c>
      <c r="C15" s="54" t="n">
        <v>277099</v>
      </c>
      <c r="D15" s="58" t="n">
        <f aca="false">C15-C14</f>
        <v>36</v>
      </c>
      <c r="E15" s="54" t="n">
        <f aca="false">C15-152000</f>
        <v>125099</v>
      </c>
      <c r="F15" s="53" t="n">
        <f aca="false">D15/$D$2</f>
        <v>18.1543116490166</v>
      </c>
      <c r="G15" s="53" t="n">
        <v>122.65</v>
      </c>
      <c r="H15" s="55" t="n">
        <v>30.51</v>
      </c>
      <c r="I15" s="53" t="n">
        <f aca="false">G15+H15</f>
        <v>153.16</v>
      </c>
      <c r="J15" s="77" t="n">
        <f aca="false">IF(L15&gt;0,L15,0)</f>
        <v>0</v>
      </c>
      <c r="K15" s="53" t="n">
        <f aca="false">I15+J15</f>
        <v>153.16</v>
      </c>
      <c r="L15" s="53" t="n">
        <f aca="false">F15-(I15-W15)</f>
        <v>-91.5756883509834</v>
      </c>
      <c r="M15" s="53" t="n">
        <v>3.43</v>
      </c>
      <c r="N15" s="53" t="n">
        <v>0</v>
      </c>
      <c r="O15" s="53" t="n">
        <f aca="false">M15-N15</f>
        <v>3.43</v>
      </c>
      <c r="P15" s="53" t="n">
        <v>0</v>
      </c>
      <c r="Q15" s="53" t="n">
        <v>0</v>
      </c>
      <c r="R15" s="53" t="n">
        <f aca="false">SUM(O15:Q15)</f>
        <v>3.43</v>
      </c>
      <c r="S15" s="54"/>
      <c r="T15" s="53" t="n">
        <v>0</v>
      </c>
      <c r="U15" s="53" t="n">
        <v>40</v>
      </c>
      <c r="V15" s="54" t="n">
        <f aca="false">V14-U15</f>
        <v>10742.2933148474</v>
      </c>
      <c r="W15" s="53" t="n">
        <f aca="false">R15+T15+N15+U15</f>
        <v>43.43</v>
      </c>
      <c r="X15" s="53" t="n">
        <f aca="false">IF(L15&lt;0,L15*-1,0)</f>
        <v>91.5756883509834</v>
      </c>
      <c r="Y15" s="53" t="n">
        <f aca="false">W15+X15</f>
        <v>135.005688350983</v>
      </c>
      <c r="Z15" s="57" t="n">
        <v>0</v>
      </c>
      <c r="AA15" s="58" t="n">
        <v>35</v>
      </c>
      <c r="AB15" s="58" t="n">
        <v>33</v>
      </c>
      <c r="AC15" s="59" t="n">
        <f aca="false">AC14+1</f>
        <v>6</v>
      </c>
      <c r="AD15" s="74" t="n">
        <v>325</v>
      </c>
      <c r="AE15" s="78" t="n">
        <v>538</v>
      </c>
      <c r="AF15" s="75" t="n">
        <v>1467.01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6898.4</v>
      </c>
      <c r="C16" s="54" t="n">
        <v>277719</v>
      </c>
      <c r="D16" s="58" t="n">
        <f aca="false">C16-C15</f>
        <v>620</v>
      </c>
      <c r="E16" s="54" t="n">
        <f aca="false">C16-152000</f>
        <v>125719</v>
      </c>
      <c r="F16" s="53" t="n">
        <f aca="false">D16/$D$2</f>
        <v>312.657589510842</v>
      </c>
      <c r="G16" s="53" t="n">
        <v>103.27</v>
      </c>
      <c r="H16" s="55" t="n">
        <v>45.62</v>
      </c>
      <c r="I16" s="53" t="n">
        <f aca="false">G16+H16</f>
        <v>148.89</v>
      </c>
      <c r="J16" s="77" t="n">
        <f aca="false">IF(L16&gt;0,L16,0)</f>
        <v>206.447589510842</v>
      </c>
      <c r="K16" s="53" t="n">
        <f aca="false">I16+J16</f>
        <v>355.337589510842</v>
      </c>
      <c r="L16" s="53" t="n">
        <f aca="false">F16-(I16-W16)</f>
        <v>206.447589510842</v>
      </c>
      <c r="M16" s="53" t="n">
        <v>3.08</v>
      </c>
      <c r="N16" s="53" t="n">
        <v>0</v>
      </c>
      <c r="O16" s="53" t="n">
        <f aca="false">M16-N16</f>
        <v>3.08</v>
      </c>
      <c r="P16" s="53" t="n">
        <v>0</v>
      </c>
      <c r="Q16" s="53" t="n">
        <v>0</v>
      </c>
      <c r="R16" s="53" t="n">
        <f aca="false">SUM(O16:Q16)</f>
        <v>3.08</v>
      </c>
      <c r="S16" s="54"/>
      <c r="T16" s="53" t="n">
        <v>0</v>
      </c>
      <c r="U16" s="53" t="n">
        <v>39.6</v>
      </c>
      <c r="V16" s="54" t="n">
        <f aca="false">V15-U16</f>
        <v>10702.6933148474</v>
      </c>
      <c r="W16" s="53" t="n">
        <f aca="false">R16+T16+N16+U16</f>
        <v>42.68</v>
      </c>
      <c r="X16" s="53" t="n">
        <f aca="false">IF(L16&lt;0,L16*-1,0)</f>
        <v>0</v>
      </c>
      <c r="Y16" s="53" t="n">
        <f aca="false">W16+X16</f>
        <v>42.68</v>
      </c>
      <c r="Z16" s="57" t="n">
        <v>0</v>
      </c>
      <c r="AA16" s="58" t="n">
        <v>41</v>
      </c>
      <c r="AB16" s="58" t="n">
        <v>32</v>
      </c>
      <c r="AC16" s="59" t="n">
        <f aca="false">AC15+1</f>
        <v>7</v>
      </c>
      <c r="AD16" s="74" t="n">
        <v>342</v>
      </c>
      <c r="AE16" s="78" t="n">
        <v>618</v>
      </c>
      <c r="AF16" s="75" t="n">
        <v>1496.64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6898.48</v>
      </c>
      <c r="C17" s="54" t="n">
        <v>278011</v>
      </c>
      <c r="D17" s="58" t="n">
        <f aca="false">C17-C16</f>
        <v>292</v>
      </c>
      <c r="E17" s="54" t="n">
        <f aca="false">C17-152000</f>
        <v>126011</v>
      </c>
      <c r="F17" s="53" t="n">
        <f aca="false">D17/$D$2</f>
        <v>147.251638930913</v>
      </c>
      <c r="G17" s="53" t="n">
        <v>88.31</v>
      </c>
      <c r="H17" s="55" t="n">
        <v>33.14</v>
      </c>
      <c r="I17" s="53" t="n">
        <f aca="false">G17+H17</f>
        <v>121.45</v>
      </c>
      <c r="J17" s="77" t="n">
        <f aca="false">IF(L17&gt;0,L17,0)</f>
        <v>67.6816389309127</v>
      </c>
      <c r="K17" s="53" t="n">
        <f aca="false">I17+J17</f>
        <v>189.131638930913</v>
      </c>
      <c r="L17" s="53" t="n">
        <f aca="false">F17-(I17-W17)</f>
        <v>67.6816389309127</v>
      </c>
      <c r="M17" s="53" t="n">
        <v>3.08</v>
      </c>
      <c r="N17" s="53" t="n">
        <v>0</v>
      </c>
      <c r="O17" s="53" t="n">
        <f aca="false">M17-N17</f>
        <v>3.08</v>
      </c>
      <c r="P17" s="53" t="n">
        <v>0</v>
      </c>
      <c r="Q17" s="53" t="n">
        <v>0</v>
      </c>
      <c r="R17" s="53" t="n">
        <f aca="false">SUM(O17:Q17)</f>
        <v>3.08</v>
      </c>
      <c r="S17" s="54"/>
      <c r="T17" s="53" t="n">
        <v>0</v>
      </c>
      <c r="U17" s="53" t="n">
        <v>38.8</v>
      </c>
      <c r="V17" s="54" t="n">
        <f aca="false">V16-U17</f>
        <v>10663.8933148474</v>
      </c>
      <c r="W17" s="53" t="n">
        <f aca="false">R17+T17+N17+U17</f>
        <v>41.88</v>
      </c>
      <c r="X17" s="53" t="n">
        <f aca="false">IF(L17&lt;0,L17*-1,0)</f>
        <v>0</v>
      </c>
      <c r="Y17" s="53" t="n">
        <f aca="false">W17+X17</f>
        <v>41.88</v>
      </c>
      <c r="Z17" s="57" t="n">
        <v>0</v>
      </c>
      <c r="AA17" s="58" t="n">
        <v>52</v>
      </c>
      <c r="AB17" s="58" t="n">
        <v>15</v>
      </c>
      <c r="AC17" s="59" t="n">
        <f aca="false">AC16+1</f>
        <v>8</v>
      </c>
      <c r="AD17" s="74" t="n">
        <v>367</v>
      </c>
      <c r="AE17" s="78" t="n">
        <v>704</v>
      </c>
      <c r="AF17" s="75" t="n">
        <v>1526.51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6898.59</v>
      </c>
      <c r="C18" s="54" t="n">
        <v>278412</v>
      </c>
      <c r="D18" s="58" t="n">
        <f aca="false">C18-C17</f>
        <v>401</v>
      </c>
      <c r="E18" s="54" t="n">
        <f aca="false">C18-152000</f>
        <v>126412</v>
      </c>
      <c r="F18" s="53" t="n">
        <f aca="false">D18/$D$2</f>
        <v>202.218860312658</v>
      </c>
      <c r="G18" s="53" t="n">
        <v>91</v>
      </c>
      <c r="H18" s="55" t="n">
        <v>24.44</v>
      </c>
      <c r="I18" s="53" t="n">
        <f aca="false">G18+H18</f>
        <v>115.44</v>
      </c>
      <c r="J18" s="77" t="n">
        <f aca="false">IF(L18&gt;0,L18,0)</f>
        <v>128.658860312658</v>
      </c>
      <c r="K18" s="53" t="n">
        <f aca="false">I18+J18</f>
        <v>244.098860312658</v>
      </c>
      <c r="L18" s="53" t="n">
        <f aca="false">F18-(I18-W18)</f>
        <v>128.658860312658</v>
      </c>
      <c r="M18" s="53" t="n">
        <v>3.08</v>
      </c>
      <c r="N18" s="53" t="n">
        <v>0</v>
      </c>
      <c r="O18" s="53" t="n">
        <f aca="false">M18-N18</f>
        <v>3.08</v>
      </c>
      <c r="P18" s="53" t="n">
        <v>0</v>
      </c>
      <c r="Q18" s="53" t="n">
        <v>0</v>
      </c>
      <c r="R18" s="53" t="n">
        <f aca="false">SUM(O18:Q18)</f>
        <v>3.08</v>
      </c>
      <c r="S18" s="54"/>
      <c r="T18" s="53" t="n">
        <v>0</v>
      </c>
      <c r="U18" s="53" t="n">
        <v>38.8</v>
      </c>
      <c r="V18" s="54" t="n">
        <f aca="false">V17-U18</f>
        <v>10625.0933148474</v>
      </c>
      <c r="W18" s="53" t="n">
        <f aca="false">R18+T18+N18+U18</f>
        <v>41.88</v>
      </c>
      <c r="X18" s="53" t="n">
        <f aca="false">IF(L18&lt;0,L18*-1,0)</f>
        <v>0</v>
      </c>
      <c r="Y18" s="53" t="n">
        <f aca="false">W18+X18</f>
        <v>41.88</v>
      </c>
      <c r="Z18" s="57" t="n">
        <v>0</v>
      </c>
      <c r="AA18" s="86" t="n">
        <v>59</v>
      </c>
      <c r="AB18" s="58" t="n">
        <v>22</v>
      </c>
      <c r="AC18" s="59" t="n">
        <f aca="false">AC17+1</f>
        <v>9</v>
      </c>
      <c r="AD18" s="74" t="n">
        <v>390</v>
      </c>
      <c r="AE18" s="78" t="n">
        <v>805</v>
      </c>
      <c r="AF18" s="75" t="n">
        <v>1561.24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6898.68</v>
      </c>
      <c r="C19" s="54" t="n">
        <v>278740</v>
      </c>
      <c r="D19" s="58" t="n">
        <f aca="false">C19-C18</f>
        <v>328</v>
      </c>
      <c r="E19" s="54" t="n">
        <f aca="false">C19-152000</f>
        <v>126740</v>
      </c>
      <c r="F19" s="53" t="n">
        <f aca="false">D19/$D$2</f>
        <v>165.405950579929</v>
      </c>
      <c r="G19" s="53" t="n">
        <v>97.96</v>
      </c>
      <c r="H19" s="55" t="n">
        <v>26.91</v>
      </c>
      <c r="I19" s="53" t="n">
        <f aca="false">G19+H19</f>
        <v>124.87</v>
      </c>
      <c r="J19" s="77" t="n">
        <f aca="false">IF(L19&gt;0,L19,0)</f>
        <v>82.4159505799294</v>
      </c>
      <c r="K19" s="53" t="n">
        <f aca="false">I19+J19</f>
        <v>207.285950579929</v>
      </c>
      <c r="L19" s="53" t="n">
        <f aca="false">F19-(I19-W19)</f>
        <v>82.4159505799294</v>
      </c>
      <c r="M19" s="53" t="n">
        <v>3.08</v>
      </c>
      <c r="N19" s="53" t="n">
        <v>0</v>
      </c>
      <c r="O19" s="53" t="n">
        <f aca="false">M19-N19</f>
        <v>3.08</v>
      </c>
      <c r="P19" s="53" t="n">
        <v>0</v>
      </c>
      <c r="Q19" s="53" t="n">
        <v>0</v>
      </c>
      <c r="R19" s="53" t="n">
        <f aca="false">SUM(O19:Q19)</f>
        <v>3.08</v>
      </c>
      <c r="S19" s="54"/>
      <c r="T19" s="53" t="n">
        <v>0</v>
      </c>
      <c r="U19" s="53" t="n">
        <v>38.8</v>
      </c>
      <c r="V19" s="54" t="n">
        <f aca="false">V18-U19</f>
        <v>10586.2933148474</v>
      </c>
      <c r="W19" s="53" t="n">
        <f aca="false">R19+T19+N19+U19</f>
        <v>41.88</v>
      </c>
      <c r="X19" s="53" t="n">
        <f aca="false">IF(L19&lt;0,L19*-1,0)</f>
        <v>0</v>
      </c>
      <c r="Y19" s="53" t="n">
        <f aca="false">W19+X19</f>
        <v>41.88</v>
      </c>
      <c r="Z19" s="57" t="n">
        <v>0</v>
      </c>
      <c r="AA19" s="58" t="n">
        <v>62</v>
      </c>
      <c r="AB19" s="58" t="n">
        <v>27</v>
      </c>
      <c r="AC19" s="59" t="n">
        <f aca="false">AC18+1</f>
        <v>10</v>
      </c>
      <c r="AD19" s="74" t="n">
        <v>437</v>
      </c>
      <c r="AE19" s="78" t="n">
        <v>920</v>
      </c>
      <c r="AF19" s="75" t="n">
        <v>1600.39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6898.97</v>
      </c>
      <c r="C20" s="54" t="n">
        <v>279797</v>
      </c>
      <c r="D20" s="58" t="n">
        <f aca="false">C20-C19</f>
        <v>1057</v>
      </c>
      <c r="E20" s="54" t="n">
        <f aca="false">C20-152000</f>
        <v>127797</v>
      </c>
      <c r="F20" s="53" t="n">
        <f aca="false">D20/$D$2</f>
        <v>533.030761472516</v>
      </c>
      <c r="G20" s="53" t="n">
        <v>142.93</v>
      </c>
      <c r="H20" s="55" t="n">
        <v>40.65</v>
      </c>
      <c r="I20" s="53" t="n">
        <f aca="false">G20+H20</f>
        <v>183.58</v>
      </c>
      <c r="J20" s="77" t="n">
        <f aca="false">IF(L20&gt;0,L20,0)</f>
        <v>391.690761472516</v>
      </c>
      <c r="K20" s="53" t="n">
        <f aca="false">I20+J20</f>
        <v>575.270761472516</v>
      </c>
      <c r="L20" s="53" t="n">
        <f aca="false">F20-(I20-W20)</f>
        <v>391.690761472516</v>
      </c>
      <c r="M20" s="53" t="n">
        <v>3.08</v>
      </c>
      <c r="N20" s="53" t="n">
        <v>0</v>
      </c>
      <c r="O20" s="53" t="n">
        <f aca="false">M20-N20</f>
        <v>3.08</v>
      </c>
      <c r="P20" s="53" t="n">
        <v>0</v>
      </c>
      <c r="Q20" s="53" t="n">
        <v>0</v>
      </c>
      <c r="R20" s="53" t="n">
        <f aca="false">SUM(O20:Q20)</f>
        <v>3.08</v>
      </c>
      <c r="S20" s="54"/>
      <c r="T20" s="53" t="n">
        <v>0</v>
      </c>
      <c r="U20" s="53" t="n">
        <v>39.16</v>
      </c>
      <c r="V20" s="54" t="n">
        <f aca="false">V19-U20</f>
        <v>10547.1333148474</v>
      </c>
      <c r="W20" s="53" t="n">
        <f aca="false">R20+T20+N20+U20</f>
        <v>42.24</v>
      </c>
      <c r="X20" s="53" t="n">
        <f aca="false">IF(L20&lt;0,L20*-1,0)</f>
        <v>0</v>
      </c>
      <c r="Y20" s="53" t="n">
        <f aca="false">W20+X20</f>
        <v>42.24</v>
      </c>
      <c r="Z20" s="57" t="n">
        <v>0.4</v>
      </c>
      <c r="AA20" s="58" t="n">
        <v>53</v>
      </c>
      <c r="AB20" s="58" t="n">
        <v>28</v>
      </c>
      <c r="AC20" s="59" t="n">
        <f aca="false">AC19+1</f>
        <v>11</v>
      </c>
      <c r="AD20" s="74" t="n">
        <v>498</v>
      </c>
      <c r="AE20" s="78" t="n">
        <v>1048</v>
      </c>
      <c r="AF20" s="75" t="n">
        <v>1642</v>
      </c>
    </row>
    <row r="21" customFormat="false" ht="11.1" hidden="false" customHeight="true" outlineLevel="0" collapsed="false">
      <c r="A21" s="59" t="n">
        <f aca="false">A20+1</f>
        <v>12</v>
      </c>
      <c r="B21" s="76" t="n">
        <v>6899.32</v>
      </c>
      <c r="C21" s="54" t="n">
        <v>281082</v>
      </c>
      <c r="D21" s="58" t="n">
        <f aca="false">C21-C20</f>
        <v>1285</v>
      </c>
      <c r="E21" s="54" t="n">
        <f aca="false">C21-152000</f>
        <v>129082</v>
      </c>
      <c r="F21" s="53" t="n">
        <f aca="false">D21/$D$2</f>
        <v>648.008068582955</v>
      </c>
      <c r="G21" s="53" t="n">
        <v>204.24</v>
      </c>
      <c r="H21" s="55" t="n">
        <v>80.98</v>
      </c>
      <c r="I21" s="53" t="n">
        <f aca="false">G21+H21</f>
        <v>285.22</v>
      </c>
      <c r="J21" s="77" t="n">
        <f aca="false">IF(L21&gt;0,L21,0)</f>
        <v>404.838068582955</v>
      </c>
      <c r="K21" s="53" t="n">
        <f aca="false">I21+J21</f>
        <v>690.058068582955</v>
      </c>
      <c r="L21" s="53" t="n">
        <f aca="false">F21-(I21-W21)</f>
        <v>404.838068582955</v>
      </c>
      <c r="M21" s="53" t="n">
        <v>3.08</v>
      </c>
      <c r="N21" s="53" t="n">
        <v>0</v>
      </c>
      <c r="O21" s="53" t="n">
        <f aca="false">M21-N21</f>
        <v>3.08</v>
      </c>
      <c r="P21" s="53" t="n">
        <v>0</v>
      </c>
      <c r="Q21" s="53" t="n">
        <v>0</v>
      </c>
      <c r="R21" s="53" t="n">
        <f aca="false">SUM(O21:Q21)</f>
        <v>3.08</v>
      </c>
      <c r="S21" s="54"/>
      <c r="T21" s="53" t="n">
        <v>0</v>
      </c>
      <c r="U21" s="53" t="n">
        <v>38.97</v>
      </c>
      <c r="V21" s="54" t="n">
        <f aca="false">V20-U21</f>
        <v>10508.1633148474</v>
      </c>
      <c r="W21" s="53" t="n">
        <f aca="false">R21+T21+N21+U21</f>
        <v>42.05</v>
      </c>
      <c r="X21" s="53" t="n">
        <f aca="false">IF(L21&lt;0,L21*-1,0)</f>
        <v>0</v>
      </c>
      <c r="Y21" s="53" t="n">
        <f aca="false">W21+X21</f>
        <v>42.05</v>
      </c>
      <c r="Z21" s="57" t="n">
        <v>0.08</v>
      </c>
      <c r="AA21" s="58" t="n">
        <v>51</v>
      </c>
      <c r="AB21" s="58" t="n">
        <v>40</v>
      </c>
      <c r="AC21" s="59" t="n">
        <f aca="false">AC20+1</f>
        <v>12</v>
      </c>
      <c r="AD21" s="74" t="n">
        <v>572</v>
      </c>
      <c r="AE21" s="78" t="n">
        <v>1182</v>
      </c>
      <c r="AF21" s="75" t="n">
        <v>1683.42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6899.6</v>
      </c>
      <c r="C22" s="54" t="n">
        <v>282110</v>
      </c>
      <c r="D22" s="58" t="n">
        <f aca="false">C22-C21</f>
        <v>1028</v>
      </c>
      <c r="E22" s="54" t="n">
        <f aca="false">C22-152000</f>
        <v>130110</v>
      </c>
      <c r="F22" s="53" t="n">
        <f aca="false">D22/$D$2</f>
        <v>518.406454866364</v>
      </c>
      <c r="G22" s="53" t="n">
        <v>172.78</v>
      </c>
      <c r="H22" s="55" t="n">
        <v>71.23</v>
      </c>
      <c r="I22" s="53" t="n">
        <f aca="false">G22+H22</f>
        <v>244.01</v>
      </c>
      <c r="J22" s="77" t="n">
        <f aca="false">IF(L22&gt;0,L22,0)</f>
        <v>319.046454866364</v>
      </c>
      <c r="K22" s="53" t="n">
        <f aca="false">I22+J22</f>
        <v>563.056454866364</v>
      </c>
      <c r="L22" s="53" t="n">
        <f aca="false">F22-(I22-W22)</f>
        <v>319.046454866364</v>
      </c>
      <c r="M22" s="53" t="n">
        <v>3.08</v>
      </c>
      <c r="N22" s="53" t="n">
        <v>0</v>
      </c>
      <c r="O22" s="53" t="n">
        <f aca="false">M22-N22</f>
        <v>3.08</v>
      </c>
      <c r="P22" s="53" t="n">
        <v>0</v>
      </c>
      <c r="Q22" s="53" t="n">
        <v>0</v>
      </c>
      <c r="R22" s="53" t="n">
        <f aca="false">SUM(O22:Q22)</f>
        <v>3.08</v>
      </c>
      <c r="S22" s="54"/>
      <c r="T22" s="53" t="n">
        <v>0</v>
      </c>
      <c r="U22" s="53" t="n">
        <v>41.57</v>
      </c>
      <c r="V22" s="54" t="n">
        <f aca="false">V21-U22</f>
        <v>10466.5933148474</v>
      </c>
      <c r="W22" s="53" t="n">
        <f aca="false">R22+T22+N22+U22</f>
        <v>44.65</v>
      </c>
      <c r="X22" s="53" t="n">
        <f aca="false">IF(L22&lt;0,L22*-1,0)</f>
        <v>0</v>
      </c>
      <c r="Y22" s="53" t="n">
        <f aca="false">W22+X22</f>
        <v>44.65</v>
      </c>
      <c r="Z22" s="57" t="n">
        <v>0</v>
      </c>
      <c r="AA22" s="58" t="n">
        <v>53</v>
      </c>
      <c r="AB22" s="58" t="n">
        <v>29</v>
      </c>
      <c r="AC22" s="59" t="n">
        <f aca="false">AC21+1</f>
        <v>13</v>
      </c>
      <c r="AD22" s="74" t="n">
        <v>716</v>
      </c>
      <c r="AE22" s="78" t="n">
        <v>1339</v>
      </c>
      <c r="AF22" s="75" t="n">
        <v>1725.1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6899.9</v>
      </c>
      <c r="C23" s="54" t="n">
        <v>283212</v>
      </c>
      <c r="D23" s="58" t="n">
        <f aca="false">C23-C22</f>
        <v>1102</v>
      </c>
      <c r="E23" s="54" t="n">
        <f aca="false">C23-152000</f>
        <v>131212</v>
      </c>
      <c r="F23" s="53" t="n">
        <f aca="false">D23/$D$2</f>
        <v>555.723651033787</v>
      </c>
      <c r="G23" s="53" t="n">
        <v>175.92</v>
      </c>
      <c r="H23" s="55" t="n">
        <v>78.85</v>
      </c>
      <c r="I23" s="53" t="n">
        <f aca="false">G23+H23</f>
        <v>254.77</v>
      </c>
      <c r="J23" s="77" t="n">
        <f aca="false">IF(L23&gt;0,L23,0)</f>
        <v>347.733651033787</v>
      </c>
      <c r="K23" s="53" t="n">
        <f aca="false">I23+J23</f>
        <v>602.503651033787</v>
      </c>
      <c r="L23" s="53" t="n">
        <f aca="false">F23-(I23-W23)</f>
        <v>347.733651033787</v>
      </c>
      <c r="M23" s="53" t="n">
        <v>3.08</v>
      </c>
      <c r="N23" s="53" t="n">
        <v>0</v>
      </c>
      <c r="O23" s="53" t="n">
        <f aca="false">M23-N23</f>
        <v>3.08</v>
      </c>
      <c r="P23" s="53" t="n">
        <v>0</v>
      </c>
      <c r="Q23" s="53" t="n">
        <v>0</v>
      </c>
      <c r="R23" s="53" t="n">
        <f aca="false">SUM(O23:Q23)</f>
        <v>3.08</v>
      </c>
      <c r="S23" s="54"/>
      <c r="T23" s="53" t="n">
        <v>0</v>
      </c>
      <c r="U23" s="53" t="n">
        <v>43.7</v>
      </c>
      <c r="V23" s="54" t="n">
        <f aca="false">V22-U23</f>
        <v>10422.8933148474</v>
      </c>
      <c r="W23" s="53" t="n">
        <f aca="false">R23+T23+N23+U23</f>
        <v>46.78</v>
      </c>
      <c r="X23" s="53" t="n">
        <f aca="false">IF(L23&lt;0,L23*-1,0)</f>
        <v>0</v>
      </c>
      <c r="Y23" s="53" t="n">
        <f aca="false">W23+X23</f>
        <v>46.78</v>
      </c>
      <c r="Z23" s="57" t="n">
        <v>0</v>
      </c>
      <c r="AA23" s="86" t="n">
        <v>64</v>
      </c>
      <c r="AB23" s="58" t="n">
        <v>28</v>
      </c>
      <c r="AC23" s="59" t="n">
        <f aca="false">AC22+1</f>
        <v>14</v>
      </c>
      <c r="AD23" s="74" t="n">
        <v>901</v>
      </c>
      <c r="AE23" s="78" t="n">
        <v>1500</v>
      </c>
      <c r="AF23" s="75" t="n">
        <v>1766.22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6900.31</v>
      </c>
      <c r="C24" s="54" t="n">
        <v>284727</v>
      </c>
      <c r="D24" s="58" t="n">
        <f aca="false">C24-C23</f>
        <v>1515</v>
      </c>
      <c r="E24" s="54" t="n">
        <f aca="false">C24-152000</f>
        <v>132727</v>
      </c>
      <c r="F24" s="53" t="n">
        <f aca="false">D24/$D$2</f>
        <v>763.993948562784</v>
      </c>
      <c r="G24" s="53" t="n">
        <v>224.78</v>
      </c>
      <c r="H24" s="55" t="n">
        <v>104.8</v>
      </c>
      <c r="I24" s="53" t="n">
        <f aca="false">G24+H24</f>
        <v>329.58</v>
      </c>
      <c r="J24" s="77" t="n">
        <f aca="false">IF(L24&gt;0,L24,0)</f>
        <v>483.113948562784</v>
      </c>
      <c r="K24" s="53" t="n">
        <f aca="false">I24+J24</f>
        <v>812.693948562784</v>
      </c>
      <c r="L24" s="53" t="n">
        <f aca="false">F24-(I24-W24)</f>
        <v>483.113948562784</v>
      </c>
      <c r="M24" s="53" t="n">
        <v>5</v>
      </c>
      <c r="N24" s="53" t="n">
        <v>0</v>
      </c>
      <c r="O24" s="53" t="n">
        <f aca="false">M24-N24</f>
        <v>5</v>
      </c>
      <c r="P24" s="53" t="n">
        <v>0</v>
      </c>
      <c r="Q24" s="53" t="n">
        <v>0</v>
      </c>
      <c r="R24" s="53" t="n">
        <f aca="false">SUM(O24:Q24)</f>
        <v>5</v>
      </c>
      <c r="S24" s="54"/>
      <c r="T24" s="53" t="n">
        <v>0</v>
      </c>
      <c r="U24" s="53" t="n">
        <v>43.7</v>
      </c>
      <c r="V24" s="54" t="n">
        <f aca="false">V23-U24</f>
        <v>10379.1933148474</v>
      </c>
      <c r="W24" s="53" t="n">
        <f aca="false">R24+T24+N24+U24</f>
        <v>48.7</v>
      </c>
      <c r="X24" s="53" t="n">
        <f aca="false">IF(L24&lt;0,L24*-1,0)</f>
        <v>0</v>
      </c>
      <c r="Y24" s="53" t="n">
        <f aca="false">W24+X24</f>
        <v>48.7</v>
      </c>
      <c r="Z24" s="57" t="n">
        <v>0</v>
      </c>
      <c r="AA24" s="86" t="n">
        <v>63</v>
      </c>
      <c r="AB24" s="58" t="n">
        <v>28</v>
      </c>
      <c r="AC24" s="59" t="n">
        <f aca="false">AC23+1</f>
        <v>15</v>
      </c>
      <c r="AD24" s="74" t="n">
        <v>1075</v>
      </c>
      <c r="AE24" s="78" t="n">
        <v>1662</v>
      </c>
      <c r="AF24" s="75" t="n">
        <v>1807.54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6900.86</v>
      </c>
      <c r="C25" s="54" t="n">
        <v>286764</v>
      </c>
      <c r="D25" s="58" t="n">
        <f aca="false">C25-C24</f>
        <v>2037</v>
      </c>
      <c r="E25" s="54" t="n">
        <f aca="false">C25-152000</f>
        <v>134764</v>
      </c>
      <c r="F25" s="53" t="n">
        <f aca="false">D25/$D$2</f>
        <v>1027.23146747352</v>
      </c>
      <c r="G25" s="53" t="n">
        <v>284.15</v>
      </c>
      <c r="H25" s="55" t="n">
        <v>126.83</v>
      </c>
      <c r="I25" s="53" t="n">
        <f aca="false">G25+H25</f>
        <v>410.98</v>
      </c>
      <c r="J25" s="77" t="n">
        <f aca="false">IF(L25&gt;0,L25,0)</f>
        <v>665.451467473525</v>
      </c>
      <c r="K25" s="53" t="n">
        <f aca="false">I25+J25</f>
        <v>1076.43146747353</v>
      </c>
      <c r="L25" s="53" t="n">
        <f aca="false">F25-(I25-W25)</f>
        <v>665.451467473525</v>
      </c>
      <c r="M25" s="53" t="n">
        <v>5.5</v>
      </c>
      <c r="N25" s="53" t="n">
        <v>0</v>
      </c>
      <c r="O25" s="53" t="n">
        <f aca="false">M25-N25</f>
        <v>5.5</v>
      </c>
      <c r="P25" s="53" t="n">
        <v>0</v>
      </c>
      <c r="Q25" s="53" t="n">
        <v>0</v>
      </c>
      <c r="R25" s="53" t="n">
        <f aca="false">SUM(O25:Q25)</f>
        <v>5.5</v>
      </c>
      <c r="S25" s="54"/>
      <c r="T25" s="53" t="n">
        <v>0</v>
      </c>
      <c r="U25" s="53" t="n">
        <v>43.7</v>
      </c>
      <c r="V25" s="54" t="n">
        <f aca="false">V24-U25</f>
        <v>10335.4933148474</v>
      </c>
      <c r="W25" s="53" t="n">
        <f aca="false">R25+T25+N25+U25</f>
        <v>49.2</v>
      </c>
      <c r="X25" s="53" t="n">
        <f aca="false">IF(L25&lt;0,L25*-1,0)</f>
        <v>0</v>
      </c>
      <c r="Y25" s="53" t="n">
        <f aca="false">W25+X25</f>
        <v>49.2</v>
      </c>
      <c r="Z25" s="57" t="n">
        <v>0</v>
      </c>
      <c r="AA25" s="86" t="n">
        <v>65</v>
      </c>
      <c r="AB25" s="58" t="n">
        <v>34</v>
      </c>
      <c r="AC25" s="59" t="n">
        <f aca="false">AC24+1</f>
        <v>16</v>
      </c>
      <c r="AD25" s="74" t="n">
        <v>1313</v>
      </c>
      <c r="AE25" s="87" t="n">
        <v>1828</v>
      </c>
      <c r="AF25" s="75" t="n">
        <v>1858.73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6901.4</v>
      </c>
      <c r="C26" s="54" t="n">
        <v>288775</v>
      </c>
      <c r="D26" s="58" t="n">
        <f aca="false">C26-C25</f>
        <v>2011</v>
      </c>
      <c r="E26" s="54" t="n">
        <f aca="false">C26-152000</f>
        <v>136775</v>
      </c>
      <c r="F26" s="53" t="n">
        <f aca="false">D26/$D$2</f>
        <v>1014.12002017146</v>
      </c>
      <c r="G26" s="53" t="n">
        <v>333.86</v>
      </c>
      <c r="H26" s="55" t="n">
        <v>141.98</v>
      </c>
      <c r="I26" s="53" t="n">
        <f aca="false">G26+H26</f>
        <v>475.84</v>
      </c>
      <c r="J26" s="77" t="n">
        <f aca="false">IF(L26&gt;0,L26,0)</f>
        <v>583.450020171457</v>
      </c>
      <c r="K26" s="53" t="n">
        <f aca="false">I26+J26</f>
        <v>1059.29002017146</v>
      </c>
      <c r="L26" s="53" t="n">
        <f aca="false">F26-(I26-W26)</f>
        <v>583.450020171457</v>
      </c>
      <c r="M26" s="53" t="n">
        <v>4.46</v>
      </c>
      <c r="N26" s="53" t="n">
        <v>0</v>
      </c>
      <c r="O26" s="53" t="n">
        <f aca="false">M26-N26</f>
        <v>4.46</v>
      </c>
      <c r="P26" s="53" t="n">
        <v>0</v>
      </c>
      <c r="Q26" s="53" t="n">
        <v>0</v>
      </c>
      <c r="R26" s="53" t="n">
        <f aca="false">SUM(O26:Q26)</f>
        <v>4.46</v>
      </c>
      <c r="S26" s="54"/>
      <c r="T26" s="53" t="n">
        <v>0</v>
      </c>
      <c r="U26" s="53" t="n">
        <v>40.71</v>
      </c>
      <c r="V26" s="54" t="n">
        <f aca="false">V25-U26</f>
        <v>10294.7833148474</v>
      </c>
      <c r="W26" s="53" t="n">
        <f aca="false">R26+T26+N26+U26</f>
        <v>45.17</v>
      </c>
      <c r="X26" s="53" t="n">
        <f aca="false">IF(L26&lt;0,L26*-1,0)</f>
        <v>0</v>
      </c>
      <c r="Y26" s="53" t="n">
        <f aca="false">W26+X26</f>
        <v>45.17</v>
      </c>
      <c r="Z26" s="57" t="n">
        <v>0</v>
      </c>
      <c r="AA26" s="86" t="n">
        <v>67</v>
      </c>
      <c r="AB26" s="58" t="n">
        <v>36</v>
      </c>
      <c r="AC26" s="59" t="n">
        <f aca="false">AC25+1</f>
        <v>17</v>
      </c>
      <c r="AD26" s="74" t="n">
        <v>1559</v>
      </c>
      <c r="AE26" s="78" t="n">
        <v>1968</v>
      </c>
      <c r="AF26" s="75" t="n">
        <v>1921.09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6902.03</v>
      </c>
      <c r="C27" s="54" t="n">
        <v>291127</v>
      </c>
      <c r="D27" s="58" t="n">
        <f aca="false">C27-C26</f>
        <v>2352</v>
      </c>
      <c r="E27" s="54" t="n">
        <f aca="false">C27-152000</f>
        <v>139127</v>
      </c>
      <c r="F27" s="53" t="n">
        <f aca="false">D27/$D$2</f>
        <v>1186.08169440242</v>
      </c>
      <c r="G27" s="53" t="n">
        <v>338.12</v>
      </c>
      <c r="H27" s="55" t="n">
        <v>146.66</v>
      </c>
      <c r="I27" s="53" t="n">
        <f aca="false">G27+H27</f>
        <v>484.78</v>
      </c>
      <c r="J27" s="77" t="n">
        <f aca="false">IF(L27&gt;0,L27,0)</f>
        <v>746.081694402421</v>
      </c>
      <c r="K27" s="53" t="n">
        <f aca="false">I27+J27</f>
        <v>1230.86169440242</v>
      </c>
      <c r="L27" s="53" t="n">
        <f aca="false">F27-(I27-W27)</f>
        <v>746.081694402421</v>
      </c>
      <c r="M27" s="53" t="n">
        <v>4.28</v>
      </c>
      <c r="N27" s="53" t="n">
        <v>0</v>
      </c>
      <c r="O27" s="53" t="n">
        <f aca="false">M27-N27</f>
        <v>4.28</v>
      </c>
      <c r="P27" s="53" t="n">
        <v>0</v>
      </c>
      <c r="Q27" s="53" t="n">
        <v>0</v>
      </c>
      <c r="R27" s="53" t="n">
        <f aca="false">SUM(O27:Q27)</f>
        <v>4.28</v>
      </c>
      <c r="S27" s="54"/>
      <c r="T27" s="53" t="n">
        <v>0</v>
      </c>
      <c r="U27" s="53" t="n">
        <v>40.5</v>
      </c>
      <c r="V27" s="54" t="n">
        <f aca="false">V26-U27</f>
        <v>10254.2833148474</v>
      </c>
      <c r="W27" s="53" t="n">
        <f aca="false">R27+T27+N27+U27</f>
        <v>44.78</v>
      </c>
      <c r="X27" s="53" t="n">
        <f aca="false">IF(L27&lt;0,L27*-1,0)</f>
        <v>0</v>
      </c>
      <c r="Y27" s="53" t="n">
        <f aca="false">W27+X27</f>
        <v>44.78</v>
      </c>
      <c r="Z27" s="57" t="n">
        <v>0</v>
      </c>
      <c r="AA27" s="86" t="n">
        <v>63</v>
      </c>
      <c r="AB27" s="58" t="n">
        <v>37</v>
      </c>
      <c r="AC27" s="59" t="n">
        <f aca="false">AC26+1</f>
        <v>18</v>
      </c>
      <c r="AD27" s="74" t="n">
        <v>1867</v>
      </c>
      <c r="AE27" s="78" t="n">
        <v>2133</v>
      </c>
      <c r="AF27" s="75" t="n">
        <v>1990.83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6902.71</v>
      </c>
      <c r="C28" s="88" t="n">
        <v>293686</v>
      </c>
      <c r="D28" s="58" t="n">
        <f aca="false">C28-C27</f>
        <v>2559</v>
      </c>
      <c r="E28" s="54" t="n">
        <f aca="false">C28-152000</f>
        <v>141686</v>
      </c>
      <c r="F28" s="53" t="n">
        <f aca="false">D28/$D$2</f>
        <v>1290.46898638427</v>
      </c>
      <c r="G28" s="53" t="n">
        <v>379.76</v>
      </c>
      <c r="H28" s="55" t="n">
        <v>161.73</v>
      </c>
      <c r="I28" s="53" t="n">
        <f aca="false">G28+H28</f>
        <v>541.49</v>
      </c>
      <c r="J28" s="77" t="n">
        <f aca="false">IF(L28&gt;0,L28,0)</f>
        <v>793.538986384266</v>
      </c>
      <c r="K28" s="53" t="n">
        <f aca="false">I28+J28</f>
        <v>1335.02898638427</v>
      </c>
      <c r="L28" s="53" t="n">
        <f aca="false">F28-(I28-W28)</f>
        <v>793.538986384266</v>
      </c>
      <c r="M28" s="53" t="n">
        <v>4.06</v>
      </c>
      <c r="N28" s="53" t="n">
        <v>0</v>
      </c>
      <c r="O28" s="53" t="n">
        <f aca="false">M28-N28</f>
        <v>4.06</v>
      </c>
      <c r="P28" s="53" t="n">
        <v>0</v>
      </c>
      <c r="Q28" s="53" t="n">
        <v>0</v>
      </c>
      <c r="R28" s="53" t="n">
        <f aca="false">SUM(O28:Q28)</f>
        <v>4.06</v>
      </c>
      <c r="S28" s="54"/>
      <c r="T28" s="53" t="n">
        <v>0</v>
      </c>
      <c r="U28" s="53" t="n">
        <v>40.5</v>
      </c>
      <c r="V28" s="54" t="n">
        <f aca="false">V27-U28</f>
        <v>10213.7833148474</v>
      </c>
      <c r="W28" s="53" t="n">
        <f aca="false">R28+T28+N28+U28</f>
        <v>44.56</v>
      </c>
      <c r="X28" s="53" t="n">
        <f aca="false">IF(L28&lt;0,L28*-1,0)</f>
        <v>0</v>
      </c>
      <c r="Y28" s="53" t="n">
        <f aca="false">W28+X28</f>
        <v>44.56</v>
      </c>
      <c r="Z28" s="57" t="n">
        <v>0</v>
      </c>
      <c r="AA28" s="86" t="n">
        <v>62</v>
      </c>
      <c r="AB28" s="58" t="n">
        <v>32</v>
      </c>
      <c r="AC28" s="59" t="n">
        <f aca="false">AC27+1</f>
        <v>19</v>
      </c>
      <c r="AD28" s="74" t="n">
        <v>2157</v>
      </c>
      <c r="AE28" s="78" t="n">
        <v>2304</v>
      </c>
      <c r="AF28" s="75" t="n">
        <v>2064.09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6903.38</v>
      </c>
      <c r="C29" s="54" t="n">
        <v>296219</v>
      </c>
      <c r="D29" s="58" t="n">
        <f aca="false">C29-C28</f>
        <v>2533</v>
      </c>
      <c r="E29" s="54" t="n">
        <f aca="false">C29-152000</f>
        <v>144219</v>
      </c>
      <c r="F29" s="53" t="n">
        <f aca="false">D29/$D$2</f>
        <v>1277.3575390822</v>
      </c>
      <c r="G29" s="53" t="n">
        <v>385.93</v>
      </c>
      <c r="H29" s="55" t="n">
        <v>156.33</v>
      </c>
      <c r="I29" s="53" t="n">
        <f aca="false">G29+H29</f>
        <v>542.26</v>
      </c>
      <c r="J29" s="77" t="n">
        <f aca="false">IF(L29&gt;0,L29,0)</f>
        <v>779.657539082199</v>
      </c>
      <c r="K29" s="53" t="n">
        <f aca="false">I29+J29</f>
        <v>1321.9175390822</v>
      </c>
      <c r="L29" s="53" t="n">
        <f aca="false">F29-(I29-W29)</f>
        <v>779.657539082199</v>
      </c>
      <c r="M29" s="53" t="n">
        <v>4.06</v>
      </c>
      <c r="N29" s="53" t="n">
        <v>0</v>
      </c>
      <c r="O29" s="53" t="n">
        <f aca="false">M29-N29</f>
        <v>4.06</v>
      </c>
      <c r="P29" s="53" t="n">
        <v>0</v>
      </c>
      <c r="Q29" s="53" t="n">
        <v>0</v>
      </c>
      <c r="R29" s="53" t="n">
        <f aca="false">SUM(O29:Q29)</f>
        <v>4.06</v>
      </c>
      <c r="S29" s="54"/>
      <c r="T29" s="53" t="n">
        <v>0</v>
      </c>
      <c r="U29" s="53" t="n">
        <v>40.5</v>
      </c>
      <c r="V29" s="54" t="n">
        <f aca="false">V28-U29</f>
        <v>10173.2833148474</v>
      </c>
      <c r="W29" s="53" t="n">
        <f aca="false">R29+T29+N29+U29</f>
        <v>44.56</v>
      </c>
      <c r="X29" s="53" t="n">
        <f aca="false">IF(L29&lt;0,L29*-1,0)</f>
        <v>0</v>
      </c>
      <c r="Y29" s="53" t="n">
        <f aca="false">W29+X29</f>
        <v>44.56</v>
      </c>
      <c r="Z29" s="57" t="n">
        <v>0</v>
      </c>
      <c r="AA29" s="86" t="n">
        <v>61</v>
      </c>
      <c r="AB29" s="58" t="n">
        <v>37</v>
      </c>
      <c r="AC29" s="59" t="n">
        <f aca="false">AC28+1</f>
        <v>20</v>
      </c>
      <c r="AD29" s="74" t="n">
        <v>2443</v>
      </c>
      <c r="AE29" s="78" t="n">
        <v>2474</v>
      </c>
      <c r="AF29" s="75" t="n">
        <v>2135.47</v>
      </c>
    </row>
    <row r="30" customFormat="false" ht="11.1" hidden="false" customHeight="true" outlineLevel="0" collapsed="false">
      <c r="A30" s="59" t="n">
        <f aca="false">A29+1</f>
        <v>21</v>
      </c>
      <c r="B30" s="76" t="n">
        <v>6904.39</v>
      </c>
      <c r="C30" s="54" t="n">
        <v>300063</v>
      </c>
      <c r="D30" s="58" t="n">
        <f aca="false">C30-C29</f>
        <v>3844</v>
      </c>
      <c r="E30" s="54" t="n">
        <f aca="false">C30-152000</f>
        <v>148063</v>
      </c>
      <c r="F30" s="53" t="n">
        <f aca="false">D30/$D$2</f>
        <v>1938.47705496722</v>
      </c>
      <c r="G30" s="53" t="n">
        <v>398.31</v>
      </c>
      <c r="H30" s="55" t="n">
        <v>160</v>
      </c>
      <c r="I30" s="53" t="n">
        <f aca="false">G30+H30</f>
        <v>558.31</v>
      </c>
      <c r="J30" s="77" t="n">
        <f aca="false">IF(L30&gt;0,L30,0)</f>
        <v>1424.72705496722</v>
      </c>
      <c r="K30" s="53" t="n">
        <f aca="false">I30+J30</f>
        <v>1983.03705496722</v>
      </c>
      <c r="L30" s="53" t="n">
        <f aca="false">F30-(I30-W30)</f>
        <v>1424.72705496722</v>
      </c>
      <c r="M30" s="53" t="n">
        <v>4.06</v>
      </c>
      <c r="N30" s="53" t="n">
        <v>0</v>
      </c>
      <c r="O30" s="53" t="n">
        <f aca="false">M30-N30</f>
        <v>4.06</v>
      </c>
      <c r="P30" s="53" t="n">
        <v>0</v>
      </c>
      <c r="Q30" s="53" t="n">
        <v>0</v>
      </c>
      <c r="R30" s="53" t="n">
        <f aca="false">SUM(O30:Q30)</f>
        <v>4.06</v>
      </c>
      <c r="S30" s="54"/>
      <c r="T30" s="53" t="n">
        <v>0</v>
      </c>
      <c r="U30" s="53" t="n">
        <v>40.5</v>
      </c>
      <c r="V30" s="54" t="n">
        <f aca="false">V29-U30</f>
        <v>10132.7833148474</v>
      </c>
      <c r="W30" s="53" t="n">
        <f aca="false">R30+T30+N30+U30</f>
        <v>44.56</v>
      </c>
      <c r="X30" s="53" t="n">
        <f aca="false">IF(L30&lt;0,L30*-1,0)</f>
        <v>0</v>
      </c>
      <c r="Y30" s="53" t="n">
        <f aca="false">W30+X30</f>
        <v>44.56</v>
      </c>
      <c r="Z30" s="57" t="n">
        <v>0.05</v>
      </c>
      <c r="AA30" s="58" t="n">
        <v>64</v>
      </c>
      <c r="AB30" s="58" t="n">
        <v>34</v>
      </c>
      <c r="AC30" s="59" t="n">
        <f aca="false">AC29+1</f>
        <v>21</v>
      </c>
      <c r="AD30" s="74" t="n">
        <v>2760</v>
      </c>
      <c r="AE30" s="78" t="n">
        <v>2645</v>
      </c>
      <c r="AF30" s="75" t="n">
        <v>2202.37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6905.16</v>
      </c>
      <c r="C31" s="54" t="n">
        <v>303013</v>
      </c>
      <c r="D31" s="58" t="n">
        <f aca="false">C31-C30</f>
        <v>2950</v>
      </c>
      <c r="E31" s="54" t="n">
        <f aca="false">C31-152000</f>
        <v>151013</v>
      </c>
      <c r="F31" s="53" t="n">
        <f aca="false">D31/$D$2</f>
        <v>1487.64498234997</v>
      </c>
      <c r="G31" s="53" t="n">
        <v>503.79</v>
      </c>
      <c r="H31" s="55" t="n">
        <v>211.61</v>
      </c>
      <c r="I31" s="53" t="n">
        <f aca="false">G31+H31</f>
        <v>715.4</v>
      </c>
      <c r="J31" s="77" t="n">
        <f aca="false">IF(L31&gt;0,L31,0)</f>
        <v>816.124982349975</v>
      </c>
      <c r="K31" s="53" t="n">
        <f aca="false">I31+J31</f>
        <v>1531.52498234997</v>
      </c>
      <c r="L31" s="53" t="n">
        <f aca="false">F31-(I31-W31)</f>
        <v>816.124982349975</v>
      </c>
      <c r="M31" s="53" t="n">
        <v>3.51</v>
      </c>
      <c r="N31" s="53" t="n">
        <v>0</v>
      </c>
      <c r="O31" s="53" t="n">
        <f aca="false">M31-N31</f>
        <v>3.51</v>
      </c>
      <c r="P31" s="53" t="n">
        <v>0</v>
      </c>
      <c r="Q31" s="53" t="n">
        <v>0</v>
      </c>
      <c r="R31" s="53" t="n">
        <f aca="false">SUM(O31:Q31)</f>
        <v>3.51</v>
      </c>
      <c r="S31" s="54"/>
      <c r="T31" s="53" t="n">
        <v>0</v>
      </c>
      <c r="U31" s="53" t="n">
        <v>40.37</v>
      </c>
      <c r="V31" s="54" t="n">
        <f aca="false">V30-U31</f>
        <v>10092.4133148474</v>
      </c>
      <c r="W31" s="53" t="n">
        <f aca="false">R31+T31+N31+U31</f>
        <v>43.88</v>
      </c>
      <c r="X31" s="53" t="n">
        <f aca="false">IF(L31&lt;0,L31*-1,0)</f>
        <v>0</v>
      </c>
      <c r="Y31" s="53" t="n">
        <f aca="false">W31+X31</f>
        <v>43.88</v>
      </c>
      <c r="Z31" s="57" t="n">
        <v>0</v>
      </c>
      <c r="AA31" s="58" t="n">
        <v>58</v>
      </c>
      <c r="AB31" s="58" t="n">
        <v>34</v>
      </c>
      <c r="AC31" s="59" t="n">
        <f aca="false">AC30+1</f>
        <v>22</v>
      </c>
      <c r="AD31" s="74" t="n">
        <v>3077</v>
      </c>
      <c r="AE31" s="78" t="n">
        <v>2820</v>
      </c>
      <c r="AF31" s="75" t="n">
        <v>2257.56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6905.79</v>
      </c>
      <c r="C32" s="54" t="n">
        <v>305441</v>
      </c>
      <c r="D32" s="58" t="n">
        <f aca="false">C32-C31</f>
        <v>2428</v>
      </c>
      <c r="E32" s="54" t="n">
        <f aca="false">C32-152000</f>
        <v>153441</v>
      </c>
      <c r="F32" s="53" t="n">
        <f aca="false">D32/$D$2</f>
        <v>1224.40746343923</v>
      </c>
      <c r="G32" s="53" t="n">
        <v>413.01</v>
      </c>
      <c r="H32" s="55" t="n">
        <v>149.8</v>
      </c>
      <c r="I32" s="53" t="n">
        <f aca="false">G32+H32</f>
        <v>562.81</v>
      </c>
      <c r="J32" s="77" t="n">
        <f aca="false">IF(L32&gt;0,L32,0)</f>
        <v>846.207463439234</v>
      </c>
      <c r="K32" s="53" t="n">
        <f aca="false">I32+J32</f>
        <v>1409.01746343923</v>
      </c>
      <c r="L32" s="53" t="n">
        <f aca="false">F32-(I32-W32)</f>
        <v>846.207463439234</v>
      </c>
      <c r="M32" s="53" t="n">
        <v>5.21</v>
      </c>
      <c r="N32" s="53" t="n">
        <v>0</v>
      </c>
      <c r="O32" s="53" t="n">
        <f aca="false">M32-N32</f>
        <v>5.21</v>
      </c>
      <c r="P32" s="53" t="n">
        <v>139.37</v>
      </c>
      <c r="Q32" s="53" t="n">
        <v>0</v>
      </c>
      <c r="R32" s="53" t="n">
        <f aca="false">SUM(O32:Q32)</f>
        <v>144.58</v>
      </c>
      <c r="S32" s="54"/>
      <c r="T32" s="53" t="n">
        <v>0</v>
      </c>
      <c r="U32" s="53" t="n">
        <v>40.03</v>
      </c>
      <c r="V32" s="54" t="n">
        <f aca="false">V31-U32</f>
        <v>10052.3833148474</v>
      </c>
      <c r="W32" s="53" t="n">
        <f aca="false">R32+T32+N32+U32</f>
        <v>184.61</v>
      </c>
      <c r="X32" s="53" t="n">
        <f aca="false">IF(L32&lt;0,L32*-1,0)</f>
        <v>0</v>
      </c>
      <c r="Y32" s="53" t="n">
        <f aca="false">W32+X32</f>
        <v>184.61</v>
      </c>
      <c r="Z32" s="57" t="n">
        <v>0</v>
      </c>
      <c r="AA32" s="58" t="n">
        <v>61</v>
      </c>
      <c r="AB32" s="86" t="n">
        <v>36</v>
      </c>
      <c r="AC32" s="59" t="n">
        <f aca="false">AC31+1</f>
        <v>23</v>
      </c>
      <c r="AD32" s="74" t="n">
        <v>3431</v>
      </c>
      <c r="AE32" s="78" t="n">
        <v>2986</v>
      </c>
      <c r="AF32" s="75" t="n">
        <v>2305.82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6906.11</v>
      </c>
      <c r="C33" s="54" t="n">
        <v>306679</v>
      </c>
      <c r="D33" s="58" t="n">
        <f aca="false">C33-C32</f>
        <v>1238</v>
      </c>
      <c r="E33" s="54" t="n">
        <f aca="false">C33-152000</f>
        <v>154679</v>
      </c>
      <c r="F33" s="53" t="n">
        <f aca="false">D33/$D$2</f>
        <v>624.306606152294</v>
      </c>
      <c r="G33" s="53" t="n">
        <v>397.54</v>
      </c>
      <c r="H33" s="55" t="n">
        <v>131.94</v>
      </c>
      <c r="I33" s="53" t="n">
        <f aca="false">G33+H33</f>
        <v>529.48</v>
      </c>
      <c r="J33" s="77" t="n">
        <f aca="false">IF(L33&gt;0,L33,0)</f>
        <v>466.356606152294</v>
      </c>
      <c r="K33" s="53" t="n">
        <f aca="false">I33+J33</f>
        <v>995.836606152295</v>
      </c>
      <c r="L33" s="53" t="n">
        <f aca="false">F33-(I33-W33)</f>
        <v>466.356606152294</v>
      </c>
      <c r="M33" s="53" t="n">
        <v>5.12</v>
      </c>
      <c r="N33" s="53" t="n">
        <v>0</v>
      </c>
      <c r="O33" s="53" t="n">
        <f aca="false">M33-N33</f>
        <v>5.12</v>
      </c>
      <c r="P33" s="53" t="n">
        <v>326</v>
      </c>
      <c r="Q33" s="53" t="n">
        <v>0</v>
      </c>
      <c r="R33" s="53" t="n">
        <f aca="false">SUM(O33:Q33)</f>
        <v>331.12</v>
      </c>
      <c r="S33" s="54"/>
      <c r="T33" s="53" t="n">
        <v>0</v>
      </c>
      <c r="U33" s="53" t="n">
        <v>40.41</v>
      </c>
      <c r="V33" s="54" t="n">
        <f aca="false">V32-U33</f>
        <v>10011.9733148474</v>
      </c>
      <c r="W33" s="53" t="n">
        <f aca="false">R33+T33+N33+U33</f>
        <v>371.53</v>
      </c>
      <c r="X33" s="53" t="n">
        <f aca="false">IF(L33&lt;0,L33*-1,0)</f>
        <v>0</v>
      </c>
      <c r="Y33" s="53" t="n">
        <f aca="false">W33+X33</f>
        <v>371.53</v>
      </c>
      <c r="Z33" s="57" t="n">
        <v>0</v>
      </c>
      <c r="AA33" s="58" t="n">
        <v>47</v>
      </c>
      <c r="AB33" s="86" t="n">
        <v>28</v>
      </c>
      <c r="AC33" s="59" t="n">
        <f aca="false">AC32+1</f>
        <v>24</v>
      </c>
      <c r="AD33" s="74" t="n">
        <v>3778</v>
      </c>
      <c r="AE33" s="78" t="n">
        <v>3159</v>
      </c>
      <c r="AF33" s="75" t="n">
        <v>2351.3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6906.32</v>
      </c>
      <c r="C34" s="54" t="n">
        <v>307495</v>
      </c>
      <c r="D34" s="58" t="n">
        <f aca="false">C34-C33</f>
        <v>816</v>
      </c>
      <c r="E34" s="54" t="n">
        <f aca="false">C34-152000</f>
        <v>155495</v>
      </c>
      <c r="F34" s="53" t="n">
        <f aca="false">D34/$D$2</f>
        <v>411.497730711044</v>
      </c>
      <c r="G34" s="53" t="n">
        <v>330.15</v>
      </c>
      <c r="H34" s="55" t="n">
        <v>97.04</v>
      </c>
      <c r="I34" s="53" t="n">
        <f aca="false">G34+H34</f>
        <v>427.19</v>
      </c>
      <c r="J34" s="77" t="n">
        <f aca="false">IF(L34&gt;0,L34,0)</f>
        <v>357.237730711044</v>
      </c>
      <c r="K34" s="53" t="n">
        <f aca="false">I34+J34</f>
        <v>784.427730711044</v>
      </c>
      <c r="L34" s="53" t="n">
        <f aca="false">F34-(I34-W34)</f>
        <v>357.237730711044</v>
      </c>
      <c r="M34" s="53" t="n">
        <v>5.1</v>
      </c>
      <c r="N34" s="53" t="n">
        <v>0</v>
      </c>
      <c r="O34" s="53" t="n">
        <f aca="false">M34-N34</f>
        <v>5.1</v>
      </c>
      <c r="P34" s="53" t="n">
        <v>327.33</v>
      </c>
      <c r="Q34" s="53" t="n">
        <v>0</v>
      </c>
      <c r="R34" s="53" t="n">
        <f aca="false">SUM(O34:Q34)</f>
        <v>332.43</v>
      </c>
      <c r="S34" s="54"/>
      <c r="T34" s="53" t="n">
        <v>0</v>
      </c>
      <c r="U34" s="53" t="n">
        <v>40.5</v>
      </c>
      <c r="V34" s="54" t="n">
        <f aca="false">V33-U34</f>
        <v>9971.47331484743</v>
      </c>
      <c r="W34" s="53" t="n">
        <f aca="false">R34+T34+N34+U34</f>
        <v>372.93</v>
      </c>
      <c r="X34" s="53" t="n">
        <f aca="false">IF(L34&lt;0,L34*-1,0)</f>
        <v>0</v>
      </c>
      <c r="Y34" s="53" t="n">
        <f aca="false">W34+X34</f>
        <v>372.93</v>
      </c>
      <c r="Z34" s="57" t="n">
        <v>0.22</v>
      </c>
      <c r="AA34" s="58" t="n">
        <v>36</v>
      </c>
      <c r="AB34" s="86" t="n">
        <v>28</v>
      </c>
      <c r="AC34" s="59" t="n">
        <f aca="false">AC33+1</f>
        <v>25</v>
      </c>
      <c r="AD34" s="74" t="n">
        <v>4048</v>
      </c>
      <c r="AE34" s="78" t="n">
        <v>3332</v>
      </c>
      <c r="AF34" s="75" t="n">
        <v>2362.83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6906.39</v>
      </c>
      <c r="C35" s="54" t="n">
        <v>307767</v>
      </c>
      <c r="D35" s="58" t="n">
        <f aca="false">C35-C34</f>
        <v>272</v>
      </c>
      <c r="E35" s="54" t="n">
        <f aca="false">C35-152000</f>
        <v>155767</v>
      </c>
      <c r="F35" s="53" t="n">
        <f aca="false">D35/$D$2</f>
        <v>137.165910237015</v>
      </c>
      <c r="G35" s="53" t="n">
        <v>275.62</v>
      </c>
      <c r="H35" s="55" t="n">
        <v>73.62</v>
      </c>
      <c r="I35" s="53" t="n">
        <f aca="false">G35+H35</f>
        <v>349.24</v>
      </c>
      <c r="J35" s="77" t="n">
        <f aca="false">IF(L35&gt;0,L35,0)</f>
        <v>160.185910237015</v>
      </c>
      <c r="K35" s="53" t="n">
        <f aca="false">I35+J35</f>
        <v>509.425910237015</v>
      </c>
      <c r="L35" s="53" t="n">
        <f aca="false">F35-(I35-W35)</f>
        <v>160.185910237015</v>
      </c>
      <c r="M35" s="53" t="n">
        <v>5.13</v>
      </c>
      <c r="N35" s="53" t="n">
        <v>0</v>
      </c>
      <c r="O35" s="53" t="n">
        <f aca="false">M35-N35</f>
        <v>5.13</v>
      </c>
      <c r="P35" s="53" t="n">
        <v>326.63</v>
      </c>
      <c r="Q35" s="53" t="n">
        <v>0</v>
      </c>
      <c r="R35" s="53" t="n">
        <f aca="false">SUM(O35:Q35)</f>
        <v>331.76</v>
      </c>
      <c r="S35" s="54"/>
      <c r="T35" s="53" t="n">
        <v>0</v>
      </c>
      <c r="U35" s="53" t="n">
        <v>40.5</v>
      </c>
      <c r="V35" s="54" t="n">
        <f aca="false">V34-U35</f>
        <v>9930.97331484743</v>
      </c>
      <c r="W35" s="53" t="n">
        <f aca="false">R35+T35+N35+U35</f>
        <v>372.26</v>
      </c>
      <c r="X35" s="53" t="n">
        <f aca="false">IF(L35&lt;0,L35*-1,0)</f>
        <v>0</v>
      </c>
      <c r="Y35" s="53" t="n">
        <f aca="false">W35+X35</f>
        <v>372.26</v>
      </c>
      <c r="Z35" s="57" t="n">
        <v>0</v>
      </c>
      <c r="AA35" s="58" t="n">
        <v>44</v>
      </c>
      <c r="AB35" s="58" t="n">
        <v>26</v>
      </c>
      <c r="AC35" s="59" t="n">
        <f aca="false">AC34+1</f>
        <v>26</v>
      </c>
      <c r="AD35" s="74" t="n">
        <v>4274</v>
      </c>
      <c r="AE35" s="78" t="n">
        <v>3506</v>
      </c>
      <c r="AF35" s="75" t="n">
        <v>2362.83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6906.46</v>
      </c>
      <c r="C36" s="54" t="n">
        <v>308039</v>
      </c>
      <c r="D36" s="58" t="n">
        <f aca="false">C36-C35</f>
        <v>272</v>
      </c>
      <c r="E36" s="54" t="n">
        <f aca="false">C36-152000</f>
        <v>156039</v>
      </c>
      <c r="F36" s="53" t="n">
        <f aca="false">D36/$D$2</f>
        <v>137.165910237015</v>
      </c>
      <c r="G36" s="53" t="n">
        <v>227.16</v>
      </c>
      <c r="H36" s="55" t="n">
        <v>57.49</v>
      </c>
      <c r="I36" s="53" t="n">
        <f aca="false">G36+H36</f>
        <v>284.65</v>
      </c>
      <c r="J36" s="77" t="n">
        <f aca="false">IF(L36&gt;0,L36,0)</f>
        <v>228.995910237015</v>
      </c>
      <c r="K36" s="53" t="n">
        <f aca="false">I36+J36</f>
        <v>513.645910237015</v>
      </c>
      <c r="L36" s="53" t="n">
        <f aca="false">F36-(I36-W36)</f>
        <v>228.995910237015</v>
      </c>
      <c r="M36" s="53" t="n">
        <v>9.61</v>
      </c>
      <c r="N36" s="53" t="n">
        <v>0</v>
      </c>
      <c r="O36" s="53" t="n">
        <f aca="false">M36-N36</f>
        <v>9.61</v>
      </c>
      <c r="P36" s="53" t="n">
        <v>326.99</v>
      </c>
      <c r="Q36" s="53" t="n">
        <v>0</v>
      </c>
      <c r="R36" s="53" t="n">
        <f aca="false">SUM(O36:Q36)</f>
        <v>336.6</v>
      </c>
      <c r="S36" s="54"/>
      <c r="T36" s="53" t="n">
        <v>0</v>
      </c>
      <c r="U36" s="53" t="n">
        <v>39.88</v>
      </c>
      <c r="V36" s="54" t="n">
        <f aca="false">V35-U36</f>
        <v>9891.09331484744</v>
      </c>
      <c r="W36" s="53" t="n">
        <f aca="false">R36+T36+N36+U36</f>
        <v>376.48</v>
      </c>
      <c r="X36" s="53" t="n">
        <f aca="false">IF(L36&lt;0,L36*-1,0)</f>
        <v>0</v>
      </c>
      <c r="Y36" s="53" t="n">
        <f aca="false">W36+X36</f>
        <v>376.48</v>
      </c>
      <c r="Z36" s="57" t="n">
        <v>0</v>
      </c>
      <c r="AA36" s="58" t="n">
        <v>48</v>
      </c>
      <c r="AB36" s="58" t="n">
        <v>17</v>
      </c>
      <c r="AC36" s="59" t="n">
        <f aca="false">AC35+1</f>
        <v>27</v>
      </c>
      <c r="AD36" s="74" t="n">
        <v>4501</v>
      </c>
      <c r="AE36" s="78" t="n">
        <v>3671</v>
      </c>
      <c r="AF36" s="75" t="n">
        <v>2362.83</v>
      </c>
    </row>
    <row r="37" customFormat="false" ht="11.1" hidden="false" customHeight="true" outlineLevel="0" collapsed="false">
      <c r="A37" s="59" t="n">
        <f aca="false">A36+1</f>
        <v>28</v>
      </c>
      <c r="B37" s="76" t="n">
        <v>6906.43</v>
      </c>
      <c r="C37" s="54" t="n">
        <v>307922</v>
      </c>
      <c r="D37" s="58" t="n">
        <f aca="false">C37-C36</f>
        <v>-117</v>
      </c>
      <c r="E37" s="54" t="n">
        <f aca="false">C37-152000</f>
        <v>155922</v>
      </c>
      <c r="F37" s="53" t="n">
        <f aca="false">D37/$D$2</f>
        <v>-59.0015128593041</v>
      </c>
      <c r="G37" s="53" t="n">
        <v>229.54</v>
      </c>
      <c r="H37" s="55" t="n">
        <v>51.11</v>
      </c>
      <c r="I37" s="53" t="n">
        <f aca="false">G37+H37</f>
        <v>280.65</v>
      </c>
      <c r="J37" s="77" t="n">
        <f aca="false">IF(L37&gt;0,L37,0)</f>
        <v>47.588487140696</v>
      </c>
      <c r="K37" s="53" t="n">
        <f aca="false">I37+J37</f>
        <v>328.238487140696</v>
      </c>
      <c r="L37" s="53" t="n">
        <f aca="false">F37-(I37-W37)</f>
        <v>47.588487140696</v>
      </c>
      <c r="M37" s="53" t="n">
        <v>20.68</v>
      </c>
      <c r="N37" s="53" t="n">
        <v>0</v>
      </c>
      <c r="O37" s="53" t="n">
        <f aca="false">M37-N37</f>
        <v>20.68</v>
      </c>
      <c r="P37" s="53" t="n">
        <v>327.1</v>
      </c>
      <c r="Q37" s="53" t="n">
        <v>0</v>
      </c>
      <c r="R37" s="53" t="n">
        <f aca="false">SUM(O37:Q37)</f>
        <v>347.78</v>
      </c>
      <c r="S37" s="54"/>
      <c r="T37" s="53" t="n">
        <v>0</v>
      </c>
      <c r="U37" s="53" t="n">
        <v>39.46</v>
      </c>
      <c r="V37" s="54" t="n">
        <f aca="false">V36-U37</f>
        <v>9851.63331484744</v>
      </c>
      <c r="W37" s="53" t="n">
        <f aca="false">R37+T37+N37+U37</f>
        <v>387.24</v>
      </c>
      <c r="X37" s="53" t="n">
        <f aca="false">IF(L37&lt;0,L37*-1,0)</f>
        <v>0</v>
      </c>
      <c r="Y37" s="53" t="n">
        <f aca="false">W37+X37</f>
        <v>387.24</v>
      </c>
      <c r="Z37" s="57" t="n">
        <v>0.29</v>
      </c>
      <c r="AA37" s="58" t="n">
        <v>51</v>
      </c>
      <c r="AB37" s="58" t="n">
        <v>20</v>
      </c>
      <c r="AC37" s="59" t="n">
        <f aca="false">AC36+1</f>
        <v>28</v>
      </c>
      <c r="AD37" s="74" t="n">
        <v>4723</v>
      </c>
      <c r="AE37" s="78" t="n">
        <v>3836</v>
      </c>
      <c r="AF37" s="75" t="n">
        <v>2362.83</v>
      </c>
    </row>
    <row r="38" customFormat="false" ht="11.1" hidden="false" customHeight="true" outlineLevel="0" collapsed="false">
      <c r="A38" s="59" t="n">
        <f aca="false">A37+1</f>
        <v>29</v>
      </c>
      <c r="B38" s="76" t="n">
        <v>6906.59</v>
      </c>
      <c r="C38" s="54" t="n">
        <v>308544</v>
      </c>
      <c r="D38" s="58" t="n">
        <f aca="false">C38-C37</f>
        <v>622</v>
      </c>
      <c r="E38" s="54" t="n">
        <f aca="false">C38-152000</f>
        <v>156544</v>
      </c>
      <c r="F38" s="53" t="n">
        <f aca="false">D38/$D$2</f>
        <v>313.666162380232</v>
      </c>
      <c r="G38" s="53" t="n">
        <v>218.39</v>
      </c>
      <c r="H38" s="55" t="n">
        <v>45.1</v>
      </c>
      <c r="I38" s="53" t="n">
        <f aca="false">G38+H38</f>
        <v>263.49</v>
      </c>
      <c r="J38" s="77" t="n">
        <f aca="false">IF(L38&gt;0,L38,0)</f>
        <v>236.566162380232</v>
      </c>
      <c r="K38" s="53" t="n">
        <f aca="false">I38+J38</f>
        <v>500.056162380232</v>
      </c>
      <c r="L38" s="53" t="n">
        <f aca="false">F38-(I38-W38)</f>
        <v>236.566162380232</v>
      </c>
      <c r="M38" s="53" t="n">
        <v>26.27</v>
      </c>
      <c r="N38" s="53" t="n">
        <v>0</v>
      </c>
      <c r="O38" s="53" t="n">
        <f aca="false">M38-N38</f>
        <v>26.27</v>
      </c>
      <c r="P38" s="53" t="n">
        <v>120.52</v>
      </c>
      <c r="Q38" s="53" t="n">
        <v>0</v>
      </c>
      <c r="R38" s="53" t="n">
        <f aca="false">SUM(O38:Q38)</f>
        <v>146.79</v>
      </c>
      <c r="S38" s="54"/>
      <c r="T38" s="53" t="n">
        <v>0</v>
      </c>
      <c r="U38" s="53" t="n">
        <v>39.6</v>
      </c>
      <c r="V38" s="54" t="n">
        <f aca="false">V37-U38</f>
        <v>9812.03331484744</v>
      </c>
      <c r="W38" s="53" t="n">
        <f aca="false">R38+T38+N38+U38</f>
        <v>186.39</v>
      </c>
      <c r="X38" s="53" t="n">
        <f aca="false">IF(L38&lt;0,L38*-1,0)</f>
        <v>0</v>
      </c>
      <c r="Y38" s="53" t="n">
        <f aca="false">W38+X38</f>
        <v>186.39</v>
      </c>
      <c r="Z38" s="57" t="n">
        <v>0.01</v>
      </c>
      <c r="AA38" s="86" t="n">
        <v>40</v>
      </c>
      <c r="AB38" s="58" t="n">
        <v>33</v>
      </c>
      <c r="AC38" s="59" t="n">
        <f aca="false">AC37+1</f>
        <v>29</v>
      </c>
      <c r="AD38" s="74" t="n">
        <v>4963</v>
      </c>
      <c r="AE38" s="78" t="n">
        <v>4000</v>
      </c>
      <c r="AF38" s="75" t="n">
        <v>2362.83</v>
      </c>
    </row>
    <row r="39" customFormat="false" ht="11.1" hidden="false" customHeight="true" outlineLevel="0" collapsed="false">
      <c r="A39" s="59" t="n">
        <v>30</v>
      </c>
      <c r="B39" s="76" t="n">
        <v>6906.71</v>
      </c>
      <c r="C39" s="54" t="n">
        <v>309011</v>
      </c>
      <c r="D39" s="58" t="n">
        <f aca="false">C39-C38</f>
        <v>467</v>
      </c>
      <c r="E39" s="54" t="n">
        <f aca="false">C39-152000</f>
        <v>157011</v>
      </c>
      <c r="F39" s="53" t="n">
        <f aca="false">D39/$D$2</f>
        <v>235.501765002521</v>
      </c>
      <c r="G39" s="53" t="n">
        <v>180.29</v>
      </c>
      <c r="H39" s="55" t="n">
        <v>40.35</v>
      </c>
      <c r="I39" s="53" t="n">
        <f aca="false">G39+H39</f>
        <v>220.64</v>
      </c>
      <c r="J39" s="77" t="n">
        <f aca="false">IF(L39&gt;0,L39,0)</f>
        <v>103.731765002521</v>
      </c>
      <c r="K39" s="53" t="n">
        <f aca="false">I39+J39</f>
        <v>324.371765002521</v>
      </c>
      <c r="L39" s="53" t="n">
        <f aca="false">F39-(I39-W39)</f>
        <v>103.731765002521</v>
      </c>
      <c r="M39" s="53" t="n">
        <v>49.34</v>
      </c>
      <c r="N39" s="53" t="n">
        <v>0</v>
      </c>
      <c r="O39" s="53" t="n">
        <f aca="false">M39-N39</f>
        <v>49.34</v>
      </c>
      <c r="P39" s="53" t="n">
        <v>0</v>
      </c>
      <c r="Q39" s="53" t="n">
        <v>0</v>
      </c>
      <c r="R39" s="53" t="n">
        <f aca="false">SUM(O39:Q39)</f>
        <v>49.34</v>
      </c>
      <c r="S39" s="54"/>
      <c r="T39" s="53" t="n">
        <v>0</v>
      </c>
      <c r="U39" s="53" t="n">
        <v>39.53</v>
      </c>
      <c r="V39" s="54" t="n">
        <f aca="false">V38-U39</f>
        <v>9772.50331484743</v>
      </c>
      <c r="W39" s="53" t="n">
        <f aca="false">R39+T39+N39+U39</f>
        <v>88.87</v>
      </c>
      <c r="X39" s="53" t="n">
        <f aca="false">IF(L39&lt;0,L39*-1,0)</f>
        <v>0</v>
      </c>
      <c r="Y39" s="53" t="n">
        <f aca="false">W39+X39</f>
        <v>88.87</v>
      </c>
      <c r="Z39" s="57" t="n">
        <v>0</v>
      </c>
      <c r="AA39" s="86" t="n">
        <v>50</v>
      </c>
      <c r="AB39" s="58" t="n">
        <v>30</v>
      </c>
      <c r="AC39" s="59" t="n">
        <v>30</v>
      </c>
      <c r="AD39" s="74" t="n">
        <v>5210</v>
      </c>
      <c r="AE39" s="78" t="n">
        <v>4166</v>
      </c>
      <c r="AF39" s="75" t="n">
        <v>2362.83</v>
      </c>
    </row>
    <row r="40" customFormat="false" ht="11.1" hidden="false" customHeight="true" outlineLevel="0" collapsed="false">
      <c r="A40" s="59" t="n">
        <v>31</v>
      </c>
      <c r="B40" s="76" t="n">
        <v>6906.87</v>
      </c>
      <c r="C40" s="54" t="n">
        <v>309438</v>
      </c>
      <c r="D40" s="58" t="n">
        <f aca="false">C40-C39</f>
        <v>427</v>
      </c>
      <c r="E40" s="54" t="n">
        <f aca="false">C40-152000</f>
        <v>157438</v>
      </c>
      <c r="F40" s="53" t="n">
        <f aca="false">D40/$D$2</f>
        <v>215.330307614725</v>
      </c>
      <c r="G40" s="53" t="n">
        <v>182.97</v>
      </c>
      <c r="H40" s="55" t="n">
        <v>38.59</v>
      </c>
      <c r="I40" s="53" t="n">
        <f aca="false">G40+H40</f>
        <v>221.56</v>
      </c>
      <c r="J40" s="77" t="n">
        <f aca="false">IF(L40&gt;0,L40,0)</f>
        <v>104.210307614725</v>
      </c>
      <c r="K40" s="53" t="n">
        <f aca="false">I40+J40</f>
        <v>325.770307614725</v>
      </c>
      <c r="L40" s="53" t="n">
        <f aca="false">F40-(I40-W40)</f>
        <v>104.210307614725</v>
      </c>
      <c r="M40" s="53" t="n">
        <v>70.85</v>
      </c>
      <c r="N40" s="53" t="n">
        <v>15.63</v>
      </c>
      <c r="O40" s="53" t="n">
        <f aca="false">M40-N40</f>
        <v>55.22</v>
      </c>
      <c r="P40" s="53" t="n">
        <v>0</v>
      </c>
      <c r="Q40" s="53" t="n">
        <v>0</v>
      </c>
      <c r="R40" s="53" t="n">
        <f aca="false">SUM(O40:Q40)</f>
        <v>55.22</v>
      </c>
      <c r="S40" s="54"/>
      <c r="T40" s="53" t="n">
        <v>0</v>
      </c>
      <c r="U40" s="53" t="n">
        <v>39.59</v>
      </c>
      <c r="V40" s="54" t="n">
        <f aca="false">V39-U40</f>
        <v>9732.91331484743</v>
      </c>
      <c r="W40" s="53" t="n">
        <f aca="false">R40+T40+N40+U40</f>
        <v>110.44</v>
      </c>
      <c r="X40" s="53" t="n">
        <f aca="false">IF(L40&lt;0,L40*-1,0)</f>
        <v>0</v>
      </c>
      <c r="Y40" s="53" t="n">
        <f aca="false">W40+X40</f>
        <v>110.44</v>
      </c>
      <c r="Z40" s="57" t="n">
        <v>0</v>
      </c>
      <c r="AA40" s="86" t="n">
        <v>55</v>
      </c>
      <c r="AB40" s="58" t="n">
        <v>19</v>
      </c>
      <c r="AC40" s="59" t="n">
        <v>31</v>
      </c>
      <c r="AD40" s="74" t="n">
        <v>5455</v>
      </c>
      <c r="AE40" s="74" t="n">
        <v>4334</v>
      </c>
      <c r="AF40" s="75" t="n">
        <v>2403.37</v>
      </c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 t="n">
        <v>23</v>
      </c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17752.3953605648</v>
      </c>
      <c r="G42" s="54" t="n">
        <f aca="false">SUM(G10:G40)</f>
        <v>7080.97</v>
      </c>
      <c r="H42" s="54" t="n">
        <f aca="false">SUM(H10:H40)</f>
        <v>2384.81</v>
      </c>
      <c r="I42" s="54" t="n">
        <f aca="false">SUM(I10:I40)</f>
        <v>9465.78</v>
      </c>
      <c r="J42" s="54" t="n">
        <f aca="false">SUM(J10:J40)</f>
        <v>11795.8310489158</v>
      </c>
      <c r="K42" s="54" t="n">
        <f aca="false">SUM(K10:K40)</f>
        <v>21261.6110489158</v>
      </c>
      <c r="L42" s="54" t="n">
        <f aca="false">SUM(L10:L40)</f>
        <v>11704.2553605648</v>
      </c>
      <c r="M42" s="54" t="n">
        <f aca="false">SUM(M10:M40)</f>
        <v>280.38</v>
      </c>
      <c r="N42" s="54" t="n">
        <f aca="false">SUM(N10:N40)</f>
        <v>15.63</v>
      </c>
      <c r="O42" s="54" t="n">
        <f aca="false">SUM(O10:O40)</f>
        <v>264.75</v>
      </c>
      <c r="P42" s="54" t="n">
        <f aca="false">SUM(P10:P40)</f>
        <v>1893.94</v>
      </c>
      <c r="Q42" s="54" t="n">
        <f aca="false">SUM(Q10:Q40)</f>
        <v>0</v>
      </c>
      <c r="R42" s="54" t="n">
        <f aca="false">SUM(R10:R40)</f>
        <v>2158.69</v>
      </c>
      <c r="S42" s="54"/>
      <c r="T42" s="54" t="n">
        <f aca="false">SUM(T10:T40)</f>
        <v>0</v>
      </c>
      <c r="U42" s="54" t="n">
        <f aca="false">SUM(U10:U40)</f>
        <v>1243.32</v>
      </c>
      <c r="V42" s="54"/>
      <c r="W42" s="54" t="n">
        <f aca="false">SUM(W10:W40)</f>
        <v>3417.64</v>
      </c>
      <c r="X42" s="54" t="n">
        <f aca="false">SUM(X10:X40)</f>
        <v>91.5756883509834</v>
      </c>
      <c r="Y42" s="54" t="n">
        <f aca="false">SUM(Y10:Y40)</f>
        <v>3509.21568835098</v>
      </c>
      <c r="Z42" s="57" t="n">
        <f aca="false">SUM(Z10:Z40)</f>
        <v>3.69</v>
      </c>
      <c r="AA42" s="58" t="n">
        <f aca="false">AVERAGE(AA10:AA40)</f>
        <v>52.1612903225807</v>
      </c>
      <c r="AB42" s="58" t="n">
        <f aca="false">AVERAGE(AB10:AB40)</f>
        <v>30.1935483870968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35203</v>
      </c>
      <c r="E43" s="54"/>
      <c r="F43" s="54" t="n">
        <f aca="false">F42*$D$2</f>
        <v>35203</v>
      </c>
      <c r="G43" s="54" t="n">
        <f aca="false">G42*$D$2</f>
        <v>14041.56351</v>
      </c>
      <c r="H43" s="54" t="n">
        <f aca="false">H42*$D$2</f>
        <v>4729.07823</v>
      </c>
      <c r="I43" s="54" t="n">
        <f aca="false">I42*$D$2</f>
        <v>18770.64174</v>
      </c>
      <c r="J43" s="54" t="n">
        <f aca="false">J42*$D$2</f>
        <v>23391.13297</v>
      </c>
      <c r="K43" s="54" t="n">
        <f aca="false">K42*$D$2</f>
        <v>42161.77471</v>
      </c>
      <c r="L43" s="54" t="n">
        <f aca="false">L42*$D$2</f>
        <v>23209.53838</v>
      </c>
      <c r="M43" s="54" t="n">
        <f aca="false">M42*$D$2</f>
        <v>555.99354</v>
      </c>
      <c r="N43" s="54" t="n">
        <f aca="false">N42*$D$2</f>
        <v>30.99429</v>
      </c>
      <c r="O43" s="54" t="n">
        <f aca="false">O42*$D$2</f>
        <v>524.99925</v>
      </c>
      <c r="P43" s="54" t="n">
        <f aca="false">P42*$D$2</f>
        <v>3755.68302</v>
      </c>
      <c r="Q43" s="54" t="n">
        <f aca="false">Q42*$D$2</f>
        <v>0</v>
      </c>
      <c r="R43" s="54" t="n">
        <f aca="false">R42*$D$2</f>
        <v>4280.68227</v>
      </c>
      <c r="S43" s="54"/>
      <c r="T43" s="54" t="n">
        <f aca="false">T42*$D$2</f>
        <v>0</v>
      </c>
      <c r="U43" s="54" t="n">
        <f aca="false">U42*$D$2</f>
        <v>2465.50356</v>
      </c>
      <c r="V43" s="54"/>
      <c r="W43" s="54" t="n">
        <f aca="false">W42*$D$2</f>
        <v>6777.18012</v>
      </c>
      <c r="X43" s="54" t="n">
        <f aca="false">X42*$D$2</f>
        <v>181.59459</v>
      </c>
      <c r="Y43" s="54" t="n">
        <f aca="false">Y42*$D$2</f>
        <v>6958.77471</v>
      </c>
      <c r="Z43" s="57"/>
      <c r="AA43" s="58" t="n">
        <f aca="false">MAX(AA10:AA40)</f>
        <v>67</v>
      </c>
      <c r="AB43" s="58" t="n">
        <f aca="false">MAX(AB10:AB40)</f>
        <v>40</v>
      </c>
      <c r="AC43" s="59" t="s">
        <v>47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7"/>
      <c r="AA45" s="58" t="n">
        <f aca="false">MIN(AA10:AA40)</f>
        <v>35</v>
      </c>
      <c r="AB45" s="58" t="n">
        <f aca="false">MIN(AB10:AB40)</f>
        <v>15</v>
      </c>
      <c r="AC45" s="59" t="s">
        <v>49</v>
      </c>
      <c r="AD45" s="74"/>
      <c r="AE45" s="74"/>
      <c r="AF45" s="75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21621.2808875441</v>
      </c>
      <c r="G48" s="54" t="n">
        <f aca="false">G8+G42</f>
        <v>15788.9425920323</v>
      </c>
      <c r="H48" s="58" t="n">
        <f aca="false">H8+H42</f>
        <v>2384.81</v>
      </c>
      <c r="I48" s="54" t="n">
        <f aca="false">I8+I42</f>
        <v>18173.6525920323</v>
      </c>
      <c r="J48" s="54" t="n">
        <f aca="false">J8+J42</f>
        <v>12344.0816641452</v>
      </c>
      <c r="K48" s="54" t="n">
        <f aca="false">K8+K42</f>
        <v>30517.7342561775</v>
      </c>
      <c r="L48" s="54" t="n">
        <f aca="false">L8+L42</f>
        <v>12107.0182955118</v>
      </c>
      <c r="M48" s="54" t="n">
        <f aca="false">M8+M42</f>
        <v>902.45</v>
      </c>
      <c r="N48" s="54" t="n">
        <f aca="false">N8+N42</f>
        <v>15.63</v>
      </c>
      <c r="O48" s="54" t="n">
        <f aca="false">O8+O42</f>
        <v>682.32</v>
      </c>
      <c r="P48" s="54" t="n">
        <f aca="false">P8+P42</f>
        <v>2574.3</v>
      </c>
      <c r="Q48" s="54" t="n">
        <f aca="false">Q8+Q42</f>
        <v>0</v>
      </c>
      <c r="R48" s="54" t="n">
        <f aca="false">R8+R42</f>
        <v>3337.12</v>
      </c>
      <c r="S48" s="54"/>
      <c r="T48" s="54" t="n">
        <f aca="false">T8+T42</f>
        <v>0</v>
      </c>
      <c r="U48" s="54" t="n">
        <f aca="false">U8+U42</f>
        <v>5182.64</v>
      </c>
      <c r="V48" s="54" t="n">
        <f aca="false">V29</f>
        <v>10173.2833148474</v>
      </c>
      <c r="W48" s="54" t="n">
        <f aca="false">W8+W42</f>
        <v>8659.39</v>
      </c>
      <c r="X48" s="54" t="n">
        <f aca="false">X8+X42</f>
        <v>237.063368633384</v>
      </c>
      <c r="Y48" s="54" t="n">
        <f aca="false">Y8+Y42</f>
        <v>8896.45336863338</v>
      </c>
      <c r="Z48" s="77" t="n">
        <f aca="false">Z8+Z42</f>
        <v>11.05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42875</v>
      </c>
      <c r="E49" s="54" t="n">
        <f aca="false">E40</f>
        <v>157438</v>
      </c>
      <c r="F49" s="54" t="n">
        <f aca="false">F48*$D$2</f>
        <v>42875</v>
      </c>
      <c r="G49" s="54" t="n">
        <f aca="false">G48*$D$2</f>
        <v>31309.47316</v>
      </c>
      <c r="H49" s="58" t="n">
        <f aca="false">H48*$D$2</f>
        <v>4729.07823</v>
      </c>
      <c r="I49" s="54" t="n">
        <f aca="false">I48*$D$2</f>
        <v>36038.35309</v>
      </c>
      <c r="J49" s="54" t="n">
        <f aca="false">J48*$D$2</f>
        <v>24478.31394</v>
      </c>
      <c r="K49" s="54" t="n">
        <f aca="false">K48*$D$2</f>
        <v>60516.66703</v>
      </c>
      <c r="L49" s="54" t="n">
        <f aca="false">L48*$D$2</f>
        <v>24008.21728</v>
      </c>
      <c r="M49" s="54" t="n">
        <f aca="false">M48*$D$2</f>
        <v>1789.55835</v>
      </c>
      <c r="N49" s="54" t="n">
        <f aca="false">N48*$D$2</f>
        <v>30.99429</v>
      </c>
      <c r="O49" s="54" t="n">
        <f aca="false">O48*$D$2</f>
        <v>1353.04056</v>
      </c>
      <c r="P49" s="54" t="n">
        <f aca="false">P48*$D$2</f>
        <v>5104.8369</v>
      </c>
      <c r="Q49" s="54" t="n">
        <f aca="false">Q48*$D$2</f>
        <v>0</v>
      </c>
      <c r="R49" s="54" t="n">
        <f aca="false">R48*$D$2</f>
        <v>6617.50896</v>
      </c>
      <c r="S49" s="54" t="n">
        <f aca="false">S48*$D$2</f>
        <v>0</v>
      </c>
      <c r="T49" s="54" t="n">
        <f aca="false">T48*$D$2</f>
        <v>0</v>
      </c>
      <c r="U49" s="54" t="n">
        <f aca="false">U48*$D$2</f>
        <v>10277.17512</v>
      </c>
      <c r="V49" s="54" t="n">
        <f aca="false">V48*$D$2</f>
        <v>20173.6208133425</v>
      </c>
      <c r="W49" s="54" t="n">
        <f aca="false">W48*$D$2</f>
        <v>17171.57037</v>
      </c>
      <c r="X49" s="54" t="n">
        <f aca="false">X48*$D$2</f>
        <v>470.09666</v>
      </c>
      <c r="Y49" s="54" t="n">
        <f aca="false">Y48*$D$2</f>
        <v>17641.66703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53" t="str">
        <f aca="false">"APR /11"</f>
        <v>APR /11</v>
      </c>
      <c r="B51" s="89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6911.66</v>
      </c>
      <c r="C52" s="54" t="n">
        <v>328669</v>
      </c>
      <c r="D52" s="86"/>
      <c r="E52" s="54" t="n">
        <f aca="false">C52-152000</f>
        <v>176669</v>
      </c>
      <c r="F52" s="53"/>
      <c r="G52" s="53"/>
      <c r="H52" s="86"/>
      <c r="I52" s="55"/>
      <c r="J52" s="53"/>
      <c r="K52" s="43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"3/9/95 thru 4/11/95"</f>
        <v>3/9/95 thru 4/11/95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86"/>
      <c r="Q53" s="86"/>
      <c r="R53" s="86"/>
      <c r="S53" s="54"/>
      <c r="T53" s="86"/>
      <c r="U53" s="86"/>
      <c r="V53" s="54"/>
      <c r="W53" s="86"/>
      <c r="X53" s="86"/>
      <c r="Y53" s="86"/>
      <c r="Z53" s="57"/>
      <c r="AA53" s="58"/>
      <c r="AB53" s="58"/>
      <c r="AC53" s="59"/>
      <c r="AD53" s="90"/>
      <c r="AE53" s="90"/>
    </row>
    <row r="54" customFormat="false" ht="11.1" hidden="false" customHeight="true" outlineLevel="0" collapsed="false">
      <c r="A54" s="86"/>
      <c r="B54" s="57" t="n">
        <f aca="false">B52-B18</f>
        <v>13.0699999999997</v>
      </c>
      <c r="C54" s="54"/>
      <c r="D54" s="54" t="n">
        <f aca="false">C52-C18</f>
        <v>50257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/>
      <c r="U54" s="86"/>
      <c r="V54" s="54"/>
      <c r="W54" s="86"/>
      <c r="X54" s="86"/>
      <c r="Y54" s="86"/>
      <c r="Z54" s="57"/>
      <c r="AA54" s="58"/>
      <c r="AB54" s="58"/>
      <c r="AC54" s="59"/>
      <c r="AD54" s="90"/>
      <c r="AE54" s="90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1"/>
      <c r="H55" s="55"/>
      <c r="I55" s="86"/>
      <c r="J55" s="86"/>
      <c r="K55" s="86"/>
      <c r="L55" s="86"/>
      <c r="M55" s="77"/>
      <c r="N55" s="77"/>
      <c r="O55" s="77"/>
      <c r="P55" s="86"/>
      <c r="Q55" s="86"/>
      <c r="R55" s="86"/>
      <c r="S55" s="54"/>
      <c r="T55" s="86"/>
      <c r="U55" s="86"/>
      <c r="V55" s="54"/>
      <c r="W55" s="86"/>
      <c r="X55" s="86"/>
      <c r="Y55" s="86"/>
      <c r="Z55" s="57"/>
      <c r="AA55" s="58"/>
      <c r="AB55" s="58"/>
      <c r="AC55" s="59"/>
      <c r="AD55" s="90"/>
      <c r="AE55" s="90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0" activeCellId="0" sqref="R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66"/>
    <col collapsed="false" customWidth="true" hidden="false" outlineLevel="0" max="4" min="4" style="0" width="6.82"/>
    <col collapsed="false" customWidth="true" hidden="false" outlineLevel="0" max="5" min="5" style="1" width="7.66"/>
    <col collapsed="false" customWidth="true" hidden="false" outlineLevel="0" max="7" min="6" style="0" width="7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0" min="10" style="0" width="6.32"/>
    <col collapsed="false" customWidth="true" hidden="false" outlineLevel="0" max="12" min="11" style="0" width="7.66"/>
    <col collapsed="false" customWidth="true" hidden="false" outlineLevel="0" max="13" min="13" style="3" width="7.49"/>
    <col collapsed="false" customWidth="false" hidden="false" outlineLevel="0" max="15" min="14" style="3" width="9.32"/>
    <col collapsed="false" customWidth="true" hidden="false" outlineLevel="0" max="16" min="16" style="0" width="5.82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5.82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4"/>
      <c r="AE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92" t="s">
        <v>64</v>
      </c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7"/>
      <c r="X2" s="7"/>
      <c r="Y2" s="7"/>
      <c r="Z2" s="11"/>
      <c r="AA2" s="12"/>
      <c r="AB2" s="12"/>
      <c r="AC2" s="13"/>
      <c r="AD2" s="14"/>
      <c r="AE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11"/>
      <c r="AA3" s="12"/>
      <c r="AB3" s="12"/>
      <c r="AC3" s="13"/>
      <c r="AD3" s="14"/>
      <c r="AE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6" t="s">
        <v>14</v>
      </c>
      <c r="Q4" s="16" t="s">
        <v>15</v>
      </c>
      <c r="R4" s="16" t="s">
        <v>12</v>
      </c>
      <c r="S4" s="17" t="s">
        <v>14</v>
      </c>
      <c r="T4" s="16" t="s">
        <v>16</v>
      </c>
      <c r="U4" s="16" t="s">
        <v>17</v>
      </c>
      <c r="V4" s="17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  <c r="AD4" s="14"/>
      <c r="AE4" s="14"/>
    </row>
    <row r="5" customFormat="false" ht="11.1" hidden="false" customHeight="true" outlineLevel="0" collapsed="false">
      <c r="A5" s="22" t="s">
        <v>65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66</v>
      </c>
      <c r="P5" s="16" t="s">
        <v>34</v>
      </c>
      <c r="Q5" s="16" t="s">
        <v>35</v>
      </c>
      <c r="R5" s="16" t="s">
        <v>14</v>
      </c>
      <c r="S5" s="17" t="s">
        <v>36</v>
      </c>
      <c r="T5" s="16" t="s">
        <v>37</v>
      </c>
      <c r="U5" s="16" t="s">
        <v>38</v>
      </c>
      <c r="V5" s="17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65</v>
      </c>
      <c r="AD5" s="14"/>
      <c r="AE5" s="14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  <c r="T6" s="26"/>
      <c r="U6" s="26"/>
      <c r="V6" s="27"/>
      <c r="W6" s="26"/>
      <c r="X6" s="26"/>
      <c r="Y6" s="26"/>
      <c r="Z6" s="11"/>
      <c r="AA6" s="13"/>
      <c r="AB6" s="13"/>
      <c r="AC6" s="13"/>
      <c r="AD6" s="14"/>
      <c r="AE6" s="14"/>
    </row>
    <row r="7" customFormat="false" ht="11.1" hidden="false" customHeight="true" outlineLevel="0" collapsed="false">
      <c r="A7" s="7" t="s">
        <v>42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1"/>
      <c r="AA7" s="12"/>
      <c r="AB7" s="12"/>
      <c r="AC7" s="13"/>
      <c r="AD7" s="14"/>
    </row>
    <row r="8" s="1" customFormat="true" ht="11.1" hidden="false" customHeight="true" outlineLevel="0" collapsed="false">
      <c r="A8" s="8" t="s">
        <v>43</v>
      </c>
      <c r="B8" s="29" t="n">
        <f aca="false" t="array" ref="B8:C8">MAR!$B$40:$C$40</f>
        <v>6906.87</v>
      </c>
      <c r="C8" s="8" t="n">
        <v>309438</v>
      </c>
      <c r="D8" s="8" t="n">
        <f aca="false" t="array" ref="D8:E8">MAR!$D$49:$E$49</f>
        <v>42875</v>
      </c>
      <c r="E8" s="8" t="n">
        <v>157438</v>
      </c>
      <c r="F8" s="8" t="n">
        <f aca="false" t="array" ref="F8:Z8">MAR!$F$48:$Z$48</f>
        <v>21621.2808875441</v>
      </c>
      <c r="G8" s="8" t="n">
        <v>15788.9425920323</v>
      </c>
      <c r="H8" s="12" t="n">
        <v>2384.81</v>
      </c>
      <c r="I8" s="8" t="n">
        <v>18173.6525920323</v>
      </c>
      <c r="J8" s="8" t="n">
        <v>12344.0816641452</v>
      </c>
      <c r="K8" s="8" t="n">
        <v>30517.7342561775</v>
      </c>
      <c r="L8" s="8" t="n">
        <v>12107.0182955118</v>
      </c>
      <c r="M8" s="8" t="n">
        <v>902.45</v>
      </c>
      <c r="N8" s="8" t="n">
        <v>15.63</v>
      </c>
      <c r="O8" s="8" t="n">
        <v>682.32</v>
      </c>
      <c r="P8" s="8" t="n">
        <v>2574.3</v>
      </c>
      <c r="Q8" s="8" t="n">
        <v>0</v>
      </c>
      <c r="R8" s="8" t="n">
        <v>3337.12</v>
      </c>
      <c r="S8" s="8" t="n">
        <v>0</v>
      </c>
      <c r="T8" s="8" t="n">
        <v>0</v>
      </c>
      <c r="U8" s="8" t="n">
        <v>5182.64</v>
      </c>
      <c r="V8" s="8" t="n">
        <v>10173.2833148474</v>
      </c>
      <c r="W8" s="8" t="n">
        <v>8659.39</v>
      </c>
      <c r="X8" s="8" t="n">
        <v>237.063368633384</v>
      </c>
      <c r="Y8" s="8" t="n">
        <v>8896.45336863338</v>
      </c>
      <c r="Z8" s="30" t="n">
        <v>11.05</v>
      </c>
      <c r="AA8" s="12"/>
      <c r="AB8" s="12"/>
      <c r="AC8" s="13"/>
      <c r="AD8" s="31" t="n">
        <v>13149</v>
      </c>
      <c r="AE8" s="14" t="n">
        <v>17902</v>
      </c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4"/>
      <c r="T9" s="32"/>
      <c r="U9" s="32"/>
      <c r="V9" s="34"/>
      <c r="W9" s="32"/>
      <c r="X9" s="32"/>
      <c r="Y9" s="32"/>
      <c r="Z9" s="36"/>
      <c r="AA9" s="37"/>
      <c r="AB9" s="37"/>
      <c r="AC9" s="38"/>
      <c r="AD9" s="14"/>
      <c r="AE9" s="14"/>
    </row>
    <row r="10" customFormat="false" ht="11.1" hidden="false" customHeight="true" outlineLevel="0" collapsed="false">
      <c r="A10" s="13" t="n">
        <v>1</v>
      </c>
      <c r="B10" s="29" t="n">
        <v>6907.06</v>
      </c>
      <c r="C10" s="8" t="n">
        <v>310373</v>
      </c>
      <c r="D10" s="12" t="n">
        <f aca="false">C10-C8</f>
        <v>935</v>
      </c>
      <c r="E10" s="8" t="n">
        <f aca="false">C10-152000</f>
        <v>158373</v>
      </c>
      <c r="F10" s="7" t="n">
        <f aca="false">D10/$D$2</f>
        <v>471.507816439738</v>
      </c>
      <c r="G10" s="7" t="n">
        <v>190.64</v>
      </c>
      <c r="H10" s="9" t="n">
        <v>40.58</v>
      </c>
      <c r="I10" s="7" t="n">
        <f aca="false">G10+H10</f>
        <v>231.22</v>
      </c>
      <c r="J10" s="93" t="n">
        <f aca="false">IF(L10&gt;0,L10,0)</f>
        <v>327.827816439738</v>
      </c>
      <c r="K10" s="7" t="n">
        <f aca="false">I10+J10</f>
        <v>559.047816439738</v>
      </c>
      <c r="L10" s="7" t="n">
        <f aca="false">F10-(I10-W10)</f>
        <v>327.827816439738</v>
      </c>
      <c r="M10" s="7" t="n">
        <v>47.86</v>
      </c>
      <c r="N10" s="7" t="n">
        <v>21</v>
      </c>
      <c r="O10" s="7" t="n">
        <f aca="false">M10-N10</f>
        <v>26.86</v>
      </c>
      <c r="P10" s="7" t="n">
        <v>0</v>
      </c>
      <c r="Q10" s="7" t="n">
        <v>0</v>
      </c>
      <c r="R10" s="7" t="n">
        <f aca="false">SUM(O10:Q10)</f>
        <v>26.86</v>
      </c>
      <c r="S10" s="8"/>
      <c r="T10" s="7"/>
      <c r="U10" s="7" t="n">
        <v>39.68</v>
      </c>
      <c r="V10" s="8" t="n">
        <f aca="false">V8-U10</f>
        <v>10133.6033148474</v>
      </c>
      <c r="W10" s="7" t="n">
        <f aca="false">N10+R10+T10+U10</f>
        <v>87.54</v>
      </c>
      <c r="X10" s="7" t="n">
        <f aca="false">IF(L10&lt;0,L10*-1,0)</f>
        <v>0</v>
      </c>
      <c r="Y10" s="7" t="n">
        <f aca="false">W10+X10</f>
        <v>87.54</v>
      </c>
      <c r="Z10" s="11" t="n">
        <v>0</v>
      </c>
      <c r="AA10" s="12" t="n">
        <v>59</v>
      </c>
      <c r="AB10" s="12" t="n">
        <v>22</v>
      </c>
      <c r="AC10" s="13" t="n">
        <v>1</v>
      </c>
      <c r="AD10" s="12" t="n">
        <v>13243</v>
      </c>
      <c r="AE10" s="12"/>
      <c r="AF10" s="0" t="n">
        <v>7883</v>
      </c>
      <c r="AG10" s="7" t="n">
        <v>0</v>
      </c>
    </row>
    <row r="11" customFormat="false" ht="11.1" hidden="false" customHeight="true" outlineLevel="0" collapsed="false">
      <c r="A11" s="13" t="n">
        <f aca="false">A10+1</f>
        <v>2</v>
      </c>
      <c r="B11" s="29" t="n">
        <v>6907.24</v>
      </c>
      <c r="C11" s="8" t="n">
        <v>311078</v>
      </c>
      <c r="D11" s="12" t="n">
        <f aca="false">C11-C10</f>
        <v>705</v>
      </c>
      <c r="E11" s="8" t="n">
        <f aca="false">C11-152000</f>
        <v>159078</v>
      </c>
      <c r="F11" s="7" t="n">
        <f aca="false">D11/$D$2</f>
        <v>355.521936459909</v>
      </c>
      <c r="G11" s="7" t="n">
        <v>202.82</v>
      </c>
      <c r="H11" s="9" t="n">
        <v>45.96</v>
      </c>
      <c r="I11" s="7" t="n">
        <f aca="false">G11+H11</f>
        <v>248.78</v>
      </c>
      <c r="J11" s="93" t="n">
        <f aca="false">IF(L11&gt;0,L11,0)</f>
        <v>160.901936459909</v>
      </c>
      <c r="K11" s="7" t="n">
        <f aca="false">I11+J11</f>
        <v>409.681936459909</v>
      </c>
      <c r="L11" s="7" t="n">
        <f aca="false">F11-(I11-W11)</f>
        <v>160.901936459909</v>
      </c>
      <c r="M11" s="7" t="n">
        <v>14.4</v>
      </c>
      <c r="N11" s="7" t="n">
        <v>8.1</v>
      </c>
      <c r="O11" s="7" t="n">
        <f aca="false">M11-N11</f>
        <v>6.3</v>
      </c>
      <c r="P11" s="7" t="n">
        <v>0</v>
      </c>
      <c r="Q11" s="7" t="n">
        <v>0</v>
      </c>
      <c r="R11" s="7" t="n">
        <f aca="false">SUM(O11:Q11)</f>
        <v>6.3</v>
      </c>
      <c r="S11" s="8"/>
      <c r="T11" s="7"/>
      <c r="U11" s="7" t="n">
        <v>39.76</v>
      </c>
      <c r="V11" s="8" t="n">
        <f aca="false">V10-U11</f>
        <v>10093.8433148474</v>
      </c>
      <c r="W11" s="7" t="n">
        <f aca="false">N11+R11+T11+U11</f>
        <v>54.16</v>
      </c>
      <c r="X11" s="7" t="n">
        <f aca="false">IF(L11&lt;0,L11*-1,0)</f>
        <v>0</v>
      </c>
      <c r="Y11" s="7" t="n">
        <f aca="false">W11+X11</f>
        <v>54.16</v>
      </c>
      <c r="Z11" s="11" t="n">
        <v>0</v>
      </c>
      <c r="AA11" s="12" t="n">
        <v>60</v>
      </c>
      <c r="AB11" s="12" t="n">
        <v>30</v>
      </c>
      <c r="AC11" s="13" t="n">
        <f aca="false">AC10+1</f>
        <v>2</v>
      </c>
      <c r="AD11" s="12" t="n">
        <v>13333</v>
      </c>
      <c r="AE11" s="12" t="n">
        <v>62</v>
      </c>
      <c r="AG11" s="7" t="n">
        <v>0</v>
      </c>
    </row>
    <row r="12" customFormat="false" ht="11.1" hidden="false" customHeight="true" outlineLevel="0" collapsed="false">
      <c r="A12" s="13" t="n">
        <f aca="false">A11+1</f>
        <v>3</v>
      </c>
      <c r="B12" s="29" t="n">
        <v>6907.45</v>
      </c>
      <c r="C12" s="8" t="n">
        <v>311901</v>
      </c>
      <c r="D12" s="12" t="n">
        <f aca="false">C12-C11</f>
        <v>823</v>
      </c>
      <c r="E12" s="8" t="n">
        <f aca="false">C12-152000</f>
        <v>159901</v>
      </c>
      <c r="F12" s="7" t="n">
        <f aca="false">D12/$D$2</f>
        <v>415.027735753908</v>
      </c>
      <c r="G12" s="7" t="n">
        <v>189.67</v>
      </c>
      <c r="H12" s="9" t="n">
        <v>42.66</v>
      </c>
      <c r="I12" s="7" t="n">
        <f aca="false">G12+H12</f>
        <v>232.33</v>
      </c>
      <c r="J12" s="93" t="n">
        <f aca="false">IF(L12&gt;0,L12,0)</f>
        <v>261.547735753908</v>
      </c>
      <c r="K12" s="7" t="n">
        <f aca="false">I12+J12</f>
        <v>493.877735753908</v>
      </c>
      <c r="L12" s="7" t="n">
        <f aca="false">F12-(I12-W12)</f>
        <v>261.547735753908</v>
      </c>
      <c r="M12" s="7" t="n">
        <v>23.19</v>
      </c>
      <c r="N12" s="7" t="n">
        <f aca="false">(4.52+4.51)*1.05</f>
        <v>9.4815</v>
      </c>
      <c r="O12" s="7" t="n">
        <f aca="false">M12-N12</f>
        <v>13.7085</v>
      </c>
      <c r="P12" s="7" t="n">
        <v>0</v>
      </c>
      <c r="Q12" s="7" t="n">
        <v>0</v>
      </c>
      <c r="R12" s="7" t="n">
        <f aca="false">SUM(O12:Q12)</f>
        <v>13.7085</v>
      </c>
      <c r="S12" s="8"/>
      <c r="T12" s="7" t="n">
        <v>12</v>
      </c>
      <c r="U12" s="7" t="n">
        <v>43.66</v>
      </c>
      <c r="V12" s="8" t="n">
        <f aca="false">V11-U12</f>
        <v>10050.1833148474</v>
      </c>
      <c r="W12" s="7" t="n">
        <f aca="false">N12+R12+T12+U12</f>
        <v>78.85</v>
      </c>
      <c r="X12" s="7" t="n">
        <f aca="false">IF(L12&lt;0,L12*-1,0)</f>
        <v>0</v>
      </c>
      <c r="Y12" s="7" t="n">
        <f aca="false">W12+X12</f>
        <v>78.85</v>
      </c>
      <c r="Z12" s="11" t="n">
        <v>0</v>
      </c>
      <c r="AA12" s="12" t="n">
        <v>59</v>
      </c>
      <c r="AB12" s="12" t="n">
        <v>32</v>
      </c>
      <c r="AC12" s="13" t="n">
        <f aca="false">AC11+1</f>
        <v>3</v>
      </c>
      <c r="AD12" s="12" t="n">
        <v>13456</v>
      </c>
      <c r="AE12" s="12" t="n">
        <v>159</v>
      </c>
      <c r="AG12" s="7" t="n">
        <v>0</v>
      </c>
    </row>
    <row r="13" customFormat="false" ht="11.1" hidden="false" customHeight="true" outlineLevel="0" collapsed="false">
      <c r="A13" s="13" t="n">
        <f aca="false">A12+1</f>
        <v>4</v>
      </c>
      <c r="B13" s="29" t="n">
        <v>6907.84</v>
      </c>
      <c r="C13" s="8" t="n">
        <v>313429</v>
      </c>
      <c r="D13" s="12" t="n">
        <f aca="false">C13-C12</f>
        <v>1528</v>
      </c>
      <c r="E13" s="8" t="n">
        <f aca="false">C13-152000</f>
        <v>161429</v>
      </c>
      <c r="F13" s="7" t="n">
        <f aca="false">D13/$D$2</f>
        <v>770.549672213817</v>
      </c>
      <c r="G13" s="7" t="n">
        <v>236.02</v>
      </c>
      <c r="H13" s="9" t="n">
        <v>63.24</v>
      </c>
      <c r="I13" s="7" t="n">
        <f aca="false">G13+H13</f>
        <v>299.26</v>
      </c>
      <c r="J13" s="93" t="n">
        <f aca="false">IF(L13&gt;0,L13,0)</f>
        <v>554.66255168936</v>
      </c>
      <c r="K13" s="7" t="n">
        <f aca="false">I13+J13</f>
        <v>853.92255168936</v>
      </c>
      <c r="L13" s="7" t="n">
        <f aca="false">F13-(I13-W13)</f>
        <v>554.66255168936</v>
      </c>
      <c r="M13" s="7" t="n">
        <v>18.94</v>
      </c>
      <c r="N13" s="7" t="n">
        <f aca="false">(3.63+4.04)*1.05</f>
        <v>8.0535</v>
      </c>
      <c r="O13" s="7" t="n">
        <f aca="false">M13-N13</f>
        <v>10.8865</v>
      </c>
      <c r="P13" s="7" t="n">
        <v>0</v>
      </c>
      <c r="Q13" s="7" t="n">
        <v>0</v>
      </c>
      <c r="R13" s="7" t="n">
        <f aca="false">SUM(O13:Q13)</f>
        <v>10.8865</v>
      </c>
      <c r="S13" s="8"/>
      <c r="T13" s="7" t="n">
        <f aca="false">31/D2</f>
        <v>15.6328794755421</v>
      </c>
      <c r="U13" s="7" t="n">
        <v>48.8</v>
      </c>
      <c r="V13" s="8" t="n">
        <f aca="false">V12-U13</f>
        <v>10001.3833148474</v>
      </c>
      <c r="W13" s="7" t="n">
        <f aca="false">N13+R13+T13+U13</f>
        <v>83.3728794755421</v>
      </c>
      <c r="X13" s="7" t="n">
        <f aca="false">IF(L13&lt;0,L13*-1,0)</f>
        <v>0</v>
      </c>
      <c r="Y13" s="7" t="n">
        <f aca="false">W13+X13</f>
        <v>83.3728794755421</v>
      </c>
      <c r="Z13" s="11" t="n">
        <v>0</v>
      </c>
      <c r="AA13" s="12" t="n">
        <v>64</v>
      </c>
      <c r="AB13" s="12" t="n">
        <v>32</v>
      </c>
      <c r="AC13" s="13" t="n">
        <f aca="false">AC12+1</f>
        <v>4</v>
      </c>
      <c r="AD13" s="12" t="n">
        <v>13563</v>
      </c>
      <c r="AE13" s="12" t="n">
        <v>263</v>
      </c>
      <c r="AG13" s="7" t="n">
        <v>13</v>
      </c>
    </row>
    <row r="14" customFormat="false" ht="11.1" hidden="false" customHeight="true" outlineLevel="0" collapsed="false">
      <c r="A14" s="13" t="n">
        <f aca="false">A13+1</f>
        <v>5</v>
      </c>
      <c r="B14" s="29" t="n">
        <v>6908.4</v>
      </c>
      <c r="C14" s="8" t="n">
        <v>315636</v>
      </c>
      <c r="D14" s="12" t="n">
        <f aca="false">C14-C13</f>
        <v>2207</v>
      </c>
      <c r="E14" s="8" t="n">
        <f aca="false">C14-152000</f>
        <v>163636</v>
      </c>
      <c r="F14" s="7" t="n">
        <f aca="false">D14/$D$2</f>
        <v>1112.96016137166</v>
      </c>
      <c r="G14" s="7" t="n">
        <v>335.28</v>
      </c>
      <c r="H14" s="9" t="n">
        <v>112.2</v>
      </c>
      <c r="I14" s="7" t="n">
        <f aca="false">G14+H14</f>
        <v>447.48</v>
      </c>
      <c r="J14" s="93" t="n">
        <f aca="false">IF(L14&gt;0,L14,0)</f>
        <v>764.435920322743</v>
      </c>
      <c r="K14" s="7" t="n">
        <f aca="false">I14+J14</f>
        <v>1211.91592032274</v>
      </c>
      <c r="L14" s="7" t="n">
        <f aca="false">F14-(I14-W14)</f>
        <v>764.435920322743</v>
      </c>
      <c r="M14" s="7" t="n">
        <v>18.89</v>
      </c>
      <c r="N14" s="7" t="n">
        <f aca="false">21/D2</f>
        <v>10.590015128593</v>
      </c>
      <c r="O14" s="7" t="n">
        <f aca="false">M14-N14</f>
        <v>8.29998487140696</v>
      </c>
      <c r="P14" s="7" t="n">
        <v>0</v>
      </c>
      <c r="Q14" s="7" t="n">
        <v>0</v>
      </c>
      <c r="R14" s="7" t="n">
        <f aca="false">SUM(O14:Q14)</f>
        <v>8.29998487140696</v>
      </c>
      <c r="S14" s="8"/>
      <c r="T14" s="94" t="n">
        <f aca="false">31/D2</f>
        <v>15.6328794755421</v>
      </c>
      <c r="U14" s="7" t="n">
        <v>48.8</v>
      </c>
      <c r="V14" s="8" t="n">
        <f aca="false">V13-U14</f>
        <v>9952.58331484744</v>
      </c>
      <c r="W14" s="7" t="n">
        <f aca="false">N14+R14+T15+U14</f>
        <v>98.9557589510842</v>
      </c>
      <c r="X14" s="7" t="n">
        <f aca="false">IF(L14&lt;0,L14*-1,0)</f>
        <v>0</v>
      </c>
      <c r="Y14" s="7" t="n">
        <f aca="false">W14+X14</f>
        <v>98.9557589510842</v>
      </c>
      <c r="Z14" s="11" t="n">
        <v>0</v>
      </c>
      <c r="AA14" s="12" t="n">
        <v>65</v>
      </c>
      <c r="AB14" s="12" t="n">
        <v>30</v>
      </c>
      <c r="AC14" s="13" t="n">
        <f aca="false">AC13+1</f>
        <v>5</v>
      </c>
      <c r="AD14" s="12" t="n">
        <v>13678</v>
      </c>
      <c r="AE14" s="12" t="n">
        <v>367</v>
      </c>
      <c r="AG14" s="7" t="n">
        <v>13</v>
      </c>
    </row>
    <row r="15" customFormat="false" ht="11.1" hidden="false" customHeight="true" outlineLevel="0" collapsed="false">
      <c r="A15" s="13" t="n">
        <f aca="false">A14+1</f>
        <v>6</v>
      </c>
      <c r="B15" s="29" t="n">
        <v>6909.1</v>
      </c>
      <c r="C15" s="8" t="n">
        <v>318403</v>
      </c>
      <c r="D15" s="12" t="n">
        <f aca="false">C15-C14</f>
        <v>2767</v>
      </c>
      <c r="E15" s="8" t="n">
        <f aca="false">C15-152000</f>
        <v>166403</v>
      </c>
      <c r="F15" s="7" t="n">
        <f aca="false">D15/$D$2</f>
        <v>1395.36056480081</v>
      </c>
      <c r="G15" s="7" t="n">
        <v>436.85</v>
      </c>
      <c r="H15" s="9" t="n">
        <v>174.1</v>
      </c>
      <c r="I15" s="7" t="n">
        <f aca="false">G15+H15</f>
        <v>610.95</v>
      </c>
      <c r="J15" s="93" t="n">
        <f aca="false">IF(L15&gt;0,L15,0)</f>
        <v>879.260595057993</v>
      </c>
      <c r="K15" s="7" t="n">
        <f aca="false">I15+J15</f>
        <v>1490.21059505799</v>
      </c>
      <c r="L15" s="7" t="n">
        <f aca="false">F15-(I15-W15)</f>
        <v>879.260595057993</v>
      </c>
      <c r="M15" s="7" t="n">
        <v>24.87</v>
      </c>
      <c r="N15" s="7" t="n">
        <f aca="false">38/D2</f>
        <v>19.1628845184065</v>
      </c>
      <c r="O15" s="7" t="n">
        <f aca="false">M15-N15</f>
        <v>5.70711548159355</v>
      </c>
      <c r="P15" s="7" t="n">
        <v>0</v>
      </c>
      <c r="Q15" s="7" t="n">
        <v>0</v>
      </c>
      <c r="R15" s="7" t="n">
        <f aca="false">SUM(O15:Q15)</f>
        <v>5.70711548159355</v>
      </c>
      <c r="S15" s="8"/>
      <c r="T15" s="7" t="n">
        <f aca="false">62/D2</f>
        <v>31.2657589510842</v>
      </c>
      <c r="U15" s="7" t="n">
        <v>48.8</v>
      </c>
      <c r="V15" s="8" t="n">
        <f aca="false">V14-U15</f>
        <v>9903.78331484744</v>
      </c>
      <c r="W15" s="7" t="n">
        <f aca="false">N15+R15+T16+U15</f>
        <v>94.8500302571861</v>
      </c>
      <c r="X15" s="7" t="n">
        <f aca="false">IF(L15&lt;0,L15*-1,0)</f>
        <v>0</v>
      </c>
      <c r="Y15" s="7" t="n">
        <f aca="false">W15+X15</f>
        <v>94.8500302571861</v>
      </c>
      <c r="Z15" s="11" t="n">
        <v>0</v>
      </c>
      <c r="AA15" s="12" t="n">
        <v>64</v>
      </c>
      <c r="AB15" s="12" t="n">
        <v>36</v>
      </c>
      <c r="AC15" s="13" t="n">
        <f aca="false">AC14+1</f>
        <v>6</v>
      </c>
      <c r="AD15" s="12" t="n">
        <v>13812</v>
      </c>
      <c r="AE15" s="12" t="n">
        <v>469</v>
      </c>
      <c r="AG15" s="7" t="n">
        <v>15</v>
      </c>
    </row>
    <row r="16" customFormat="false" ht="11.1" hidden="false" customHeight="true" outlineLevel="0" collapsed="false">
      <c r="A16" s="13" t="n">
        <f aca="false">A15+1</f>
        <v>7</v>
      </c>
      <c r="B16" s="29" t="n">
        <v>6909.77</v>
      </c>
      <c r="C16" s="8" t="n">
        <v>321071</v>
      </c>
      <c r="D16" s="12" t="n">
        <f aca="false">C16-C15</f>
        <v>2668</v>
      </c>
      <c r="E16" s="8" t="n">
        <f aca="false">C16-152000</f>
        <v>169071</v>
      </c>
      <c r="F16" s="7" t="n">
        <f aca="false">D16/$D$2</f>
        <v>1345.43620776601</v>
      </c>
      <c r="G16" s="7" t="n">
        <v>517.07</v>
      </c>
      <c r="H16" s="9" t="n">
        <v>203.17</v>
      </c>
      <c r="I16" s="7" t="n">
        <f aca="false">G16+H16</f>
        <v>720.24</v>
      </c>
      <c r="J16" s="93" t="n">
        <f aca="false">IF(L16&gt;0,L16,0)</f>
        <v>732.436232980333</v>
      </c>
      <c r="K16" s="7" t="n">
        <f aca="false">I16+J16</f>
        <v>1452.67623298033</v>
      </c>
      <c r="L16" s="7" t="n">
        <f aca="false">F16-(I16-W16)</f>
        <v>732.436232980333</v>
      </c>
      <c r="M16" s="7" t="n">
        <v>40.79</v>
      </c>
      <c r="N16" s="7" t="n">
        <f aca="false">43/D2</f>
        <v>21.684316691881</v>
      </c>
      <c r="O16" s="7" t="n">
        <f aca="false">M16-N16</f>
        <v>19.105683308119</v>
      </c>
      <c r="P16" s="7" t="n">
        <v>0</v>
      </c>
      <c r="Q16" s="7" t="n">
        <v>0</v>
      </c>
      <c r="R16" s="7" t="n">
        <f aca="false">SUM(O16:Q16)</f>
        <v>19.105683308119</v>
      </c>
      <c r="S16" s="8"/>
      <c r="T16" s="7" t="n">
        <f aca="false">42/D2</f>
        <v>21.1800302571861</v>
      </c>
      <c r="U16" s="7" t="n">
        <v>48.8</v>
      </c>
      <c r="V16" s="8" t="n">
        <f aca="false">V15-U16</f>
        <v>9854.98331484744</v>
      </c>
      <c r="W16" s="7" t="n">
        <f aca="false">N16+R16+T17+U16</f>
        <v>107.240025214322</v>
      </c>
      <c r="X16" s="7" t="n">
        <f aca="false">IF(L16&lt;0,L16*-1,0)</f>
        <v>0</v>
      </c>
      <c r="Y16" s="7" t="n">
        <f aca="false">W16+X16</f>
        <v>107.240025214322</v>
      </c>
      <c r="Z16" s="11" t="n">
        <v>0</v>
      </c>
      <c r="AA16" s="12" t="n">
        <v>66</v>
      </c>
      <c r="AB16" s="12" t="n">
        <v>35</v>
      </c>
      <c r="AC16" s="13" t="n">
        <f aca="false">AC15+1</f>
        <v>7</v>
      </c>
      <c r="AD16" s="12" t="n">
        <v>13968</v>
      </c>
      <c r="AE16" s="12" t="n">
        <v>587</v>
      </c>
      <c r="AG16" s="7" t="n">
        <v>15</v>
      </c>
    </row>
    <row r="17" customFormat="false" ht="11.1" hidden="false" customHeight="true" outlineLevel="0" collapsed="false">
      <c r="A17" s="13" t="n">
        <f aca="false">A16+1</f>
        <v>8</v>
      </c>
      <c r="B17" s="29" t="n">
        <v>6910.55</v>
      </c>
      <c r="C17" s="8" t="n">
        <v>324194</v>
      </c>
      <c r="D17" s="12" t="n">
        <f aca="false">C17-C16</f>
        <v>3123</v>
      </c>
      <c r="E17" s="8" t="n">
        <f aca="false">C17-152000</f>
        <v>172194</v>
      </c>
      <c r="F17" s="7" t="n">
        <f aca="false">D17/$D$2</f>
        <v>1574.88653555219</v>
      </c>
      <c r="G17" s="7" t="n">
        <v>614.63</v>
      </c>
      <c r="H17" s="9" t="n">
        <v>231.51</v>
      </c>
      <c r="I17" s="7" t="n">
        <f aca="false">G17+H17</f>
        <v>846.14</v>
      </c>
      <c r="J17" s="93" t="n">
        <f aca="false">IF(L17&gt;0,L17,0)</f>
        <v>852.235118507312</v>
      </c>
      <c r="K17" s="7" t="n">
        <f aca="false">I17+J17</f>
        <v>1698.37511850731</v>
      </c>
      <c r="L17" s="7" t="n">
        <f aca="false">F17-(I17-W17)</f>
        <v>852.235118507312</v>
      </c>
      <c r="M17" s="7" t="n">
        <v>66.62</v>
      </c>
      <c r="N17" s="7" t="n">
        <f aca="false">(11.96+12.3)*1.05</f>
        <v>25.473</v>
      </c>
      <c r="O17" s="7" t="n">
        <f aca="false">M17-N17</f>
        <v>41.147</v>
      </c>
      <c r="P17" s="7" t="n">
        <v>0</v>
      </c>
      <c r="Q17" s="7" t="n">
        <v>0</v>
      </c>
      <c r="R17" s="7" t="n">
        <f aca="false">SUM(O17:Q17)</f>
        <v>41.147</v>
      </c>
      <c r="S17" s="8"/>
      <c r="T17" s="7" t="n">
        <f aca="false">35/D2</f>
        <v>17.6500252143217</v>
      </c>
      <c r="U17" s="7" t="n">
        <v>48.8</v>
      </c>
      <c r="V17" s="8" t="n">
        <f aca="false">V16-U17</f>
        <v>9806.18331484744</v>
      </c>
      <c r="W17" s="7" t="n">
        <f aca="false">N17+R17+T18+U17</f>
        <v>123.488582955119</v>
      </c>
      <c r="X17" s="7" t="n">
        <f aca="false">IF(L17&lt;0,L17*-1,0)</f>
        <v>0</v>
      </c>
      <c r="Y17" s="7" t="n">
        <f aca="false">W17+X17</f>
        <v>123.488582955119</v>
      </c>
      <c r="Z17" s="11" t="n">
        <v>0</v>
      </c>
      <c r="AA17" s="12" t="n">
        <v>59</v>
      </c>
      <c r="AB17" s="12" t="n">
        <v>33</v>
      </c>
      <c r="AC17" s="13" t="n">
        <f aca="false">AC16+1</f>
        <v>8</v>
      </c>
      <c r="AD17" s="12" t="n">
        <v>14117</v>
      </c>
      <c r="AE17" s="12" t="n">
        <v>707</v>
      </c>
      <c r="AG17" s="7" t="n">
        <v>15</v>
      </c>
    </row>
    <row r="18" customFormat="false" ht="11.1" hidden="false" customHeight="true" outlineLevel="0" collapsed="false">
      <c r="A18" s="13" t="n">
        <f aca="false">A17+1</f>
        <v>9</v>
      </c>
      <c r="B18" s="29" t="n">
        <v>6911.22</v>
      </c>
      <c r="C18" s="8" t="n">
        <v>326889</v>
      </c>
      <c r="D18" s="12" t="n">
        <f aca="false">C18-C17</f>
        <v>2695</v>
      </c>
      <c r="E18" s="8" t="n">
        <f aca="false">C18-152000</f>
        <v>174889</v>
      </c>
      <c r="F18" s="7" t="n">
        <f aca="false">D18/$D$2</f>
        <v>1359.05194150277</v>
      </c>
      <c r="G18" s="7" t="n">
        <v>684.3</v>
      </c>
      <c r="H18" s="9" t="n">
        <v>256.37</v>
      </c>
      <c r="I18" s="7" t="n">
        <f aca="false">G18+H18</f>
        <v>940.67</v>
      </c>
      <c r="J18" s="93" t="n">
        <f aca="false">IF(L18&gt;0,L18,0)</f>
        <v>546.590524457892</v>
      </c>
      <c r="K18" s="7" t="n">
        <f aca="false">I18+J18</f>
        <v>1487.26052445789</v>
      </c>
      <c r="L18" s="7" t="n">
        <f aca="false">F18-(I18-W18)</f>
        <v>546.590524457892</v>
      </c>
      <c r="M18" s="7" t="n">
        <v>70.4</v>
      </c>
      <c r="N18" s="7" t="n">
        <f aca="false">(13.5+13.92)*1.05</f>
        <v>28.791</v>
      </c>
      <c r="O18" s="7" t="n">
        <f aca="false">M18-N18</f>
        <v>41.609</v>
      </c>
      <c r="P18" s="7" t="n">
        <v>0</v>
      </c>
      <c r="Q18" s="7" t="n">
        <v>0</v>
      </c>
      <c r="R18" s="7" t="n">
        <f aca="false">SUM(O18:Q18)</f>
        <v>41.609</v>
      </c>
      <c r="S18" s="8"/>
      <c r="T18" s="7" t="n">
        <f aca="false">16/D2</f>
        <v>8.06858295511851</v>
      </c>
      <c r="U18" s="7" t="n">
        <v>49.74</v>
      </c>
      <c r="V18" s="8" t="n">
        <f aca="false">V17-U18</f>
        <v>9756.44331484744</v>
      </c>
      <c r="W18" s="7" t="n">
        <f aca="false">N18+R18+T18+U18</f>
        <v>128.208582955119</v>
      </c>
      <c r="X18" s="7" t="n">
        <f aca="false">IF(L18&lt;0,L18*-1,0)</f>
        <v>0</v>
      </c>
      <c r="Y18" s="7" t="n">
        <f aca="false">W18+X18</f>
        <v>128.208582955119</v>
      </c>
      <c r="Z18" s="11" t="n">
        <v>0.24</v>
      </c>
      <c r="AA18" s="40" t="n">
        <v>41</v>
      </c>
      <c r="AB18" s="12" t="n">
        <v>31</v>
      </c>
      <c r="AC18" s="13" t="n">
        <f aca="false">AC17+1</f>
        <v>9</v>
      </c>
      <c r="AD18" s="12" t="n">
        <v>14264</v>
      </c>
      <c r="AE18" s="12" t="n">
        <v>826</v>
      </c>
      <c r="AG18" s="7" t="n">
        <v>24</v>
      </c>
    </row>
    <row r="19" customFormat="false" ht="11.1" hidden="false" customHeight="true" outlineLevel="0" collapsed="false">
      <c r="A19" s="13" t="n">
        <f aca="false">A18+1</f>
        <v>10</v>
      </c>
      <c r="B19" s="29" t="n">
        <v>6911.66</v>
      </c>
      <c r="C19" s="8" t="n">
        <v>328669</v>
      </c>
      <c r="D19" s="12" t="n">
        <f aca="false">C19-C18</f>
        <v>1780</v>
      </c>
      <c r="E19" s="8" t="n">
        <f aca="false">C19-152000</f>
        <v>176669</v>
      </c>
      <c r="F19" s="7" t="n">
        <f aca="false">D19/$D$2</f>
        <v>897.629853756934</v>
      </c>
      <c r="G19" s="7" t="n">
        <v>492.58</v>
      </c>
      <c r="H19" s="9" t="n">
        <v>148.56</v>
      </c>
      <c r="I19" s="7" t="n">
        <f aca="false">G19+H19</f>
        <v>641.14</v>
      </c>
      <c r="J19" s="93" t="n">
        <f aca="false">IF(L19&gt;0,L19,0)</f>
        <v>372.649853756934</v>
      </c>
      <c r="K19" s="7" t="n">
        <f aca="false">I19+J19</f>
        <v>1013.78985375693</v>
      </c>
      <c r="L19" s="7" t="n">
        <f aca="false">F19-(I19-W19)</f>
        <v>372.649853756934</v>
      </c>
      <c r="M19" s="7" t="n">
        <v>66.21</v>
      </c>
      <c r="N19" s="7" t="n">
        <f aca="false">(16.05+16.41)*1.05</f>
        <v>34.083</v>
      </c>
      <c r="O19" s="7" t="n">
        <f aca="false">M19-N19</f>
        <v>32.127</v>
      </c>
      <c r="P19" s="7" t="n">
        <v>0</v>
      </c>
      <c r="Q19" s="7" t="n">
        <v>0</v>
      </c>
      <c r="R19" s="7" t="n">
        <f aca="false">SUM(O19:Q19)</f>
        <v>32.127</v>
      </c>
      <c r="S19" s="8"/>
      <c r="T19" s="7" t="n">
        <v>0</v>
      </c>
      <c r="U19" s="7" t="n">
        <v>49.95</v>
      </c>
      <c r="V19" s="8" t="n">
        <f aca="false">V18-U19</f>
        <v>9706.49331484744</v>
      </c>
      <c r="W19" s="7" t="n">
        <f aca="false">N19+R19+T19+U19</f>
        <v>116.16</v>
      </c>
      <c r="X19" s="7" t="n">
        <f aca="false">IF(L19&lt;0,L19*-1,0)</f>
        <v>0</v>
      </c>
      <c r="Y19" s="7" t="n">
        <f aca="false">W19+X19</f>
        <v>116.16</v>
      </c>
      <c r="Z19" s="11" t="n">
        <v>0</v>
      </c>
      <c r="AA19" s="12" t="n">
        <v>43</v>
      </c>
      <c r="AB19" s="12" t="n">
        <v>29</v>
      </c>
      <c r="AC19" s="13" t="n">
        <f aca="false">AC18+1</f>
        <v>10</v>
      </c>
      <c r="AD19" s="12" t="n">
        <v>14413</v>
      </c>
      <c r="AE19" s="12" t="n">
        <v>964</v>
      </c>
      <c r="AG19" s="7" t="n">
        <v>23</v>
      </c>
    </row>
    <row r="20" customFormat="false" ht="11.1" hidden="false" customHeight="true" outlineLevel="0" collapsed="false">
      <c r="A20" s="13" t="n">
        <f aca="false">A19+1</f>
        <v>11</v>
      </c>
      <c r="B20" s="29" t="n">
        <v>6911.96</v>
      </c>
      <c r="C20" s="8" t="n">
        <v>329882</v>
      </c>
      <c r="D20" s="12" t="n">
        <f aca="false">C20-C19</f>
        <v>1213</v>
      </c>
      <c r="E20" s="8" t="n">
        <f aca="false">C20-152000</f>
        <v>177882</v>
      </c>
      <c r="F20" s="7" t="n">
        <f aca="false">D20/$D$2</f>
        <v>611.699445284922</v>
      </c>
      <c r="G20" s="7" t="n">
        <v>400.81</v>
      </c>
      <c r="H20" s="9" t="n">
        <v>103.06</v>
      </c>
      <c r="I20" s="7" t="n">
        <f aca="false">G20+H20</f>
        <v>503.87</v>
      </c>
      <c r="J20" s="93" t="n">
        <f aca="false">IF(L20&gt;0,L20,0)</f>
        <v>293.889445284922</v>
      </c>
      <c r="K20" s="7" t="n">
        <f aca="false">I20+J20</f>
        <v>797.759445284922</v>
      </c>
      <c r="L20" s="7" t="n">
        <f aca="false">F20-(I20-W20)</f>
        <v>293.889445284922</v>
      </c>
      <c r="M20" s="7" t="n">
        <v>67.55</v>
      </c>
      <c r="N20" s="7" t="n">
        <v>39</v>
      </c>
      <c r="O20" s="7" t="n">
        <f aca="false">M20-N20</f>
        <v>28.55</v>
      </c>
      <c r="P20" s="7" t="n">
        <v>0</v>
      </c>
      <c r="Q20" s="7" t="n">
        <v>0</v>
      </c>
      <c r="R20" s="7" t="n">
        <f aca="false">SUM(O20:Q20)</f>
        <v>28.55</v>
      </c>
      <c r="S20" s="8"/>
      <c r="T20" s="7" t="n">
        <v>0</v>
      </c>
      <c r="U20" s="7" t="n">
        <v>118.51</v>
      </c>
      <c r="V20" s="8" t="n">
        <v>9706</v>
      </c>
      <c r="W20" s="7" t="n">
        <f aca="false">N20+R20+T20+U20</f>
        <v>186.06</v>
      </c>
      <c r="X20" s="7" t="n">
        <f aca="false">IF(L20&lt;0,L20*-1,0)</f>
        <v>0</v>
      </c>
      <c r="Y20" s="7" t="n">
        <f aca="false">W20+X20</f>
        <v>186.06</v>
      </c>
      <c r="Z20" s="11" t="n">
        <v>0</v>
      </c>
      <c r="AA20" s="12" t="n">
        <v>50</v>
      </c>
      <c r="AB20" s="12" t="n">
        <v>24</v>
      </c>
      <c r="AC20" s="13" t="n">
        <f aca="false">AC19+1</f>
        <v>11</v>
      </c>
      <c r="AD20" s="12" t="n">
        <v>14571</v>
      </c>
      <c r="AE20" s="12" t="n">
        <v>1065</v>
      </c>
      <c r="AG20" s="7" t="n">
        <v>23</v>
      </c>
    </row>
    <row r="21" customFormat="false" ht="11.1" hidden="false" customHeight="true" outlineLevel="0" collapsed="false">
      <c r="A21" s="13" t="n">
        <f aca="false">A20+1</f>
        <v>12</v>
      </c>
      <c r="B21" s="29" t="n">
        <v>6912.26</v>
      </c>
      <c r="C21" s="8" t="n">
        <v>331104</v>
      </c>
      <c r="D21" s="12" t="n">
        <f aca="false">C21-C20</f>
        <v>1222</v>
      </c>
      <c r="E21" s="8" t="n">
        <f aca="false">C21-152000</f>
        <v>179104</v>
      </c>
      <c r="F21" s="7" t="n">
        <f aca="false">D21/$D$2</f>
        <v>616.238023197176</v>
      </c>
      <c r="G21" s="7" t="n">
        <v>362.11</v>
      </c>
      <c r="H21" s="9" t="n">
        <v>75.25</v>
      </c>
      <c r="I21" s="7" t="n">
        <f aca="false">G21+H21</f>
        <v>437.36</v>
      </c>
      <c r="J21" s="93" t="n">
        <f aca="false">IF(L21&gt;0,L21,0)</f>
        <v>486.268023197176</v>
      </c>
      <c r="K21" s="7" t="n">
        <f aca="false">I21+J21</f>
        <v>923.628023197176</v>
      </c>
      <c r="L21" s="7" t="n">
        <f aca="false">F21-(I21-W21)</f>
        <v>486.268023197176</v>
      </c>
      <c r="M21" s="7" t="n">
        <v>59.56</v>
      </c>
      <c r="N21" s="7" t="n">
        <f aca="false">(21.06+21.12)*1.05</f>
        <v>44.289</v>
      </c>
      <c r="O21" s="7" t="n">
        <f aca="false">M21-N21</f>
        <v>15.271</v>
      </c>
      <c r="P21" s="7" t="n">
        <v>0</v>
      </c>
      <c r="Q21" s="7" t="n">
        <v>0</v>
      </c>
      <c r="R21" s="7" t="n">
        <f aca="false">SUM(O21:Q21)</f>
        <v>15.271</v>
      </c>
      <c r="S21" s="8"/>
      <c r="T21" s="7" t="n">
        <v>0</v>
      </c>
      <c r="U21" s="7" t="n">
        <v>247.83</v>
      </c>
      <c r="V21" s="8" t="n">
        <v>9706</v>
      </c>
      <c r="W21" s="7" t="n">
        <f aca="false">N21+R21+T21+U21</f>
        <v>307.39</v>
      </c>
      <c r="X21" s="7" t="n">
        <f aca="false">IF(L21&lt;0,L21*-1,0)</f>
        <v>0</v>
      </c>
      <c r="Y21" s="7" t="n">
        <f aca="false">W21+X21</f>
        <v>307.39</v>
      </c>
      <c r="Z21" s="11" t="n">
        <v>0</v>
      </c>
      <c r="AA21" s="12" t="n">
        <v>62</v>
      </c>
      <c r="AB21" s="12" t="n">
        <v>30</v>
      </c>
      <c r="AC21" s="13" t="n">
        <f aca="false">AC20+1</f>
        <v>12</v>
      </c>
      <c r="AD21" s="12" t="n">
        <v>14696</v>
      </c>
      <c r="AE21" s="12" t="n">
        <v>1185</v>
      </c>
      <c r="AG21" s="7" t="n">
        <v>23</v>
      </c>
    </row>
    <row r="22" customFormat="false" ht="11.1" hidden="false" customHeight="true" outlineLevel="0" collapsed="false">
      <c r="A22" s="13" t="n">
        <f aca="false">A21+1</f>
        <v>13</v>
      </c>
      <c r="B22" s="29" t="n">
        <v>6912.58</v>
      </c>
      <c r="C22" s="8" t="n">
        <v>332409</v>
      </c>
      <c r="D22" s="12" t="n">
        <f aca="false">C22-C21</f>
        <v>1305</v>
      </c>
      <c r="E22" s="8" t="n">
        <f aca="false">C22-152000</f>
        <v>180409</v>
      </c>
      <c r="F22" s="7" t="n">
        <f aca="false">D22/$D$2</f>
        <v>658.093797276853</v>
      </c>
      <c r="G22" s="7" t="n">
        <v>444.98</v>
      </c>
      <c r="H22" s="9" t="n">
        <v>119.75</v>
      </c>
      <c r="I22" s="7" t="n">
        <f aca="false">G22+H22</f>
        <v>564.73</v>
      </c>
      <c r="J22" s="93" t="n">
        <f aca="false">IF(L22&gt;0,L22,0)</f>
        <v>520.743797276853</v>
      </c>
      <c r="K22" s="7" t="n">
        <f aca="false">I22+J22</f>
        <v>1085.47379727685</v>
      </c>
      <c r="L22" s="7" t="n">
        <f aca="false">F22-(I22-W22)</f>
        <v>520.743797276853</v>
      </c>
      <c r="M22" s="7" t="n">
        <v>55.36</v>
      </c>
      <c r="N22" s="7" t="n">
        <f aca="false">(19.11+19.91)*1.05</f>
        <v>40.971</v>
      </c>
      <c r="O22" s="7" t="n">
        <f aca="false">M22-N22</f>
        <v>14.389</v>
      </c>
      <c r="P22" s="7" t="n">
        <v>0</v>
      </c>
      <c r="Q22" s="7" t="n">
        <v>0</v>
      </c>
      <c r="R22" s="7" t="n">
        <f aca="false">SUM(O22:Q22)</f>
        <v>14.389</v>
      </c>
      <c r="S22" s="8"/>
      <c r="T22" s="7" t="n">
        <v>0</v>
      </c>
      <c r="U22" s="7" t="n">
        <v>372.02</v>
      </c>
      <c r="V22" s="8" t="n">
        <v>9706</v>
      </c>
      <c r="W22" s="7" t="n">
        <f aca="false">N22+R22+T22+U22</f>
        <v>427.38</v>
      </c>
      <c r="X22" s="7" t="n">
        <f aca="false">IF(L22&lt;0,L22*-1,0)</f>
        <v>0</v>
      </c>
      <c r="Y22" s="7" t="n">
        <f aca="false">W22+X22</f>
        <v>427.38</v>
      </c>
      <c r="Z22" s="11" t="n">
        <v>0</v>
      </c>
      <c r="AA22" s="12" t="n">
        <v>67</v>
      </c>
      <c r="AB22" s="12" t="n">
        <v>40</v>
      </c>
      <c r="AC22" s="13" t="n">
        <f aca="false">AC21+1</f>
        <v>13</v>
      </c>
      <c r="AD22" s="12" t="n">
        <v>14771</v>
      </c>
      <c r="AE22" s="12" t="n">
        <v>1299</v>
      </c>
      <c r="AG22" s="7" t="n">
        <v>28</v>
      </c>
    </row>
    <row r="23" customFormat="false" ht="11.1" hidden="false" customHeight="true" outlineLevel="0" collapsed="false">
      <c r="A23" s="13" t="n">
        <f aca="false">A22+1</f>
        <v>14</v>
      </c>
      <c r="B23" s="29" t="n">
        <v>6912.9</v>
      </c>
      <c r="C23" s="8" t="n">
        <v>333714</v>
      </c>
      <c r="D23" s="12" t="n">
        <f aca="false">C23-C22</f>
        <v>1305</v>
      </c>
      <c r="E23" s="8" t="n">
        <f aca="false">C23-152000</f>
        <v>181714</v>
      </c>
      <c r="F23" s="7" t="n">
        <f aca="false">D23/$D$2</f>
        <v>658.093797276853</v>
      </c>
      <c r="G23" s="7" t="n">
        <v>648.59</v>
      </c>
      <c r="H23" s="9" t="n">
        <v>195.22</v>
      </c>
      <c r="I23" s="7" t="n">
        <f aca="false">G23+H23</f>
        <v>843.81</v>
      </c>
      <c r="J23" s="93" t="n">
        <f aca="false">IF(L23&gt;0,L23,0)</f>
        <v>434.633797276853</v>
      </c>
      <c r="K23" s="7" t="n">
        <f aca="false">I23+J23</f>
        <v>1278.44379727685</v>
      </c>
      <c r="L23" s="7" t="n">
        <f aca="false">F23-(I23-W23)</f>
        <v>434.633797276853</v>
      </c>
      <c r="M23" s="7" t="n">
        <v>57.83</v>
      </c>
      <c r="N23" s="7" t="n">
        <f aca="false">(18.37+17.72)*1.05</f>
        <v>37.8945</v>
      </c>
      <c r="O23" s="7" t="n">
        <f aca="false">M23-N23</f>
        <v>19.9355</v>
      </c>
      <c r="P23" s="7" t="n">
        <v>0</v>
      </c>
      <c r="Q23" s="7" t="n">
        <v>0</v>
      </c>
      <c r="R23" s="7" t="n">
        <f aca="false">SUM(O23:Q23)</f>
        <v>19.9355</v>
      </c>
      <c r="S23" s="8"/>
      <c r="T23" s="7" t="n">
        <v>0</v>
      </c>
      <c r="U23" s="7" t="n">
        <v>562.52</v>
      </c>
      <c r="V23" s="8" t="n">
        <v>9706</v>
      </c>
      <c r="W23" s="7" t="n">
        <f aca="false">N23+R23+T23+U23</f>
        <v>620.35</v>
      </c>
      <c r="X23" s="7" t="n">
        <f aca="false">IF(L23&lt;0,L23*-1,0)</f>
        <v>0</v>
      </c>
      <c r="Y23" s="7" t="n">
        <f aca="false">W23+X23</f>
        <v>620.35</v>
      </c>
      <c r="Z23" s="11" t="n">
        <v>0</v>
      </c>
      <c r="AA23" s="40" t="n">
        <v>63</v>
      </c>
      <c r="AB23" s="12" t="n">
        <v>38</v>
      </c>
      <c r="AC23" s="13" t="n">
        <f aca="false">AC22+1</f>
        <v>14</v>
      </c>
      <c r="AD23" s="12" t="n">
        <v>14842</v>
      </c>
      <c r="AE23" s="12" t="n">
        <v>1407</v>
      </c>
      <c r="AG23" s="7" t="n">
        <v>29</v>
      </c>
    </row>
    <row r="24" customFormat="false" ht="11.1" hidden="false" customHeight="true" outlineLevel="0" collapsed="false">
      <c r="A24" s="13" t="n">
        <f aca="false">A23+1</f>
        <v>15</v>
      </c>
      <c r="B24" s="29" t="n">
        <v>6913.05</v>
      </c>
      <c r="C24" s="8" t="n">
        <v>334327</v>
      </c>
      <c r="D24" s="12" t="n">
        <f aca="false">C24-C23</f>
        <v>613</v>
      </c>
      <c r="E24" s="8" t="n">
        <f aca="false">C24-152000</f>
        <v>182327</v>
      </c>
      <c r="F24" s="7" t="n">
        <f aca="false">D24/$D$2</f>
        <v>309.127584467978</v>
      </c>
      <c r="G24" s="7" t="n">
        <v>696.97</v>
      </c>
      <c r="H24" s="9" t="n">
        <v>174.38</v>
      </c>
      <c r="I24" s="7" t="n">
        <f aca="false">G24+H24</f>
        <v>871.35</v>
      </c>
      <c r="J24" s="93" t="n">
        <f aca="false">IF(L24&gt;0,L24,0)</f>
        <v>109.907584467978</v>
      </c>
      <c r="K24" s="7" t="n">
        <f aca="false">I24+J24</f>
        <v>981.257584467978</v>
      </c>
      <c r="L24" s="7" t="n">
        <f aca="false">F24-(I24-W24)</f>
        <v>109.907584467978</v>
      </c>
      <c r="M24" s="7" t="n">
        <v>48.33</v>
      </c>
      <c r="N24" s="7" t="n">
        <f aca="false">(16.57+16.08)*1.05</f>
        <v>34.2825</v>
      </c>
      <c r="O24" s="7" t="n">
        <f aca="false">M24-N24</f>
        <v>14.0475</v>
      </c>
      <c r="P24" s="7" t="n">
        <v>0</v>
      </c>
      <c r="Q24" s="7" t="n">
        <v>0</v>
      </c>
      <c r="R24" s="7" t="n">
        <f aca="false">SUM(O24:Q24)</f>
        <v>14.0475</v>
      </c>
      <c r="S24" s="8"/>
      <c r="T24" s="7" t="n">
        <v>0</v>
      </c>
      <c r="U24" s="7" t="n">
        <v>623.8</v>
      </c>
      <c r="V24" s="8" t="n">
        <v>9706</v>
      </c>
      <c r="W24" s="7" t="n">
        <f aca="false">N24+R24+T24+U24</f>
        <v>672.13</v>
      </c>
      <c r="X24" s="7" t="n">
        <f aca="false">IF(L24&lt;0,L24*-1,0)</f>
        <v>0</v>
      </c>
      <c r="Y24" s="7" t="n">
        <f aca="false">W24+X24</f>
        <v>672.13</v>
      </c>
      <c r="Z24" s="11" t="n">
        <v>0</v>
      </c>
      <c r="AA24" s="40" t="n">
        <v>52</v>
      </c>
      <c r="AB24" s="12" t="n">
        <v>37</v>
      </c>
      <c r="AC24" s="13" t="n">
        <f aca="false">AC23+1</f>
        <v>15</v>
      </c>
      <c r="AD24" s="12" t="n">
        <v>14927</v>
      </c>
      <c r="AE24" s="12" t="n">
        <v>1516</v>
      </c>
      <c r="AG24" s="7" t="n">
        <v>28</v>
      </c>
    </row>
    <row r="25" customFormat="false" ht="11.1" hidden="false" customHeight="true" outlineLevel="0" collapsed="false">
      <c r="A25" s="13" t="n">
        <f aca="false">A24+1</f>
        <v>16</v>
      </c>
      <c r="B25" s="29" t="n">
        <v>6913.21</v>
      </c>
      <c r="C25" s="8" t="n">
        <v>334984</v>
      </c>
      <c r="D25" s="12" t="n">
        <f aca="false">C25-C24</f>
        <v>657</v>
      </c>
      <c r="E25" s="8" t="n">
        <f aca="false">C25-152000</f>
        <v>182984</v>
      </c>
      <c r="F25" s="7" t="n">
        <f aca="false">D25/$D$2</f>
        <v>331.316187594554</v>
      </c>
      <c r="G25" s="7" t="n">
        <v>572.02</v>
      </c>
      <c r="H25" s="9" t="n">
        <v>99.74</v>
      </c>
      <c r="I25" s="7" t="n">
        <f aca="false">G25+H25</f>
        <v>671.76</v>
      </c>
      <c r="J25" s="93" t="n">
        <f aca="false">IF(L25&gt;0,L25,0)</f>
        <v>432.636187594554</v>
      </c>
      <c r="K25" s="7" t="n">
        <f aca="false">I25+J25</f>
        <v>1104.39618759455</v>
      </c>
      <c r="L25" s="7" t="n">
        <f aca="false">F25-(I25-W25)</f>
        <v>432.636187594554</v>
      </c>
      <c r="M25" s="7" t="n">
        <v>56.52</v>
      </c>
      <c r="N25" s="7" t="n">
        <f aca="false">(15.81+16.01)*1.05</f>
        <v>33.411</v>
      </c>
      <c r="O25" s="7" t="n">
        <f aca="false">M25-N25</f>
        <v>23.109</v>
      </c>
      <c r="P25" s="7" t="n">
        <v>0</v>
      </c>
      <c r="Q25" s="7" t="n">
        <v>0</v>
      </c>
      <c r="R25" s="7" t="n">
        <f aca="false">SUM(O25:Q25)</f>
        <v>23.109</v>
      </c>
      <c r="S25" s="8"/>
      <c r="T25" s="7" t="n">
        <v>0</v>
      </c>
      <c r="U25" s="7" t="n">
        <v>716.56</v>
      </c>
      <c r="V25" s="8" t="n">
        <v>9706</v>
      </c>
      <c r="W25" s="7" t="n">
        <f aca="false">N25+R25+T25+U25</f>
        <v>773.08</v>
      </c>
      <c r="X25" s="7" t="n">
        <f aca="false">IF(L25&lt;0,L25*-1,0)</f>
        <v>0</v>
      </c>
      <c r="Y25" s="7" t="n">
        <f aca="false">W25+X25</f>
        <v>773.08</v>
      </c>
      <c r="Z25" s="11" t="n">
        <v>0</v>
      </c>
      <c r="AA25" s="40" t="n">
        <v>58</v>
      </c>
      <c r="AB25" s="12" t="n">
        <v>39</v>
      </c>
      <c r="AC25" s="13" t="n">
        <f aca="false">AC24+1</f>
        <v>16</v>
      </c>
      <c r="AD25" s="12" t="n">
        <v>15009</v>
      </c>
      <c r="AE25" s="12" t="n">
        <v>1615</v>
      </c>
      <c r="AG25" s="7" t="n">
        <v>28</v>
      </c>
    </row>
    <row r="26" customFormat="false" ht="11.1" hidden="false" customHeight="true" outlineLevel="0" collapsed="false">
      <c r="A26" s="13" t="n">
        <f aca="false">A25+1</f>
        <v>17</v>
      </c>
      <c r="B26" s="29" t="n">
        <v>6913.2</v>
      </c>
      <c r="C26" s="8" t="n">
        <v>334943</v>
      </c>
      <c r="D26" s="12" t="n">
        <f aca="false">C26-C25</f>
        <v>-41</v>
      </c>
      <c r="E26" s="8" t="n">
        <f aca="false">C26-152000</f>
        <v>182943</v>
      </c>
      <c r="F26" s="7" t="n">
        <f aca="false">D26/$D$2</f>
        <v>-20.6757438224912</v>
      </c>
      <c r="G26" s="7" t="n">
        <v>595.65</v>
      </c>
      <c r="H26" s="9" t="n">
        <v>99.02</v>
      </c>
      <c r="I26" s="7" t="n">
        <f aca="false">G26+H26</f>
        <v>694.67</v>
      </c>
      <c r="J26" s="93" t="n">
        <f aca="false">IF(L26&gt;0,L26,0)</f>
        <v>130.034256177509</v>
      </c>
      <c r="K26" s="7" t="n">
        <f aca="false">I26+J26</f>
        <v>824.704256177509</v>
      </c>
      <c r="L26" s="7" t="n">
        <f aca="false">F26-(I26-W26)</f>
        <v>130.034256177509</v>
      </c>
      <c r="M26" s="7" t="n">
        <v>64.91</v>
      </c>
      <c r="N26" s="7" t="n">
        <f aca="false">(15.47+16.05)*1.05</f>
        <v>33.096</v>
      </c>
      <c r="O26" s="7" t="n">
        <f aca="false">M26-N26</f>
        <v>31.814</v>
      </c>
      <c r="P26" s="7" t="n">
        <v>0</v>
      </c>
      <c r="Q26" s="7" t="n">
        <v>0</v>
      </c>
      <c r="R26" s="7" t="n">
        <f aca="false">SUM(O26:Q26)</f>
        <v>31.814</v>
      </c>
      <c r="S26" s="8"/>
      <c r="T26" s="7" t="n">
        <v>2.5</v>
      </c>
      <c r="U26" s="7" t="n">
        <v>777.97</v>
      </c>
      <c r="V26" s="8" t="n">
        <v>9706</v>
      </c>
      <c r="W26" s="7" t="n">
        <f aca="false">N26+R26+T26+U26</f>
        <v>845.38</v>
      </c>
      <c r="X26" s="7" t="n">
        <f aca="false">IF(L26&lt;0,L26*-1,0)</f>
        <v>0</v>
      </c>
      <c r="Y26" s="7" t="n">
        <f aca="false">W26+X26</f>
        <v>845.38</v>
      </c>
      <c r="Z26" s="11" t="n">
        <v>0.29</v>
      </c>
      <c r="AA26" s="40" t="n">
        <v>36</v>
      </c>
      <c r="AB26" s="12" t="n">
        <v>24</v>
      </c>
      <c r="AC26" s="13" t="n">
        <f aca="false">AC25+1</f>
        <v>17</v>
      </c>
      <c r="AD26" s="12" t="n">
        <v>15112</v>
      </c>
      <c r="AE26" s="12" t="n">
        <v>1714</v>
      </c>
      <c r="AG26" s="7" t="n">
        <v>12</v>
      </c>
    </row>
    <row r="27" customFormat="false" ht="11.1" hidden="false" customHeight="true" outlineLevel="0" collapsed="false">
      <c r="A27" s="13" t="n">
        <f aca="false">A26+1</f>
        <v>18</v>
      </c>
      <c r="B27" s="29" t="n">
        <v>6913.16</v>
      </c>
      <c r="C27" s="8" t="n">
        <v>334779</v>
      </c>
      <c r="D27" s="12" t="n">
        <f aca="false">C27-C26</f>
        <v>-164</v>
      </c>
      <c r="E27" s="8" t="n">
        <f aca="false">C27-152000</f>
        <v>182779</v>
      </c>
      <c r="F27" s="7" t="n">
        <f aca="false">D27/$D$2</f>
        <v>-82.7029752899647</v>
      </c>
      <c r="G27" s="7" t="n">
        <v>510.49</v>
      </c>
      <c r="H27" s="9" t="n">
        <v>73.65</v>
      </c>
      <c r="I27" s="7" t="n">
        <f aca="false">G27+H27</f>
        <v>584.14</v>
      </c>
      <c r="J27" s="93" t="n">
        <f aca="false">IF(L27&gt;0,L27,0)</f>
        <v>206.667024710035</v>
      </c>
      <c r="K27" s="7" t="n">
        <f aca="false">I27+J27</f>
        <v>790.807024710035</v>
      </c>
      <c r="L27" s="7" t="n">
        <f aca="false">F27-(I27-W27)</f>
        <v>206.667024710035</v>
      </c>
      <c r="M27" s="7" t="n">
        <v>67.84</v>
      </c>
      <c r="N27" s="7" t="n">
        <f aca="false">(15.76+15.6)*1.05</f>
        <v>32.928</v>
      </c>
      <c r="O27" s="7" t="n">
        <f aca="false">M27-N27</f>
        <v>34.912</v>
      </c>
      <c r="P27" s="7" t="n">
        <v>0</v>
      </c>
      <c r="Q27" s="7" t="n">
        <v>0</v>
      </c>
      <c r="R27" s="7" t="n">
        <f aca="false">SUM(O27:Q27)</f>
        <v>34.912</v>
      </c>
      <c r="S27" s="8"/>
      <c r="T27" s="7" t="n">
        <v>1</v>
      </c>
      <c r="U27" s="7" t="n">
        <v>804.67</v>
      </c>
      <c r="V27" s="8" t="n">
        <v>9706</v>
      </c>
      <c r="W27" s="7" t="n">
        <f aca="false">N27+R27+T27+U27</f>
        <v>873.51</v>
      </c>
      <c r="X27" s="7" t="n">
        <f aca="false">IF(L27&lt;0,L27*-1,0)</f>
        <v>0</v>
      </c>
      <c r="Y27" s="7" t="n">
        <f aca="false">W27+X27</f>
        <v>873.51</v>
      </c>
      <c r="Z27" s="11" t="n">
        <v>0.08</v>
      </c>
      <c r="AA27" s="40" t="n">
        <v>45</v>
      </c>
      <c r="AB27" s="12" t="n">
        <v>32</v>
      </c>
      <c r="AC27" s="13" t="n">
        <f aca="false">AC26+1</f>
        <v>18</v>
      </c>
      <c r="AD27" s="12" t="n">
        <v>15213</v>
      </c>
      <c r="AE27" s="12" t="n">
        <v>1812</v>
      </c>
      <c r="AG27" s="7" t="n">
        <v>11</v>
      </c>
    </row>
    <row r="28" customFormat="false" ht="11.1" hidden="false" customHeight="true" outlineLevel="0" collapsed="false">
      <c r="A28" s="13" t="n">
        <f aca="false">A27+1</f>
        <v>19</v>
      </c>
      <c r="B28" s="29" t="n">
        <v>6913.14</v>
      </c>
      <c r="C28" s="8" t="n">
        <v>334697</v>
      </c>
      <c r="D28" s="12" t="n">
        <f aca="false">C28-C27</f>
        <v>-82</v>
      </c>
      <c r="E28" s="8" t="n">
        <f aca="false">C28-152000</f>
        <v>182697</v>
      </c>
      <c r="F28" s="7" t="n">
        <f aca="false">D28/$D$2</f>
        <v>-41.3514876449823</v>
      </c>
      <c r="G28" s="7" t="n">
        <v>473.91</v>
      </c>
      <c r="H28" s="9" t="n">
        <v>62.35</v>
      </c>
      <c r="I28" s="7" t="n">
        <f aca="false">G28+H28</f>
        <v>536.26</v>
      </c>
      <c r="J28" s="93" t="n">
        <f aca="false">IF(L28&gt;0,L28,0)</f>
        <v>336.728512355018</v>
      </c>
      <c r="K28" s="7" t="n">
        <f aca="false">I28+J28</f>
        <v>872.988512355018</v>
      </c>
      <c r="L28" s="7" t="n">
        <f aca="false">F28-(I28-W28)</f>
        <v>336.728512355018</v>
      </c>
      <c r="M28" s="7" t="n">
        <v>71.56</v>
      </c>
      <c r="N28" s="7" t="n">
        <f aca="false">(15.74+15.59)*1.05</f>
        <v>32.8965</v>
      </c>
      <c r="O28" s="7" t="n">
        <f aca="false">M28-N28</f>
        <v>38.6635</v>
      </c>
      <c r="P28" s="7" t="n">
        <v>0</v>
      </c>
      <c r="Q28" s="7" t="n">
        <v>0</v>
      </c>
      <c r="R28" s="7" t="n">
        <f aca="false">SUM(O28:Q28)</f>
        <v>38.6635</v>
      </c>
      <c r="S28" s="8"/>
      <c r="T28" s="7" t="n">
        <v>15</v>
      </c>
      <c r="U28" s="7" t="n">
        <v>827.78</v>
      </c>
      <c r="V28" s="8" t="n">
        <v>9706</v>
      </c>
      <c r="W28" s="7" t="n">
        <f aca="false">N28+R28+T28+U28</f>
        <v>914.34</v>
      </c>
      <c r="X28" s="7" t="n">
        <f aca="false">IF(L28&lt;0,L28*-1,0)</f>
        <v>0</v>
      </c>
      <c r="Y28" s="7" t="n">
        <f aca="false">W28+X28</f>
        <v>914.34</v>
      </c>
      <c r="Z28" s="11" t="n">
        <v>0.06</v>
      </c>
      <c r="AA28" s="40" t="n">
        <v>47</v>
      </c>
      <c r="AB28" s="12" t="n">
        <v>32</v>
      </c>
      <c r="AC28" s="13" t="n">
        <f aca="false">AC27+1</f>
        <v>19</v>
      </c>
      <c r="AD28" s="12" t="n">
        <v>15295</v>
      </c>
      <c r="AE28" s="12" t="n">
        <v>1909</v>
      </c>
      <c r="AG28" s="7" t="n">
        <v>26</v>
      </c>
    </row>
    <row r="29" customFormat="false" ht="11.1" hidden="false" customHeight="true" outlineLevel="0" collapsed="false">
      <c r="A29" s="13" t="n">
        <f aca="false">A28+1</f>
        <v>20</v>
      </c>
      <c r="B29" s="29" t="n">
        <v>6913.11</v>
      </c>
      <c r="C29" s="8" t="n">
        <v>334573</v>
      </c>
      <c r="D29" s="12" t="n">
        <f aca="false">C29-C28</f>
        <v>-124</v>
      </c>
      <c r="E29" s="8" t="n">
        <f aca="false">C29-152000</f>
        <v>182573</v>
      </c>
      <c r="F29" s="7" t="n">
        <f aca="false">D29/$D$2</f>
        <v>-62.5315179021684</v>
      </c>
      <c r="G29" s="7" t="n">
        <v>439.42</v>
      </c>
      <c r="H29" s="9" t="n">
        <v>57.56</v>
      </c>
      <c r="I29" s="7" t="n">
        <f aca="false">G29+H29</f>
        <v>496.98</v>
      </c>
      <c r="J29" s="93" t="n">
        <f aca="false">IF(L29&gt;0,L29,0)</f>
        <v>341.318482097831</v>
      </c>
      <c r="K29" s="7" t="n">
        <f aca="false">I29+J29</f>
        <v>838.298482097832</v>
      </c>
      <c r="L29" s="7" t="n">
        <f aca="false">F29-(I29-W29)</f>
        <v>341.318482097831</v>
      </c>
      <c r="M29" s="7" t="n">
        <v>69.65</v>
      </c>
      <c r="N29" s="7" t="n">
        <f aca="false">(15.54+17.56)*1.05</f>
        <v>34.755</v>
      </c>
      <c r="O29" s="7" t="n">
        <f aca="false">M29-N29</f>
        <v>34.895</v>
      </c>
      <c r="P29" s="7" t="n">
        <v>0</v>
      </c>
      <c r="Q29" s="7" t="n">
        <v>0</v>
      </c>
      <c r="R29" s="7" t="n">
        <f aca="false">SUM(O29:Q29)</f>
        <v>34.895</v>
      </c>
      <c r="S29" s="8"/>
      <c r="T29" s="7" t="n">
        <v>15</v>
      </c>
      <c r="U29" s="7" t="n">
        <v>816.18</v>
      </c>
      <c r="V29" s="8" t="n">
        <v>9706</v>
      </c>
      <c r="W29" s="7" t="n">
        <f aca="false">N29+R29+T29+U29</f>
        <v>900.83</v>
      </c>
      <c r="X29" s="7" t="n">
        <f aca="false">IF(L29&lt;0,L29*-1,0)</f>
        <v>0</v>
      </c>
      <c r="Y29" s="7" t="n">
        <f aca="false">W29+X29</f>
        <v>900.83</v>
      </c>
      <c r="Z29" s="11" t="n">
        <v>0</v>
      </c>
      <c r="AA29" s="40" t="n">
        <v>42</v>
      </c>
      <c r="AB29" s="12" t="n">
        <v>28</v>
      </c>
      <c r="AC29" s="13" t="n">
        <f aca="false">AC28+1</f>
        <v>20</v>
      </c>
      <c r="AD29" s="12" t="n">
        <v>15367</v>
      </c>
      <c r="AE29" s="12" t="n">
        <v>2006</v>
      </c>
      <c r="AG29" s="7" t="n">
        <v>28</v>
      </c>
    </row>
    <row r="30" customFormat="false" ht="11.1" hidden="false" customHeight="true" outlineLevel="0" collapsed="false">
      <c r="A30" s="13" t="n">
        <f aca="false">A29+1</f>
        <v>21</v>
      </c>
      <c r="B30" s="29" t="n">
        <v>6913.08</v>
      </c>
      <c r="C30" s="8" t="n">
        <v>334450</v>
      </c>
      <c r="D30" s="12" t="n">
        <f aca="false">C30-C29</f>
        <v>-123</v>
      </c>
      <c r="E30" s="8" t="n">
        <f aca="false">C30-152000</f>
        <v>182450</v>
      </c>
      <c r="F30" s="7" t="n">
        <f aca="false">D30/$D$2</f>
        <v>-62.0272314674735</v>
      </c>
      <c r="G30" s="7" t="n">
        <v>413.88</v>
      </c>
      <c r="H30" s="9" t="n">
        <v>54.91</v>
      </c>
      <c r="I30" s="7" t="n">
        <f aca="false">G30+H30</f>
        <v>468.79</v>
      </c>
      <c r="J30" s="93" t="n">
        <f aca="false">IF(L30&gt;0,L30,0)</f>
        <v>324.562768532526</v>
      </c>
      <c r="K30" s="7" t="n">
        <f aca="false">I30+J30</f>
        <v>793.352768532526</v>
      </c>
      <c r="L30" s="7" t="n">
        <f aca="false">F30-(I30-W30)</f>
        <v>324.562768532526</v>
      </c>
      <c r="M30" s="7" t="n">
        <v>47.42</v>
      </c>
      <c r="N30" s="7" t="n">
        <f aca="false">(10.57+11.79)*1.05</f>
        <v>23.478</v>
      </c>
      <c r="O30" s="7" t="n">
        <f aca="false">M30-N30</f>
        <v>23.942</v>
      </c>
      <c r="P30" s="7" t="n">
        <v>0</v>
      </c>
      <c r="Q30" s="7" t="n">
        <v>0</v>
      </c>
      <c r="R30" s="7" t="n">
        <f aca="false">SUM(O30:Q30)</f>
        <v>23.942</v>
      </c>
      <c r="S30" s="8"/>
      <c r="T30" s="7" t="n">
        <v>0</v>
      </c>
      <c r="U30" s="7" t="n">
        <v>807.96</v>
      </c>
      <c r="V30" s="8" t="n">
        <v>9706</v>
      </c>
      <c r="W30" s="7" t="n">
        <f aca="false">N30+R30+T30+U30</f>
        <v>855.38</v>
      </c>
      <c r="X30" s="7" t="n">
        <f aca="false">IF(L30&lt;0,L30*-1,0)</f>
        <v>0</v>
      </c>
      <c r="Y30" s="7" t="n">
        <f aca="false">W30+X30</f>
        <v>855.38</v>
      </c>
      <c r="Z30" s="11" t="n">
        <v>0</v>
      </c>
      <c r="AA30" s="12" t="n">
        <v>37</v>
      </c>
      <c r="AB30" s="12" t="n">
        <v>30</v>
      </c>
      <c r="AC30" s="13" t="n">
        <f aca="false">AC29+1</f>
        <v>21</v>
      </c>
      <c r="AD30" s="12" t="n">
        <v>15445</v>
      </c>
      <c r="AE30" s="12" t="n">
        <v>2106</v>
      </c>
      <c r="AF30" s="0" t="n">
        <v>273.4</v>
      </c>
      <c r="AG30" s="7" t="n">
        <v>29</v>
      </c>
    </row>
    <row r="31" customFormat="false" ht="11.1" hidden="false" customHeight="true" outlineLevel="0" collapsed="false">
      <c r="A31" s="13" t="n">
        <f aca="false">A30+1</f>
        <v>22</v>
      </c>
      <c r="B31" s="29" t="n">
        <v>6913.01</v>
      </c>
      <c r="C31" s="8" t="n">
        <v>334162</v>
      </c>
      <c r="D31" s="12" t="n">
        <f aca="false">C31-C30</f>
        <v>-288</v>
      </c>
      <c r="E31" s="8" t="n">
        <f aca="false">C31-152000</f>
        <v>182162</v>
      </c>
      <c r="F31" s="7" t="n">
        <f aca="false">D31/$D$2</f>
        <v>-145.234493192133</v>
      </c>
      <c r="G31" s="7" t="n">
        <v>396.71</v>
      </c>
      <c r="H31" s="9" t="n">
        <v>65.05</v>
      </c>
      <c r="I31" s="7" t="n">
        <f aca="false">G31+H31</f>
        <v>461.76</v>
      </c>
      <c r="J31" s="93" t="n">
        <f aca="false">IF(L31&gt;0,L31,0)</f>
        <v>241.155506807867</v>
      </c>
      <c r="K31" s="7" t="n">
        <f aca="false">I31+J31</f>
        <v>702.915506807867</v>
      </c>
      <c r="L31" s="7" t="n">
        <f aca="false">F31-(I31-W31)</f>
        <v>241.155506807867</v>
      </c>
      <c r="M31" s="7" t="n">
        <v>36.66</v>
      </c>
      <c r="N31" s="7" t="n">
        <f aca="false">(5.13+5.44)*1.05</f>
        <v>11.0985</v>
      </c>
      <c r="O31" s="7" t="n">
        <f aca="false">M31-N31</f>
        <v>25.5615</v>
      </c>
      <c r="P31" s="7" t="n">
        <v>0</v>
      </c>
      <c r="Q31" s="7" t="n">
        <v>0</v>
      </c>
      <c r="R31" s="7" t="n">
        <f aca="false">SUM(O31:Q31)</f>
        <v>25.5615</v>
      </c>
      <c r="S31" s="8"/>
      <c r="T31" s="7" t="n">
        <v>8.1</v>
      </c>
      <c r="U31" s="7" t="n">
        <v>803.39</v>
      </c>
      <c r="V31" s="8" t="n">
        <v>9706</v>
      </c>
      <c r="W31" s="7" t="n">
        <f aca="false">N31+R31+T31+U31</f>
        <v>848.15</v>
      </c>
      <c r="X31" s="7" t="n">
        <f aca="false">IF(L31&lt;0,L31*-1,0)</f>
        <v>0</v>
      </c>
      <c r="Y31" s="7" t="n">
        <f aca="false">W31+X31</f>
        <v>848.15</v>
      </c>
      <c r="Z31" s="11" t="n">
        <v>0.65</v>
      </c>
      <c r="AA31" s="12" t="n">
        <v>42</v>
      </c>
      <c r="AB31" s="12" t="n">
        <v>28</v>
      </c>
      <c r="AC31" s="13" t="n">
        <f aca="false">AC30+1</f>
        <v>22</v>
      </c>
      <c r="AD31" s="12" t="n">
        <v>15524</v>
      </c>
      <c r="AE31" s="12" t="n">
        <v>2203</v>
      </c>
      <c r="AF31" s="0" t="n">
        <v>249.63</v>
      </c>
      <c r="AG31" s="7" t="n">
        <v>28</v>
      </c>
    </row>
    <row r="32" customFormat="false" ht="11.1" hidden="false" customHeight="true" outlineLevel="0" collapsed="false">
      <c r="A32" s="13" t="n">
        <f aca="false">A31+1</f>
        <v>23</v>
      </c>
      <c r="B32" s="29" t="n">
        <v>6913.01</v>
      </c>
      <c r="C32" s="8" t="n">
        <v>334162</v>
      </c>
      <c r="D32" s="12" t="n">
        <f aca="false">C32-C31</f>
        <v>0</v>
      </c>
      <c r="E32" s="8" t="n">
        <f aca="false">C32-152000</f>
        <v>182162</v>
      </c>
      <c r="F32" s="7" t="n">
        <f aca="false">D32/$D$2</f>
        <v>0</v>
      </c>
      <c r="G32" s="7" t="n">
        <v>386.17</v>
      </c>
      <c r="H32" s="9" t="n">
        <v>75.44</v>
      </c>
      <c r="I32" s="7" t="n">
        <f aca="false">G32+H32</f>
        <v>461.61</v>
      </c>
      <c r="J32" s="93" t="n">
        <f aca="false">IF(L32&gt;0,L32,0)</f>
        <v>377.87</v>
      </c>
      <c r="K32" s="7" t="n">
        <f aca="false">I32+J32</f>
        <v>839.48</v>
      </c>
      <c r="L32" s="7" t="n">
        <f aca="false">F32-(I32-W32)</f>
        <v>377.87</v>
      </c>
      <c r="M32" s="7" t="n">
        <v>37.3</v>
      </c>
      <c r="N32" s="7" t="n">
        <f aca="false">(4.98+5.41)*1.05</f>
        <v>10.9095</v>
      </c>
      <c r="O32" s="7" t="n">
        <f aca="false">M32-N32</f>
        <v>26.3905</v>
      </c>
      <c r="P32" s="7" t="n">
        <v>0</v>
      </c>
      <c r="Q32" s="7" t="n">
        <v>0</v>
      </c>
      <c r="R32" s="7" t="n">
        <f aca="false">SUM(O32:Q32)</f>
        <v>26.3905</v>
      </c>
      <c r="S32" s="8"/>
      <c r="T32" s="7" t="n">
        <v>0</v>
      </c>
      <c r="U32" s="7" t="n">
        <v>802.18</v>
      </c>
      <c r="V32" s="8" t="n">
        <v>9706</v>
      </c>
      <c r="W32" s="7" t="n">
        <f aca="false">N32+R32+T32+U32</f>
        <v>839.48</v>
      </c>
      <c r="X32" s="7" t="n">
        <f aca="false">IF(L32&lt;0,L32*-1,0)</f>
        <v>0</v>
      </c>
      <c r="Y32" s="7" t="n">
        <f aca="false">W32+X32</f>
        <v>839.48</v>
      </c>
      <c r="Z32" s="11" t="n">
        <v>0.01</v>
      </c>
      <c r="AA32" s="12" t="n">
        <v>51</v>
      </c>
      <c r="AB32" s="40" t="n">
        <v>24</v>
      </c>
      <c r="AC32" s="13" t="n">
        <f aca="false">AC31+1</f>
        <v>23</v>
      </c>
      <c r="AD32" s="12" t="n">
        <v>15607</v>
      </c>
      <c r="AE32" s="12" t="n">
        <v>2299</v>
      </c>
      <c r="AF32" s="0" t="n">
        <v>243.94</v>
      </c>
      <c r="AG32" s="7" t="n">
        <v>31</v>
      </c>
    </row>
    <row r="33" customFormat="false" ht="11.1" hidden="false" customHeight="true" outlineLevel="0" collapsed="false">
      <c r="A33" s="13" t="n">
        <f aca="false">A32+1</f>
        <v>24</v>
      </c>
      <c r="B33" s="29" t="n">
        <v>6913.01</v>
      </c>
      <c r="C33" s="8" t="n">
        <v>334162</v>
      </c>
      <c r="D33" s="12" t="n">
        <f aca="false">C33-C32</f>
        <v>0</v>
      </c>
      <c r="E33" s="8" t="n">
        <f aca="false">C33-152000</f>
        <v>182162</v>
      </c>
      <c r="F33" s="7" t="n">
        <f aca="false">D33/$D$2</f>
        <v>0</v>
      </c>
      <c r="G33" s="7" t="n">
        <v>405.82</v>
      </c>
      <c r="H33" s="9" t="n">
        <v>81.58</v>
      </c>
      <c r="I33" s="7" t="n">
        <f aca="false">G33+H33</f>
        <v>487.4</v>
      </c>
      <c r="J33" s="93" t="n">
        <f aca="false">IF(L33&gt;0,L33,0)</f>
        <v>349.18</v>
      </c>
      <c r="K33" s="7" t="n">
        <f aca="false">I33+J33</f>
        <v>836.58</v>
      </c>
      <c r="L33" s="7" t="n">
        <f aca="false">F33-(I33-W33)</f>
        <v>349.18</v>
      </c>
      <c r="M33" s="7" t="n">
        <v>37.3</v>
      </c>
      <c r="N33" s="7" t="n">
        <f aca="false">(5.5+5.84)*1.05</f>
        <v>11.907</v>
      </c>
      <c r="O33" s="7" t="n">
        <f aca="false">M33-N33</f>
        <v>25.393</v>
      </c>
      <c r="P33" s="7" t="n">
        <v>0</v>
      </c>
      <c r="Q33" s="7" t="n">
        <v>0</v>
      </c>
      <c r="R33" s="7" t="n">
        <f aca="false">SUM(O33:Q33)</f>
        <v>25.393</v>
      </c>
      <c r="S33" s="8"/>
      <c r="T33" s="7" t="n">
        <v>0</v>
      </c>
      <c r="U33" s="7" t="n">
        <v>799.28</v>
      </c>
      <c r="V33" s="8" t="n">
        <v>9706</v>
      </c>
      <c r="W33" s="7" t="n">
        <f aca="false">N33+R33+T33+U33</f>
        <v>836.58</v>
      </c>
      <c r="X33" s="7" t="n">
        <f aca="false">IF(L33&lt;0,L33*-1,0)</f>
        <v>0</v>
      </c>
      <c r="Y33" s="7" t="n">
        <f aca="false">W33+X33</f>
        <v>836.58</v>
      </c>
      <c r="Z33" s="11" t="n">
        <v>0</v>
      </c>
      <c r="AA33" s="12" t="n">
        <v>55</v>
      </c>
      <c r="AB33" s="40" t="n">
        <v>27</v>
      </c>
      <c r="AC33" s="13" t="n">
        <f aca="false">AC32+1</f>
        <v>24</v>
      </c>
      <c r="AD33" s="12" t="n">
        <v>15666</v>
      </c>
      <c r="AE33" s="12" t="n">
        <v>2395</v>
      </c>
      <c r="AF33" s="0" t="n">
        <v>243.15</v>
      </c>
      <c r="AG33" s="7" t="n">
        <v>31</v>
      </c>
    </row>
    <row r="34" customFormat="false" ht="11.1" hidden="false" customHeight="true" outlineLevel="0" collapsed="false">
      <c r="A34" s="13" t="n">
        <f aca="false">A33+1</f>
        <v>25</v>
      </c>
      <c r="B34" s="29" t="n">
        <v>6913.16</v>
      </c>
      <c r="C34" s="8" t="n">
        <v>334779</v>
      </c>
      <c r="D34" s="12" t="n">
        <f aca="false">C34-C33</f>
        <v>617</v>
      </c>
      <c r="E34" s="8" t="n">
        <f aca="false">C34-152000</f>
        <v>182779</v>
      </c>
      <c r="F34" s="7" t="n">
        <f aca="false">D34/$D$2</f>
        <v>311.144730206757</v>
      </c>
      <c r="G34" s="7" t="n">
        <v>471.42</v>
      </c>
      <c r="H34" s="9" t="n">
        <v>86.69</v>
      </c>
      <c r="I34" s="7" t="n">
        <f aca="false">G34+H34</f>
        <v>558.11</v>
      </c>
      <c r="J34" s="93" t="n">
        <f aca="false">IF(L34&gt;0,L34,0)</f>
        <v>590.994730206757</v>
      </c>
      <c r="K34" s="7" t="n">
        <f aca="false">I34+J34</f>
        <v>1149.10473020676</v>
      </c>
      <c r="L34" s="7" t="n">
        <f aca="false">F34-(I34-W34)</f>
        <v>590.994730206757</v>
      </c>
      <c r="M34" s="7" t="n">
        <v>36.51</v>
      </c>
      <c r="N34" s="7" t="n">
        <f aca="false">(4.83+5.07)*1.05</f>
        <v>10.395</v>
      </c>
      <c r="O34" s="7" t="n">
        <f aca="false">M34-N34</f>
        <v>26.115</v>
      </c>
      <c r="P34" s="7" t="n">
        <v>0</v>
      </c>
      <c r="Q34" s="7" t="n">
        <v>0</v>
      </c>
      <c r="R34" s="7" t="n">
        <f aca="false">SUM(O34:Q34)</f>
        <v>26.115</v>
      </c>
      <c r="S34" s="8"/>
      <c r="T34" s="7" t="n">
        <v>2.5</v>
      </c>
      <c r="U34" s="7" t="n">
        <v>798.95</v>
      </c>
      <c r="V34" s="8" t="n">
        <v>9706</v>
      </c>
      <c r="W34" s="7" t="n">
        <f aca="false">N34+R34+T34+U34</f>
        <v>837.96</v>
      </c>
      <c r="X34" s="7" t="n">
        <f aca="false">IF(L34&lt;0,L34*-1,0)</f>
        <v>0</v>
      </c>
      <c r="Y34" s="7" t="n">
        <f aca="false">W34+X34</f>
        <v>837.96</v>
      </c>
      <c r="Z34" s="11" t="n">
        <v>0</v>
      </c>
      <c r="AA34" s="12" t="n">
        <v>62</v>
      </c>
      <c r="AB34" s="40" t="n">
        <v>31</v>
      </c>
      <c r="AC34" s="13" t="n">
        <f aca="false">AC33+1</f>
        <v>25</v>
      </c>
      <c r="AD34" s="12" t="n">
        <v>15726</v>
      </c>
      <c r="AE34" s="12" t="n">
        <v>2491</v>
      </c>
      <c r="AF34" s="0" t="n">
        <v>242.11</v>
      </c>
      <c r="AG34" s="7" t="n">
        <v>31</v>
      </c>
    </row>
    <row r="35" customFormat="false" ht="11.1" hidden="false" customHeight="true" outlineLevel="0" collapsed="false">
      <c r="A35" s="13" t="n">
        <f aca="false">A34+1</f>
        <v>26</v>
      </c>
      <c r="B35" s="29" t="n">
        <v>6913.36</v>
      </c>
      <c r="C35" s="8" t="n">
        <v>335601</v>
      </c>
      <c r="D35" s="12" t="n">
        <f aca="false">C35-C34</f>
        <v>822</v>
      </c>
      <c r="E35" s="8" t="n">
        <f aca="false">C35-152000</f>
        <v>183601</v>
      </c>
      <c r="F35" s="7" t="n">
        <f aca="false">D35/$D$2</f>
        <v>414.523449319213</v>
      </c>
      <c r="G35" s="7" t="n">
        <v>591.54</v>
      </c>
      <c r="H35" s="9" t="n">
        <v>132.84</v>
      </c>
      <c r="I35" s="7" t="n">
        <f aca="false">G35+H35</f>
        <v>724.38</v>
      </c>
      <c r="J35" s="93" t="n">
        <f aca="false">IF(L35&gt;0,L35,0)</f>
        <v>535.173449319213</v>
      </c>
      <c r="K35" s="7" t="n">
        <f aca="false">I35+J35</f>
        <v>1259.55344931921</v>
      </c>
      <c r="L35" s="7" t="n">
        <f aca="false">F35-(I35-W35)</f>
        <v>535.173449319213</v>
      </c>
      <c r="M35" s="7" t="n">
        <v>37.16</v>
      </c>
      <c r="N35" s="7" t="n">
        <f aca="false">(4.07+4.14)*1.05</f>
        <v>8.6205</v>
      </c>
      <c r="O35" s="7" t="n">
        <f aca="false">M35-N35</f>
        <v>28.5395</v>
      </c>
      <c r="P35" s="7" t="n">
        <v>0</v>
      </c>
      <c r="Q35" s="7" t="n">
        <v>0</v>
      </c>
      <c r="R35" s="7" t="n">
        <f aca="false">SUM(O35:Q35)</f>
        <v>28.5395</v>
      </c>
      <c r="S35" s="8"/>
      <c r="T35" s="7" t="n">
        <v>6</v>
      </c>
      <c r="U35" s="7" t="n">
        <v>801.87</v>
      </c>
      <c r="V35" s="8" t="n">
        <v>9706</v>
      </c>
      <c r="W35" s="7" t="n">
        <f aca="false">N35+R35+T35+U35</f>
        <v>845.03</v>
      </c>
      <c r="X35" s="7" t="n">
        <f aca="false">IF(L35&lt;0,L35*-1,0)</f>
        <v>0</v>
      </c>
      <c r="Y35" s="7" t="n">
        <f aca="false">W35+X35</f>
        <v>845.03</v>
      </c>
      <c r="Z35" s="11" t="n">
        <v>0</v>
      </c>
      <c r="AA35" s="12" t="n">
        <v>61</v>
      </c>
      <c r="AB35" s="12" t="n">
        <v>34</v>
      </c>
      <c r="AC35" s="13" t="n">
        <f aca="false">AC34+1</f>
        <v>26</v>
      </c>
      <c r="AD35" s="12" t="n">
        <v>15781</v>
      </c>
      <c r="AE35" s="12" t="n">
        <v>2589</v>
      </c>
      <c r="AF35" s="0" t="n">
        <v>244.72</v>
      </c>
      <c r="AG35" s="3" t="n">
        <v>27</v>
      </c>
    </row>
    <row r="36" customFormat="false" ht="11.1" hidden="false" customHeight="true" outlineLevel="0" collapsed="false">
      <c r="A36" s="13" t="n">
        <f aca="false">A35+1</f>
        <v>27</v>
      </c>
      <c r="B36" s="29" t="n">
        <v>6913.48</v>
      </c>
      <c r="C36" s="8" t="n">
        <v>336094</v>
      </c>
      <c r="D36" s="12" t="n">
        <f aca="false">C36-C35</f>
        <v>493</v>
      </c>
      <c r="E36" s="8" t="n">
        <f aca="false">C36-152000</f>
        <v>184094</v>
      </c>
      <c r="F36" s="7" t="n">
        <f aca="false">D36/$D$2</f>
        <v>248.613212304589</v>
      </c>
      <c r="G36" s="7" t="n">
        <v>647.75</v>
      </c>
      <c r="H36" s="9" t="n">
        <v>166.36</v>
      </c>
      <c r="I36" s="7" t="n">
        <f aca="false">G36+H36</f>
        <v>814.11</v>
      </c>
      <c r="J36" s="93" t="n">
        <f aca="false">IF(L36&gt;0,L36,0)</f>
        <v>362.653212304589</v>
      </c>
      <c r="K36" s="7" t="n">
        <f aca="false">I36+J36</f>
        <v>1176.76321230459</v>
      </c>
      <c r="L36" s="7" t="n">
        <f aca="false">F36-(I36-W36)</f>
        <v>362.653212304589</v>
      </c>
      <c r="M36" s="7" t="n">
        <v>38.45</v>
      </c>
      <c r="N36" s="7" t="n">
        <f aca="false">(3.71+4.02)*1.05</f>
        <v>8.1165</v>
      </c>
      <c r="O36" s="7" t="n">
        <f aca="false">M36-N36</f>
        <v>30.3335</v>
      </c>
      <c r="P36" s="7" t="n">
        <v>0</v>
      </c>
      <c r="Q36" s="7" t="n">
        <v>0</v>
      </c>
      <c r="R36" s="7" t="n">
        <f aca="false">SUM(O36:Q36)</f>
        <v>30.3335</v>
      </c>
      <c r="S36" s="8"/>
      <c r="T36" s="7" t="n">
        <v>4.5</v>
      </c>
      <c r="U36" s="7" t="n">
        <v>885.2</v>
      </c>
      <c r="V36" s="8" t="n">
        <v>9706</v>
      </c>
      <c r="W36" s="7" t="n">
        <f aca="false">N36+R36+T36+U36</f>
        <v>928.15</v>
      </c>
      <c r="X36" s="7" t="n">
        <f aca="false">IF(L36&lt;0,L36*-1,0)</f>
        <v>0</v>
      </c>
      <c r="Y36" s="7" t="n">
        <f aca="false">W36+X36</f>
        <v>928.15</v>
      </c>
      <c r="Z36" s="11" t="n">
        <v>0</v>
      </c>
      <c r="AA36" s="12" t="n">
        <v>67</v>
      </c>
      <c r="AB36" s="12" t="n">
        <v>33</v>
      </c>
      <c r="AC36" s="13" t="n">
        <f aca="false">AC35+1</f>
        <v>27</v>
      </c>
      <c r="AD36" s="12" t="n">
        <v>15841</v>
      </c>
      <c r="AE36" s="12" t="n">
        <v>2686</v>
      </c>
      <c r="AF36" s="0" t="n">
        <v>252.4</v>
      </c>
      <c r="AG36" s="7" t="n">
        <v>0</v>
      </c>
    </row>
    <row r="37" customFormat="false" ht="11.1" hidden="false" customHeight="true" outlineLevel="0" collapsed="false">
      <c r="A37" s="13" t="n">
        <f aca="false">A36+1</f>
        <v>28</v>
      </c>
      <c r="B37" s="29" t="n">
        <v>6913.73</v>
      </c>
      <c r="C37" s="8" t="n">
        <v>337121</v>
      </c>
      <c r="D37" s="12" t="n">
        <f aca="false">C37-C36</f>
        <v>1027</v>
      </c>
      <c r="E37" s="8" t="n">
        <f aca="false">C37-152000</f>
        <v>185121</v>
      </c>
      <c r="F37" s="7" t="n">
        <f aca="false">D37/$D$2</f>
        <v>517.902168431669</v>
      </c>
      <c r="G37" s="7" t="n">
        <v>710.51</v>
      </c>
      <c r="H37" s="9" t="n">
        <v>182.81</v>
      </c>
      <c r="I37" s="7" t="n">
        <f aca="false">G37+H37</f>
        <v>893.32</v>
      </c>
      <c r="J37" s="93" t="n">
        <f aca="false">IF(L37&gt;0,L37,0)</f>
        <v>657.992168431669</v>
      </c>
      <c r="K37" s="7" t="n">
        <f aca="false">I37+J37</f>
        <v>1551.31216843167</v>
      </c>
      <c r="L37" s="7" t="n">
        <f aca="false">F37-(I37-W37)</f>
        <v>657.992168431669</v>
      </c>
      <c r="M37" s="7" t="n">
        <v>57.92</v>
      </c>
      <c r="N37" s="7" t="n">
        <f aca="false">(6.6+7.86)*1.05</f>
        <v>15.183</v>
      </c>
      <c r="O37" s="7" t="n">
        <f aca="false">M37-N37</f>
        <v>42.737</v>
      </c>
      <c r="P37" s="7" t="n">
        <v>0</v>
      </c>
      <c r="Q37" s="7" t="n">
        <v>0</v>
      </c>
      <c r="R37" s="7" t="n">
        <f aca="false">SUM(O37:Q37)</f>
        <v>42.737</v>
      </c>
      <c r="S37" s="8"/>
      <c r="T37" s="7" t="n">
        <v>3.5</v>
      </c>
      <c r="U37" s="7" t="n">
        <v>971.99</v>
      </c>
      <c r="V37" s="8" t="n">
        <v>9706</v>
      </c>
      <c r="W37" s="7" t="n">
        <f aca="false">N37+R37+T37+U37</f>
        <v>1033.41</v>
      </c>
      <c r="X37" s="7" t="n">
        <f aca="false">IF(L37&lt;0,L37*-1,0)</f>
        <v>0</v>
      </c>
      <c r="Y37" s="7" t="n">
        <f aca="false">W37+X37</f>
        <v>1033.41</v>
      </c>
      <c r="Z37" s="11" t="n">
        <v>0</v>
      </c>
      <c r="AA37" s="12" t="n">
        <v>66</v>
      </c>
      <c r="AB37" s="12" t="n">
        <v>39</v>
      </c>
      <c r="AC37" s="13" t="n">
        <f aca="false">AC36+1</f>
        <v>28</v>
      </c>
      <c r="AD37" s="12" t="n">
        <v>804</v>
      </c>
      <c r="AE37" s="12" t="n">
        <v>2779</v>
      </c>
      <c r="AF37" s="0" t="n">
        <v>254.14</v>
      </c>
      <c r="AG37" s="7" t="n">
        <v>0</v>
      </c>
    </row>
    <row r="38" customFormat="false" ht="11.1" hidden="false" customHeight="true" outlineLevel="0" collapsed="false">
      <c r="A38" s="13" t="n">
        <f aca="false">A37+1</f>
        <v>29</v>
      </c>
      <c r="B38" s="29" t="n">
        <v>6913.98</v>
      </c>
      <c r="C38" s="8" t="n">
        <v>338148</v>
      </c>
      <c r="D38" s="12" t="n">
        <f aca="false">C38-C37</f>
        <v>1027</v>
      </c>
      <c r="E38" s="8" t="n">
        <f aca="false">C38-152000</f>
        <v>186148</v>
      </c>
      <c r="F38" s="7" t="n">
        <f aca="false">D38/$D$2</f>
        <v>517.902168431669</v>
      </c>
      <c r="G38" s="7" t="n">
        <v>869.79</v>
      </c>
      <c r="H38" s="9" t="n">
        <v>184.53</v>
      </c>
      <c r="I38" s="7" t="n">
        <f aca="false">G38+H38</f>
        <v>1054.32</v>
      </c>
      <c r="J38" s="93" t="n">
        <f aca="false">IF(L38&gt;0,L38,0)</f>
        <v>538.292168431669</v>
      </c>
      <c r="K38" s="7" t="n">
        <f aca="false">I38+J38</f>
        <v>1592.61216843167</v>
      </c>
      <c r="L38" s="7" t="n">
        <f aca="false">F38-(I38-W38)</f>
        <v>538.292168431669</v>
      </c>
      <c r="M38" s="7" t="n">
        <v>72.7</v>
      </c>
      <c r="N38" s="7" t="n">
        <f aca="false">(7.86+8.74)*1.05</f>
        <v>17.43</v>
      </c>
      <c r="O38" s="7" t="n">
        <f aca="false">M38-N38</f>
        <v>55.27</v>
      </c>
      <c r="P38" s="7" t="n">
        <v>0</v>
      </c>
      <c r="Q38" s="7" t="n">
        <v>0</v>
      </c>
      <c r="R38" s="7" t="n">
        <f aca="false">SUM(O38:Q38)</f>
        <v>55.27</v>
      </c>
      <c r="S38" s="8"/>
      <c r="T38" s="7" t="n">
        <v>9.1</v>
      </c>
      <c r="U38" s="7" t="n">
        <v>992.91</v>
      </c>
      <c r="V38" s="8" t="n">
        <v>9706</v>
      </c>
      <c r="W38" s="7" t="n">
        <f aca="false">N38+R38+T38+U38</f>
        <v>1074.71</v>
      </c>
      <c r="X38" s="7" t="n">
        <f aca="false">IF(L38&lt;0,L38*-1,0)</f>
        <v>0</v>
      </c>
      <c r="Y38" s="7" t="n">
        <f aca="false">W38+X38</f>
        <v>1074.71</v>
      </c>
      <c r="Z38" s="11" t="n">
        <v>0</v>
      </c>
      <c r="AA38" s="40" t="n">
        <v>67</v>
      </c>
      <c r="AB38" s="12" t="n">
        <v>39</v>
      </c>
      <c r="AC38" s="13" t="n">
        <f aca="false">AC37+1</f>
        <v>29</v>
      </c>
      <c r="AD38" s="12" t="n">
        <v>862</v>
      </c>
      <c r="AE38" s="12" t="n">
        <v>2872</v>
      </c>
      <c r="AF38" s="0" t="n">
        <v>256.51</v>
      </c>
      <c r="AG38" s="7" t="n">
        <v>21</v>
      </c>
    </row>
    <row r="39" customFormat="false" ht="11.1" hidden="false" customHeight="true" outlineLevel="0" collapsed="false">
      <c r="A39" s="13" t="n">
        <v>30</v>
      </c>
      <c r="B39" s="29" t="n">
        <v>6914.36</v>
      </c>
      <c r="C39" s="8" t="n">
        <v>339722</v>
      </c>
      <c r="D39" s="12" t="n">
        <f aca="false">C39-C38</f>
        <v>1574</v>
      </c>
      <c r="E39" s="8" t="n">
        <f aca="false">C39-152000</f>
        <v>187722</v>
      </c>
      <c r="F39" s="7" t="n">
        <f aca="false">D39/$D$2</f>
        <v>793.746848209783</v>
      </c>
      <c r="G39" s="7" t="n">
        <v>1107.66</v>
      </c>
      <c r="H39" s="9" t="n">
        <v>251.98</v>
      </c>
      <c r="I39" s="7" t="n">
        <f aca="false">G39+H39</f>
        <v>1359.64</v>
      </c>
      <c r="J39" s="93" t="n">
        <f aca="false">IF(L39&gt;0,L39,0)</f>
        <v>509.786848209783</v>
      </c>
      <c r="K39" s="7" t="n">
        <f aca="false">I39+J39</f>
        <v>1869.42684820978</v>
      </c>
      <c r="L39" s="7" t="n">
        <f aca="false">F39-(I39-W39)</f>
        <v>509.786848209783</v>
      </c>
      <c r="M39" s="7" t="n">
        <v>74.94</v>
      </c>
      <c r="N39" s="7" t="n">
        <f aca="false">(7.78+8.75)*1.05</f>
        <v>17.3565</v>
      </c>
      <c r="O39" s="7" t="n">
        <f aca="false">M39-N39</f>
        <v>57.5835</v>
      </c>
      <c r="P39" s="7" t="n">
        <v>0</v>
      </c>
      <c r="Q39" s="7" t="n">
        <v>0</v>
      </c>
      <c r="R39" s="7" t="n">
        <f aca="false">SUM(O39:Q39)</f>
        <v>57.5835</v>
      </c>
      <c r="S39" s="8"/>
      <c r="T39" s="7" t="n">
        <v>0</v>
      </c>
      <c r="U39" s="7" t="n">
        <v>1000.74</v>
      </c>
      <c r="V39" s="8" t="n">
        <v>9706</v>
      </c>
      <c r="W39" s="7" t="n">
        <f aca="false">N39+R39+T39+U39</f>
        <v>1075.68</v>
      </c>
      <c r="X39" s="7" t="n">
        <f aca="false">IF(L39&lt;0,L39*-1,0)</f>
        <v>0</v>
      </c>
      <c r="Y39" s="7" t="n">
        <f aca="false">W39+X39</f>
        <v>1075.68</v>
      </c>
      <c r="Z39" s="11" t="n">
        <v>0.03</v>
      </c>
      <c r="AA39" s="40" t="n">
        <v>60</v>
      </c>
      <c r="AB39" s="12" t="n">
        <v>37</v>
      </c>
      <c r="AC39" s="13" t="n">
        <v>30</v>
      </c>
      <c r="AD39" s="12" t="n">
        <v>927</v>
      </c>
      <c r="AE39" s="12" t="n">
        <v>2965</v>
      </c>
      <c r="AF39" s="0" t="n">
        <v>248.45</v>
      </c>
      <c r="AG39" s="7" t="n">
        <v>24</v>
      </c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4"/>
      <c r="T40" s="32"/>
      <c r="U40" s="32"/>
      <c r="V40" s="32"/>
      <c r="W40" s="32"/>
      <c r="X40" s="32"/>
      <c r="Y40" s="32"/>
      <c r="Z40" s="36"/>
      <c r="AA40" s="37" t="n">
        <v>73</v>
      </c>
      <c r="AB40" s="37"/>
      <c r="AC40" s="38"/>
      <c r="AD40" s="14"/>
      <c r="AE40" s="14"/>
    </row>
    <row r="41" customFormat="false" ht="11.1" hidden="false" customHeight="true" outlineLevel="0" collapsed="false">
      <c r="A41" s="7" t="s">
        <v>45</v>
      </c>
      <c r="B41" s="7"/>
      <c r="C41" s="8"/>
      <c r="D41" s="8"/>
      <c r="E41" s="8"/>
      <c r="F41" s="8" t="n">
        <f aca="false">SUM(F10:F39)</f>
        <v>15271.8103883006</v>
      </c>
      <c r="G41" s="8" t="n">
        <f aca="false">SUM(G10:G39)</f>
        <v>15046.06</v>
      </c>
      <c r="H41" s="8" t="n">
        <f aca="false">SUM(H10:H39)</f>
        <v>3660.52</v>
      </c>
      <c r="I41" s="8" t="n">
        <f aca="false">SUM(I10:I39)</f>
        <v>18706.58</v>
      </c>
      <c r="J41" s="8" t="n">
        <f aca="false">SUM(J10:J39)</f>
        <v>13233.0362481089</v>
      </c>
      <c r="K41" s="8" t="n">
        <f aca="false">SUM(K10:K39)</f>
        <v>31939.6162481089</v>
      </c>
      <c r="L41" s="8" t="n">
        <f aca="false">SUM(L10:L39)</f>
        <v>13233.0362481089</v>
      </c>
      <c r="M41" s="8" t="n">
        <f aca="false">SUM(M10:M39)</f>
        <v>1487.64</v>
      </c>
      <c r="N41" s="8" t="n">
        <f aca="false">SUM(N10:N39)</f>
        <v>684.43721633888</v>
      </c>
      <c r="O41" s="8" t="n">
        <f aca="false">SUM(O10:O39)</f>
        <v>803.20278366112</v>
      </c>
      <c r="P41" s="8" t="n">
        <f aca="false">SUM(P10:P39)</f>
        <v>0</v>
      </c>
      <c r="Q41" s="8" t="n">
        <f aca="false">SUM(Q10:Q39)</f>
        <v>0</v>
      </c>
      <c r="R41" s="8" t="n">
        <f aca="false">SUM(R10:R39)</f>
        <v>803.20278366112</v>
      </c>
      <c r="S41" s="8"/>
      <c r="T41" s="8" t="n">
        <f aca="false">SUM(T10:T39)</f>
        <v>188.630156328795</v>
      </c>
      <c r="U41" s="8" t="n">
        <f aca="false">SUM(U10:U39)</f>
        <v>14999.1</v>
      </c>
      <c r="V41" s="8"/>
      <c r="W41" s="8" t="n">
        <f aca="false">SUM(W10:W39)</f>
        <v>16667.8058598084</v>
      </c>
      <c r="X41" s="8" t="n">
        <f aca="false">SUM(X10:X39)</f>
        <v>0</v>
      </c>
      <c r="Y41" s="8" t="n">
        <f aca="false">SUM(Y10:Y39)</f>
        <v>16667.8058598084</v>
      </c>
      <c r="Z41" s="11" t="n">
        <f aca="false">SUM(Z10:Z39)</f>
        <v>1.36</v>
      </c>
      <c r="AA41" s="12" t="n">
        <f aca="false">AVERAGE(AA10:AA39)</f>
        <v>55.6666666666667</v>
      </c>
      <c r="AB41" s="12" t="n">
        <f aca="false">AVERAGE(AB10:AB39)</f>
        <v>31.8666666666667</v>
      </c>
      <c r="AC41" s="13"/>
      <c r="AD41" s="14"/>
      <c r="AE41" s="14"/>
    </row>
    <row r="42" customFormat="false" ht="11.1" hidden="false" customHeight="true" outlineLevel="0" collapsed="false">
      <c r="A42" s="7" t="s">
        <v>46</v>
      </c>
      <c r="B42" s="7"/>
      <c r="C42" s="8"/>
      <c r="D42" s="8" t="n">
        <f aca="false">SUM(D10:D39)</f>
        <v>30284</v>
      </c>
      <c r="E42" s="8"/>
      <c r="F42" s="8" t="n">
        <f aca="false">F41*$D$2</f>
        <v>30284</v>
      </c>
      <c r="G42" s="8" t="n">
        <f aca="false">G41*$D$2</f>
        <v>29836.33698</v>
      </c>
      <c r="H42" s="8" t="n">
        <f aca="false">H41*$D$2</f>
        <v>7258.81116</v>
      </c>
      <c r="I42" s="8" t="n">
        <f aca="false">I41*$D$2</f>
        <v>37095.14814</v>
      </c>
      <c r="J42" s="8" t="n">
        <f aca="false">J41*$D$2</f>
        <v>26241.11088</v>
      </c>
      <c r="K42" s="8" t="n">
        <f aca="false">K41*$D$2</f>
        <v>63336.25902</v>
      </c>
      <c r="L42" s="8" t="n">
        <f aca="false">L41*$D$2</f>
        <v>26241.11088</v>
      </c>
      <c r="M42" s="8" t="n">
        <f aca="false">M41*$D$2</f>
        <v>2949.99012</v>
      </c>
      <c r="N42" s="8" t="n">
        <f aca="false">N41*$D$2</f>
        <v>1357.239</v>
      </c>
      <c r="O42" s="8" t="n">
        <f aca="false">O41*$D$2</f>
        <v>1592.75112</v>
      </c>
      <c r="P42" s="8" t="n">
        <f aca="false">P41*$D$2</f>
        <v>0</v>
      </c>
      <c r="Q42" s="8" t="n">
        <f aca="false">Q41*$D$2</f>
        <v>0</v>
      </c>
      <c r="R42" s="8" t="n">
        <f aca="false">R41*$D$2</f>
        <v>1592.75112</v>
      </c>
      <c r="S42" s="8"/>
      <c r="T42" s="8" t="n">
        <f aca="false">T41*$D$2</f>
        <v>374.0536</v>
      </c>
      <c r="U42" s="8" t="n">
        <f aca="false">U41*$D$2</f>
        <v>29743.2153</v>
      </c>
      <c r="V42" s="8"/>
      <c r="W42" s="8" t="n">
        <f aca="false">W41*$D$2</f>
        <v>33052.25902</v>
      </c>
      <c r="X42" s="8" t="n">
        <f aca="false">X41*$D$2</f>
        <v>0</v>
      </c>
      <c r="Y42" s="8" t="n">
        <f aca="false">Y41*$D$2</f>
        <v>33052.25902</v>
      </c>
      <c r="Z42" s="11"/>
      <c r="AA42" s="12" t="n">
        <f aca="false">MAX(AA10:AA39)</f>
        <v>67</v>
      </c>
      <c r="AB42" s="12" t="n">
        <f aca="false">MAX(AB10:AB39)</f>
        <v>40</v>
      </c>
      <c r="AC42" s="13" t="s">
        <v>47</v>
      </c>
      <c r="AD42" s="14"/>
      <c r="AE42" s="14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2"/>
      <c r="W43" s="34"/>
      <c r="X43" s="34"/>
      <c r="Y43" s="34"/>
      <c r="Z43" s="11"/>
      <c r="AA43" s="12"/>
      <c r="AB43" s="12"/>
      <c r="AC43" s="13"/>
      <c r="AD43" s="14"/>
      <c r="AE43" s="14"/>
    </row>
    <row r="44" customFormat="false" ht="11.1" hidden="false" customHeight="true" outlineLevel="0" collapsed="false">
      <c r="A44" s="7" t="s">
        <v>48</v>
      </c>
      <c r="B44" s="7"/>
      <c r="C44" s="8"/>
      <c r="D44" s="8"/>
      <c r="E44" s="8"/>
      <c r="F44" s="8" t="n">
        <f aca="false">F7+F41</f>
        <v>15271.8103883006</v>
      </c>
      <c r="G44" s="8" t="n">
        <f aca="false">G7+G41</f>
        <v>15046.06</v>
      </c>
      <c r="H44" s="12" t="n">
        <f aca="false">H7+H41</f>
        <v>3660.52</v>
      </c>
      <c r="I44" s="8" t="n">
        <f aca="false">I7+I41</f>
        <v>18706.58</v>
      </c>
      <c r="J44" s="8" t="n">
        <f aca="false">J7+J41</f>
        <v>13233.0362481089</v>
      </c>
      <c r="K44" s="8" t="n">
        <f aca="false">K7+K41</f>
        <v>31939.6162481089</v>
      </c>
      <c r="L44" s="8" t="n">
        <f aca="false">L7+L41</f>
        <v>13233.0362481089</v>
      </c>
      <c r="M44" s="8" t="n">
        <f aca="false">M7+M41</f>
        <v>1487.64</v>
      </c>
      <c r="N44" s="8" t="n">
        <f aca="false">N7+N41</f>
        <v>684.43721633888</v>
      </c>
      <c r="O44" s="8" t="n">
        <f aca="false">O7+O41</f>
        <v>803.20278366112</v>
      </c>
      <c r="P44" s="8" t="n">
        <f aca="false">P7+P41</f>
        <v>0</v>
      </c>
      <c r="Q44" s="8" t="n">
        <f aca="false">Q7+Q41</f>
        <v>0</v>
      </c>
      <c r="R44" s="8" t="n">
        <f aca="false">R7+R41</f>
        <v>803.20278366112</v>
      </c>
      <c r="S44" s="8" t="n">
        <f aca="false">S39</f>
        <v>0</v>
      </c>
      <c r="T44" s="8" t="n">
        <f aca="false">T7+T41</f>
        <v>188.630156328795</v>
      </c>
      <c r="U44" s="8" t="n">
        <f aca="false">U7+U41</f>
        <v>14999.1</v>
      </c>
      <c r="V44" s="8" t="n">
        <v>0</v>
      </c>
      <c r="W44" s="8" t="n">
        <f aca="false">W7+W41</f>
        <v>16667.8058598084</v>
      </c>
      <c r="X44" s="8" t="n">
        <f aca="false">X7+X41</f>
        <v>0</v>
      </c>
      <c r="Y44" s="8" t="n">
        <f aca="false">Y7+Y41</f>
        <v>16667.8058598084</v>
      </c>
      <c r="Z44" s="11"/>
      <c r="AA44" s="12" t="n">
        <f aca="false">MIN(AA10:AA39)</f>
        <v>36</v>
      </c>
      <c r="AB44" s="12" t="n">
        <f aca="false">MIN(AB10:AB39)</f>
        <v>22</v>
      </c>
      <c r="AC44" s="13" t="s">
        <v>49</v>
      </c>
      <c r="AD44" s="14"/>
      <c r="AE44" s="14"/>
    </row>
    <row r="45" customFormat="false" ht="11.1" hidden="false" customHeight="true" outlineLevel="0" collapsed="false">
      <c r="A45" s="7" t="s">
        <v>50</v>
      </c>
      <c r="B45" s="7"/>
      <c r="C45" s="8"/>
      <c r="D45" s="8" t="n">
        <f aca="false">D7+D42</f>
        <v>30284</v>
      </c>
      <c r="E45" s="8"/>
      <c r="F45" s="8" t="n">
        <f aca="false">F44*$D$2</f>
        <v>30284</v>
      </c>
      <c r="G45" s="8" t="n">
        <f aca="false">G44*$D$2</f>
        <v>29836.33698</v>
      </c>
      <c r="H45" s="12" t="n">
        <f aca="false">H44*$D$2</f>
        <v>7258.81116</v>
      </c>
      <c r="I45" s="8" t="n">
        <f aca="false">I44*$D$2</f>
        <v>37095.14814</v>
      </c>
      <c r="J45" s="8" t="n">
        <f aca="false">J44*$D$2</f>
        <v>26241.11088</v>
      </c>
      <c r="K45" s="8" t="n">
        <f aca="false">K44*$D$2</f>
        <v>63336.25902</v>
      </c>
      <c r="L45" s="8" t="n">
        <f aca="false">L44*$D$2</f>
        <v>26241.11088</v>
      </c>
      <c r="M45" s="8" t="n">
        <f aca="false">M44*$D$2</f>
        <v>2949.99012</v>
      </c>
      <c r="N45" s="8" t="n">
        <f aca="false">N44*$D$2</f>
        <v>1357.239</v>
      </c>
      <c r="O45" s="8" t="n">
        <f aca="false">O44*$D$2</f>
        <v>1592.75112</v>
      </c>
      <c r="P45" s="8" t="n">
        <f aca="false">P44*$D$2</f>
        <v>0</v>
      </c>
      <c r="Q45" s="8" t="n">
        <f aca="false">Q44*$D$2</f>
        <v>0</v>
      </c>
      <c r="R45" s="8" t="n">
        <f aca="false">R44*$D$2</f>
        <v>1592.75112</v>
      </c>
      <c r="S45" s="8" t="n">
        <f aca="false">S44*$D$2</f>
        <v>0</v>
      </c>
      <c r="T45" s="8" t="n">
        <f aca="false">T44*$D$2</f>
        <v>374.0536</v>
      </c>
      <c r="U45" s="8" t="n">
        <f aca="false">U44*$D$2</f>
        <v>29743.2153</v>
      </c>
      <c r="V45" s="8" t="n">
        <v>0</v>
      </c>
      <c r="W45" s="8" t="n">
        <f aca="false">W44*$D$2</f>
        <v>33052.25902</v>
      </c>
      <c r="X45" s="8" t="n">
        <f aca="false">X44*$D$2</f>
        <v>0</v>
      </c>
      <c r="Y45" s="8" t="n">
        <f aca="false">Y44*$D$2</f>
        <v>33052.25902</v>
      </c>
      <c r="Z45" s="11"/>
      <c r="AA45" s="12"/>
      <c r="AB45" s="12"/>
      <c r="AC45" s="13"/>
      <c r="AD45" s="14"/>
      <c r="AE45" s="14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6"/>
      <c r="AA46" s="12"/>
      <c r="AB46" s="12"/>
      <c r="AC46" s="13"/>
      <c r="AD46" s="14"/>
      <c r="AE46" s="14"/>
    </row>
    <row r="47" customFormat="false" ht="11.1" hidden="false" customHeight="true" outlineLevel="0" collapsed="false">
      <c r="A47" s="7" t="s">
        <v>51</v>
      </c>
      <c r="B47" s="7"/>
      <c r="C47" s="8"/>
      <c r="D47" s="8"/>
      <c r="E47" s="8"/>
      <c r="F47" s="8" t="n">
        <f aca="false">F8+F41</f>
        <v>36893.0912758447</v>
      </c>
      <c r="G47" s="8" t="n">
        <f aca="false">G8+G41</f>
        <v>30835.0025920323</v>
      </c>
      <c r="H47" s="12" t="n">
        <f aca="false">H8+H41</f>
        <v>6045.33</v>
      </c>
      <c r="I47" s="8" t="n">
        <f aca="false">I8+I41</f>
        <v>36880.2325920323</v>
      </c>
      <c r="J47" s="8" t="n">
        <f aca="false">J8+J41</f>
        <v>25577.1179122542</v>
      </c>
      <c r="K47" s="8" t="n">
        <f aca="false">K8+K41</f>
        <v>62457.3505042864</v>
      </c>
      <c r="L47" s="8" t="n">
        <f aca="false">L8+L41</f>
        <v>25340.0545436208</v>
      </c>
      <c r="M47" s="8" t="n">
        <f aca="false">M8+M41</f>
        <v>2390.09</v>
      </c>
      <c r="N47" s="8" t="n">
        <f aca="false">N8+N41</f>
        <v>700.06721633888</v>
      </c>
      <c r="O47" s="8" t="n">
        <f aca="false">O8+O41</f>
        <v>1485.52278366112</v>
      </c>
      <c r="P47" s="8" t="n">
        <f aca="false">P8+P41</f>
        <v>2574.3</v>
      </c>
      <c r="Q47" s="8" t="n">
        <f aca="false">Q8+Q41</f>
        <v>0</v>
      </c>
      <c r="R47" s="8" t="n">
        <f aca="false">R8+R41</f>
        <v>4140.32278366112</v>
      </c>
      <c r="S47" s="8"/>
      <c r="T47" s="8" t="n">
        <f aca="false">T8+T41</f>
        <v>188.630156328795</v>
      </c>
      <c r="U47" s="8" t="n">
        <f aca="false">U8+U41</f>
        <v>20181.74</v>
      </c>
      <c r="V47" s="8" t="n">
        <f aca="false">V39</f>
        <v>9706</v>
      </c>
      <c r="W47" s="8" t="n">
        <f aca="false">W8+W41</f>
        <v>25327.1958598084</v>
      </c>
      <c r="X47" s="8" t="n">
        <f aca="false">X8+X41</f>
        <v>237.063368633384</v>
      </c>
      <c r="Y47" s="8" t="n">
        <f aca="false">Y8+Y41</f>
        <v>25564.2592284418</v>
      </c>
      <c r="Z47" s="30" t="n">
        <f aca="false">Z8+Z41</f>
        <v>12.41</v>
      </c>
      <c r="AA47" s="12"/>
      <c r="AB47" s="12"/>
      <c r="AC47" s="13"/>
      <c r="AD47" s="14"/>
      <c r="AE47" s="14"/>
    </row>
    <row r="48" customFormat="false" ht="11.1" hidden="false" customHeight="true" outlineLevel="0" collapsed="false">
      <c r="A48" s="7" t="s">
        <v>52</v>
      </c>
      <c r="B48" s="7"/>
      <c r="C48" s="8"/>
      <c r="D48" s="8" t="n">
        <f aca="false">D8+D42</f>
        <v>73159</v>
      </c>
      <c r="E48" s="8" t="n">
        <f aca="false">E39</f>
        <v>187722</v>
      </c>
      <c r="F48" s="8" t="n">
        <f aca="false">F47*$D$2</f>
        <v>73159</v>
      </c>
      <c r="G48" s="8" t="n">
        <f aca="false">G47*$D$2</f>
        <v>61145.81014</v>
      </c>
      <c r="H48" s="12" t="n">
        <f aca="false">H47*$D$2</f>
        <v>11987.88939</v>
      </c>
      <c r="I48" s="8" t="n">
        <f aca="false">I47*$D$2</f>
        <v>73133.50123</v>
      </c>
      <c r="J48" s="8" t="n">
        <f aca="false">J47*$D$2</f>
        <v>50719.42482</v>
      </c>
      <c r="K48" s="8" t="n">
        <f aca="false">K47*$D$2</f>
        <v>123852.92605</v>
      </c>
      <c r="L48" s="8" t="n">
        <f aca="false">L47*$D$2</f>
        <v>50249.32816</v>
      </c>
      <c r="M48" s="8" t="n">
        <f aca="false">M47*$D$2</f>
        <v>4739.54847</v>
      </c>
      <c r="N48" s="8" t="n">
        <f aca="false">N47*$D$2</f>
        <v>1388.23329</v>
      </c>
      <c r="O48" s="8" t="n">
        <f aca="false">O47*$D$2</f>
        <v>2945.79168</v>
      </c>
      <c r="P48" s="8" t="n">
        <f aca="false">P47*$D$2</f>
        <v>5104.8369</v>
      </c>
      <c r="Q48" s="8" t="n">
        <f aca="false">Q47*$D$2</f>
        <v>0</v>
      </c>
      <c r="R48" s="8" t="n">
        <f aca="false">R47*$D$2</f>
        <v>8210.26008</v>
      </c>
      <c r="S48" s="8" t="n">
        <f aca="false">S47*$D$2</f>
        <v>0</v>
      </c>
      <c r="T48" s="8" t="n">
        <f aca="false">T47*$D$2</f>
        <v>374.0536</v>
      </c>
      <c r="U48" s="8" t="n">
        <f aca="false">U47*$D$2</f>
        <v>40020.39042</v>
      </c>
      <c r="V48" s="8" t="n">
        <f aca="false">V47*$D$2</f>
        <v>19246.998</v>
      </c>
      <c r="W48" s="8" t="n">
        <f aca="false">W47*$D$2</f>
        <v>50223.82939</v>
      </c>
      <c r="X48" s="8" t="n">
        <f aca="false">X47*$D$2</f>
        <v>470.09666</v>
      </c>
      <c r="Y48" s="8" t="n">
        <f aca="false">Y47*$D$2</f>
        <v>50693.92605</v>
      </c>
      <c r="Z48" s="11"/>
      <c r="AA48" s="12"/>
      <c r="AB48" s="12"/>
      <c r="AC48" s="13"/>
      <c r="AD48" s="14"/>
      <c r="AE48" s="14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4"/>
      <c r="T49" s="32"/>
      <c r="U49" s="32"/>
      <c r="V49" s="34"/>
      <c r="W49" s="32"/>
      <c r="X49" s="32"/>
      <c r="Y49" s="32"/>
      <c r="Z49" s="11"/>
      <c r="AA49" s="12"/>
      <c r="AB49" s="12"/>
      <c r="AC49" s="13"/>
      <c r="AD49" s="14"/>
      <c r="AE49" s="14"/>
    </row>
    <row r="50" customFormat="false" ht="14.1" hidden="false" customHeight="true" outlineLevel="0" collapsed="false">
      <c r="A50" s="41" t="str">
        <f aca="false">"4/13/95 thru 5/11/95"</f>
        <v>4/13/95 thru 5/11/95</v>
      </c>
      <c r="B50" s="42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8"/>
      <c r="T50" s="7"/>
      <c r="U50" s="7"/>
      <c r="V50" s="8"/>
      <c r="W50" s="7"/>
      <c r="X50" s="7"/>
      <c r="Y50" s="7"/>
      <c r="Z50" s="11"/>
      <c r="AA50" s="12"/>
      <c r="AB50" s="12"/>
      <c r="AC50" s="13"/>
      <c r="AD50" s="14"/>
      <c r="AE50" s="14"/>
    </row>
    <row r="51" customFormat="false" ht="11.1" hidden="false" customHeight="true" outlineLevel="0" collapsed="false">
      <c r="A51" s="7"/>
      <c r="B51" s="29" t="n">
        <v>6915.01</v>
      </c>
      <c r="C51" s="8" t="n">
        <v>342414</v>
      </c>
      <c r="D51" s="40"/>
      <c r="E51" s="8" t="n">
        <f aca="false">C51-152000</f>
        <v>190414</v>
      </c>
      <c r="F51" s="7"/>
      <c r="G51" s="7"/>
      <c r="H51" s="40"/>
      <c r="I51" s="9"/>
      <c r="J51" s="7"/>
      <c r="K51" s="43"/>
      <c r="L51" s="7"/>
      <c r="M51" s="7"/>
      <c r="N51" s="7"/>
      <c r="O51" s="7"/>
      <c r="P51" s="7"/>
      <c r="Q51" s="7"/>
      <c r="R51" s="7"/>
      <c r="S51" s="8"/>
      <c r="T51" s="7"/>
      <c r="U51" s="7"/>
      <c r="V51" s="8"/>
      <c r="W51" s="7"/>
      <c r="X51" s="7"/>
      <c r="Y51" s="7"/>
      <c r="Z51" s="11"/>
      <c r="AA51" s="12"/>
      <c r="AB51" s="12"/>
      <c r="AC51" s="13"/>
      <c r="AD51" s="14"/>
      <c r="AE51" s="14"/>
    </row>
    <row r="52" customFormat="false" ht="11.1" hidden="false" customHeight="true" outlineLevel="0" collapsed="false">
      <c r="B52" s="40"/>
      <c r="C52" s="8"/>
      <c r="D52" s="8"/>
      <c r="E52" s="8"/>
      <c r="F52" s="40"/>
      <c r="G52" s="40"/>
      <c r="H52" s="9"/>
      <c r="I52" s="40"/>
      <c r="J52" s="40"/>
      <c r="K52" s="40"/>
      <c r="L52" s="40"/>
      <c r="M52" s="30"/>
      <c r="N52" s="30"/>
      <c r="O52" s="30"/>
      <c r="P52" s="40"/>
      <c r="Q52" s="40"/>
      <c r="R52" s="40"/>
      <c r="S52" s="8"/>
      <c r="T52" s="40"/>
      <c r="U52" s="40"/>
      <c r="V52" s="8"/>
      <c r="W52" s="40"/>
      <c r="X52" s="40"/>
      <c r="Y52" s="40"/>
      <c r="Z52" s="11"/>
      <c r="AA52" s="12"/>
      <c r="AB52" s="12"/>
      <c r="AC52" s="13"/>
      <c r="AD52" s="44"/>
      <c r="AE52" s="44"/>
    </row>
    <row r="53" customFormat="false" ht="11.1" hidden="false" customHeight="true" outlineLevel="0" collapsed="false">
      <c r="A53" s="40"/>
      <c r="B53" s="11" t="n">
        <f aca="false">B51-B22</f>
        <v>2.43000000000029</v>
      </c>
      <c r="C53" s="8"/>
      <c r="D53" s="8" t="n">
        <f aca="false">C51-C22</f>
        <v>10005</v>
      </c>
      <c r="E53" s="8"/>
      <c r="F53" s="40"/>
      <c r="G53" s="40"/>
      <c r="H53" s="9"/>
      <c r="I53" s="40"/>
      <c r="J53" s="40"/>
      <c r="K53" s="40"/>
      <c r="L53" s="40"/>
      <c r="M53" s="30"/>
      <c r="N53" s="30"/>
      <c r="O53" s="30"/>
      <c r="P53" s="40"/>
      <c r="Q53" s="40"/>
      <c r="R53" s="40"/>
      <c r="S53" s="8"/>
      <c r="T53" s="40"/>
      <c r="U53" s="40"/>
      <c r="V53" s="8"/>
      <c r="W53" s="40"/>
      <c r="X53" s="40"/>
      <c r="Y53" s="40"/>
      <c r="Z53" s="11"/>
      <c r="AA53" s="12"/>
      <c r="AB53" s="12"/>
      <c r="AC53" s="13"/>
      <c r="AD53" s="44"/>
      <c r="AE53" s="44"/>
    </row>
    <row r="54" customFormat="false" ht="11.1" hidden="false" customHeight="true" outlineLevel="0" collapsed="false">
      <c r="A54" s="40"/>
      <c r="B54" s="40"/>
      <c r="C54" s="8"/>
      <c r="D54" s="40"/>
      <c r="E54" s="8"/>
      <c r="F54" s="40"/>
      <c r="G54" s="45"/>
      <c r="H54" s="9"/>
      <c r="I54" s="40"/>
      <c r="J54" s="40"/>
      <c r="K54" s="40"/>
      <c r="L54" s="40"/>
      <c r="M54" s="30"/>
      <c r="N54" s="30"/>
      <c r="O54" s="30"/>
      <c r="P54" s="40"/>
      <c r="Q54" s="40"/>
      <c r="R54" s="40"/>
      <c r="S54" s="8"/>
      <c r="T54" s="40"/>
      <c r="U54" s="40"/>
      <c r="V54" s="8"/>
      <c r="W54" s="40"/>
      <c r="X54" s="40"/>
      <c r="Y54" s="40"/>
      <c r="Z54" s="11"/>
      <c r="AA54" s="12"/>
      <c r="AB54" s="12"/>
      <c r="AC54" s="13"/>
      <c r="AD54" s="44"/>
      <c r="AE54" s="44"/>
    </row>
  </sheetData>
  <mergeCells count="2">
    <mergeCell ref="K2:V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67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54</v>
      </c>
      <c r="Q4" s="63" t="s">
        <v>15</v>
      </c>
      <c r="R4" s="63" t="s">
        <v>12</v>
      </c>
      <c r="S4" s="64" t="s">
        <v>14</v>
      </c>
      <c r="T4" s="63" t="s">
        <v>16</v>
      </c>
      <c r="U4" s="63" t="s">
        <v>17</v>
      </c>
      <c r="V4" s="64" t="s">
        <v>18</v>
      </c>
      <c r="W4" s="63" t="s">
        <v>10</v>
      </c>
      <c r="X4" s="63" t="s">
        <v>11</v>
      </c>
      <c r="Y4" s="63" t="s">
        <v>12</v>
      </c>
      <c r="Z4" s="66" t="s">
        <v>19</v>
      </c>
      <c r="AA4" s="67" t="s">
        <v>20</v>
      </c>
      <c r="AB4" s="67" t="s">
        <v>21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68</v>
      </c>
      <c r="B5" s="63" t="s">
        <v>23</v>
      </c>
      <c r="C5" s="64" t="s">
        <v>5</v>
      </c>
      <c r="D5" s="63" t="s">
        <v>24</v>
      </c>
      <c r="E5" s="64" t="s">
        <v>25</v>
      </c>
      <c r="F5" s="63" t="s">
        <v>26</v>
      </c>
      <c r="G5" s="63" t="s">
        <v>27</v>
      </c>
      <c r="H5" s="65" t="s">
        <v>28</v>
      </c>
      <c r="I5" s="63" t="s">
        <v>29</v>
      </c>
      <c r="J5" s="63" t="s">
        <v>29</v>
      </c>
      <c r="K5" s="63" t="s">
        <v>29</v>
      </c>
      <c r="L5" s="63" t="s">
        <v>30</v>
      </c>
      <c r="M5" s="63" t="s">
        <v>31</v>
      </c>
      <c r="N5" s="63" t="s">
        <v>32</v>
      </c>
      <c r="O5" s="63" t="s">
        <v>56</v>
      </c>
      <c r="P5" s="63" t="s">
        <v>57</v>
      </c>
      <c r="Q5" s="63" t="s">
        <v>35</v>
      </c>
      <c r="R5" s="63" t="s">
        <v>14</v>
      </c>
      <c r="S5" s="64" t="s">
        <v>36</v>
      </c>
      <c r="T5" s="63" t="s">
        <v>37</v>
      </c>
      <c r="U5" s="63" t="s">
        <v>38</v>
      </c>
      <c r="V5" s="64" t="s">
        <v>39</v>
      </c>
      <c r="W5" s="63" t="s">
        <v>40</v>
      </c>
      <c r="X5" s="63" t="s">
        <v>40</v>
      </c>
      <c r="Y5" s="63" t="s">
        <v>40</v>
      </c>
      <c r="Z5" s="69"/>
      <c r="AA5" s="67" t="s">
        <v>41</v>
      </c>
      <c r="AB5" s="67" t="s">
        <v>41</v>
      </c>
      <c r="AC5" s="70" t="s">
        <v>68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/>
    </row>
    <row r="7" customFormat="false" ht="11.1" hidden="false" customHeight="true" outlineLevel="0" collapsed="false">
      <c r="A7" s="53" t="s">
        <v>42</v>
      </c>
      <c r="B7" s="53"/>
      <c r="C7" s="54"/>
      <c r="D7" s="54"/>
      <c r="E7" s="54"/>
      <c r="F7" s="54" t="n">
        <f aca="false" t="array" ref="F7:Y7">APR!$F$44:$Y$44</f>
        <v>15271.8103883006</v>
      </c>
      <c r="G7" s="54" t="n">
        <v>15046.06</v>
      </c>
      <c r="H7" s="58" t="n">
        <v>3660.52</v>
      </c>
      <c r="I7" s="54" t="n">
        <v>18706.58</v>
      </c>
      <c r="J7" s="54" t="n">
        <v>13233.0362481089</v>
      </c>
      <c r="K7" s="54" t="n">
        <v>31939.6162481089</v>
      </c>
      <c r="L7" s="54" t="n">
        <v>13233.0362481089</v>
      </c>
      <c r="M7" s="54" t="n">
        <v>1487.64</v>
      </c>
      <c r="N7" s="54" t="n">
        <v>684.43721633888</v>
      </c>
      <c r="O7" s="54" t="n">
        <v>803.20278366112</v>
      </c>
      <c r="P7" s="54" t="n">
        <v>0</v>
      </c>
      <c r="Q7" s="54" t="n">
        <v>0</v>
      </c>
      <c r="R7" s="54" t="n">
        <v>803.20278366112</v>
      </c>
      <c r="S7" s="54" t="n">
        <v>0</v>
      </c>
      <c r="T7" s="54" t="n">
        <v>188.630156328795</v>
      </c>
      <c r="U7" s="54" t="n">
        <v>14999.1</v>
      </c>
      <c r="V7" s="54" t="n">
        <v>0</v>
      </c>
      <c r="W7" s="54" t="n">
        <v>16667.8058598084</v>
      </c>
      <c r="X7" s="54" t="n">
        <v>0</v>
      </c>
      <c r="Y7" s="54" t="n">
        <v>16667.8058598084</v>
      </c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43</v>
      </c>
      <c r="B8" s="76" t="n">
        <f aca="false" t="array" ref="B8:C8">APR!$B$39:$C$39</f>
        <v>6914.36</v>
      </c>
      <c r="C8" s="54" t="n">
        <v>339722</v>
      </c>
      <c r="D8" s="54" t="n">
        <f aca="false" t="array" ref="D8:E8">APR!$D$48:$E$48</f>
        <v>73159</v>
      </c>
      <c r="E8" s="54" t="n">
        <v>187722</v>
      </c>
      <c r="F8" s="54" t="n">
        <f aca="false" t="array" ref="F8:Z8">APR!$F$47:$Z$47</f>
        <v>36893.0912758447</v>
      </c>
      <c r="G8" s="54" t="n">
        <v>30835.0025920323</v>
      </c>
      <c r="H8" s="58" t="n">
        <v>6045.33</v>
      </c>
      <c r="I8" s="54" t="n">
        <v>36880.2325920323</v>
      </c>
      <c r="J8" s="54" t="n">
        <v>25577.1179122542</v>
      </c>
      <c r="K8" s="54" t="n">
        <v>62457.3505042864</v>
      </c>
      <c r="L8" s="54" t="n">
        <v>25340.0545436208</v>
      </c>
      <c r="M8" s="54" t="n">
        <v>2390.09</v>
      </c>
      <c r="N8" s="54" t="n">
        <v>700.06721633888</v>
      </c>
      <c r="O8" s="54" t="n">
        <v>1485.52278366112</v>
      </c>
      <c r="P8" s="54" t="n">
        <v>2574.3</v>
      </c>
      <c r="Q8" s="54" t="n">
        <v>0</v>
      </c>
      <c r="R8" s="54" t="n">
        <v>4140.32278366112</v>
      </c>
      <c r="S8" s="54" t="n">
        <v>0</v>
      </c>
      <c r="T8" s="54" t="n">
        <v>188.630156328795</v>
      </c>
      <c r="U8" s="54" t="n">
        <v>20181.74</v>
      </c>
      <c r="V8" s="54" t="n">
        <v>9706</v>
      </c>
      <c r="W8" s="54" t="n">
        <v>25327.1958598084</v>
      </c>
      <c r="X8" s="54" t="n">
        <v>237.063368633384</v>
      </c>
      <c r="Y8" s="54" t="n">
        <v>25564.2592284418</v>
      </c>
      <c r="Z8" s="77" t="n">
        <v>12.41</v>
      </c>
      <c r="AA8" s="58"/>
      <c r="AB8" s="58"/>
      <c r="AC8" s="59"/>
      <c r="AD8" s="78" t="n">
        <v>285</v>
      </c>
      <c r="AE8" s="74" t="n">
        <v>251</v>
      </c>
      <c r="AF8" s="78" t="n">
        <v>1207.63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6914.59</v>
      </c>
      <c r="C10" s="54" t="n">
        <v>340674</v>
      </c>
      <c r="D10" s="58" t="n">
        <f aca="false">C10-C8</f>
        <v>952</v>
      </c>
      <c r="E10" s="54" t="n">
        <f aca="false">C10-152000</f>
        <v>188674</v>
      </c>
      <c r="F10" s="53" t="n">
        <f aca="false">D10/$D$2</f>
        <v>480.080685829551</v>
      </c>
      <c r="G10" s="53" t="n">
        <v>1085.17</v>
      </c>
      <c r="H10" s="55" t="n">
        <v>241.49</v>
      </c>
      <c r="I10" s="53" t="n">
        <f aca="false">G10+H10</f>
        <v>1326.66</v>
      </c>
      <c r="J10" s="77" t="n">
        <f aca="false">IF(L10&gt;0,L10)</f>
        <v>332.070685829551</v>
      </c>
      <c r="K10" s="53" t="n">
        <f aca="false">I10+J10</f>
        <v>1658.73068582955</v>
      </c>
      <c r="L10" s="53" t="n">
        <f aca="false">F10-(I10-W10)</f>
        <v>332.070685829551</v>
      </c>
      <c r="M10" s="53" t="n">
        <v>75.14</v>
      </c>
      <c r="N10" s="53" t="n">
        <f aca="false">(7.84+8.74)*1.05</f>
        <v>17.409</v>
      </c>
      <c r="O10" s="53" t="n">
        <f aca="false">M10-N10</f>
        <v>57.731</v>
      </c>
      <c r="P10" s="53" t="n">
        <v>13.75</v>
      </c>
      <c r="Q10" s="53" t="n">
        <v>0</v>
      </c>
      <c r="R10" s="53" t="n">
        <f aca="false">SUM(O10:Q10)</f>
        <v>71.481</v>
      </c>
      <c r="S10" s="54"/>
      <c r="T10" s="53" t="n">
        <v>7.38</v>
      </c>
      <c r="U10" s="53" t="n">
        <v>1082.38</v>
      </c>
      <c r="V10" s="54" t="n">
        <v>9706</v>
      </c>
      <c r="W10" s="53" t="n">
        <f aca="false">R10+T10+N10+U10</f>
        <v>1178.65</v>
      </c>
      <c r="X10" s="53"/>
      <c r="Y10" s="53" t="n">
        <f aca="false">W10+X10</f>
        <v>1178.65</v>
      </c>
      <c r="Z10" s="57" t="n">
        <v>0.04</v>
      </c>
      <c r="AA10" s="58" t="n">
        <v>65</v>
      </c>
      <c r="AB10" s="58" t="n">
        <v>34</v>
      </c>
      <c r="AC10" s="59" t="n">
        <v>1</v>
      </c>
      <c r="AD10" s="75" t="n">
        <v>303</v>
      </c>
      <c r="AE10" s="78" t="n">
        <v>273</v>
      </c>
      <c r="AF10" s="75" t="n">
        <v>1256.86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6914.94</v>
      </c>
      <c r="C11" s="54" t="n">
        <v>342124</v>
      </c>
      <c r="D11" s="58" t="n">
        <f aca="false">C11-C10</f>
        <v>1450</v>
      </c>
      <c r="E11" s="54" t="n">
        <f aca="false">C11-152000</f>
        <v>190124</v>
      </c>
      <c r="F11" s="53" t="n">
        <f aca="false">D11/$D$2</f>
        <v>731.215330307615</v>
      </c>
      <c r="G11" s="53" t="n">
        <v>1077.6</v>
      </c>
      <c r="H11" s="55" t="n">
        <v>244.69</v>
      </c>
      <c r="I11" s="53" t="n">
        <f aca="false">G11+H11</f>
        <v>1322.29</v>
      </c>
      <c r="J11" s="77" t="n">
        <f aca="false">IF(L11&gt;0,L11)</f>
        <v>760.915330307615</v>
      </c>
      <c r="K11" s="53" t="n">
        <f aca="false">I11+J11</f>
        <v>2083.20533030761</v>
      </c>
      <c r="L11" s="53" t="n">
        <f aca="false">F11-(I11-W11)</f>
        <v>760.915330307615</v>
      </c>
      <c r="M11" s="53" t="n">
        <v>97.52</v>
      </c>
      <c r="N11" s="53" t="n">
        <f aca="false">(6.51+7.42)*1.05</f>
        <v>14.6265</v>
      </c>
      <c r="O11" s="53" t="n">
        <f aca="false">M11-N11</f>
        <v>82.8935</v>
      </c>
      <c r="P11" s="53" t="n">
        <v>15.21</v>
      </c>
      <c r="Q11" s="53" t="n">
        <v>11.42</v>
      </c>
      <c r="R11" s="53" t="n">
        <f aca="false">SUM(O11:Q11)</f>
        <v>109.5235</v>
      </c>
      <c r="S11" s="54"/>
      <c r="T11" s="53" t="n">
        <v>20.06</v>
      </c>
      <c r="U11" s="53" t="n">
        <v>1207.78</v>
      </c>
      <c r="V11" s="54" t="n">
        <v>9706</v>
      </c>
      <c r="W11" s="53" t="n">
        <f aca="false">R11+T11+N11+U11</f>
        <v>1351.99</v>
      </c>
      <c r="X11" s="53"/>
      <c r="Y11" s="53" t="n">
        <f aca="false">W11+X11</f>
        <v>1351.99</v>
      </c>
      <c r="Z11" s="57" t="n">
        <v>0.17</v>
      </c>
      <c r="AA11" s="58" t="n">
        <v>55</v>
      </c>
      <c r="AB11" s="58" t="n">
        <v>44</v>
      </c>
      <c r="AC11" s="59" t="n">
        <f aca="false">AC10+1</f>
        <v>2</v>
      </c>
      <c r="AD11" s="75" t="n">
        <v>306</v>
      </c>
      <c r="AE11" s="78" t="n">
        <v>300</v>
      </c>
      <c r="AF11" s="75" t="n">
        <v>1306.42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6915.14</v>
      </c>
      <c r="C12" s="54" t="n">
        <v>342957</v>
      </c>
      <c r="D12" s="58" t="n">
        <f aca="false">C12-C11</f>
        <v>833</v>
      </c>
      <c r="E12" s="54" t="n">
        <f aca="false">C12-152000</f>
        <v>190957</v>
      </c>
      <c r="F12" s="53" t="n">
        <f aca="false">D12/$D$2</f>
        <v>420.070600100857</v>
      </c>
      <c r="G12" s="53" t="n">
        <v>1099.25</v>
      </c>
      <c r="H12" s="55" t="n">
        <v>278.48</v>
      </c>
      <c r="I12" s="53" t="n">
        <f aca="false">G12+H12</f>
        <v>1377.73</v>
      </c>
      <c r="J12" s="77" t="n">
        <f aca="false">IF(L12&gt;0,L12)</f>
        <v>373.850600100857</v>
      </c>
      <c r="K12" s="53" t="n">
        <f aca="false">I12+J12</f>
        <v>1751.58060010086</v>
      </c>
      <c r="L12" s="53" t="n">
        <f aca="false">F12-(I12-W12)</f>
        <v>373.850600100857</v>
      </c>
      <c r="M12" s="53" t="n">
        <v>96.03</v>
      </c>
      <c r="N12" s="53" t="n">
        <f aca="false">(6.26+6.38)*1.05</f>
        <v>13.272</v>
      </c>
      <c r="O12" s="53" t="n">
        <f aca="false">M12-N12</f>
        <v>82.758</v>
      </c>
      <c r="P12" s="53" t="n">
        <v>18.57</v>
      </c>
      <c r="Q12" s="53" t="n">
        <v>10.35</v>
      </c>
      <c r="R12" s="53" t="n">
        <f aca="false">SUM(O12:Q12)</f>
        <v>111.678</v>
      </c>
      <c r="S12" s="54"/>
      <c r="T12" s="53" t="n">
        <v>0</v>
      </c>
      <c r="U12" s="53" t="n">
        <v>1206.56</v>
      </c>
      <c r="V12" s="54" t="n">
        <v>9706</v>
      </c>
      <c r="W12" s="53" t="n">
        <f aca="false">R12+T12+N12+U12</f>
        <v>1331.51</v>
      </c>
      <c r="X12" s="53"/>
      <c r="Y12" s="53" t="n">
        <f aca="false">W12+X12</f>
        <v>1331.51</v>
      </c>
      <c r="Z12" s="57" t="n">
        <v>0</v>
      </c>
      <c r="AA12" s="58" t="n">
        <v>60</v>
      </c>
      <c r="AB12" s="58" t="n">
        <v>31</v>
      </c>
      <c r="AC12" s="59" t="n">
        <f aca="false">AC11+1</f>
        <v>3</v>
      </c>
      <c r="AD12" s="75" t="n">
        <v>316</v>
      </c>
      <c r="AE12" s="78" t="n">
        <v>341</v>
      </c>
      <c r="AF12" s="75" t="n">
        <v>1355.74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6915.34</v>
      </c>
      <c r="C13" s="54" t="n">
        <v>343792</v>
      </c>
      <c r="D13" s="58" t="n">
        <f aca="false">C13-C12</f>
        <v>835</v>
      </c>
      <c r="E13" s="54" t="n">
        <f aca="false">C13-152000</f>
        <v>191792</v>
      </c>
      <c r="F13" s="53" t="n">
        <f aca="false">D13/$D$2</f>
        <v>421.079172970247</v>
      </c>
      <c r="G13" s="53" t="n">
        <v>1090.25</v>
      </c>
      <c r="H13" s="55" t="n">
        <v>247.29</v>
      </c>
      <c r="I13" s="53" t="n">
        <f aca="false">G13+H13</f>
        <v>1337.54</v>
      </c>
      <c r="J13" s="77" t="n">
        <f aca="false">IF(L13&gt;0,L13)</f>
        <v>526.389172970247</v>
      </c>
      <c r="K13" s="53" t="n">
        <f aca="false">I13+J13</f>
        <v>1863.92917297025</v>
      </c>
      <c r="L13" s="53" t="n">
        <f aca="false">F13-(I13-W13)</f>
        <v>526.389172970247</v>
      </c>
      <c r="M13" s="53" t="n">
        <v>128.27</v>
      </c>
      <c r="N13" s="53" t="n">
        <f aca="false">(7.35+7.3)*1.05</f>
        <v>15.3825</v>
      </c>
      <c r="O13" s="53" t="n">
        <f aca="false">M13-N13</f>
        <v>112.8875</v>
      </c>
      <c r="P13" s="53" t="n">
        <v>20.75</v>
      </c>
      <c r="Q13" s="53" t="n">
        <v>12.73</v>
      </c>
      <c r="R13" s="53" t="n">
        <f aca="false">SUM(O13:Q13)</f>
        <v>146.3675</v>
      </c>
      <c r="S13" s="54"/>
      <c r="T13" s="53" t="n">
        <v>8.31</v>
      </c>
      <c r="U13" s="53" t="n">
        <v>1272.79</v>
      </c>
      <c r="V13" s="54" t="n">
        <v>9706</v>
      </c>
      <c r="W13" s="53" t="n">
        <f aca="false">R13+T13+N13+U13</f>
        <v>1442.85</v>
      </c>
      <c r="X13" s="53"/>
      <c r="Y13" s="53" t="n">
        <f aca="false">W13+X13</f>
        <v>1442.85</v>
      </c>
      <c r="Z13" s="57" t="n">
        <v>0.13</v>
      </c>
      <c r="AA13" s="58" t="n">
        <v>69</v>
      </c>
      <c r="AB13" s="58" t="n">
        <v>36</v>
      </c>
      <c r="AC13" s="59" t="n">
        <f aca="false">AC12+1</f>
        <v>4</v>
      </c>
      <c r="AD13" s="75" t="n">
        <v>316</v>
      </c>
      <c r="AE13" s="78" t="n">
        <v>395</v>
      </c>
      <c r="AF13" s="75" t="n">
        <v>1405.31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6915.59</v>
      </c>
      <c r="C14" s="54" t="n">
        <v>344835</v>
      </c>
      <c r="D14" s="58" t="n">
        <f aca="false">C14-C13</f>
        <v>1043</v>
      </c>
      <c r="E14" s="54" t="n">
        <f aca="false">C14-152000</f>
        <v>192835</v>
      </c>
      <c r="F14" s="53" t="n">
        <f aca="false">D14/$D$2</f>
        <v>525.970751386788</v>
      </c>
      <c r="G14" s="53" t="n">
        <v>1326.51</v>
      </c>
      <c r="H14" s="55" t="n">
        <v>309.62</v>
      </c>
      <c r="I14" s="53" t="n">
        <f aca="false">G14+H14</f>
        <v>1636.13</v>
      </c>
      <c r="J14" s="77" t="n">
        <f aca="false">IF(L14&gt;0,L14)</f>
        <v>639.830751386788</v>
      </c>
      <c r="K14" s="53" t="n">
        <f aca="false">I14+J14</f>
        <v>2275.96075138679</v>
      </c>
      <c r="L14" s="53" t="n">
        <f aca="false">F14-(I14-W14)</f>
        <v>639.830751386788</v>
      </c>
      <c r="M14" s="53" t="n">
        <v>170.21</v>
      </c>
      <c r="N14" s="53" t="n">
        <f aca="false">(13.75+14.75)*1.05</f>
        <v>29.925</v>
      </c>
      <c r="O14" s="53" t="n">
        <f aca="false">M14-N14</f>
        <v>140.285</v>
      </c>
      <c r="P14" s="53" t="n">
        <v>20.77</v>
      </c>
      <c r="Q14" s="53" t="n">
        <v>14.33</v>
      </c>
      <c r="R14" s="53" t="n">
        <f aca="false">SUM(O14:Q14)</f>
        <v>175.385</v>
      </c>
      <c r="S14" s="54"/>
      <c r="T14" s="53" t="n">
        <v>11.77</v>
      </c>
      <c r="U14" s="53" t="n">
        <v>1532.91</v>
      </c>
      <c r="V14" s="54" t="n">
        <v>9706</v>
      </c>
      <c r="W14" s="53" t="n">
        <f aca="false">R14+T14+N14+U14</f>
        <v>1749.99</v>
      </c>
      <c r="X14" s="53"/>
      <c r="Y14" s="53" t="n">
        <f aca="false">W14+X14</f>
        <v>1749.99</v>
      </c>
      <c r="Z14" s="57" t="n">
        <v>0.03</v>
      </c>
      <c r="AA14" s="58" t="n">
        <v>52</v>
      </c>
      <c r="AB14" s="58" t="n">
        <v>40</v>
      </c>
      <c r="AC14" s="59" t="n">
        <f aca="false">AC13+1</f>
        <v>5</v>
      </c>
      <c r="AD14" s="75" t="n">
        <v>316</v>
      </c>
      <c r="AE14" s="78" t="n">
        <v>466</v>
      </c>
      <c r="AF14" s="75" t="n">
        <v>1437.16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6915.63</v>
      </c>
      <c r="C15" s="54" t="n">
        <v>345002</v>
      </c>
      <c r="D15" s="58" t="n">
        <f aca="false">C15-C14</f>
        <v>167</v>
      </c>
      <c r="E15" s="54" t="n">
        <f aca="false">C15-152000</f>
        <v>193002</v>
      </c>
      <c r="F15" s="53" t="n">
        <f aca="false">D15/$D$2</f>
        <v>84.2158345940494</v>
      </c>
      <c r="G15" s="53" t="n">
        <v>1199.92</v>
      </c>
      <c r="H15" s="55" t="n">
        <v>263.32</v>
      </c>
      <c r="I15" s="53" t="n">
        <f aca="false">G15+H15</f>
        <v>1463.24</v>
      </c>
      <c r="J15" s="77" t="n">
        <f aca="false">IF(L15&gt;0,L15)</f>
        <v>425.12583459405</v>
      </c>
      <c r="K15" s="53" t="n">
        <f aca="false">I15+J15</f>
        <v>1888.36583459405</v>
      </c>
      <c r="L15" s="53" t="n">
        <f aca="false">F15-(I15-W15)</f>
        <v>425.12583459405</v>
      </c>
      <c r="M15" s="53" t="n">
        <v>147.05</v>
      </c>
      <c r="N15" s="53" t="n">
        <f aca="false">(12.89+13.41)*1.05</f>
        <v>27.615</v>
      </c>
      <c r="O15" s="53" t="n">
        <f aca="false">M15-N15</f>
        <v>119.435</v>
      </c>
      <c r="P15" s="53" t="n">
        <v>20.86</v>
      </c>
      <c r="Q15" s="53" t="n">
        <v>14.26</v>
      </c>
      <c r="R15" s="53" t="n">
        <f aca="false">SUM(O15:Q15)</f>
        <v>154.555</v>
      </c>
      <c r="S15" s="54"/>
      <c r="T15" s="53" t="n">
        <v>20.68</v>
      </c>
      <c r="U15" s="53" t="n">
        <v>1601.3</v>
      </c>
      <c r="V15" s="54" t="n">
        <v>9706</v>
      </c>
      <c r="W15" s="53" t="n">
        <f aca="false">R15+T15+N15+U15</f>
        <v>1804.15</v>
      </c>
      <c r="X15" s="53"/>
      <c r="Y15" s="53" t="n">
        <f aca="false">W15+X15</f>
        <v>1804.15</v>
      </c>
      <c r="Z15" s="57" t="n">
        <v>0</v>
      </c>
      <c r="AA15" s="58" t="n">
        <v>48</v>
      </c>
      <c r="AB15" s="58" t="n">
        <v>31</v>
      </c>
      <c r="AC15" s="59" t="n">
        <f aca="false">AC14+1</f>
        <v>6</v>
      </c>
      <c r="AD15" s="74" t="n">
        <v>325</v>
      </c>
      <c r="AE15" s="78" t="n">
        <v>538</v>
      </c>
      <c r="AF15" s="75" t="n">
        <v>1467.01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6915.59</v>
      </c>
      <c r="C16" s="54" t="n">
        <v>344835</v>
      </c>
      <c r="D16" s="58" t="n">
        <f aca="false">C16-C15</f>
        <v>-167</v>
      </c>
      <c r="E16" s="54" t="n">
        <f aca="false">C16-152000</f>
        <v>192835</v>
      </c>
      <c r="F16" s="53" t="n">
        <f aca="false">D16/$D$2</f>
        <v>-84.2158345940494</v>
      </c>
      <c r="G16" s="53" t="n">
        <v>979.99</v>
      </c>
      <c r="H16" s="55" t="n">
        <v>155.79</v>
      </c>
      <c r="I16" s="53" t="n">
        <f aca="false">G16+H16</f>
        <v>1135.78</v>
      </c>
      <c r="J16" s="77" t="n">
        <f aca="false">IF(L16&gt;0,L16)</f>
        <v>555.514165405951</v>
      </c>
      <c r="K16" s="53" t="n">
        <f aca="false">I16+J16</f>
        <v>1691.29416540595</v>
      </c>
      <c r="L16" s="53" t="n">
        <f aca="false">F16-(I16-W16)</f>
        <v>555.514165405951</v>
      </c>
      <c r="M16" s="53" t="n">
        <v>140.38</v>
      </c>
      <c r="N16" s="53" t="n">
        <f aca="false">(14.47+14.93)*1.05</f>
        <v>30.87</v>
      </c>
      <c r="O16" s="53" t="n">
        <f aca="false">M16-N16</f>
        <v>109.51</v>
      </c>
      <c r="P16" s="53" t="n">
        <v>20.99</v>
      </c>
      <c r="Q16" s="53" t="n">
        <v>14.14</v>
      </c>
      <c r="R16" s="53" t="n">
        <f aca="false">SUM(O16:Q16)</f>
        <v>144.64</v>
      </c>
      <c r="S16" s="54"/>
      <c r="T16" s="53" t="n">
        <v>0</v>
      </c>
      <c r="U16" s="53" t="n">
        <v>1600</v>
      </c>
      <c r="V16" s="54" t="n">
        <v>9706</v>
      </c>
      <c r="W16" s="53" t="n">
        <f aca="false">R16+T16+N16+U16</f>
        <v>1775.51</v>
      </c>
      <c r="X16" s="53"/>
      <c r="Y16" s="53" t="n">
        <f aca="false">W16+X16</f>
        <v>1775.51</v>
      </c>
      <c r="Z16" s="57" t="n">
        <v>0.51</v>
      </c>
      <c r="AA16" s="58" t="n">
        <v>48</v>
      </c>
      <c r="AB16" s="58" t="n">
        <v>31</v>
      </c>
      <c r="AC16" s="59" t="n">
        <f aca="false">AC15+1</f>
        <v>7</v>
      </c>
      <c r="AD16" s="74" t="n">
        <v>342</v>
      </c>
      <c r="AE16" s="78" t="n">
        <v>618</v>
      </c>
      <c r="AF16" s="75" t="n">
        <v>1496.64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6915.43</v>
      </c>
      <c r="C17" s="54" t="n">
        <v>344167</v>
      </c>
      <c r="D17" s="58" t="n">
        <f aca="false">C17-C16</f>
        <v>-668</v>
      </c>
      <c r="E17" s="54" t="n">
        <f aca="false">C17-152000</f>
        <v>192167</v>
      </c>
      <c r="F17" s="53" t="n">
        <f aca="false">D17/$D$2</f>
        <v>-336.863338376198</v>
      </c>
      <c r="G17" s="53" t="n">
        <v>870.63</v>
      </c>
      <c r="H17" s="55" t="n">
        <v>127.43</v>
      </c>
      <c r="I17" s="53" t="n">
        <f aca="false">G17+H17</f>
        <v>998.06</v>
      </c>
      <c r="J17" s="77" t="n">
        <f aca="false">IF(L17&gt;0,L17)</f>
        <v>374.176661623802</v>
      </c>
      <c r="K17" s="53" t="n">
        <f aca="false">I17+J17</f>
        <v>1372.2366616238</v>
      </c>
      <c r="L17" s="53" t="n">
        <f aca="false">F17-(I17-W17)</f>
        <v>374.176661623802</v>
      </c>
      <c r="M17" s="53" t="n">
        <v>74.22</v>
      </c>
      <c r="N17" s="53" t="n">
        <f aca="false">(0.16+2.69)*1.05</f>
        <v>2.9925</v>
      </c>
      <c r="O17" s="53" t="n">
        <f aca="false">M17-N17</f>
        <v>71.2275</v>
      </c>
      <c r="P17" s="53" t="n">
        <v>20.89</v>
      </c>
      <c r="Q17" s="53" t="n">
        <v>10.96</v>
      </c>
      <c r="R17" s="53" t="n">
        <f aca="false">SUM(O17:Q17)</f>
        <v>103.0775</v>
      </c>
      <c r="S17" s="54"/>
      <c r="T17" s="53" t="n">
        <v>0</v>
      </c>
      <c r="U17" s="53" t="n">
        <v>1603.03</v>
      </c>
      <c r="V17" s="54" t="n">
        <v>9706</v>
      </c>
      <c r="W17" s="53" t="n">
        <f aca="false">R17+T17+N17+U17</f>
        <v>1709.1</v>
      </c>
      <c r="X17" s="53"/>
      <c r="Y17" s="53" t="n">
        <f aca="false">W17+X17</f>
        <v>1709.1</v>
      </c>
      <c r="Z17" s="57" t="n">
        <v>0</v>
      </c>
      <c r="AA17" s="58" t="n">
        <v>54</v>
      </c>
      <c r="AB17" s="58" t="n">
        <v>32</v>
      </c>
      <c r="AC17" s="59" t="n">
        <f aca="false">AC16+1</f>
        <v>8</v>
      </c>
      <c r="AD17" s="74" t="n">
        <v>367</v>
      </c>
      <c r="AE17" s="78" t="n">
        <v>704</v>
      </c>
      <c r="AF17" s="75" t="n">
        <v>1526.51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6915.23</v>
      </c>
      <c r="C18" s="54" t="n">
        <v>343332</v>
      </c>
      <c r="D18" s="58" t="n">
        <f aca="false">C18-C17</f>
        <v>-835</v>
      </c>
      <c r="E18" s="54" t="n">
        <f aca="false">C18-152000</f>
        <v>191332</v>
      </c>
      <c r="F18" s="53" t="n">
        <f aca="false">D18/$D$2</f>
        <v>-421.079172970247</v>
      </c>
      <c r="G18" s="53" t="n">
        <v>818.87</v>
      </c>
      <c r="H18" s="55" t="n">
        <v>113.54</v>
      </c>
      <c r="I18" s="53" t="n">
        <f aca="false">G18+H18</f>
        <v>932.41</v>
      </c>
      <c r="J18" s="77" t="n">
        <f aca="false">IF(L18&gt;0,L18)</f>
        <v>368.660827029753</v>
      </c>
      <c r="K18" s="53" t="n">
        <f aca="false">I18+J18</f>
        <v>1301.07082702975</v>
      </c>
      <c r="L18" s="53" t="n">
        <f aca="false">F18-(I18-W18)</f>
        <v>368.660827029753</v>
      </c>
      <c r="M18" s="53" t="n">
        <v>85.33</v>
      </c>
      <c r="N18" s="53" t="n">
        <f aca="false">(0.16+2.21)*1.05</f>
        <v>2.4885</v>
      </c>
      <c r="O18" s="53" t="n">
        <f aca="false">M18-N18</f>
        <v>82.8415</v>
      </c>
      <c r="P18" s="53" t="n">
        <v>20.87</v>
      </c>
      <c r="Q18" s="53" t="n">
        <v>12.47</v>
      </c>
      <c r="R18" s="53" t="n">
        <f aca="false">SUM(O18:Q18)</f>
        <v>116.1815</v>
      </c>
      <c r="S18" s="54"/>
      <c r="T18" s="53" t="n">
        <v>0</v>
      </c>
      <c r="U18" s="53" t="n">
        <v>1603.48</v>
      </c>
      <c r="V18" s="54" t="n">
        <v>9706</v>
      </c>
      <c r="W18" s="53" t="n">
        <f aca="false">R18+T18+N18+U18</f>
        <v>1722.15</v>
      </c>
      <c r="X18" s="53"/>
      <c r="Y18" s="53" t="n">
        <f aca="false">W18+X18</f>
        <v>1722.15</v>
      </c>
      <c r="Z18" s="57" t="n">
        <v>0</v>
      </c>
      <c r="AA18" s="86" t="n">
        <v>63</v>
      </c>
      <c r="AB18" s="58" t="n">
        <v>38</v>
      </c>
      <c r="AC18" s="59" t="n">
        <f aca="false">AC17+1</f>
        <v>9</v>
      </c>
      <c r="AD18" s="74" t="n">
        <v>390</v>
      </c>
      <c r="AE18" s="78" t="n">
        <v>805</v>
      </c>
      <c r="AF18" s="75" t="n">
        <v>1561.24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6915.01</v>
      </c>
      <c r="C19" s="54" t="n">
        <v>342414</v>
      </c>
      <c r="D19" s="58" t="n">
        <f aca="false">C19-C18</f>
        <v>-918</v>
      </c>
      <c r="E19" s="54" t="n">
        <f aca="false">C19-152000</f>
        <v>190414</v>
      </c>
      <c r="F19" s="53" t="n">
        <f aca="false">D19/$D$2</f>
        <v>-462.934947049924</v>
      </c>
      <c r="G19" s="53" t="n">
        <v>912.45</v>
      </c>
      <c r="H19" s="55" t="n">
        <v>156.02</v>
      </c>
      <c r="I19" s="53" t="n">
        <f aca="false">G19+H19</f>
        <v>1068.47</v>
      </c>
      <c r="J19" s="77" t="n">
        <f aca="false">IF(L19&gt;0,L19)</f>
        <v>301.815052950076</v>
      </c>
      <c r="K19" s="53" t="n">
        <f aca="false">I19+J19</f>
        <v>1370.28505295008</v>
      </c>
      <c r="L19" s="53" t="n">
        <f aca="false">F19-(I19-W19)</f>
        <v>301.815052950076</v>
      </c>
      <c r="M19" s="53" t="n">
        <v>113.67</v>
      </c>
      <c r="N19" s="53" t="n">
        <f aca="false">(0.17+0.55)*1.05</f>
        <v>0.756</v>
      </c>
      <c r="O19" s="53" t="n">
        <f aca="false">M19-N19</f>
        <v>112.914</v>
      </c>
      <c r="P19" s="53" t="n">
        <v>31.42</v>
      </c>
      <c r="Q19" s="53" t="n">
        <v>14.58</v>
      </c>
      <c r="R19" s="53" t="n">
        <f aca="false">SUM(O19:Q19)</f>
        <v>158.914</v>
      </c>
      <c r="S19" s="54"/>
      <c r="T19" s="53" t="n">
        <v>4.22</v>
      </c>
      <c r="U19" s="53" t="n">
        <v>1669.33</v>
      </c>
      <c r="V19" s="54" t="n">
        <v>9706</v>
      </c>
      <c r="W19" s="53" t="n">
        <f aca="false">R19+T19+N19+U19</f>
        <v>1833.22</v>
      </c>
      <c r="X19" s="53"/>
      <c r="Y19" s="53" t="n">
        <f aca="false">W19+X19</f>
        <v>1833.22</v>
      </c>
      <c r="Z19" s="57" t="n">
        <v>0</v>
      </c>
      <c r="AA19" s="58" t="n">
        <v>66</v>
      </c>
      <c r="AB19" s="58" t="n">
        <v>40</v>
      </c>
      <c r="AC19" s="59" t="n">
        <f aca="false">AC18+1</f>
        <v>10</v>
      </c>
      <c r="AD19" s="74" t="n">
        <v>437</v>
      </c>
      <c r="AE19" s="78" t="n">
        <v>920</v>
      </c>
      <c r="AF19" s="75" t="n">
        <v>1600.39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6914.79</v>
      </c>
      <c r="C20" s="54" t="n">
        <v>341503</v>
      </c>
      <c r="D20" s="58" t="n">
        <f aca="false">C20-C19</f>
        <v>-911</v>
      </c>
      <c r="E20" s="54" t="n">
        <f aca="false">C20-152000</f>
        <v>189503</v>
      </c>
      <c r="F20" s="53" t="n">
        <f aca="false">D20/$D$2</f>
        <v>-459.40494200706</v>
      </c>
      <c r="G20" s="53" t="n">
        <v>1011.51</v>
      </c>
      <c r="H20" s="55" t="n">
        <v>169.22</v>
      </c>
      <c r="I20" s="53" t="n">
        <f aca="false">G20+H20</f>
        <v>1180.73</v>
      </c>
      <c r="J20" s="77" t="n">
        <f aca="false">IF(L20&gt;0,L20)</f>
        <v>436.80505799294</v>
      </c>
      <c r="K20" s="53" t="n">
        <f aca="false">I20+J20</f>
        <v>1617.53505799294</v>
      </c>
      <c r="L20" s="53" t="n">
        <f aca="false">F20-(I20-W20)</f>
        <v>436.80505799294</v>
      </c>
      <c r="M20" s="53" t="n">
        <v>121.91</v>
      </c>
      <c r="N20" s="53" t="n">
        <f aca="false">(1.14+1.52)*1.0505</f>
        <v>2.79433</v>
      </c>
      <c r="O20" s="53" t="n">
        <f aca="false">M20-N20</f>
        <v>119.11567</v>
      </c>
      <c r="P20" s="53" t="n">
        <v>40.48</v>
      </c>
      <c r="Q20" s="53" t="n">
        <v>17.23</v>
      </c>
      <c r="R20" s="53" t="n">
        <f aca="false">SUM(O20:Q20)</f>
        <v>176.82567</v>
      </c>
      <c r="S20" s="54"/>
      <c r="T20" s="53" t="n">
        <v>9.32</v>
      </c>
      <c r="U20" s="53" t="n">
        <v>1888</v>
      </c>
      <c r="V20" s="54" t="n">
        <v>9706</v>
      </c>
      <c r="W20" s="53" t="n">
        <f aca="false">R20+T20+N20+U20</f>
        <v>2076.94</v>
      </c>
      <c r="X20" s="53"/>
      <c r="Y20" s="53" t="n">
        <f aca="false">W20+X20</f>
        <v>2076.94</v>
      </c>
      <c r="Z20" s="57" t="n">
        <v>0</v>
      </c>
      <c r="AA20" s="58" t="n">
        <v>65</v>
      </c>
      <c r="AB20" s="58" t="n">
        <v>42</v>
      </c>
      <c r="AC20" s="59" t="n">
        <f aca="false">AC19+1</f>
        <v>11</v>
      </c>
      <c r="AD20" s="74" t="n">
        <v>498</v>
      </c>
      <c r="AE20" s="78" t="n">
        <v>1048</v>
      </c>
      <c r="AF20" s="75" t="n">
        <v>1642</v>
      </c>
    </row>
    <row r="21" customFormat="false" ht="11.1" hidden="false" customHeight="true" outlineLevel="0" collapsed="false">
      <c r="A21" s="59" t="n">
        <f aca="false">A20+1</f>
        <v>12</v>
      </c>
      <c r="B21" s="76" t="n">
        <v>6914.51</v>
      </c>
      <c r="C21" s="54" t="n">
        <v>340343</v>
      </c>
      <c r="D21" s="58" t="n">
        <f aca="false">C21-C20</f>
        <v>-1160</v>
      </c>
      <c r="E21" s="54" t="n">
        <f aca="false">C21-152000</f>
        <v>188343</v>
      </c>
      <c r="F21" s="53" t="n">
        <f aca="false">D21/$D$2</f>
        <v>-584.972264246092</v>
      </c>
      <c r="G21" s="53" t="n">
        <v>1109.15</v>
      </c>
      <c r="H21" s="55" t="n">
        <v>179.01</v>
      </c>
      <c r="I21" s="53" t="n">
        <f aca="false">G21+H21</f>
        <v>1288.16</v>
      </c>
      <c r="J21" s="77" t="n">
        <f aca="false">IF(L21&gt;0,L21)</f>
        <v>304.957735753908</v>
      </c>
      <c r="K21" s="53" t="n">
        <f aca="false">I21+J21</f>
        <v>1593.11773575391</v>
      </c>
      <c r="L21" s="53" t="n">
        <f aca="false">F21-(I21-W21)</f>
        <v>304.957735753908</v>
      </c>
      <c r="M21" s="53" t="n">
        <v>128.31</v>
      </c>
      <c r="N21" s="53" t="n">
        <f aca="false">(6.52+6.57)*1.05</f>
        <v>13.7445</v>
      </c>
      <c r="O21" s="53" t="n">
        <f aca="false">M21-N21</f>
        <v>114.5655</v>
      </c>
      <c r="P21" s="53" t="n">
        <v>39.88</v>
      </c>
      <c r="Q21" s="53" t="n">
        <v>21.75</v>
      </c>
      <c r="R21" s="53" t="n">
        <f aca="false">SUM(O21:Q21)</f>
        <v>176.1955</v>
      </c>
      <c r="S21" s="54"/>
      <c r="T21" s="53" t="n">
        <v>6.07</v>
      </c>
      <c r="U21" s="53" t="n">
        <v>1982.08</v>
      </c>
      <c r="V21" s="54" t="n">
        <v>9706</v>
      </c>
      <c r="W21" s="53" t="n">
        <f aca="false">R21+T21+N21+U21</f>
        <v>2178.09</v>
      </c>
      <c r="X21" s="53"/>
      <c r="Y21" s="53" t="n">
        <f aca="false">W21+X21</f>
        <v>2178.09</v>
      </c>
      <c r="Z21" s="57" t="n">
        <v>0</v>
      </c>
      <c r="AA21" s="58" t="n">
        <v>61</v>
      </c>
      <c r="AB21" s="58" t="n">
        <v>45</v>
      </c>
      <c r="AC21" s="59" t="n">
        <f aca="false">AC20+1</f>
        <v>12</v>
      </c>
      <c r="AD21" s="74" t="n">
        <v>572</v>
      </c>
      <c r="AE21" s="78" t="n">
        <v>1182</v>
      </c>
      <c r="AF21" s="75" t="n">
        <v>1683.42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6914.21</v>
      </c>
      <c r="C22" s="54" t="n">
        <v>339100</v>
      </c>
      <c r="D22" s="58" t="n">
        <f aca="false">C22-C21</f>
        <v>-1243</v>
      </c>
      <c r="E22" s="54" t="n">
        <f aca="false">C22-152000</f>
        <v>187100</v>
      </c>
      <c r="F22" s="53" t="n">
        <f aca="false">D22/$D$2</f>
        <v>-626.828038325769</v>
      </c>
      <c r="G22" s="53" t="n">
        <v>1023.1</v>
      </c>
      <c r="H22" s="55" t="n">
        <v>119.01</v>
      </c>
      <c r="I22" s="53" t="n">
        <f aca="false">G22+H22</f>
        <v>1142.11</v>
      </c>
      <c r="J22" s="77" t="n">
        <f aca="false">IF(L22&gt;0,L22)</f>
        <v>453.391961674231</v>
      </c>
      <c r="K22" s="53" t="n">
        <f aca="false">I22+J22</f>
        <v>1595.50196167423</v>
      </c>
      <c r="L22" s="53" t="n">
        <f aca="false">F22-(I22-W22)</f>
        <v>453.391961674231</v>
      </c>
      <c r="M22" s="53" t="n">
        <v>147.97</v>
      </c>
      <c r="N22" s="53" t="n">
        <f aca="false">(9.92+10.54)*1.05</f>
        <v>21.483</v>
      </c>
      <c r="O22" s="53" t="n">
        <f aca="false">M22-N22</f>
        <v>126.487</v>
      </c>
      <c r="P22" s="53" t="n">
        <v>39.77</v>
      </c>
      <c r="Q22" s="53" t="n">
        <v>27.25</v>
      </c>
      <c r="R22" s="53" t="n">
        <f aca="false">SUM(O22:Q22)</f>
        <v>193.507</v>
      </c>
      <c r="S22" s="54"/>
      <c r="T22" s="53" t="n">
        <v>4.65</v>
      </c>
      <c r="U22" s="53" t="n">
        <v>2002.69</v>
      </c>
      <c r="V22" s="54" t="n">
        <v>9706</v>
      </c>
      <c r="W22" s="53" t="n">
        <f aca="false">R22+T22+N22+U22</f>
        <v>2222.33</v>
      </c>
      <c r="X22" s="53"/>
      <c r="Y22" s="53" t="n">
        <f aca="false">W22+X22</f>
        <v>2222.33</v>
      </c>
      <c r="Z22" s="57" t="n">
        <v>0</v>
      </c>
      <c r="AA22" s="58" t="n">
        <v>68</v>
      </c>
      <c r="AB22" s="58" t="n">
        <v>40</v>
      </c>
      <c r="AC22" s="59" t="n">
        <f aca="false">AC21+1</f>
        <v>13</v>
      </c>
      <c r="AD22" s="74" t="n">
        <v>716</v>
      </c>
      <c r="AE22" s="78" t="n">
        <v>1339</v>
      </c>
      <c r="AF22" s="75" t="n">
        <v>1725.1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6913.93</v>
      </c>
      <c r="C23" s="54" t="n">
        <v>337943</v>
      </c>
      <c r="D23" s="58" t="n">
        <f aca="false">C23-C22</f>
        <v>-1157</v>
      </c>
      <c r="E23" s="54" t="n">
        <f aca="false">C23-152000</f>
        <v>185943</v>
      </c>
      <c r="F23" s="53" t="n">
        <f aca="false">D23/$D$2</f>
        <v>-583.459404942007</v>
      </c>
      <c r="G23" s="53" t="n">
        <v>1016.22</v>
      </c>
      <c r="H23" s="55" t="n">
        <v>110.59</v>
      </c>
      <c r="I23" s="53" t="n">
        <f aca="false">G23+H23</f>
        <v>1126.81</v>
      </c>
      <c r="J23" s="77" t="n">
        <f aca="false">IF(L23&gt;0,L23)</f>
        <v>514.400595057993</v>
      </c>
      <c r="K23" s="53" t="n">
        <f aca="false">I23+J23</f>
        <v>1641.21059505799</v>
      </c>
      <c r="L23" s="53" t="n">
        <f aca="false">F23-(I23-W23)</f>
        <v>514.400595057993</v>
      </c>
      <c r="M23" s="53" t="n">
        <v>155.86</v>
      </c>
      <c r="N23" s="53" t="n">
        <f aca="false">(12.11+11.79)*1.05</f>
        <v>25.095</v>
      </c>
      <c r="O23" s="53" t="n">
        <f aca="false">M23-N23</f>
        <v>130.765</v>
      </c>
      <c r="P23" s="53" t="n">
        <v>39.57</v>
      </c>
      <c r="Q23" s="53" t="n">
        <v>30.84</v>
      </c>
      <c r="R23" s="53" t="n">
        <f aca="false">SUM(O23:Q23)</f>
        <v>201.175</v>
      </c>
      <c r="S23" s="54"/>
      <c r="T23" s="53" t="n">
        <v>0</v>
      </c>
      <c r="U23" s="53" t="n">
        <v>1998.4</v>
      </c>
      <c r="V23" s="54" t="n">
        <v>9706</v>
      </c>
      <c r="W23" s="53" t="n">
        <f aca="false">R23+T23+N23+U23</f>
        <v>2224.67</v>
      </c>
      <c r="X23" s="53"/>
      <c r="Y23" s="53" t="n">
        <f aca="false">W23+X23</f>
        <v>2224.67</v>
      </c>
      <c r="Z23" s="57" t="n">
        <v>0</v>
      </c>
      <c r="AA23" s="86" t="n">
        <v>72</v>
      </c>
      <c r="AB23" s="58" t="n">
        <v>40</v>
      </c>
      <c r="AC23" s="59" t="n">
        <f aca="false">AC22+1</f>
        <v>14</v>
      </c>
      <c r="AD23" s="74" t="n">
        <v>901</v>
      </c>
      <c r="AE23" s="78" t="n">
        <v>1500</v>
      </c>
      <c r="AF23" s="75" t="n">
        <v>1766.22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6914.01</v>
      </c>
      <c r="C24" s="54" t="n">
        <v>338272</v>
      </c>
      <c r="D24" s="58" t="n">
        <f aca="false">C24-C23</f>
        <v>329</v>
      </c>
      <c r="E24" s="54" t="n">
        <f aca="false">C24-152000</f>
        <v>186272</v>
      </c>
      <c r="F24" s="53" t="n">
        <f aca="false">D24/$D$2</f>
        <v>165.910237014624</v>
      </c>
      <c r="G24" s="53" t="n">
        <v>1475.17</v>
      </c>
      <c r="H24" s="55" t="n">
        <v>268.66</v>
      </c>
      <c r="I24" s="53" t="n">
        <f aca="false">G24+H24</f>
        <v>1743.83</v>
      </c>
      <c r="J24" s="77" t="n">
        <f aca="false">IF(L24&gt;0,L24)</f>
        <v>738.880237014624</v>
      </c>
      <c r="K24" s="53" t="n">
        <f aca="false">I24+J24</f>
        <v>2482.71023701462</v>
      </c>
      <c r="L24" s="53" t="n">
        <f aca="false">F24-(I24-W24)</f>
        <v>738.880237014624</v>
      </c>
      <c r="M24" s="53" t="n">
        <v>179.2</v>
      </c>
      <c r="N24" s="53" t="n">
        <f aca="false">(13.15+11.75)*1.05</f>
        <v>26.145</v>
      </c>
      <c r="O24" s="53" t="n">
        <f aca="false">M24-N24</f>
        <v>153.055</v>
      </c>
      <c r="P24" s="53" t="n">
        <v>39.68</v>
      </c>
      <c r="Q24" s="53" t="n">
        <v>40.42</v>
      </c>
      <c r="R24" s="53" t="n">
        <f aca="false">SUM(O24:Q24)</f>
        <v>233.155</v>
      </c>
      <c r="S24" s="54"/>
      <c r="T24" s="53" t="n">
        <v>8.97</v>
      </c>
      <c r="U24" s="53" t="n">
        <v>2048.53</v>
      </c>
      <c r="V24" s="54" t="n">
        <v>9706</v>
      </c>
      <c r="W24" s="53" t="n">
        <f aca="false">R24+T24+N24+U24</f>
        <v>2316.8</v>
      </c>
      <c r="X24" s="53"/>
      <c r="Y24" s="53" t="n">
        <f aca="false">W24+X24</f>
        <v>2316.8</v>
      </c>
      <c r="Z24" s="57" t="n">
        <v>0</v>
      </c>
      <c r="AA24" s="86" t="n">
        <v>75</v>
      </c>
      <c r="AB24" s="58" t="n">
        <v>40</v>
      </c>
      <c r="AC24" s="59" t="n">
        <f aca="false">AC23+1</f>
        <v>15</v>
      </c>
      <c r="AD24" s="74" t="n">
        <v>1075</v>
      </c>
      <c r="AE24" s="78" t="n">
        <v>1662</v>
      </c>
      <c r="AF24" s="75" t="n">
        <v>1807.54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6914.18</v>
      </c>
      <c r="C25" s="54" t="n">
        <v>338976</v>
      </c>
      <c r="D25" s="58" t="n">
        <f aca="false">C25-C24</f>
        <v>704</v>
      </c>
      <c r="E25" s="54" t="n">
        <f aca="false">C25-152000</f>
        <v>186976</v>
      </c>
      <c r="F25" s="53" t="n">
        <f aca="false">D25/$D$2</f>
        <v>355.017650025214</v>
      </c>
      <c r="G25" s="53" t="n">
        <v>2007.63</v>
      </c>
      <c r="H25" s="55" t="n">
        <v>364.54</v>
      </c>
      <c r="I25" s="53" t="n">
        <f aca="false">G25+H25</f>
        <v>2372.17</v>
      </c>
      <c r="J25" s="77" t="n">
        <f aca="false">IF(L25&gt;0,L25)</f>
        <v>633.087650025214</v>
      </c>
      <c r="K25" s="53" t="n">
        <f aca="false">I25+J25</f>
        <v>3005.25765002521</v>
      </c>
      <c r="L25" s="53" t="n">
        <f aca="false">F25-(I25-W25)</f>
        <v>633.087650025214</v>
      </c>
      <c r="M25" s="53" t="n">
        <v>236.76</v>
      </c>
      <c r="N25" s="53" t="n">
        <f aca="false">(13.01+12.34)*1.05</f>
        <v>26.6175</v>
      </c>
      <c r="O25" s="53" t="n">
        <f aca="false">M25-N25</f>
        <v>210.1425</v>
      </c>
      <c r="P25" s="53" t="n">
        <v>48.8</v>
      </c>
      <c r="Q25" s="53" t="n">
        <v>52.79</v>
      </c>
      <c r="R25" s="53" t="n">
        <f aca="false">SUM(O25:Q25)</f>
        <v>311.7325</v>
      </c>
      <c r="S25" s="54"/>
      <c r="T25" s="53" t="n">
        <v>17.1</v>
      </c>
      <c r="U25" s="53" t="n">
        <v>2294.79</v>
      </c>
      <c r="V25" s="54" t="n">
        <v>9706</v>
      </c>
      <c r="W25" s="53" t="n">
        <f aca="false">R25+T25+N25+U25</f>
        <v>2650.24</v>
      </c>
      <c r="X25" s="53"/>
      <c r="Y25" s="53" t="n">
        <f aca="false">W25+X25</f>
        <v>2650.24</v>
      </c>
      <c r="Z25" s="57" t="n">
        <v>0.38</v>
      </c>
      <c r="AA25" s="86" t="n">
        <v>69</v>
      </c>
      <c r="AB25" s="58" t="n">
        <v>44</v>
      </c>
      <c r="AC25" s="59" t="n">
        <f aca="false">AC24+1</f>
        <v>16</v>
      </c>
      <c r="AD25" s="74" t="n">
        <v>1313</v>
      </c>
      <c r="AE25" s="87" t="n">
        <v>1828</v>
      </c>
      <c r="AF25" s="75" t="n">
        <v>1858.73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6914.14</v>
      </c>
      <c r="C26" s="54" t="n">
        <v>338810</v>
      </c>
      <c r="D26" s="58" t="n">
        <f aca="false">C26-C25</f>
        <v>-166</v>
      </c>
      <c r="E26" s="54" t="n">
        <f aca="false">C26-152000</f>
        <v>186810</v>
      </c>
      <c r="F26" s="53" t="n">
        <f aca="false">D26/$D$2</f>
        <v>-83.7115481593545</v>
      </c>
      <c r="G26" s="53" t="n">
        <v>1953.22</v>
      </c>
      <c r="H26" s="55" t="n">
        <v>313.17</v>
      </c>
      <c r="I26" s="53" t="n">
        <f aca="false">G26+H26</f>
        <v>2266.39</v>
      </c>
      <c r="J26" s="77" t="n">
        <f aca="false">IF(L26&gt;0,L26)</f>
        <v>417.148451840646</v>
      </c>
      <c r="K26" s="53" t="n">
        <f aca="false">I26+J26</f>
        <v>2683.53845184065</v>
      </c>
      <c r="L26" s="53" t="n">
        <f aca="false">F26-(I26-W26)</f>
        <v>417.148451840646</v>
      </c>
      <c r="M26" s="53" t="n">
        <v>245.29</v>
      </c>
      <c r="N26" s="53" t="n">
        <f aca="false">(21.64+21.58)*1.05</f>
        <v>45.381</v>
      </c>
      <c r="O26" s="53" t="n">
        <f aca="false">M26-N26</f>
        <v>199.909</v>
      </c>
      <c r="P26" s="53" t="n">
        <v>61.9</v>
      </c>
      <c r="Q26" s="53" t="n">
        <v>62.12</v>
      </c>
      <c r="R26" s="53" t="n">
        <f aca="false">SUM(O26:Q26)</f>
        <v>323.929</v>
      </c>
      <c r="S26" s="54"/>
      <c r="T26" s="53" t="n">
        <v>14.82</v>
      </c>
      <c r="U26" s="53" t="n">
        <v>2383.12</v>
      </c>
      <c r="V26" s="54" t="n">
        <v>9706</v>
      </c>
      <c r="W26" s="53" t="n">
        <f aca="false">R26+T26+N26+U26</f>
        <v>2767.25</v>
      </c>
      <c r="X26" s="53"/>
      <c r="Y26" s="53" t="n">
        <f aca="false">W26+X26</f>
        <v>2767.25</v>
      </c>
      <c r="Z26" s="57" t="n">
        <v>0.03</v>
      </c>
      <c r="AA26" s="86" t="n">
        <v>50</v>
      </c>
      <c r="AB26" s="58" t="n">
        <v>35</v>
      </c>
      <c r="AC26" s="59" t="n">
        <f aca="false">AC25+1</f>
        <v>17</v>
      </c>
      <c r="AD26" s="74" t="n">
        <v>1559</v>
      </c>
      <c r="AE26" s="78" t="n">
        <v>1968</v>
      </c>
      <c r="AF26" s="75" t="n">
        <v>1921.09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6913.95</v>
      </c>
      <c r="C27" s="54" t="n">
        <v>338025</v>
      </c>
      <c r="D27" s="58" t="n">
        <f aca="false">C27-C26</f>
        <v>-785</v>
      </c>
      <c r="E27" s="54" t="n">
        <f aca="false">C27-152000</f>
        <v>186025</v>
      </c>
      <c r="F27" s="53" t="n">
        <f aca="false">D27/$D$2</f>
        <v>-395.864851235502</v>
      </c>
      <c r="G27" s="53" t="n">
        <v>1617.36</v>
      </c>
      <c r="H27" s="55" t="n">
        <v>195.96</v>
      </c>
      <c r="I27" s="53" t="n">
        <f aca="false">G27+H27</f>
        <v>1813.32</v>
      </c>
      <c r="J27" s="77" t="n">
        <f aca="false">IF(L27&gt;0,L27)</f>
        <v>535.715148764498</v>
      </c>
      <c r="K27" s="53" t="n">
        <f aca="false">I27+J27</f>
        <v>2349.0351487645</v>
      </c>
      <c r="L27" s="53" t="n">
        <f aca="false">F27-(I27-W27)</f>
        <v>535.715148764498</v>
      </c>
      <c r="M27" s="53" t="n">
        <v>201.19</v>
      </c>
      <c r="N27" s="53" t="n">
        <f aca="false">(16.3+16.62)*1.05</f>
        <v>34.566</v>
      </c>
      <c r="O27" s="53" t="n">
        <f aca="false">M27-N27</f>
        <v>166.624</v>
      </c>
      <c r="P27" s="53" t="n">
        <v>61.64</v>
      </c>
      <c r="Q27" s="53" t="n">
        <v>63.21</v>
      </c>
      <c r="R27" s="53" t="n">
        <f aca="false">SUM(O27:Q27)</f>
        <v>291.474</v>
      </c>
      <c r="S27" s="54"/>
      <c r="T27" s="53" t="n">
        <v>29.52</v>
      </c>
      <c r="U27" s="53" t="n">
        <v>2389.34</v>
      </c>
      <c r="V27" s="54" t="n">
        <v>9706</v>
      </c>
      <c r="W27" s="53" t="n">
        <f aca="false">R27+T27+N27+U27</f>
        <v>2744.9</v>
      </c>
      <c r="X27" s="53"/>
      <c r="Y27" s="53" t="n">
        <f aca="false">W27+X27</f>
        <v>2744.9</v>
      </c>
      <c r="Z27" s="57" t="n">
        <v>0</v>
      </c>
      <c r="AA27" s="86" t="n">
        <v>60</v>
      </c>
      <c r="AB27" s="58" t="n">
        <v>37</v>
      </c>
      <c r="AC27" s="59" t="n">
        <f aca="false">AC26+1</f>
        <v>18</v>
      </c>
      <c r="AD27" s="74" t="n">
        <v>1867</v>
      </c>
      <c r="AE27" s="78" t="n">
        <v>2133</v>
      </c>
      <c r="AF27" s="75" t="n">
        <v>1990.83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6913.76</v>
      </c>
      <c r="C28" s="88" t="n">
        <v>337244</v>
      </c>
      <c r="D28" s="58" t="n">
        <f aca="false">C28-C27</f>
        <v>-781</v>
      </c>
      <c r="E28" s="54" t="n">
        <f aca="false">C28-152000</f>
        <v>185244</v>
      </c>
      <c r="F28" s="53" t="n">
        <f aca="false">D28/$D$2</f>
        <v>-393.847705496722</v>
      </c>
      <c r="G28" s="53" t="n">
        <v>1747.72</v>
      </c>
      <c r="H28" s="55" t="n">
        <v>227.62</v>
      </c>
      <c r="I28" s="53" t="n">
        <f aca="false">G28+H28</f>
        <v>1975.34</v>
      </c>
      <c r="J28" s="77" t="n">
        <f aca="false">IF(L28&gt;0,L28)</f>
        <v>470.192294503278</v>
      </c>
      <c r="K28" s="53" t="n">
        <f aca="false">I28+J28</f>
        <v>2445.53229450328</v>
      </c>
      <c r="L28" s="53" t="n">
        <f aca="false">F28-(I28-W28)</f>
        <v>470.192294503278</v>
      </c>
      <c r="M28" s="53" t="n">
        <v>219.85</v>
      </c>
      <c r="N28" s="53" t="n">
        <f aca="false">(15.7+15.82)*1.05</f>
        <v>33.096</v>
      </c>
      <c r="O28" s="53" t="n">
        <f aca="false">M28-N28</f>
        <v>186.754</v>
      </c>
      <c r="P28" s="53" t="n">
        <v>91.45</v>
      </c>
      <c r="Q28" s="53" t="n">
        <v>65.11</v>
      </c>
      <c r="R28" s="53" t="n">
        <f aca="false">SUM(O28:Q28)</f>
        <v>343.314</v>
      </c>
      <c r="S28" s="54"/>
      <c r="T28" s="53" t="n">
        <v>17.61</v>
      </c>
      <c r="U28" s="53" t="n">
        <v>2445.36</v>
      </c>
      <c r="V28" s="54" t="n">
        <v>9706</v>
      </c>
      <c r="W28" s="53" t="n">
        <f aca="false">R28+T28+N28+U28</f>
        <v>2839.38</v>
      </c>
      <c r="X28" s="53"/>
      <c r="Y28" s="53" t="n">
        <f aca="false">W28+X28</f>
        <v>2839.38</v>
      </c>
      <c r="Z28" s="57" t="n">
        <v>0</v>
      </c>
      <c r="AA28" s="86" t="n">
        <v>66</v>
      </c>
      <c r="AB28" s="58" t="n">
        <v>37</v>
      </c>
      <c r="AC28" s="59" t="n">
        <f aca="false">AC27+1</f>
        <v>19</v>
      </c>
      <c r="AD28" s="74" t="n">
        <v>2157</v>
      </c>
      <c r="AE28" s="78" t="n">
        <v>2304</v>
      </c>
      <c r="AF28" s="75" t="n">
        <v>2064.09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6913.56</v>
      </c>
      <c r="C29" s="54" t="n">
        <v>336422</v>
      </c>
      <c r="D29" s="58" t="n">
        <f aca="false">C29-C28</f>
        <v>-822</v>
      </c>
      <c r="E29" s="54" t="n">
        <f aca="false">C29-152000</f>
        <v>184422</v>
      </c>
      <c r="F29" s="53" t="n">
        <f aca="false">D29/$D$2</f>
        <v>-414.523449319213</v>
      </c>
      <c r="G29" s="53" t="n">
        <v>1938.59</v>
      </c>
      <c r="H29" s="55" t="n">
        <v>267.07</v>
      </c>
      <c r="I29" s="53" t="n">
        <f aca="false">G29+H29</f>
        <v>2205.66</v>
      </c>
      <c r="J29" s="77" t="n">
        <f aca="false">IF(L29&gt;0,L29)</f>
        <v>443.076550680787</v>
      </c>
      <c r="K29" s="53" t="n">
        <f aca="false">I29+J29</f>
        <v>2648.73655068079</v>
      </c>
      <c r="L29" s="53" t="n">
        <f aca="false">F29-(I29-W29)</f>
        <v>443.076550680787</v>
      </c>
      <c r="M29" s="53" t="n">
        <v>209.63</v>
      </c>
      <c r="N29" s="53" t="n">
        <f aca="false">+(15.48+15.23)*1.05</f>
        <v>32.2455</v>
      </c>
      <c r="O29" s="53" t="n">
        <f aca="false">M29-N29</f>
        <v>177.3845</v>
      </c>
      <c r="P29" s="53" t="n">
        <v>101.55</v>
      </c>
      <c r="Q29" s="53" t="n">
        <v>68.79</v>
      </c>
      <c r="R29" s="53" t="n">
        <f aca="false">SUM(O29:Q29)</f>
        <v>347.7245</v>
      </c>
      <c r="S29" s="54"/>
      <c r="T29" s="53" t="n">
        <v>25.45</v>
      </c>
      <c r="U29" s="53" t="n">
        <v>2657.84</v>
      </c>
      <c r="V29" s="54" t="n">
        <v>9706</v>
      </c>
      <c r="W29" s="53" t="n">
        <f aca="false">R29+T29+N29+U29</f>
        <v>3063.26</v>
      </c>
      <c r="X29" s="53"/>
      <c r="Y29" s="53" t="n">
        <f aca="false">W29+X29</f>
        <v>3063.26</v>
      </c>
      <c r="Z29" s="57" t="n">
        <v>0</v>
      </c>
      <c r="AA29" s="86" t="n">
        <v>71</v>
      </c>
      <c r="AB29" s="58" t="n">
        <v>38</v>
      </c>
      <c r="AC29" s="59" t="n">
        <f aca="false">AC28+1</f>
        <v>20</v>
      </c>
      <c r="AD29" s="74" t="n">
        <v>2443</v>
      </c>
      <c r="AE29" s="78" t="n">
        <v>2474</v>
      </c>
      <c r="AF29" s="75" t="n">
        <v>2135.47</v>
      </c>
    </row>
    <row r="30" customFormat="false" ht="11.1" hidden="false" customHeight="true" outlineLevel="0" collapsed="false">
      <c r="A30" s="59" t="n">
        <f aca="false">A29+1</f>
        <v>21</v>
      </c>
      <c r="B30" s="76" t="n">
        <v>6913.58</v>
      </c>
      <c r="C30" s="54" t="n">
        <v>336505</v>
      </c>
      <c r="D30" s="58" t="n">
        <f aca="false">C30-C29</f>
        <v>83</v>
      </c>
      <c r="E30" s="54" t="n">
        <f aca="false">C30-152000</f>
        <v>184505</v>
      </c>
      <c r="F30" s="53" t="n">
        <f aca="false">D30/$D$2</f>
        <v>41.8557740796773</v>
      </c>
      <c r="G30" s="53" t="n">
        <v>2286.77</v>
      </c>
      <c r="H30" s="55" t="n">
        <v>297.41</v>
      </c>
      <c r="I30" s="53" t="n">
        <f aca="false">G30+H30</f>
        <v>2584.18</v>
      </c>
      <c r="J30" s="77" t="n">
        <f aca="false">IF(L30&gt;0,L30)</f>
        <v>599.325774079678</v>
      </c>
      <c r="K30" s="53" t="n">
        <f aca="false">I30+J30</f>
        <v>3183.50577407968</v>
      </c>
      <c r="L30" s="53" t="n">
        <f aca="false">F30-(I30-W30)</f>
        <v>599.325774079678</v>
      </c>
      <c r="M30" s="53" t="n">
        <v>197.69</v>
      </c>
      <c r="N30" s="53" t="n">
        <f aca="false">(13.79+13.66)*1.05</f>
        <v>28.8225</v>
      </c>
      <c r="O30" s="53" t="n">
        <f aca="false">M30-N30</f>
        <v>168.8675</v>
      </c>
      <c r="P30" s="53" t="n">
        <v>102.51</v>
      </c>
      <c r="Q30" s="53" t="n">
        <v>70.3</v>
      </c>
      <c r="R30" s="53" t="n">
        <f aca="false">SUM(O30:Q30)</f>
        <v>341.6775</v>
      </c>
      <c r="S30" s="54"/>
      <c r="T30" s="53" t="n">
        <v>28.02</v>
      </c>
      <c r="U30" s="53" t="n">
        <v>2743.13</v>
      </c>
      <c r="V30" s="54" t="n">
        <v>9706</v>
      </c>
      <c r="W30" s="53" t="n">
        <f aca="false">R30+T30+N30+U30</f>
        <v>3141.65</v>
      </c>
      <c r="X30" s="53"/>
      <c r="Y30" s="53" t="n">
        <f aca="false">W30+X30</f>
        <v>3141.65</v>
      </c>
      <c r="Z30" s="57" t="n">
        <v>0</v>
      </c>
      <c r="AA30" s="58" t="n">
        <v>75</v>
      </c>
      <c r="AB30" s="58" t="n">
        <v>40</v>
      </c>
      <c r="AC30" s="59" t="n">
        <f aca="false">AC29+1</f>
        <v>21</v>
      </c>
      <c r="AD30" s="74" t="n">
        <v>2760</v>
      </c>
      <c r="AE30" s="78" t="n">
        <v>2645</v>
      </c>
      <c r="AF30" s="75" t="n">
        <v>2202.37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6913.7</v>
      </c>
      <c r="C31" s="54" t="n">
        <v>336998</v>
      </c>
      <c r="D31" s="58" t="n">
        <f aca="false">C31-C30</f>
        <v>493</v>
      </c>
      <c r="E31" s="54" t="n">
        <f aca="false">C31-152000</f>
        <v>184998</v>
      </c>
      <c r="F31" s="53" t="n">
        <f aca="false">D31/$D$2</f>
        <v>248.613212304589</v>
      </c>
      <c r="G31" s="53" t="n">
        <v>2668.81</v>
      </c>
      <c r="H31" s="55" t="n">
        <v>320.81</v>
      </c>
      <c r="I31" s="53" t="n">
        <f aca="false">G31+H31</f>
        <v>2989.62</v>
      </c>
      <c r="J31" s="77" t="n">
        <f aca="false">IF(L31&gt;0,L31)</f>
        <v>480.323212304589</v>
      </c>
      <c r="K31" s="53" t="n">
        <f aca="false">I31+J31</f>
        <v>3469.94321230459</v>
      </c>
      <c r="L31" s="53" t="n">
        <f aca="false">F31-(I31-W31)</f>
        <v>480.323212304589</v>
      </c>
      <c r="M31" s="53" t="n">
        <v>204.07</v>
      </c>
      <c r="N31" s="53" t="n">
        <f aca="false">(11.06+11.49)*1.05</f>
        <v>23.6775</v>
      </c>
      <c r="O31" s="53" t="n">
        <f aca="false">M31-N31</f>
        <v>180.3925</v>
      </c>
      <c r="P31" s="53" t="n">
        <v>123.95</v>
      </c>
      <c r="Q31" s="53" t="n">
        <v>73.03</v>
      </c>
      <c r="R31" s="53" t="n">
        <f aca="false">SUM(O31:Q31)</f>
        <v>377.3725</v>
      </c>
      <c r="S31" s="54"/>
      <c r="T31" s="53" t="n">
        <v>47.55</v>
      </c>
      <c r="U31" s="53" t="n">
        <v>2772.73</v>
      </c>
      <c r="V31" s="54" t="n">
        <v>9706</v>
      </c>
      <c r="W31" s="53" t="n">
        <f aca="false">R31+T31+N31+U31</f>
        <v>3221.33</v>
      </c>
      <c r="X31" s="53"/>
      <c r="Y31" s="53" t="n">
        <f aca="false">W31+X31</f>
        <v>3221.33</v>
      </c>
      <c r="Z31" s="57" t="n">
        <v>0</v>
      </c>
      <c r="AA31" s="58" t="n">
        <v>73</v>
      </c>
      <c r="AB31" s="58" t="n">
        <v>41</v>
      </c>
      <c r="AC31" s="59" t="n">
        <f aca="false">AC30+1</f>
        <v>22</v>
      </c>
      <c r="AD31" s="74" t="n">
        <v>3077</v>
      </c>
      <c r="AE31" s="78" t="n">
        <v>2820</v>
      </c>
      <c r="AF31" s="75" t="n">
        <v>2257.56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6913.68</v>
      </c>
      <c r="C32" s="54" t="n">
        <v>336916</v>
      </c>
      <c r="D32" s="58" t="n">
        <f aca="false">C32-C31</f>
        <v>-82</v>
      </c>
      <c r="E32" s="54" t="n">
        <f aca="false">C32-152000</f>
        <v>184916</v>
      </c>
      <c r="F32" s="53" t="n">
        <f aca="false">D32/$D$2</f>
        <v>-41.3514876449823</v>
      </c>
      <c r="G32" s="53" t="n">
        <v>2651.39</v>
      </c>
      <c r="H32" s="55" t="n">
        <v>274.22</v>
      </c>
      <c r="I32" s="53" t="n">
        <f aca="false">G32+H32</f>
        <v>2925.61</v>
      </c>
      <c r="J32" s="77" t="n">
        <f aca="false">IF(L32&gt;0,L32)</f>
        <v>430.238512355018</v>
      </c>
      <c r="K32" s="53" t="n">
        <f aca="false">I32+J32</f>
        <v>3355.84851235502</v>
      </c>
      <c r="L32" s="53" t="n">
        <f aca="false">F32-(I32-W32)</f>
        <v>430.238512355018</v>
      </c>
      <c r="M32" s="53" t="n">
        <v>214.52</v>
      </c>
      <c r="N32" s="53" t="n">
        <f aca="false">((9.24+10.43)*1.05)</f>
        <v>20.6535</v>
      </c>
      <c r="O32" s="53" t="n">
        <f aca="false">M32-N32</f>
        <v>193.8665</v>
      </c>
      <c r="P32" s="53" t="n">
        <v>133.73</v>
      </c>
      <c r="Q32" s="53" t="n">
        <v>76.13</v>
      </c>
      <c r="R32" s="53" t="n">
        <f aca="false">SUM(O32:Q32)</f>
        <v>403.7265</v>
      </c>
      <c r="S32" s="54"/>
      <c r="T32" s="53" t="n">
        <v>60.26</v>
      </c>
      <c r="U32" s="53" t="n">
        <v>2912.56</v>
      </c>
      <c r="V32" s="54" t="n">
        <v>9706</v>
      </c>
      <c r="W32" s="53" t="n">
        <f aca="false">R32+T32+N32+U32</f>
        <v>3397.2</v>
      </c>
      <c r="X32" s="53"/>
      <c r="Y32" s="53" t="n">
        <f aca="false">W32+X32</f>
        <v>3397.2</v>
      </c>
      <c r="Z32" s="57" t="n">
        <v>0</v>
      </c>
      <c r="AA32" s="58" t="n">
        <v>64</v>
      </c>
      <c r="AB32" s="86" t="n">
        <v>37</v>
      </c>
      <c r="AC32" s="59" t="n">
        <f aca="false">AC31+1</f>
        <v>23</v>
      </c>
      <c r="AD32" s="74" t="n">
        <v>3431</v>
      </c>
      <c r="AE32" s="78" t="n">
        <v>2986</v>
      </c>
      <c r="AF32" s="75" t="n">
        <v>2305.82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6913.45</v>
      </c>
      <c r="C33" s="54" t="n">
        <v>335970</v>
      </c>
      <c r="D33" s="58" t="n">
        <f aca="false">C33-C32</f>
        <v>-946</v>
      </c>
      <c r="E33" s="54" t="n">
        <f aca="false">C33-152000</f>
        <v>183970</v>
      </c>
      <c r="F33" s="53" t="n">
        <f aca="false">D33/$D$2</f>
        <v>-477.054967221382</v>
      </c>
      <c r="G33" s="53" t="n">
        <v>2148.55</v>
      </c>
      <c r="H33" s="55" t="n">
        <v>162.59</v>
      </c>
      <c r="I33" s="53" t="n">
        <f aca="false">G33+H33</f>
        <v>2311.14</v>
      </c>
      <c r="J33" s="77" t="n">
        <f aca="false">IF(L33&gt;0,L33)</f>
        <v>523.605032778618</v>
      </c>
      <c r="K33" s="53" t="n">
        <f aca="false">I33+J33</f>
        <v>2834.74503277862</v>
      </c>
      <c r="L33" s="53" t="n">
        <f aca="false">F33-(I33-W33)</f>
        <v>523.605032778618</v>
      </c>
      <c r="M33" s="53" t="n">
        <v>225.91</v>
      </c>
      <c r="N33" s="53" t="n">
        <f aca="false">((9.15+10.17)*1.05)</f>
        <v>20.286</v>
      </c>
      <c r="O33" s="53" t="n">
        <f aca="false">M33-N33</f>
        <v>205.624</v>
      </c>
      <c r="P33" s="53" t="n">
        <v>133.44</v>
      </c>
      <c r="Q33" s="53" t="n">
        <v>78.16</v>
      </c>
      <c r="R33" s="53" t="n">
        <f aca="false">SUM(O33:Q33)</f>
        <v>417.224</v>
      </c>
      <c r="S33" s="54"/>
      <c r="T33" s="53" t="n">
        <v>78.46</v>
      </c>
      <c r="U33" s="53" t="n">
        <v>2795.83</v>
      </c>
      <c r="V33" s="54" t="n">
        <v>9706</v>
      </c>
      <c r="W33" s="53" t="n">
        <f aca="false">R33+T33+N33+U33</f>
        <v>3311.8</v>
      </c>
      <c r="X33" s="53"/>
      <c r="Y33" s="53" t="n">
        <f aca="false">W33+X33</f>
        <v>3311.8</v>
      </c>
      <c r="Z33" s="57" t="n">
        <v>0.01</v>
      </c>
      <c r="AA33" s="58" t="n">
        <v>63</v>
      </c>
      <c r="AB33" s="86" t="n">
        <v>41</v>
      </c>
      <c r="AC33" s="59" t="n">
        <f aca="false">AC32+1</f>
        <v>24</v>
      </c>
      <c r="AD33" s="74" t="n">
        <v>3778</v>
      </c>
      <c r="AE33" s="78" t="n">
        <v>3159</v>
      </c>
      <c r="AF33" s="75" t="n">
        <v>2351.3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6913</v>
      </c>
      <c r="C34" s="54" t="n">
        <v>334121</v>
      </c>
      <c r="D34" s="58" t="n">
        <f aca="false">C34-C33</f>
        <v>-1849</v>
      </c>
      <c r="E34" s="54" t="n">
        <f aca="false">C34-152000</f>
        <v>182121</v>
      </c>
      <c r="F34" s="53" t="n">
        <f aca="false">D34/$D$2</f>
        <v>-932.425617750882</v>
      </c>
      <c r="G34" s="53" t="n">
        <v>1907.74</v>
      </c>
      <c r="H34" s="55" t="n">
        <v>141.35</v>
      </c>
      <c r="I34" s="53" t="n">
        <f aca="false">G34+H34</f>
        <v>2049.09</v>
      </c>
      <c r="J34" s="77" t="n">
        <f aca="false">IF(L34&gt;0,L34)</f>
        <v>336.604382249117</v>
      </c>
      <c r="K34" s="53" t="n">
        <f aca="false">I34+J34</f>
        <v>2385.69438224912</v>
      </c>
      <c r="L34" s="53" t="n">
        <f aca="false">F34-(I34-W34)</f>
        <v>336.604382249117</v>
      </c>
      <c r="M34" s="53" t="n">
        <v>223.59</v>
      </c>
      <c r="N34" s="53" t="n">
        <f aca="false">((9.51+8.78)*1.05)</f>
        <v>19.2045</v>
      </c>
      <c r="O34" s="53" t="n">
        <f aca="false">M34-N34</f>
        <v>204.3855</v>
      </c>
      <c r="P34" s="53" t="n">
        <v>133.3</v>
      </c>
      <c r="Q34" s="53" t="n">
        <v>79.76</v>
      </c>
      <c r="R34" s="53" t="n">
        <f aca="false">SUM(O34:Q34)</f>
        <v>417.4455</v>
      </c>
      <c r="S34" s="54"/>
      <c r="T34" s="53" t="n">
        <v>87.47</v>
      </c>
      <c r="U34" s="53" t="n">
        <v>2794</v>
      </c>
      <c r="V34" s="54" t="n">
        <v>9706</v>
      </c>
      <c r="W34" s="53" t="n">
        <f aca="false">R34+T34+N34+U34</f>
        <v>3318.12</v>
      </c>
      <c r="X34" s="53"/>
      <c r="Y34" s="53" t="n">
        <f aca="false">W34+X34</f>
        <v>3318.12</v>
      </c>
      <c r="Z34" s="57" t="n">
        <v>0.03</v>
      </c>
      <c r="AA34" s="58" t="n">
        <v>61</v>
      </c>
      <c r="AB34" s="86" t="n">
        <v>39</v>
      </c>
      <c r="AC34" s="59" t="n">
        <f aca="false">AC33+1</f>
        <v>25</v>
      </c>
      <c r="AD34" s="74" t="n">
        <v>4048</v>
      </c>
      <c r="AE34" s="78" t="n">
        <v>3332</v>
      </c>
      <c r="AF34" s="75" t="n">
        <v>2362.83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6912.36</v>
      </c>
      <c r="C35" s="54" t="n">
        <v>331512</v>
      </c>
      <c r="D35" s="58" t="n">
        <f aca="false">C35-C34</f>
        <v>-2609</v>
      </c>
      <c r="E35" s="54" t="n">
        <f aca="false">C35-152000</f>
        <v>179512</v>
      </c>
      <c r="F35" s="53" t="n">
        <f aca="false">D35/$D$2</f>
        <v>-1315.68330811901</v>
      </c>
      <c r="G35" s="53" t="n">
        <v>1602.01</v>
      </c>
      <c r="H35" s="55" t="n">
        <v>103.62</v>
      </c>
      <c r="I35" s="53" t="n">
        <f aca="false">G35+H35</f>
        <v>1705.63</v>
      </c>
      <c r="J35" s="77" t="n">
        <f aca="false">IF(L35&gt;0,L35)</f>
        <v>326.256691880988</v>
      </c>
      <c r="K35" s="53" t="n">
        <f aca="false">I35+J35</f>
        <v>2031.88669188099</v>
      </c>
      <c r="L35" s="53" t="n">
        <f aca="false">F35-(I35-W35)</f>
        <v>326.256691880988</v>
      </c>
      <c r="M35" s="53" t="n">
        <v>217.53</v>
      </c>
      <c r="N35" s="53" t="n">
        <f aca="false">(6.85+6.86)*1.05</f>
        <v>14.3955</v>
      </c>
      <c r="O35" s="53" t="n">
        <f aca="false">M35-N35</f>
        <v>203.1345</v>
      </c>
      <c r="P35" s="53" t="n">
        <v>172.81</v>
      </c>
      <c r="Q35" s="53" t="n">
        <v>81.82</v>
      </c>
      <c r="R35" s="53" t="n">
        <f aca="false">SUM(O35:Q35)</f>
        <v>457.7645</v>
      </c>
      <c r="S35" s="54"/>
      <c r="T35" s="53" t="n">
        <v>85.1</v>
      </c>
      <c r="U35" s="53" t="n">
        <v>2790.31</v>
      </c>
      <c r="V35" s="54" t="n">
        <v>9706</v>
      </c>
      <c r="W35" s="53" t="n">
        <f aca="false">R35+T35+N35+U35</f>
        <v>3347.57</v>
      </c>
      <c r="X35" s="53"/>
      <c r="Y35" s="53" t="n">
        <f aca="false">W35+X35</f>
        <v>3347.57</v>
      </c>
      <c r="Z35" s="57" t="n">
        <v>0.05</v>
      </c>
      <c r="AA35" s="58" t="n">
        <v>61</v>
      </c>
      <c r="AB35" s="58" t="n">
        <v>37</v>
      </c>
      <c r="AC35" s="59" t="n">
        <f aca="false">AC34+1</f>
        <v>26</v>
      </c>
      <c r="AD35" s="74" t="n">
        <v>4274</v>
      </c>
      <c r="AE35" s="78" t="n">
        <v>3506</v>
      </c>
      <c r="AF35" s="75" t="n">
        <v>2362.83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6911.68</v>
      </c>
      <c r="C36" s="54" t="n">
        <v>328750</v>
      </c>
      <c r="D36" s="58" t="n">
        <f aca="false">C36-C35</f>
        <v>-2762</v>
      </c>
      <c r="E36" s="54" t="n">
        <f aca="false">C36-152000</f>
        <v>176750</v>
      </c>
      <c r="F36" s="53" t="n">
        <f aca="false">D36/$D$2</f>
        <v>-1392.83913262733</v>
      </c>
      <c r="G36" s="53" t="n">
        <v>1524.34</v>
      </c>
      <c r="H36" s="55" t="n">
        <v>91.41</v>
      </c>
      <c r="I36" s="53" t="n">
        <f aca="false">G36+H36</f>
        <v>1615.75</v>
      </c>
      <c r="J36" s="77" t="n">
        <f aca="false">IF(L36&gt;0,L36)</f>
        <v>350.250867372667</v>
      </c>
      <c r="K36" s="53" t="n">
        <f aca="false">I36+J36</f>
        <v>1966.00086737267</v>
      </c>
      <c r="L36" s="53" t="n">
        <f aca="false">F36-(I36-W36)</f>
        <v>350.250867372667</v>
      </c>
      <c r="M36" s="53" t="n">
        <v>204.45</v>
      </c>
      <c r="N36" s="53" t="n">
        <f aca="false">(0.88+0.66)*1.05</f>
        <v>1.617</v>
      </c>
      <c r="O36" s="53" t="n">
        <f aca="false">M36-N36</f>
        <v>202.833</v>
      </c>
      <c r="P36" s="53" t="n">
        <v>185.68</v>
      </c>
      <c r="Q36" s="53" t="n">
        <v>82.39</v>
      </c>
      <c r="R36" s="53" t="n">
        <f aca="false">SUM(O36:Q36)</f>
        <v>470.903</v>
      </c>
      <c r="S36" s="54"/>
      <c r="T36" s="53" t="n">
        <v>96.58</v>
      </c>
      <c r="U36" s="53" t="n">
        <v>2789.74</v>
      </c>
      <c r="V36" s="54" t="n">
        <v>9706</v>
      </c>
      <c r="W36" s="53" t="n">
        <f aca="false">R36+T36+N36+U36</f>
        <v>3358.84</v>
      </c>
      <c r="X36" s="53"/>
      <c r="Y36" s="53" t="n">
        <f aca="false">W36+X36</f>
        <v>3358.84</v>
      </c>
      <c r="Z36" s="57" t="n">
        <v>0</v>
      </c>
      <c r="AA36" s="58" t="n">
        <v>61</v>
      </c>
      <c r="AB36" s="58" t="n">
        <v>33</v>
      </c>
      <c r="AC36" s="59" t="n">
        <f aca="false">AC35+1</f>
        <v>27</v>
      </c>
      <c r="AD36" s="74" t="n">
        <v>4501</v>
      </c>
      <c r="AE36" s="78" t="n">
        <v>3671</v>
      </c>
      <c r="AF36" s="75" t="n">
        <v>2362.83</v>
      </c>
    </row>
    <row r="37" customFormat="false" ht="11.1" hidden="false" customHeight="true" outlineLevel="0" collapsed="false">
      <c r="A37" s="59" t="n">
        <f aca="false">A36+1</f>
        <v>28</v>
      </c>
      <c r="B37" s="76" t="n">
        <v>6911.03</v>
      </c>
      <c r="C37" s="54" t="n">
        <v>326525</v>
      </c>
      <c r="D37" s="58" t="n">
        <f aca="false">C37-C36</f>
        <v>-2225</v>
      </c>
      <c r="E37" s="54" t="n">
        <f aca="false">C37-152000</f>
        <v>174525</v>
      </c>
      <c r="F37" s="53" t="n">
        <f aca="false">D37/$D$2</f>
        <v>-1122.03731719617</v>
      </c>
      <c r="G37" s="53" t="n">
        <v>1486.73</v>
      </c>
      <c r="H37" s="55" t="n">
        <v>101.3</v>
      </c>
      <c r="I37" s="53" t="n">
        <f aca="false">G37+H37</f>
        <v>1588.03</v>
      </c>
      <c r="J37" s="77" t="n">
        <f aca="false">IF(L37&gt;0,L37)</f>
        <v>654.112682803833</v>
      </c>
      <c r="K37" s="53" t="n">
        <f aca="false">I37+J37</f>
        <v>2242.14268280383</v>
      </c>
      <c r="L37" s="53" t="n">
        <f aca="false">F37-(I37-W37)</f>
        <v>654.112682803833</v>
      </c>
      <c r="M37" s="53" t="n">
        <v>201.71</v>
      </c>
      <c r="N37" s="53" t="n">
        <f aca="false">((AF37-AF36)*1.05)/$D$2</f>
        <v>0</v>
      </c>
      <c r="O37" s="53" t="n">
        <f aca="false">M37-N37</f>
        <v>201.71</v>
      </c>
      <c r="P37" s="53" t="n">
        <v>184.92</v>
      </c>
      <c r="Q37" s="53" t="n">
        <v>81.68</v>
      </c>
      <c r="R37" s="53" t="n">
        <f aca="false">SUM(O37:Q37)</f>
        <v>468.31</v>
      </c>
      <c r="S37" s="54"/>
      <c r="T37" s="53" t="n">
        <v>106.14</v>
      </c>
      <c r="U37" s="53" t="n">
        <v>2789.73</v>
      </c>
      <c r="V37" s="54" t="n">
        <v>9706</v>
      </c>
      <c r="W37" s="53" t="n">
        <f aca="false">R37+T37+N37+U37</f>
        <v>3364.18</v>
      </c>
      <c r="X37" s="53"/>
      <c r="Y37" s="53" t="n">
        <f aca="false">W37+X37</f>
        <v>3364.18</v>
      </c>
      <c r="Z37" s="57" t="n">
        <v>0</v>
      </c>
      <c r="AA37" s="58" t="n">
        <v>61</v>
      </c>
      <c r="AB37" s="58" t="n">
        <v>34</v>
      </c>
      <c r="AC37" s="59" t="n">
        <f aca="false">AC36+1</f>
        <v>28</v>
      </c>
      <c r="AD37" s="74" t="n">
        <v>4723</v>
      </c>
      <c r="AE37" s="78" t="n">
        <v>3836</v>
      </c>
      <c r="AF37" s="75" t="n">
        <v>2362.83</v>
      </c>
    </row>
    <row r="38" customFormat="false" ht="11.1" hidden="false" customHeight="true" outlineLevel="0" collapsed="false">
      <c r="A38" s="59" t="n">
        <f aca="false">A37+1</f>
        <v>29</v>
      </c>
      <c r="B38" s="76" t="n">
        <v>6910.37</v>
      </c>
      <c r="C38" s="54" t="n">
        <v>323471</v>
      </c>
      <c r="D38" s="58" t="n">
        <f aca="false">C38-C37</f>
        <v>-3054</v>
      </c>
      <c r="E38" s="54" t="n">
        <f aca="false">C38-152000</f>
        <v>171471</v>
      </c>
      <c r="F38" s="53" t="n">
        <f aca="false">D38/$D$2</f>
        <v>-1540.09077155825</v>
      </c>
      <c r="G38" s="53" t="n">
        <v>1379.89</v>
      </c>
      <c r="H38" s="55" t="n">
        <v>77.39</v>
      </c>
      <c r="I38" s="53" t="n">
        <f aca="false">G38+H38</f>
        <v>1457.28</v>
      </c>
      <c r="J38" s="77" t="n">
        <f aca="false">IF(L38&gt;0,L38)</f>
        <v>319.849228441755</v>
      </c>
      <c r="K38" s="53" t="n">
        <f aca="false">I38+J38</f>
        <v>1777.12922844175</v>
      </c>
      <c r="L38" s="53" t="n">
        <f aca="false">F38-(I38-W38)</f>
        <v>319.849228441755</v>
      </c>
      <c r="M38" s="53" t="n">
        <v>190.19</v>
      </c>
      <c r="N38" s="53" t="n">
        <f aca="false">((AF38-AF37)*1.05)/$D$2</f>
        <v>0</v>
      </c>
      <c r="O38" s="53" t="n">
        <f aca="false">M38-N38</f>
        <v>190.19</v>
      </c>
      <c r="P38" s="53" t="n">
        <v>184.74</v>
      </c>
      <c r="Q38" s="53" t="n">
        <v>81.08</v>
      </c>
      <c r="R38" s="53" t="n">
        <f aca="false">SUM(O38:Q38)</f>
        <v>456.01</v>
      </c>
      <c r="S38" s="54"/>
      <c r="T38" s="53" t="n">
        <v>72.03</v>
      </c>
      <c r="U38" s="53" t="n">
        <v>2789.18</v>
      </c>
      <c r="V38" s="54" t="n">
        <v>9706</v>
      </c>
      <c r="W38" s="53" t="n">
        <f aca="false">R38+T38+N38+U38</f>
        <v>3317.22</v>
      </c>
      <c r="X38" s="53"/>
      <c r="Y38" s="53" t="n">
        <f aca="false">W38+X38</f>
        <v>3317.22</v>
      </c>
      <c r="Z38" s="57" t="n">
        <v>0.9</v>
      </c>
      <c r="AA38" s="86" t="n">
        <v>61</v>
      </c>
      <c r="AB38" s="58" t="n">
        <v>34</v>
      </c>
      <c r="AC38" s="59" t="n">
        <f aca="false">AC37+1</f>
        <v>29</v>
      </c>
      <c r="AD38" s="74" t="n">
        <v>4963</v>
      </c>
      <c r="AE38" s="78" t="n">
        <v>4000</v>
      </c>
      <c r="AF38" s="75" t="n">
        <v>2362.83</v>
      </c>
    </row>
    <row r="39" customFormat="false" ht="11.1" hidden="false" customHeight="true" outlineLevel="0" collapsed="false">
      <c r="A39" s="59" t="n">
        <v>30</v>
      </c>
      <c r="B39" s="76" t="n">
        <v>6909.73</v>
      </c>
      <c r="C39" s="54" t="n">
        <v>320912</v>
      </c>
      <c r="D39" s="58" t="n">
        <f aca="false">C39-C38</f>
        <v>-2559</v>
      </c>
      <c r="E39" s="54" t="n">
        <f aca="false">C39-152000</f>
        <v>168912</v>
      </c>
      <c r="F39" s="53" t="n">
        <f aca="false">D39/$D$2</f>
        <v>-1290.46898638427</v>
      </c>
      <c r="G39" s="53" t="n">
        <v>1306.62</v>
      </c>
      <c r="H39" s="55" t="n">
        <v>56.46</v>
      </c>
      <c r="I39" s="53" t="n">
        <f aca="false">G39+H39</f>
        <v>1363.08</v>
      </c>
      <c r="J39" s="77" t="n">
        <f aca="false">IF(L39&gt;0,L39)</f>
        <v>511.291013615734</v>
      </c>
      <c r="K39" s="53" t="n">
        <f aca="false">I39+J39</f>
        <v>1874.37101361573</v>
      </c>
      <c r="L39" s="53" t="n">
        <f aca="false">F39-(I39-W39)</f>
        <v>511.291013615734</v>
      </c>
      <c r="M39" s="53" t="n">
        <v>181.18</v>
      </c>
      <c r="N39" s="53" t="n">
        <f aca="false">(1.56+1.47)*1.05</f>
        <v>3.1815</v>
      </c>
      <c r="O39" s="53" t="n">
        <f aca="false">M39-N39</f>
        <v>177.9985</v>
      </c>
      <c r="P39" s="53" t="n">
        <v>154.27</v>
      </c>
      <c r="Q39" s="53" t="n">
        <v>81.41</v>
      </c>
      <c r="R39" s="53" t="n">
        <f aca="false">SUM(O39:Q39)</f>
        <v>413.6785</v>
      </c>
      <c r="S39" s="54"/>
      <c r="T39" s="53" t="n">
        <v>47.11</v>
      </c>
      <c r="U39" s="53" t="n">
        <v>2700.87</v>
      </c>
      <c r="V39" s="54" t="n">
        <v>9706</v>
      </c>
      <c r="W39" s="53" t="n">
        <f aca="false">R39+T39+N39+U39</f>
        <v>3164.84</v>
      </c>
      <c r="X39" s="53"/>
      <c r="Y39" s="53" t="n">
        <f aca="false">W39+X39</f>
        <v>3164.84</v>
      </c>
      <c r="Z39" s="57" t="n">
        <v>0.19</v>
      </c>
      <c r="AA39" s="86" t="n">
        <v>61</v>
      </c>
      <c r="AB39" s="58" t="n">
        <v>35</v>
      </c>
      <c r="AC39" s="59" t="n">
        <v>30</v>
      </c>
      <c r="AD39" s="74" t="n">
        <v>5210</v>
      </c>
      <c r="AE39" s="78" t="n">
        <v>4166</v>
      </c>
      <c r="AF39" s="75" t="n">
        <v>2362.83</v>
      </c>
    </row>
    <row r="40" customFormat="false" ht="11.1" hidden="false" customHeight="true" outlineLevel="0" collapsed="false">
      <c r="A40" s="59" t="n">
        <v>31</v>
      </c>
      <c r="B40" s="76" t="n">
        <v>6909.3</v>
      </c>
      <c r="C40" s="54" t="n">
        <v>319200</v>
      </c>
      <c r="D40" s="58" t="n">
        <f aca="false">C40-C39</f>
        <v>-1712</v>
      </c>
      <c r="E40" s="54" t="n">
        <f aca="false">C40-152000</f>
        <v>167200</v>
      </c>
      <c r="F40" s="53" t="n">
        <f aca="false">D40/$D$2</f>
        <v>-863.33837619768</v>
      </c>
      <c r="G40" s="53" t="n">
        <v>1376.57</v>
      </c>
      <c r="H40" s="55" t="n">
        <v>55.74</v>
      </c>
      <c r="I40" s="53" t="n">
        <f aca="false">G40+H40</f>
        <v>1432.31</v>
      </c>
      <c r="J40" s="77" t="n">
        <f aca="false">IF(L40&gt;0,L40)</f>
        <v>468.62162380232</v>
      </c>
      <c r="K40" s="53" t="n">
        <f aca="false">I40+J40</f>
        <v>1900.93162380232</v>
      </c>
      <c r="L40" s="53" t="n">
        <f aca="false">F40-(I40-W40)</f>
        <v>468.62162380232</v>
      </c>
      <c r="M40" s="53" t="n">
        <v>195.68</v>
      </c>
      <c r="N40" s="53" t="n">
        <f aca="false">(3.17+2.72)*1.05</f>
        <v>6.1845</v>
      </c>
      <c r="O40" s="53" t="n">
        <f aca="false">M40-N40</f>
        <v>189.4955</v>
      </c>
      <c r="P40" s="53" t="n">
        <v>133.86</v>
      </c>
      <c r="Q40" s="53" t="n">
        <v>81.73</v>
      </c>
      <c r="R40" s="53" t="n">
        <f aca="false">SUM(O40:Q40)</f>
        <v>405.0855</v>
      </c>
      <c r="S40" s="54"/>
      <c r="T40" s="53" t="n">
        <v>54.22</v>
      </c>
      <c r="U40" s="53" t="n">
        <v>2298.78</v>
      </c>
      <c r="V40" s="54" t="n">
        <v>9706</v>
      </c>
      <c r="W40" s="53" t="n">
        <f aca="false">R40+T40+N40+U40</f>
        <v>2764.27</v>
      </c>
      <c r="X40" s="53"/>
      <c r="Y40" s="53" t="n">
        <f aca="false">W40+X40</f>
        <v>2764.27</v>
      </c>
      <c r="Z40" s="57" t="n">
        <v>0</v>
      </c>
      <c r="AA40" s="86" t="n">
        <v>78</v>
      </c>
      <c r="AB40" s="58" t="n">
        <v>37</v>
      </c>
      <c r="AC40" s="59" t="n">
        <v>31</v>
      </c>
      <c r="AD40" s="74" t="n">
        <v>5455</v>
      </c>
      <c r="AE40" s="74" t="n">
        <v>4334</v>
      </c>
      <c r="AF40" s="75" t="n">
        <v>2403.37</v>
      </c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-10348.9662128089</v>
      </c>
      <c r="G42" s="54" t="n">
        <f aca="false">SUM(G10:G40)</f>
        <v>45699.73</v>
      </c>
      <c r="H42" s="54" t="n">
        <f aca="false">SUM(H10:H40)</f>
        <v>6034.82</v>
      </c>
      <c r="I42" s="54" t="n">
        <f aca="false">SUM(I10:I40)</f>
        <v>51734.55</v>
      </c>
      <c r="J42" s="54" t="n">
        <f aca="false">SUM(J10:J40)</f>
        <v>14606.4837871911</v>
      </c>
      <c r="K42" s="54" t="n">
        <f aca="false">SUM(K10:K40)</f>
        <v>66341.0337871911</v>
      </c>
      <c r="L42" s="54" t="n">
        <f aca="false">SUM(L10:L40)</f>
        <v>14606.4837871911</v>
      </c>
      <c r="M42" s="54" t="n">
        <f aca="false">SUM(M10:M40)</f>
        <v>5230.31</v>
      </c>
      <c r="N42" s="54" t="n">
        <f aca="false">SUM(N10:N40)</f>
        <v>554.52733</v>
      </c>
      <c r="O42" s="54" t="n">
        <f aca="false">SUM(O10:O40)</f>
        <v>4675.78267</v>
      </c>
      <c r="P42" s="54" t="n">
        <f aca="false">SUM(P10:P40)</f>
        <v>2412.01</v>
      </c>
      <c r="Q42" s="54" t="n">
        <f aca="false">SUM(Q10:Q40)</f>
        <v>1432.24</v>
      </c>
      <c r="R42" s="54" t="n">
        <f aca="false">SUM(R10:R40)</f>
        <v>8520.03267</v>
      </c>
      <c r="S42" s="54"/>
      <c r="T42" s="54" t="n">
        <f aca="false">SUM(T10:T40)</f>
        <v>968.87</v>
      </c>
      <c r="U42" s="54" t="n">
        <f aca="false">SUM(U10:U40)</f>
        <v>66646.57</v>
      </c>
      <c r="V42" s="54" t="n">
        <f aca="false">V40</f>
        <v>9706</v>
      </c>
      <c r="W42" s="54" t="n">
        <f aca="false">SUM(W10:W40)</f>
        <v>76690</v>
      </c>
      <c r="X42" s="54" t="n">
        <f aca="false">SUM(X10:X40)</f>
        <v>0</v>
      </c>
      <c r="Y42" s="54" t="n">
        <f aca="false">SUM(Y10:Y40)</f>
        <v>76690</v>
      </c>
      <c r="Z42" s="57" t="n">
        <f aca="false">SUM(Z10:Z40)</f>
        <v>2.47</v>
      </c>
      <c r="AA42" s="58" t="n">
        <f aca="false">AVERAGE(AA10:AA40)</f>
        <v>63.0967741935484</v>
      </c>
      <c r="AB42" s="58" t="n">
        <f aca="false">AVERAGE(AB10:AB40)</f>
        <v>37.5161290322581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-20522</v>
      </c>
      <c r="E43" s="54"/>
      <c r="F43" s="54" t="n">
        <f aca="false">F42*$D$2</f>
        <v>-20522</v>
      </c>
      <c r="G43" s="54" t="n">
        <f aca="false">G42*$D$2</f>
        <v>90622.56459</v>
      </c>
      <c r="H43" s="54" t="n">
        <f aca="false">H42*$D$2</f>
        <v>11967.04806</v>
      </c>
      <c r="I43" s="54" t="n">
        <f aca="false">I42*$D$2</f>
        <v>102589.61265</v>
      </c>
      <c r="J43" s="54" t="n">
        <f aca="false">J42*$D$2</f>
        <v>28964.65735</v>
      </c>
      <c r="K43" s="54" t="n">
        <f aca="false">K42*$D$2</f>
        <v>131554.27</v>
      </c>
      <c r="L43" s="54" t="n">
        <f aca="false">L42*$D$2</f>
        <v>28964.65735</v>
      </c>
      <c r="M43" s="54" t="n">
        <f aca="false">M42*$D$2</f>
        <v>10371.70473</v>
      </c>
      <c r="N43" s="54" t="n">
        <f aca="false">N42*$D$2</f>
        <v>1099.62769539</v>
      </c>
      <c r="O43" s="54" t="n">
        <f aca="false">O42*$D$2</f>
        <v>9272.07703461</v>
      </c>
      <c r="P43" s="54" t="n">
        <f aca="false">P42*$D$2</f>
        <v>4783.01583</v>
      </c>
      <c r="Q43" s="54" t="n">
        <f aca="false">Q42*$D$2</f>
        <v>2840.13192</v>
      </c>
      <c r="R43" s="54" t="n">
        <f aca="false">R42*$D$2</f>
        <v>16895.22478461</v>
      </c>
      <c r="S43" s="54"/>
      <c r="T43" s="54" t="n">
        <f aca="false">T42*$D$2</f>
        <v>1921.26921</v>
      </c>
      <c r="U43" s="54" t="n">
        <f aca="false">U42*$D$2</f>
        <v>132160.14831</v>
      </c>
      <c r="V43" s="54" t="n">
        <f aca="false">V42*$D$2</f>
        <v>19246.998</v>
      </c>
      <c r="W43" s="54" t="n">
        <f aca="false">W42*$D$2</f>
        <v>152076.27</v>
      </c>
      <c r="X43" s="54" t="n">
        <f aca="false">X42*$D$2</f>
        <v>0</v>
      </c>
      <c r="Y43" s="54" t="n">
        <f aca="false">Y42*$D$2</f>
        <v>152076.27</v>
      </c>
      <c r="Z43" s="57"/>
      <c r="AA43" s="58" t="n">
        <f aca="false">MAX(AA10:AA40)</f>
        <v>78</v>
      </c>
      <c r="AB43" s="58" t="n">
        <f aca="false">MAX(AB10:AB40)</f>
        <v>45</v>
      </c>
      <c r="AC43" s="59" t="s">
        <v>47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 t="n">
        <f aca="false">F7+F42</f>
        <v>4922.84417549168</v>
      </c>
      <c r="G45" s="54" t="n">
        <f aca="false">G7+G42</f>
        <v>60745.79</v>
      </c>
      <c r="H45" s="54" t="n">
        <f aca="false">H7+H42</f>
        <v>9695.34</v>
      </c>
      <c r="I45" s="54" t="n">
        <f aca="false">I7+I42</f>
        <v>70441.13</v>
      </c>
      <c r="J45" s="54" t="n">
        <f aca="false">J7+J42</f>
        <v>27839.5200353</v>
      </c>
      <c r="K45" s="54" t="n">
        <f aca="false">K7+K42</f>
        <v>98280.6500353001</v>
      </c>
      <c r="L45" s="54" t="n">
        <f aca="false">L7+L42</f>
        <v>27839.5200353</v>
      </c>
      <c r="M45" s="54" t="n">
        <f aca="false">M7+M42</f>
        <v>6717.95</v>
      </c>
      <c r="N45" s="54" t="n">
        <f aca="false">N7+N42</f>
        <v>1238.96454633888</v>
      </c>
      <c r="O45" s="54" t="n">
        <f aca="false">O7+O42</f>
        <v>5478.98545366112</v>
      </c>
      <c r="P45" s="54" t="n">
        <f aca="false">P7+P42</f>
        <v>2412.01</v>
      </c>
      <c r="Q45" s="54" t="n">
        <f aca="false">Q7+Q42</f>
        <v>1432.24</v>
      </c>
      <c r="R45" s="54" t="n">
        <f aca="false">R7+R42</f>
        <v>9323.23545366112</v>
      </c>
      <c r="S45" s="54" t="n">
        <f aca="false">S7+S42</f>
        <v>0</v>
      </c>
      <c r="T45" s="54" t="n">
        <f aca="false">T7+T42</f>
        <v>1157.50015632879</v>
      </c>
      <c r="U45" s="54" t="n">
        <f aca="false">U7+U42</f>
        <v>81645.67</v>
      </c>
      <c r="V45" s="54" t="n">
        <f aca="false">V7+V42</f>
        <v>9706</v>
      </c>
      <c r="W45" s="54" t="n">
        <f aca="false">W7+W42</f>
        <v>93357.8058598084</v>
      </c>
      <c r="X45" s="54" t="n">
        <f aca="false">X7+X42</f>
        <v>0</v>
      </c>
      <c r="Y45" s="54" t="n">
        <f aca="false">Y7+Y42</f>
        <v>93357.8058598084</v>
      </c>
      <c r="Z45" s="57"/>
      <c r="AA45" s="58" t="n">
        <f aca="false">MIN(AA10:AA40)</f>
        <v>48</v>
      </c>
      <c r="AB45" s="58" t="n">
        <f aca="false">MIN(AB10:AB40)</f>
        <v>31</v>
      </c>
      <c r="AC45" s="59" t="s">
        <v>49</v>
      </c>
      <c r="AD45" s="74"/>
      <c r="AE45" s="74"/>
      <c r="AF45" s="75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 t="n">
        <f aca="false">F45*$D$2</f>
        <v>9762</v>
      </c>
      <c r="G46" s="54" t="n">
        <f aca="false">G45*$D$2</f>
        <v>120458.90157</v>
      </c>
      <c r="H46" s="54" t="n">
        <f aca="false">H45*$D$2</f>
        <v>19225.85922</v>
      </c>
      <c r="I46" s="54" t="n">
        <f aca="false">I45*$D$2</f>
        <v>139684.76079</v>
      </c>
      <c r="J46" s="54" t="n">
        <f aca="false">J45*$D$2</f>
        <v>55205.76823</v>
      </c>
      <c r="K46" s="54" t="n">
        <f aca="false">K45*$D$2</f>
        <v>194890.52902</v>
      </c>
      <c r="L46" s="54" t="n">
        <f aca="false">L45*$D$2</f>
        <v>55205.76823</v>
      </c>
      <c r="M46" s="54" t="n">
        <f aca="false">M45*$D$2</f>
        <v>13321.69485</v>
      </c>
      <c r="N46" s="54" t="n">
        <f aca="false">N45*$D$2</f>
        <v>2456.86669539</v>
      </c>
      <c r="O46" s="54" t="n">
        <f aca="false">O45*$D$2</f>
        <v>10864.82815461</v>
      </c>
      <c r="P46" s="54" t="n">
        <f aca="false">P45*$D$2</f>
        <v>4783.01583</v>
      </c>
      <c r="Q46" s="54" t="n">
        <f aca="false">Q45*$D$2</f>
        <v>2840.13192</v>
      </c>
      <c r="R46" s="54" t="n">
        <f aca="false">R45*$D$2</f>
        <v>18487.97590461</v>
      </c>
      <c r="S46" s="54" t="n">
        <f aca="false">S45*$D$2</f>
        <v>0</v>
      </c>
      <c r="T46" s="54" t="n">
        <f aca="false">T45*$D$2</f>
        <v>2295.32281</v>
      </c>
      <c r="U46" s="54" t="n">
        <f aca="false">U45*$D$2</f>
        <v>161903.36361</v>
      </c>
      <c r="V46" s="54" t="n">
        <f aca="false">V45*$D$2</f>
        <v>19246.998</v>
      </c>
      <c r="W46" s="54" t="n">
        <f aca="false">W45*$D$2</f>
        <v>185128.52902</v>
      </c>
      <c r="X46" s="54" t="n">
        <f aca="false">X45*$D$2</f>
        <v>0</v>
      </c>
      <c r="Y46" s="54" t="n">
        <f aca="false">Y45*$D$2</f>
        <v>185128.52902</v>
      </c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26544.1250630358</v>
      </c>
      <c r="G48" s="54" t="n">
        <f aca="false">G8+G42</f>
        <v>76534.7325920323</v>
      </c>
      <c r="H48" s="58" t="n">
        <f aca="false">H8+H42</f>
        <v>12080.15</v>
      </c>
      <c r="I48" s="54" t="n">
        <f aca="false">I8+I42</f>
        <v>88614.7825920323</v>
      </c>
      <c r="J48" s="54" t="n">
        <f aca="false">J8+J42</f>
        <v>40183.6016994453</v>
      </c>
      <c r="K48" s="54" t="n">
        <f aca="false">K8+K42</f>
        <v>128798.384291478</v>
      </c>
      <c r="L48" s="54" t="n">
        <f aca="false">L8+L42</f>
        <v>39946.5383308119</v>
      </c>
      <c r="M48" s="54" t="n">
        <f aca="false">M8+M42</f>
        <v>7620.4</v>
      </c>
      <c r="N48" s="54" t="n">
        <f aca="false">N8+N42</f>
        <v>1254.59454633888</v>
      </c>
      <c r="O48" s="54" t="n">
        <f aca="false">O8+O42</f>
        <v>6161.30545366112</v>
      </c>
      <c r="P48" s="54" t="n">
        <f aca="false">P8+P42</f>
        <v>4986.31</v>
      </c>
      <c r="Q48" s="54" t="n">
        <f aca="false">Q8+Q42</f>
        <v>1432.24</v>
      </c>
      <c r="R48" s="54" t="n">
        <f aca="false">R8+R42</f>
        <v>12660.3554536611</v>
      </c>
      <c r="S48" s="54"/>
      <c r="T48" s="54" t="n">
        <f aca="false">T8+T42</f>
        <v>1157.50015632879</v>
      </c>
      <c r="U48" s="54" t="n">
        <f aca="false">U8+U42</f>
        <v>86828.31</v>
      </c>
      <c r="V48" s="54" t="n">
        <f aca="false">V40</f>
        <v>9706</v>
      </c>
      <c r="W48" s="54" t="n">
        <f aca="false">W8+W42</f>
        <v>102017.195859808</v>
      </c>
      <c r="X48" s="54" t="n">
        <f aca="false">X8+X42</f>
        <v>237.063368633384</v>
      </c>
      <c r="Y48" s="54" t="n">
        <f aca="false">Y8+Y42</f>
        <v>102254.259228442</v>
      </c>
      <c r="Z48" s="77" t="n">
        <f aca="false">Z8+Z42</f>
        <v>14.88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52637</v>
      </c>
      <c r="E49" s="54" t="n">
        <f aca="false">E40</f>
        <v>167200</v>
      </c>
      <c r="F49" s="54" t="n">
        <f aca="false">F48*$D$2</f>
        <v>52637</v>
      </c>
      <c r="G49" s="54" t="n">
        <f aca="false">G48*$D$2</f>
        <v>151768.37473</v>
      </c>
      <c r="H49" s="58" t="n">
        <f aca="false">H48*$D$2</f>
        <v>23954.93745</v>
      </c>
      <c r="I49" s="54" t="n">
        <f aca="false">I48*$D$2</f>
        <v>175723.11388</v>
      </c>
      <c r="J49" s="54" t="n">
        <f aca="false">J48*$D$2</f>
        <v>79684.08217</v>
      </c>
      <c r="K49" s="54" t="n">
        <f aca="false">K48*$D$2</f>
        <v>255407.19605</v>
      </c>
      <c r="L49" s="54" t="n">
        <f aca="false">L48*$D$2</f>
        <v>79213.98551</v>
      </c>
      <c r="M49" s="54" t="n">
        <f aca="false">M48*$D$2</f>
        <v>15111.2532</v>
      </c>
      <c r="N49" s="54" t="n">
        <f aca="false">N48*$D$2</f>
        <v>2487.86098539</v>
      </c>
      <c r="O49" s="54" t="n">
        <f aca="false">O48*$D$2</f>
        <v>12217.86871461</v>
      </c>
      <c r="P49" s="54" t="n">
        <f aca="false">P48*$D$2</f>
        <v>9887.85273</v>
      </c>
      <c r="Q49" s="54" t="n">
        <f aca="false">Q48*$D$2</f>
        <v>2840.13192</v>
      </c>
      <c r="R49" s="54" t="n">
        <f aca="false">R48*$D$2</f>
        <v>25105.48486461</v>
      </c>
      <c r="S49" s="54" t="n">
        <f aca="false">S48*$D$2</f>
        <v>0</v>
      </c>
      <c r="T49" s="54" t="n">
        <f aca="false">T48*$D$2</f>
        <v>2295.32281</v>
      </c>
      <c r="U49" s="54" t="n">
        <f aca="false">U48*$D$2</f>
        <v>172180.53873</v>
      </c>
      <c r="V49" s="54" t="n">
        <f aca="false">V40*$D$2</f>
        <v>19246.998</v>
      </c>
      <c r="W49" s="54" t="n">
        <f aca="false">W48*$D$2</f>
        <v>202300.09939</v>
      </c>
      <c r="X49" s="54" t="n">
        <f aca="false">X48*$D$2</f>
        <v>470.09666</v>
      </c>
      <c r="Y49" s="54" t="n">
        <f aca="false">Y48*$D$2</f>
        <v>202770.19605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53" t="str">
        <f aca="false">"JUN /8"</f>
        <v>JUN /8</v>
      </c>
      <c r="B51" s="89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6913.2</v>
      </c>
      <c r="C52" s="54" t="n">
        <v>335025</v>
      </c>
      <c r="D52" s="86"/>
      <c r="E52" s="54" t="n">
        <f aca="false">C52-152000</f>
        <v>183025</v>
      </c>
      <c r="F52" s="53"/>
      <c r="G52" s="53"/>
      <c r="H52" s="86"/>
      <c r="I52" s="55"/>
      <c r="J52" s="53"/>
      <c r="K52" s="43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"5/11/95 thru 6/8/95"</f>
        <v>5/11/95 thru 6/8/95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86"/>
      <c r="Q53" s="86"/>
      <c r="R53" s="86"/>
      <c r="S53" s="54"/>
      <c r="T53" s="86"/>
      <c r="U53" s="86"/>
      <c r="V53" s="54"/>
      <c r="W53" s="86"/>
      <c r="X53" s="86"/>
      <c r="Y53" s="86"/>
      <c r="Z53" s="57"/>
      <c r="AA53" s="58"/>
      <c r="AB53" s="58"/>
      <c r="AC53" s="59"/>
      <c r="AD53" s="90"/>
      <c r="AE53" s="90"/>
    </row>
    <row r="54" customFormat="false" ht="11.1" hidden="false" customHeight="true" outlineLevel="0" collapsed="false">
      <c r="A54" s="86"/>
      <c r="B54" s="57" t="n">
        <f aca="false">B52-B20</f>
        <v>-1.59000000000015</v>
      </c>
      <c r="C54" s="54"/>
      <c r="D54" s="54" t="n">
        <f aca="false">C52-C20</f>
        <v>-6478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/>
      <c r="U54" s="86"/>
      <c r="V54" s="54"/>
      <c r="W54" s="86"/>
      <c r="X54" s="86"/>
      <c r="Y54" s="86"/>
      <c r="Z54" s="57"/>
      <c r="AA54" s="58"/>
      <c r="AB54" s="58"/>
      <c r="AC54" s="59"/>
      <c r="AD54" s="90"/>
      <c r="AE54" s="90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1"/>
      <c r="H55" s="55"/>
      <c r="I55" s="86"/>
      <c r="J55" s="86"/>
      <c r="K55" s="86"/>
      <c r="L55" s="86"/>
      <c r="M55" s="77"/>
      <c r="N55" s="77"/>
      <c r="O55" s="77"/>
      <c r="P55" s="86"/>
      <c r="Q55" s="86"/>
      <c r="R55" s="86"/>
      <c r="S55" s="54"/>
      <c r="T55" s="86"/>
      <c r="U55" s="86"/>
      <c r="V55" s="54"/>
      <c r="W55" s="86"/>
      <c r="X55" s="86"/>
      <c r="Y55" s="86"/>
      <c r="Z55" s="57"/>
      <c r="AA55" s="58"/>
      <c r="AB55" s="58"/>
      <c r="AC55" s="59"/>
      <c r="AD55" s="90"/>
      <c r="AE55" s="90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0" activeCellId="0" sqref="R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66"/>
    <col collapsed="false" customWidth="true" hidden="false" outlineLevel="0" max="4" min="4" style="0" width="7.66"/>
    <col collapsed="false" customWidth="true" hidden="false" outlineLevel="0" max="5" min="5" style="1" width="7.66"/>
    <col collapsed="false" customWidth="true" hidden="false" outlineLevel="0" max="7" min="6" style="0" width="7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0" min="10" style="0" width="6.32"/>
    <col collapsed="false" customWidth="true" hidden="false" outlineLevel="0" max="12" min="11" style="0" width="7.66"/>
    <col collapsed="false" customWidth="true" hidden="false" outlineLevel="0" max="13" min="13" style="3" width="7.49"/>
    <col collapsed="false" customWidth="false" hidden="false" outlineLevel="0" max="15" min="14" style="3" width="9.32"/>
    <col collapsed="false" customWidth="true" hidden="false" outlineLevel="0" max="16" min="16" style="0" width="6.66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6.66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4"/>
      <c r="AE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92" t="s">
        <v>69</v>
      </c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7"/>
      <c r="X2" s="7"/>
      <c r="Y2" s="7"/>
      <c r="Z2" s="11"/>
      <c r="AA2" s="12"/>
      <c r="AB2" s="12"/>
      <c r="AC2" s="13"/>
      <c r="AD2" s="14"/>
      <c r="AE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11"/>
      <c r="AA3" s="12"/>
      <c r="AB3" s="12"/>
      <c r="AC3" s="13"/>
      <c r="AD3" s="14"/>
      <c r="AE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6" t="s">
        <v>14</v>
      </c>
      <c r="Q4" s="16" t="s">
        <v>15</v>
      </c>
      <c r="R4" s="16" t="s">
        <v>12</v>
      </c>
      <c r="S4" s="17" t="s">
        <v>14</v>
      </c>
      <c r="T4" s="16" t="s">
        <v>16</v>
      </c>
      <c r="U4" s="16" t="s">
        <v>17</v>
      </c>
      <c r="V4" s="17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  <c r="AD4" s="14"/>
      <c r="AE4" s="14"/>
    </row>
    <row r="5" customFormat="false" ht="11.1" hidden="false" customHeight="true" outlineLevel="0" collapsed="false">
      <c r="A5" s="22" t="s">
        <v>70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66</v>
      </c>
      <c r="P5" s="16" t="s">
        <v>34</v>
      </c>
      <c r="Q5" s="16" t="s">
        <v>35</v>
      </c>
      <c r="R5" s="16" t="s">
        <v>14</v>
      </c>
      <c r="S5" s="17" t="s">
        <v>36</v>
      </c>
      <c r="T5" s="16" t="s">
        <v>37</v>
      </c>
      <c r="U5" s="16" t="s">
        <v>38</v>
      </c>
      <c r="V5" s="17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70</v>
      </c>
      <c r="AD5" s="14"/>
      <c r="AE5" s="14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  <c r="T6" s="26"/>
      <c r="U6" s="26"/>
      <c r="V6" s="27"/>
      <c r="W6" s="26"/>
      <c r="X6" s="26"/>
      <c r="Y6" s="26"/>
      <c r="Z6" s="11"/>
      <c r="AA6" s="13"/>
      <c r="AB6" s="13"/>
      <c r="AC6" s="13"/>
      <c r="AF6" s="95"/>
    </row>
    <row r="7" customFormat="false" ht="11.1" hidden="false" customHeight="true" outlineLevel="0" collapsed="false">
      <c r="A7" s="7" t="s">
        <v>42</v>
      </c>
      <c r="B7" s="7"/>
      <c r="C7" s="8"/>
      <c r="D7" s="8"/>
      <c r="E7" s="8"/>
      <c r="F7" s="8" t="n">
        <f aca="false" t="array" ref="F7:Y7">MAY!$F$45:$Y$45</f>
        <v>4922.84417549168</v>
      </c>
      <c r="G7" s="8" t="n">
        <v>60745.79</v>
      </c>
      <c r="H7" s="12" t="n">
        <v>9695.34</v>
      </c>
      <c r="I7" s="8" t="n">
        <v>70441.13</v>
      </c>
      <c r="J7" s="8" t="n">
        <v>27839.5200353</v>
      </c>
      <c r="K7" s="8" t="n">
        <v>98280.6500353001</v>
      </c>
      <c r="L7" s="8" t="n">
        <v>27839.5200353</v>
      </c>
      <c r="M7" s="8" t="n">
        <v>6717.95</v>
      </c>
      <c r="N7" s="8" t="n">
        <v>1238.96454633888</v>
      </c>
      <c r="O7" s="8" t="n">
        <v>5478.98545366112</v>
      </c>
      <c r="P7" s="8" t="n">
        <v>2412.01</v>
      </c>
      <c r="Q7" s="8" t="n">
        <v>1432.24</v>
      </c>
      <c r="R7" s="8" t="n">
        <v>9323.23545366112</v>
      </c>
      <c r="S7" s="8" t="n">
        <v>0</v>
      </c>
      <c r="T7" s="8" t="n">
        <v>1157.50015632879</v>
      </c>
      <c r="U7" s="8" t="n">
        <v>81645.67</v>
      </c>
      <c r="V7" s="8" t="n">
        <v>9706</v>
      </c>
      <c r="W7" s="8" t="n">
        <v>93357.8058598084</v>
      </c>
      <c r="X7" s="8" t="n">
        <v>0</v>
      </c>
      <c r="Y7" s="8" t="n">
        <v>93357.8058598084</v>
      </c>
      <c r="Z7" s="11"/>
      <c r="AA7" s="12"/>
      <c r="AB7" s="12"/>
      <c r="AC7" s="13"/>
      <c r="AD7" s="31"/>
      <c r="AF7" s="96"/>
    </row>
    <row r="8" s="1" customFormat="true" ht="11.1" hidden="false" customHeight="true" outlineLevel="0" collapsed="false">
      <c r="A8" s="8" t="s">
        <v>43</v>
      </c>
      <c r="B8" s="29" t="n">
        <f aca="false" t="array" ref="B8:C8">MAY!$B$40:$C$40</f>
        <v>6909.3</v>
      </c>
      <c r="C8" s="8" t="n">
        <v>319200</v>
      </c>
      <c r="D8" s="8" t="n">
        <f aca="false" t="array" ref="D8:E8">MAY!$D$49:$E$49</f>
        <v>52637</v>
      </c>
      <c r="E8" s="8" t="n">
        <v>167200</v>
      </c>
      <c r="F8" s="8" t="n">
        <f aca="false" t="array" ref="F8:Z8">MAY!$F$48:$Z$48</f>
        <v>26544.1250630358</v>
      </c>
      <c r="G8" s="8" t="n">
        <v>76534.7325920323</v>
      </c>
      <c r="H8" s="12" t="n">
        <v>12080.15</v>
      </c>
      <c r="I8" s="8" t="n">
        <v>88614.7825920323</v>
      </c>
      <c r="J8" s="8" t="n">
        <v>40183.6016994453</v>
      </c>
      <c r="K8" s="8" t="n">
        <v>128798.384291478</v>
      </c>
      <c r="L8" s="8" t="n">
        <v>39946.5383308119</v>
      </c>
      <c r="M8" s="8" t="n">
        <v>7620.4</v>
      </c>
      <c r="N8" s="8" t="n">
        <v>1254.59454633888</v>
      </c>
      <c r="O8" s="8" t="n">
        <v>6161.30545366112</v>
      </c>
      <c r="P8" s="8" t="n">
        <v>4986.31</v>
      </c>
      <c r="Q8" s="8" t="n">
        <v>1432.24</v>
      </c>
      <c r="R8" s="8" t="n">
        <v>12660.3554536611</v>
      </c>
      <c r="S8" s="8" t="n">
        <v>0</v>
      </c>
      <c r="T8" s="8" t="n">
        <v>1157.50015632879</v>
      </c>
      <c r="U8" s="8" t="n">
        <v>86828.31</v>
      </c>
      <c r="V8" s="8" t="n">
        <v>9706</v>
      </c>
      <c r="W8" s="8" t="n">
        <v>102017.195859808</v>
      </c>
      <c r="X8" s="8" t="n">
        <v>237.063368633384</v>
      </c>
      <c r="Y8" s="8" t="n">
        <v>102254.259228442</v>
      </c>
      <c r="Z8" s="30" t="n">
        <v>14.88</v>
      </c>
      <c r="AA8" s="12"/>
      <c r="AB8" s="12"/>
      <c r="AC8" s="13"/>
      <c r="AD8" s="97"/>
      <c r="AE8" s="97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4"/>
      <c r="T9" s="32"/>
      <c r="U9" s="32"/>
      <c r="V9" s="34"/>
      <c r="W9" s="32"/>
      <c r="X9" s="32"/>
      <c r="Y9" s="32"/>
      <c r="Z9" s="36"/>
      <c r="AA9" s="37"/>
      <c r="AB9" s="37"/>
      <c r="AC9" s="38"/>
      <c r="AD9" s="14"/>
      <c r="AE9" s="14"/>
    </row>
    <row r="10" customFormat="false" ht="11.1" hidden="false" customHeight="true" outlineLevel="0" collapsed="false">
      <c r="A10" s="13" t="n">
        <v>1</v>
      </c>
      <c r="B10" s="29" t="n">
        <v>6909.25</v>
      </c>
      <c r="C10" s="8" t="n">
        <v>319001</v>
      </c>
      <c r="D10" s="12" t="n">
        <f aca="false">C10-C8</f>
        <v>-199</v>
      </c>
      <c r="E10" s="8" t="n">
        <f aca="false">C10-152000</f>
        <v>167001</v>
      </c>
      <c r="F10" s="7" t="n">
        <f aca="false">D10/$D$2</f>
        <v>-100.353000504286</v>
      </c>
      <c r="G10" s="7" t="n">
        <v>1623.76</v>
      </c>
      <c r="H10" s="9" t="n">
        <v>94.13</v>
      </c>
      <c r="I10" s="7" t="n">
        <f aca="false">G10+H10</f>
        <v>1717.89</v>
      </c>
      <c r="J10" s="93" t="n">
        <f aca="false">IF(L10&gt;0,L10,0)</f>
        <v>593.966999495714</v>
      </c>
      <c r="K10" s="7" t="n">
        <f aca="false">I10+J10</f>
        <v>2311.85699949571</v>
      </c>
      <c r="L10" s="7" t="n">
        <f aca="false">F10-(I10-W10)</f>
        <v>593.966999495714</v>
      </c>
      <c r="M10" s="7" t="n">
        <v>219.09</v>
      </c>
      <c r="N10" s="7" t="n">
        <f aca="false">(4.53+6.32)*1.05</f>
        <v>11.3925</v>
      </c>
      <c r="O10" s="7" t="n">
        <f aca="false">M10-N10</f>
        <v>207.6975</v>
      </c>
      <c r="P10" s="7" t="n">
        <v>133.63</v>
      </c>
      <c r="Q10" s="7" t="n">
        <v>81.75</v>
      </c>
      <c r="R10" s="7" t="n">
        <f aca="false">SUM(O10:Q10)</f>
        <v>423.0775</v>
      </c>
      <c r="S10" s="8"/>
      <c r="T10" s="7" t="n">
        <v>89.72</v>
      </c>
      <c r="U10" s="7" t="n">
        <v>1888.02</v>
      </c>
      <c r="V10" s="8" t="n">
        <v>9706</v>
      </c>
      <c r="W10" s="7" t="n">
        <f aca="false">N10+R10+T10+U10</f>
        <v>2412.21</v>
      </c>
      <c r="X10" s="7" t="n">
        <f aca="false">IF(L10&lt;0,L10*-1,0)</f>
        <v>0</v>
      </c>
      <c r="Y10" s="7" t="n">
        <f aca="false">W10+X10</f>
        <v>2412.21</v>
      </c>
      <c r="Z10" s="11" t="n">
        <v>0</v>
      </c>
      <c r="AA10" s="12" t="n">
        <v>78</v>
      </c>
      <c r="AB10" s="12" t="n">
        <v>46</v>
      </c>
      <c r="AC10" s="13" t="n">
        <v>1</v>
      </c>
      <c r="AD10" s="12"/>
      <c r="AE10" s="12"/>
      <c r="AF10" s="98"/>
      <c r="AG10" s="7"/>
    </row>
    <row r="11" customFormat="false" ht="11.1" hidden="false" customHeight="true" outlineLevel="0" collapsed="false">
      <c r="A11" s="13" t="n">
        <f aca="false">A10+1</f>
        <v>2</v>
      </c>
      <c r="B11" s="29" t="n">
        <v>6909.3</v>
      </c>
      <c r="C11" s="8" t="n">
        <v>319200</v>
      </c>
      <c r="D11" s="12" t="n">
        <f aca="false">C11-C10</f>
        <v>199</v>
      </c>
      <c r="E11" s="8" t="n">
        <f aca="false">C11-152000</f>
        <v>167200</v>
      </c>
      <c r="F11" s="7" t="n">
        <f aca="false">D11/$D$2</f>
        <v>100.353000504286</v>
      </c>
      <c r="G11" s="7" t="n">
        <v>2203.42</v>
      </c>
      <c r="H11" s="9" t="n">
        <v>142.91</v>
      </c>
      <c r="I11" s="7" t="n">
        <f aca="false">G11+H11</f>
        <v>2346.33</v>
      </c>
      <c r="J11" s="93" t="n">
        <f aca="false">IF(L11&gt;0,L11,0)</f>
        <v>0</v>
      </c>
      <c r="K11" s="7" t="n">
        <f aca="false">I11+J11</f>
        <v>2346.33</v>
      </c>
      <c r="L11" s="7" t="n">
        <f aca="false">F11-(I11-W11)</f>
        <v>-102.726999495713</v>
      </c>
      <c r="M11" s="7" t="n">
        <v>217.87</v>
      </c>
      <c r="N11" s="7" t="n">
        <f aca="false">(8.44+10.72)*1.05</f>
        <v>20.118</v>
      </c>
      <c r="O11" s="7" t="n">
        <f aca="false">M11-N11</f>
        <v>197.752</v>
      </c>
      <c r="P11" s="7" t="n">
        <v>133.59</v>
      </c>
      <c r="Q11" s="7" t="n">
        <v>82.32</v>
      </c>
      <c r="R11" s="7" t="n">
        <f aca="false">SUM(O11:Q11)</f>
        <v>413.662</v>
      </c>
      <c r="S11" s="8"/>
      <c r="T11" s="7" t="n">
        <v>86.26</v>
      </c>
      <c r="U11" s="7" t="n">
        <v>1623.21</v>
      </c>
      <c r="V11" s="8" t="n">
        <v>9706</v>
      </c>
      <c r="W11" s="7" t="n">
        <f aca="false">N11+R11+T11+U11</f>
        <v>2143.25</v>
      </c>
      <c r="X11" s="7" t="n">
        <f aca="false">IF(L11&lt;0,L11*-1,0)</f>
        <v>102.726999495713</v>
      </c>
      <c r="Y11" s="7" t="n">
        <f aca="false">W11+X11</f>
        <v>2245.97699949571</v>
      </c>
      <c r="Z11" s="11" t="n">
        <v>0</v>
      </c>
      <c r="AA11" s="12" t="n">
        <v>75</v>
      </c>
      <c r="AB11" s="12" t="n">
        <v>36</v>
      </c>
      <c r="AC11" s="13" t="n">
        <f aca="false">AC10+1</f>
        <v>2</v>
      </c>
      <c r="AD11" s="12"/>
      <c r="AE11" s="12"/>
      <c r="AG11" s="7"/>
    </row>
    <row r="12" customFormat="false" ht="11.1" hidden="false" customHeight="true" outlineLevel="0" collapsed="false">
      <c r="A12" s="13" t="n">
        <f aca="false">A11+1</f>
        <v>3</v>
      </c>
      <c r="B12" s="29" t="n">
        <v>6909.9</v>
      </c>
      <c r="C12" s="8" t="n">
        <v>321588</v>
      </c>
      <c r="D12" s="12" t="n">
        <f aca="false">C12-C11</f>
        <v>2388</v>
      </c>
      <c r="E12" s="8" t="n">
        <f aca="false">C12-152000</f>
        <v>169588</v>
      </c>
      <c r="F12" s="7" t="n">
        <f aca="false">D12/$D$2</f>
        <v>1204.23600605144</v>
      </c>
      <c r="G12" s="7" t="n">
        <v>2515.16</v>
      </c>
      <c r="H12" s="9" t="n">
        <v>142.78</v>
      </c>
      <c r="I12" s="7" t="n">
        <f aca="false">G12+H12</f>
        <v>2657.94</v>
      </c>
      <c r="J12" s="93" t="n">
        <f aca="false">IF(L12&gt;0,L12,0)</f>
        <v>686.616006051437</v>
      </c>
      <c r="K12" s="7" t="n">
        <f aca="false">I12+J12</f>
        <v>3344.55600605144</v>
      </c>
      <c r="L12" s="7" t="n">
        <f aca="false">F12-(I12-W12)</f>
        <v>686.616006051437</v>
      </c>
      <c r="M12" s="7" t="n">
        <v>230.46</v>
      </c>
      <c r="N12" s="7" t="n">
        <f aca="false">(8.67+8.46)*1.05</f>
        <v>17.9865</v>
      </c>
      <c r="O12" s="7" t="n">
        <f aca="false">M12-N12</f>
        <v>212.4735</v>
      </c>
      <c r="P12" s="7" t="n">
        <v>133.65</v>
      </c>
      <c r="Q12" s="7" t="n">
        <v>82.81</v>
      </c>
      <c r="R12" s="7" t="n">
        <f aca="false">SUM(O12:Q12)</f>
        <v>428.9335</v>
      </c>
      <c r="S12" s="8"/>
      <c r="T12" s="7" t="n">
        <v>87.31</v>
      </c>
      <c r="U12" s="7" t="n">
        <v>1606.09</v>
      </c>
      <c r="V12" s="8" t="n">
        <v>9706</v>
      </c>
      <c r="W12" s="7" t="n">
        <f aca="false">N12+R12+T12+U12</f>
        <v>2140.32</v>
      </c>
      <c r="X12" s="7" t="n">
        <f aca="false">IF(L12&lt;0,L12*-1,0)</f>
        <v>0</v>
      </c>
      <c r="Y12" s="7" t="n">
        <f aca="false">W12+X12</f>
        <v>2140.32</v>
      </c>
      <c r="Z12" s="11" t="n">
        <v>0</v>
      </c>
      <c r="AA12" s="12" t="n">
        <v>73</v>
      </c>
      <c r="AB12" s="12" t="n">
        <v>37</v>
      </c>
      <c r="AC12" s="13" t="n">
        <f aca="false">AC11+1</f>
        <v>3</v>
      </c>
      <c r="AD12" s="12"/>
      <c r="AE12" s="12"/>
      <c r="AG12" s="7"/>
    </row>
    <row r="13" customFormat="false" ht="11.1" hidden="false" customHeight="true" outlineLevel="0" collapsed="false">
      <c r="A13" s="13" t="n">
        <f aca="false">A12+1</f>
        <v>4</v>
      </c>
      <c r="B13" s="29" t="n">
        <v>6910.55</v>
      </c>
      <c r="C13" s="8" t="n">
        <v>324194</v>
      </c>
      <c r="D13" s="12" t="n">
        <f aca="false">C13-C12</f>
        <v>2606</v>
      </c>
      <c r="E13" s="8" t="n">
        <f aca="false">C13-152000</f>
        <v>172194</v>
      </c>
      <c r="F13" s="7" t="n">
        <f aca="false">D13/$D$2</f>
        <v>1314.17044881493</v>
      </c>
      <c r="G13" s="7" t="n">
        <v>2692.05</v>
      </c>
      <c r="H13" s="9" t="n">
        <v>207.91</v>
      </c>
      <c r="I13" s="7" t="n">
        <f aca="false">G13+H13</f>
        <v>2899.96</v>
      </c>
      <c r="J13" s="93" t="n">
        <f aca="false">IF(L13&gt;0,L13,0)</f>
        <v>549.710448814927</v>
      </c>
      <c r="K13" s="7" t="n">
        <f aca="false">I13+J13</f>
        <v>3449.67044881493</v>
      </c>
      <c r="L13" s="7" t="n">
        <f aca="false">F13-(I13-W13)</f>
        <v>549.710448814927</v>
      </c>
      <c r="M13" s="7" t="n">
        <v>222.54</v>
      </c>
      <c r="N13" s="7" t="n">
        <f aca="false">(8.37+8.7)*1.05</f>
        <v>17.9235</v>
      </c>
      <c r="O13" s="7" t="n">
        <f aca="false">M13-N13</f>
        <v>204.6165</v>
      </c>
      <c r="P13" s="7" t="n">
        <v>134.26</v>
      </c>
      <c r="Q13" s="7" t="n">
        <v>83.22</v>
      </c>
      <c r="R13" s="7" t="n">
        <f aca="false">SUM(O13:Q13)</f>
        <v>422.0965</v>
      </c>
      <c r="S13" s="8"/>
      <c r="T13" s="7" t="n">
        <v>86.13</v>
      </c>
      <c r="U13" s="7" t="n">
        <v>1609.35</v>
      </c>
      <c r="V13" s="8" t="n">
        <v>9706</v>
      </c>
      <c r="W13" s="7" t="n">
        <f aca="false">N13+R13+T13+U13</f>
        <v>2135.5</v>
      </c>
      <c r="X13" s="7" t="n">
        <f aca="false">IF(L13&lt;0,L13*-1,0)</f>
        <v>0</v>
      </c>
      <c r="Y13" s="7" t="n">
        <f aca="false">W13+X13</f>
        <v>2135.5</v>
      </c>
      <c r="Z13" s="11" t="n">
        <v>0</v>
      </c>
      <c r="AA13" s="12" t="n">
        <v>66</v>
      </c>
      <c r="AB13" s="12" t="n">
        <v>40</v>
      </c>
      <c r="AC13" s="13" t="n">
        <f aca="false">AC12+1</f>
        <v>4</v>
      </c>
      <c r="AD13" s="12"/>
      <c r="AE13" s="12"/>
      <c r="AG13" s="7"/>
    </row>
    <row r="14" customFormat="false" ht="11.1" hidden="false" customHeight="true" outlineLevel="0" collapsed="false">
      <c r="A14" s="13" t="n">
        <f aca="false">A13+1</f>
        <v>5</v>
      </c>
      <c r="B14" s="29" t="n">
        <v>6911.47</v>
      </c>
      <c r="C14" s="8" t="n">
        <v>327900</v>
      </c>
      <c r="D14" s="12" t="n">
        <f aca="false">C14-C13</f>
        <v>3706</v>
      </c>
      <c r="E14" s="8" t="n">
        <f aca="false">C14-152000</f>
        <v>175900</v>
      </c>
      <c r="F14" s="7" t="n">
        <f aca="false">D14/$D$2</f>
        <v>1868.88552697932</v>
      </c>
      <c r="G14" s="7" t="n">
        <v>3144.93</v>
      </c>
      <c r="H14" s="9" t="n">
        <v>221.64</v>
      </c>
      <c r="I14" s="7" t="n">
        <f aca="false">G14+H14</f>
        <v>3366.57</v>
      </c>
      <c r="J14" s="93" t="n">
        <f aca="false">IF(L14&gt;0,L14,0)</f>
        <v>624.465526979325</v>
      </c>
      <c r="K14" s="7" t="n">
        <f aca="false">I14+J14</f>
        <v>3991.03552697932</v>
      </c>
      <c r="L14" s="7" t="n">
        <f aca="false">F14-(I14-W14)</f>
        <v>624.465526979325</v>
      </c>
      <c r="M14" s="7" t="n">
        <v>208.86</v>
      </c>
      <c r="N14" s="7" t="n">
        <f aca="false">(8.93+9.19)*1.05</f>
        <v>19.026</v>
      </c>
      <c r="O14" s="7" t="n">
        <f aca="false">M14-N14</f>
        <v>189.834</v>
      </c>
      <c r="P14" s="7" t="n">
        <v>135.06</v>
      </c>
      <c r="Q14" s="7" t="n">
        <v>84.02</v>
      </c>
      <c r="R14" s="7" t="n">
        <f aca="false">SUM(O14:Q14)</f>
        <v>408.914</v>
      </c>
      <c r="S14" s="8"/>
      <c r="T14" s="7" t="n">
        <v>81.71</v>
      </c>
      <c r="U14" s="7" t="n">
        <v>1612.5</v>
      </c>
      <c r="V14" s="8" t="n">
        <v>9706</v>
      </c>
      <c r="W14" s="7" t="n">
        <f aca="false">N14+R14+T14+U14</f>
        <v>2122.15</v>
      </c>
      <c r="X14" s="7" t="n">
        <f aca="false">IF(L14&lt;0,L14*-1,0)</f>
        <v>0</v>
      </c>
      <c r="Y14" s="7" t="n">
        <f aca="false">W14+X14</f>
        <v>2122.15</v>
      </c>
      <c r="Z14" s="11" t="n">
        <v>0</v>
      </c>
      <c r="AA14" s="12" t="n">
        <v>78</v>
      </c>
      <c r="AB14" s="12" t="n">
        <v>45</v>
      </c>
      <c r="AC14" s="13" t="n">
        <f aca="false">AC13+1</f>
        <v>5</v>
      </c>
      <c r="AD14" s="12"/>
      <c r="AE14" s="12"/>
      <c r="AG14" s="7"/>
    </row>
    <row r="15" customFormat="false" ht="11.1" hidden="false" customHeight="true" outlineLevel="0" collapsed="false">
      <c r="A15" s="13" t="n">
        <f aca="false">A14+1</f>
        <v>6</v>
      </c>
      <c r="B15" s="29" t="n">
        <v>6912.5</v>
      </c>
      <c r="C15" s="8" t="n">
        <v>332083</v>
      </c>
      <c r="D15" s="12" t="n">
        <f aca="false">C15-C14</f>
        <v>4183</v>
      </c>
      <c r="E15" s="8" t="n">
        <f aca="false">C15-152000</f>
        <v>180083</v>
      </c>
      <c r="F15" s="7" t="n">
        <f aca="false">D15/$D$2</f>
        <v>2109.43015632879</v>
      </c>
      <c r="G15" s="7" t="n">
        <v>3546.71</v>
      </c>
      <c r="H15" s="9" t="n">
        <v>229.59</v>
      </c>
      <c r="I15" s="7" t="n">
        <f aca="false">G15+H15</f>
        <v>3776.3</v>
      </c>
      <c r="J15" s="93" t="n">
        <f aca="false">IF(L15&gt;0,L15,0)</f>
        <v>285.330156328794</v>
      </c>
      <c r="K15" s="7" t="n">
        <f aca="false">I15+J15</f>
        <v>4061.63015632879</v>
      </c>
      <c r="L15" s="7" t="n">
        <f aca="false">F15-(I15-W15)</f>
        <v>285.330156328794</v>
      </c>
      <c r="M15" s="7" t="n">
        <v>212.7</v>
      </c>
      <c r="N15" s="7" t="n">
        <f aca="false">(3.79+3.79)*1.05</f>
        <v>7.959</v>
      </c>
      <c r="O15" s="7" t="n">
        <f aca="false">M15-N15</f>
        <v>204.741</v>
      </c>
      <c r="P15" s="7" t="n">
        <v>136.2</v>
      </c>
      <c r="Q15" s="7" t="n">
        <v>85.09</v>
      </c>
      <c r="R15" s="7" t="n">
        <f aca="false">SUM(O15:Q15)</f>
        <v>426.031</v>
      </c>
      <c r="S15" s="8"/>
      <c r="T15" s="7" t="n">
        <v>90.79</v>
      </c>
      <c r="U15" s="7" t="n">
        <v>1427.42</v>
      </c>
      <c r="V15" s="8" t="n">
        <v>9706</v>
      </c>
      <c r="W15" s="7" t="n">
        <f aca="false">N15+R15+T15+U15</f>
        <v>1952.2</v>
      </c>
      <c r="X15" s="7" t="n">
        <f aca="false">IF(L15&lt;0,L15*-1,0)</f>
        <v>0</v>
      </c>
      <c r="Y15" s="7" t="n">
        <f aca="false">W15+X15</f>
        <v>1952.2</v>
      </c>
      <c r="Z15" s="11" t="n">
        <v>0</v>
      </c>
      <c r="AA15" s="12" t="n">
        <v>76</v>
      </c>
      <c r="AB15" s="12" t="n">
        <v>46</v>
      </c>
      <c r="AC15" s="13" t="n">
        <f aca="false">AC14+1</f>
        <v>6</v>
      </c>
      <c r="AD15" s="12"/>
      <c r="AE15" s="12"/>
      <c r="AG15" s="7"/>
    </row>
    <row r="16" customFormat="false" ht="11.1" hidden="false" customHeight="true" outlineLevel="0" collapsed="false">
      <c r="A16" s="13" t="n">
        <f aca="false">A15+1</f>
        <v>7</v>
      </c>
      <c r="B16" s="29" t="n">
        <v>6913.2</v>
      </c>
      <c r="C16" s="8" t="n">
        <v>335025</v>
      </c>
      <c r="D16" s="12" t="n">
        <f aca="false">C16-C15</f>
        <v>2942</v>
      </c>
      <c r="E16" s="8" t="n">
        <f aca="false">C16-152000</f>
        <v>183025</v>
      </c>
      <c r="F16" s="7" t="n">
        <f aca="false">D16/$D$2</f>
        <v>1483.61069087242</v>
      </c>
      <c r="G16" s="7" t="n">
        <v>3400.07</v>
      </c>
      <c r="H16" s="9" t="n">
        <v>190.05</v>
      </c>
      <c r="I16" s="7" t="n">
        <f aca="false">G16+H16</f>
        <v>3590.12</v>
      </c>
      <c r="J16" s="93" t="n">
        <f aca="false">IF(L16&gt;0,L16,0)</f>
        <v>0</v>
      </c>
      <c r="K16" s="7" t="n">
        <f aca="false">I16+J16</f>
        <v>3590.12</v>
      </c>
      <c r="L16" s="7" t="n">
        <f aca="false">F16-(I16-W16)</f>
        <v>-121.549309127585</v>
      </c>
      <c r="M16" s="7" t="n">
        <v>219.42</v>
      </c>
      <c r="N16" s="7" t="n">
        <v>0</v>
      </c>
      <c r="O16" s="7" t="n">
        <f aca="false">M16-N16</f>
        <v>219.42</v>
      </c>
      <c r="P16" s="7" t="n">
        <v>137.11</v>
      </c>
      <c r="Q16" s="7" t="n">
        <v>86.2</v>
      </c>
      <c r="R16" s="7" t="n">
        <f aca="false">SUM(O16:Q16)</f>
        <v>442.73</v>
      </c>
      <c r="S16" s="8"/>
      <c r="T16" s="7" t="n">
        <v>73.11</v>
      </c>
      <c r="U16" s="7" t="n">
        <v>1469.12</v>
      </c>
      <c r="V16" s="8" t="n">
        <v>9706</v>
      </c>
      <c r="W16" s="7" t="n">
        <f aca="false">N16+R16+T16+U16</f>
        <v>1984.96</v>
      </c>
      <c r="X16" s="7" t="n">
        <f aca="false">IF(L16&lt;0,L16*-1,0)</f>
        <v>121.549309127585</v>
      </c>
      <c r="Y16" s="7" t="n">
        <f aca="false">W16+X16</f>
        <v>2106.50930912758</v>
      </c>
      <c r="Z16" s="11" t="n">
        <v>0</v>
      </c>
      <c r="AA16" s="12" t="n">
        <v>75</v>
      </c>
      <c r="AB16" s="12" t="n">
        <v>45</v>
      </c>
      <c r="AC16" s="13" t="n">
        <f aca="false">AC15+1</f>
        <v>7</v>
      </c>
      <c r="AD16" s="12"/>
      <c r="AE16" s="12"/>
      <c r="AG16" s="7"/>
    </row>
    <row r="17" customFormat="false" ht="11.1" hidden="false" customHeight="true" outlineLevel="0" collapsed="false">
      <c r="A17" s="13" t="n">
        <f aca="false">A16+1</f>
        <v>8</v>
      </c>
      <c r="B17" s="29" t="n">
        <v>6913.73</v>
      </c>
      <c r="C17" s="8" t="n">
        <v>337121</v>
      </c>
      <c r="D17" s="12" t="n">
        <f aca="false">C17-C16</f>
        <v>2096</v>
      </c>
      <c r="E17" s="8" t="n">
        <f aca="false">C17-152000</f>
        <v>185121</v>
      </c>
      <c r="F17" s="7" t="n">
        <f aca="false">D17/$D$2</f>
        <v>1056.98436712052</v>
      </c>
      <c r="G17" s="7" t="n">
        <v>2955.11</v>
      </c>
      <c r="H17" s="9" t="n">
        <v>150.24</v>
      </c>
      <c r="I17" s="7" t="n">
        <f aca="false">G17+H17</f>
        <v>3105.35</v>
      </c>
      <c r="J17" s="93" t="n">
        <f aca="false">IF(L17&gt;0,L17,0)</f>
        <v>44.484367120524</v>
      </c>
      <c r="K17" s="7" t="n">
        <f aca="false">I17+J17</f>
        <v>3149.83436712052</v>
      </c>
      <c r="L17" s="7" t="n">
        <f aca="false">F17-(I17-W17)</f>
        <v>44.484367120524</v>
      </c>
      <c r="M17" s="7" t="n">
        <v>228.3</v>
      </c>
      <c r="N17" s="7" t="n">
        <f aca="false">(6.12+6.12)*1.05</f>
        <v>12.852</v>
      </c>
      <c r="O17" s="7" t="n">
        <f aca="false">M17-N17</f>
        <v>215.448</v>
      </c>
      <c r="P17" s="7" t="n">
        <v>137.83</v>
      </c>
      <c r="Q17" s="7" t="n">
        <v>87.03</v>
      </c>
      <c r="R17" s="7" t="n">
        <f aca="false">SUM(O17:Q17)</f>
        <v>440.308</v>
      </c>
      <c r="S17" s="8"/>
      <c r="T17" s="7" t="n">
        <v>86.48</v>
      </c>
      <c r="U17" s="7" t="n">
        <v>1553.21</v>
      </c>
      <c r="V17" s="8" t="n">
        <v>9706</v>
      </c>
      <c r="W17" s="7" t="n">
        <f aca="false">N17+R17+T17+U17</f>
        <v>2092.85</v>
      </c>
      <c r="X17" s="7" t="n">
        <f aca="false">IF(L17&lt;0,L17*-1,0)</f>
        <v>0</v>
      </c>
      <c r="Y17" s="7" t="n">
        <f aca="false">W17+X17</f>
        <v>2092.85</v>
      </c>
      <c r="Z17" s="11" t="n">
        <v>0</v>
      </c>
      <c r="AA17" s="12" t="n">
        <v>68</v>
      </c>
      <c r="AB17" s="12" t="n">
        <v>33</v>
      </c>
      <c r="AC17" s="13" t="n">
        <f aca="false">AC16+1</f>
        <v>8</v>
      </c>
      <c r="AD17" s="12"/>
      <c r="AE17" s="12"/>
      <c r="AG17" s="7"/>
    </row>
    <row r="18" customFormat="false" ht="11.1" hidden="false" customHeight="true" outlineLevel="0" collapsed="false">
      <c r="A18" s="13" t="n">
        <f aca="false">A17+1</f>
        <v>9</v>
      </c>
      <c r="B18" s="29" t="n">
        <v>6914.18</v>
      </c>
      <c r="C18" s="8" t="n">
        <v>339390</v>
      </c>
      <c r="D18" s="12" t="n">
        <f aca="false">C18-C17</f>
        <v>2269</v>
      </c>
      <c r="E18" s="8" t="n">
        <f aca="false">C18-152000</f>
        <v>187390</v>
      </c>
      <c r="F18" s="7" t="n">
        <f aca="false">D18/$D$2</f>
        <v>1144.22592032274</v>
      </c>
      <c r="G18" s="7" t="n">
        <v>2518.2</v>
      </c>
      <c r="H18" s="9" t="n">
        <v>114.37</v>
      </c>
      <c r="I18" s="7" t="n">
        <f aca="false">G18+H18</f>
        <v>2632.57</v>
      </c>
      <c r="J18" s="93" t="n">
        <f aca="false">IF(L18&gt;0,L18,0)</f>
        <v>497.555920322744</v>
      </c>
      <c r="K18" s="7" t="n">
        <f aca="false">I18+J18</f>
        <v>3130.12592032274</v>
      </c>
      <c r="L18" s="7" t="n">
        <f aca="false">F18-(I18-W18)</f>
        <v>497.555920322744</v>
      </c>
      <c r="M18" s="7" t="n">
        <v>228.8</v>
      </c>
      <c r="N18" s="7" t="n">
        <f aca="false">(6.21+5.23)*1.05</f>
        <v>12.012</v>
      </c>
      <c r="O18" s="7" t="n">
        <f aca="false">M18-N18</f>
        <v>216.788</v>
      </c>
      <c r="P18" s="7" t="n">
        <v>138.52</v>
      </c>
      <c r="Q18" s="7" t="n">
        <v>87.74</v>
      </c>
      <c r="R18" s="7" t="n">
        <f aca="false">SUM(O18:Q18)</f>
        <v>443.048</v>
      </c>
      <c r="S18" s="8"/>
      <c r="T18" s="7" t="n">
        <v>53.65</v>
      </c>
      <c r="U18" s="7" t="n">
        <v>1477.19</v>
      </c>
      <c r="V18" s="8" t="n">
        <v>9706</v>
      </c>
      <c r="W18" s="7" t="n">
        <f aca="false">N18+R18+T18+U18</f>
        <v>1985.9</v>
      </c>
      <c r="X18" s="7" t="n">
        <f aca="false">IF(L18&lt;0,L18*-1,0)</f>
        <v>0</v>
      </c>
      <c r="Y18" s="7" t="n">
        <f aca="false">W18+X18</f>
        <v>1985.9</v>
      </c>
      <c r="Z18" s="11" t="n">
        <v>0</v>
      </c>
      <c r="AA18" s="40" t="n">
        <v>75</v>
      </c>
      <c r="AB18" s="12" t="n">
        <v>32</v>
      </c>
      <c r="AC18" s="13" t="n">
        <f aca="false">AC17+1</f>
        <v>9</v>
      </c>
      <c r="AD18" s="12"/>
      <c r="AE18" s="12"/>
      <c r="AG18" s="7"/>
    </row>
    <row r="19" customFormat="false" ht="11.1" hidden="false" customHeight="true" outlineLevel="0" collapsed="false">
      <c r="A19" s="13" t="n">
        <f aca="false">A18+1</f>
        <v>10</v>
      </c>
      <c r="B19" s="29" t="n">
        <v>6914.76</v>
      </c>
      <c r="C19" s="8" t="n">
        <v>341378</v>
      </c>
      <c r="D19" s="12" t="n">
        <f aca="false">C19-C18</f>
        <v>1988</v>
      </c>
      <c r="E19" s="8" t="n">
        <f aca="false">C19-152000</f>
        <v>189378</v>
      </c>
      <c r="F19" s="7" t="n">
        <f aca="false">D19/$D$2</f>
        <v>1002.52143217347</v>
      </c>
      <c r="G19" s="7" t="n">
        <v>2475.6</v>
      </c>
      <c r="H19" s="9" t="n">
        <v>106.01</v>
      </c>
      <c r="I19" s="7" t="n">
        <f aca="false">G19+H19</f>
        <v>2581.61</v>
      </c>
      <c r="J19" s="93" t="n">
        <f aca="false">IF(L19&gt;0,L19,0)</f>
        <v>153.051432173474</v>
      </c>
      <c r="K19" s="7" t="n">
        <f aca="false">I19+J19</f>
        <v>2734.66143217347</v>
      </c>
      <c r="L19" s="7" t="n">
        <f aca="false">F19-(I19-W19)</f>
        <v>153.051432173474</v>
      </c>
      <c r="M19" s="7" t="n">
        <v>227.29</v>
      </c>
      <c r="N19" s="7" t="n">
        <f aca="false">(7.94+8.48)*1.05</f>
        <v>17.241</v>
      </c>
      <c r="O19" s="7" t="n">
        <f aca="false">M19-N19</f>
        <v>210.049</v>
      </c>
      <c r="P19" s="7" t="n">
        <v>138.85</v>
      </c>
      <c r="Q19" s="7" t="n">
        <v>89.83</v>
      </c>
      <c r="R19" s="7" t="n">
        <f aca="false">SUM(O19:Q19)</f>
        <v>438.729</v>
      </c>
      <c r="S19" s="8"/>
      <c r="T19" s="7" t="n">
        <v>61.41</v>
      </c>
      <c r="U19" s="7" t="n">
        <v>1214.76</v>
      </c>
      <c r="V19" s="8" t="n">
        <v>9706</v>
      </c>
      <c r="W19" s="7" t="n">
        <f aca="false">N19+R19+T19+U19</f>
        <v>1732.14</v>
      </c>
      <c r="X19" s="7" t="n">
        <f aca="false">IF(L19&lt;0,L19*-1,0)</f>
        <v>0</v>
      </c>
      <c r="Y19" s="7" t="n">
        <f aca="false">W19+X19</f>
        <v>1732.14</v>
      </c>
      <c r="Z19" s="11" t="n">
        <v>0</v>
      </c>
      <c r="AA19" s="12" t="n">
        <v>76</v>
      </c>
      <c r="AB19" s="12" t="n">
        <v>38</v>
      </c>
      <c r="AC19" s="13" t="n">
        <f aca="false">AC18+1</f>
        <v>10</v>
      </c>
      <c r="AD19" s="12"/>
      <c r="AE19" s="12"/>
      <c r="AG19" s="7"/>
    </row>
    <row r="20" customFormat="false" ht="11.1" hidden="false" customHeight="true" outlineLevel="0" collapsed="false">
      <c r="A20" s="13" t="n">
        <f aca="false">A19+1</f>
        <v>11</v>
      </c>
      <c r="B20" s="29" t="n">
        <v>6915.34</v>
      </c>
      <c r="C20" s="8" t="n">
        <v>343792</v>
      </c>
      <c r="D20" s="12" t="n">
        <f aca="false">C20-C19</f>
        <v>2414</v>
      </c>
      <c r="E20" s="8" t="n">
        <f aca="false">C20-152000</f>
        <v>191792</v>
      </c>
      <c r="F20" s="7" t="n">
        <f aca="false">D20/$D$2</f>
        <v>1217.3474533535</v>
      </c>
      <c r="G20" s="7" t="n">
        <v>2634.13</v>
      </c>
      <c r="H20" s="9" t="n">
        <v>105.78</v>
      </c>
      <c r="I20" s="7" t="n">
        <f aca="false">G20+H20</f>
        <v>2739.91</v>
      </c>
      <c r="J20" s="93" t="n">
        <f aca="false">IF(L20&gt;0,L20,0)</f>
        <v>217.057453353505</v>
      </c>
      <c r="K20" s="7" t="n">
        <f aca="false">I20+J20</f>
        <v>2956.9674533535</v>
      </c>
      <c r="L20" s="7" t="n">
        <f aca="false">F20-(I20-W20)</f>
        <v>217.057453353505</v>
      </c>
      <c r="M20" s="7" t="n">
        <v>243.6</v>
      </c>
      <c r="N20" s="7" t="n">
        <f aca="false">(9.11+7.52)*1.05</f>
        <v>17.4615</v>
      </c>
      <c r="O20" s="7" t="n">
        <f aca="false">M20-N20</f>
        <v>226.1385</v>
      </c>
      <c r="P20" s="7" t="n">
        <v>139.21</v>
      </c>
      <c r="Q20" s="7" t="n">
        <v>91.25</v>
      </c>
      <c r="R20" s="7" t="n">
        <f aca="false">SUM(O20:Q20)</f>
        <v>456.5985</v>
      </c>
      <c r="S20" s="8"/>
      <c r="T20" s="7" t="n">
        <v>61.38</v>
      </c>
      <c r="U20" s="7" t="n">
        <v>1204.18</v>
      </c>
      <c r="V20" s="8" t="n">
        <v>9706</v>
      </c>
      <c r="W20" s="7" t="n">
        <f aca="false">N20+R20+T20+U20</f>
        <v>1739.62</v>
      </c>
      <c r="X20" s="7" t="n">
        <f aca="false">IF(L20&lt;0,L20*-1,0)</f>
        <v>0</v>
      </c>
      <c r="Y20" s="7" t="n">
        <f aca="false">W20+X20</f>
        <v>1739.62</v>
      </c>
      <c r="Z20" s="11" t="n">
        <v>0</v>
      </c>
      <c r="AA20" s="12" t="n">
        <v>80</v>
      </c>
      <c r="AB20" s="12" t="n">
        <v>43</v>
      </c>
      <c r="AC20" s="13" t="n">
        <f aca="false">AC19+1</f>
        <v>11</v>
      </c>
      <c r="AD20" s="12"/>
      <c r="AE20" s="12"/>
      <c r="AG20" s="7"/>
    </row>
    <row r="21" customFormat="false" ht="11.1" hidden="false" customHeight="true" outlineLevel="0" collapsed="false">
      <c r="A21" s="13" t="n">
        <f aca="false">A20+1</f>
        <v>12</v>
      </c>
      <c r="B21" s="29" t="n">
        <v>6916.31</v>
      </c>
      <c r="C21" s="8" t="n">
        <v>347851</v>
      </c>
      <c r="D21" s="12" t="n">
        <f aca="false">C21-C20</f>
        <v>4059</v>
      </c>
      <c r="E21" s="8" t="n">
        <f aca="false">C21-152000</f>
        <v>195851</v>
      </c>
      <c r="F21" s="7" t="n">
        <f aca="false">D21/$D$2</f>
        <v>2046.89863842663</v>
      </c>
      <c r="G21" s="7" t="n">
        <v>3126.35</v>
      </c>
      <c r="H21" s="9" t="n">
        <v>115.35</v>
      </c>
      <c r="I21" s="7" t="n">
        <f aca="false">G21+H21</f>
        <v>3241.7</v>
      </c>
      <c r="J21" s="93" t="n">
        <f aca="false">IF(L21&gt;0,L21,0)</f>
        <v>541.048638426627</v>
      </c>
      <c r="K21" s="7" t="n">
        <f aca="false">I21+J21</f>
        <v>3782.74863842663</v>
      </c>
      <c r="L21" s="7" t="n">
        <f aca="false">F21-(I21-W21)</f>
        <v>541.048638426627</v>
      </c>
      <c r="M21" s="7" t="n">
        <v>231.97</v>
      </c>
      <c r="N21" s="7" t="n">
        <f aca="false">(11.56+11.99)*1.05</f>
        <v>24.7275</v>
      </c>
      <c r="O21" s="7" t="n">
        <f aca="false">M21-N21</f>
        <v>207.2425</v>
      </c>
      <c r="P21" s="7" t="n">
        <v>137.93</v>
      </c>
      <c r="Q21" s="7" t="n">
        <v>91.29</v>
      </c>
      <c r="R21" s="7" t="n">
        <f aca="false">SUM(O21:Q21)</f>
        <v>436.4625</v>
      </c>
      <c r="S21" s="8"/>
      <c r="T21" s="7" t="n">
        <v>68.22</v>
      </c>
      <c r="U21" s="7" t="n">
        <v>1206.44</v>
      </c>
      <c r="V21" s="8" t="n">
        <v>9706</v>
      </c>
      <c r="W21" s="7" t="n">
        <f aca="false">N21+R21+T21+U21</f>
        <v>1735.85</v>
      </c>
      <c r="X21" s="7" t="n">
        <f aca="false">IF(L21&lt;0,L21*-1,0)</f>
        <v>0</v>
      </c>
      <c r="Y21" s="7" t="n">
        <f aca="false">W21+X21</f>
        <v>1735.85</v>
      </c>
      <c r="Z21" s="11" t="n">
        <v>0</v>
      </c>
      <c r="AA21" s="12" t="n">
        <v>84</v>
      </c>
      <c r="AB21" s="12" t="n">
        <v>56</v>
      </c>
      <c r="AC21" s="13" t="n">
        <f aca="false">AC20+1</f>
        <v>12</v>
      </c>
      <c r="AD21" s="12"/>
      <c r="AE21" s="12"/>
      <c r="AG21" s="7"/>
    </row>
    <row r="22" customFormat="false" ht="11.1" hidden="false" customHeight="true" outlineLevel="0" collapsed="false">
      <c r="A22" s="13" t="n">
        <f aca="false">A21+1</f>
        <v>13</v>
      </c>
      <c r="B22" s="29" t="n">
        <v>6917.39</v>
      </c>
      <c r="C22" s="8" t="n">
        <v>352407</v>
      </c>
      <c r="D22" s="12" t="n">
        <f aca="false">C22-C21</f>
        <v>4556</v>
      </c>
      <c r="E22" s="8" t="n">
        <f aca="false">C22-152000</f>
        <v>200407</v>
      </c>
      <c r="F22" s="7" t="n">
        <f aca="false">D22/$D$2</f>
        <v>2297.52899647</v>
      </c>
      <c r="G22" s="7" t="n">
        <v>3532.67</v>
      </c>
      <c r="H22" s="9" t="n">
        <v>122.92</v>
      </c>
      <c r="I22" s="7" t="n">
        <f aca="false">G22+H22</f>
        <v>3655.59</v>
      </c>
      <c r="J22" s="93" t="n">
        <f aca="false">IF(L22&gt;0,L22,0)</f>
        <v>371.978996469995</v>
      </c>
      <c r="K22" s="7" t="n">
        <f aca="false">I22+J22</f>
        <v>4027.56899647</v>
      </c>
      <c r="L22" s="7" t="n">
        <f aca="false">F22-(I22-W22)</f>
        <v>371.978996469995</v>
      </c>
      <c r="M22" s="7" t="n">
        <v>235.67</v>
      </c>
      <c r="N22" s="7" t="n">
        <f aca="false">(12.24+11.57)*1.05</f>
        <v>25.0005</v>
      </c>
      <c r="O22" s="7" t="n">
        <f aca="false">M22-N22</f>
        <v>210.6695</v>
      </c>
      <c r="P22" s="7" t="n">
        <v>136.05</v>
      </c>
      <c r="Q22" s="7" t="n">
        <v>92.49</v>
      </c>
      <c r="R22" s="7" t="n">
        <f aca="false">SUM(O22:Q22)</f>
        <v>439.2095</v>
      </c>
      <c r="S22" s="8"/>
      <c r="T22" s="7" t="n">
        <v>52.76</v>
      </c>
      <c r="U22" s="7" t="n">
        <v>1213.07</v>
      </c>
      <c r="V22" s="8" t="n">
        <v>9706</v>
      </c>
      <c r="W22" s="7" t="n">
        <f aca="false">N22+R22+T22+U22</f>
        <v>1730.04</v>
      </c>
      <c r="X22" s="7" t="n">
        <f aca="false">IF(L22&lt;0,L22*-1,0)</f>
        <v>0</v>
      </c>
      <c r="Y22" s="7" t="n">
        <f aca="false">W22+X22</f>
        <v>1730.04</v>
      </c>
      <c r="Z22" s="11" t="n">
        <v>0</v>
      </c>
      <c r="AA22" s="12" t="n">
        <v>86</v>
      </c>
      <c r="AB22" s="12" t="n">
        <v>50</v>
      </c>
      <c r="AC22" s="13" t="n">
        <f aca="false">AC21+1</f>
        <v>13</v>
      </c>
      <c r="AD22" s="12"/>
      <c r="AE22" s="12"/>
      <c r="AG22" s="7"/>
    </row>
    <row r="23" customFormat="false" ht="11.1" hidden="false" customHeight="true" outlineLevel="0" collapsed="false">
      <c r="A23" s="13" t="n">
        <f aca="false">A22+1</f>
        <v>14</v>
      </c>
      <c r="B23" s="29" t="n">
        <v>6918.59</v>
      </c>
      <c r="C23" s="8" t="n">
        <v>357515</v>
      </c>
      <c r="D23" s="12" t="n">
        <f aca="false">C23-C22</f>
        <v>5108</v>
      </c>
      <c r="E23" s="8" t="n">
        <f aca="false">C23-152000</f>
        <v>205515</v>
      </c>
      <c r="F23" s="7" t="n">
        <f aca="false">D23/$D$2</f>
        <v>2575.89510842158</v>
      </c>
      <c r="G23" s="7" t="n">
        <v>3380.36</v>
      </c>
      <c r="H23" s="9" t="n">
        <v>113.5</v>
      </c>
      <c r="I23" s="7" t="n">
        <f aca="false">G23+H23</f>
        <v>3493.86</v>
      </c>
      <c r="J23" s="93" t="n">
        <f aca="false">IF(L23&gt;0,L23,0)</f>
        <v>827.145108421583</v>
      </c>
      <c r="K23" s="7" t="n">
        <f aca="false">I23+J23</f>
        <v>4321.00510842158</v>
      </c>
      <c r="L23" s="7" t="n">
        <f aca="false">F23-(I23-W23)</f>
        <v>827.145108421583</v>
      </c>
      <c r="M23" s="7" t="n">
        <v>253.99</v>
      </c>
      <c r="N23" s="7" t="n">
        <f aca="false">(17.28+19.21)*1.05</f>
        <v>38.3145</v>
      </c>
      <c r="O23" s="7" t="n">
        <f aca="false">M23-N23</f>
        <v>215.6755</v>
      </c>
      <c r="P23" s="7" t="n">
        <v>137.26</v>
      </c>
      <c r="Q23" s="7" t="n">
        <v>90.95</v>
      </c>
      <c r="R23" s="7" t="n">
        <f aca="false">SUM(O23:Q23)</f>
        <v>443.8855</v>
      </c>
      <c r="S23" s="8"/>
      <c r="T23" s="7" t="n">
        <v>58.1</v>
      </c>
      <c r="U23" s="7" t="n">
        <v>1204.81</v>
      </c>
      <c r="V23" s="8" t="n">
        <v>9706</v>
      </c>
      <c r="W23" s="7" t="n">
        <f aca="false">N23+R23+T23+U23</f>
        <v>1745.11</v>
      </c>
      <c r="X23" s="7" t="n">
        <f aca="false">IF(L23&lt;0,L23*-1,0)</f>
        <v>0</v>
      </c>
      <c r="Y23" s="7" t="n">
        <f aca="false">W23+X23</f>
        <v>1745.11</v>
      </c>
      <c r="Z23" s="11" t="n">
        <v>0.03</v>
      </c>
      <c r="AA23" s="40" t="n">
        <v>85</v>
      </c>
      <c r="AB23" s="12" t="n">
        <v>50</v>
      </c>
      <c r="AC23" s="13" t="n">
        <f aca="false">AC22+1</f>
        <v>14</v>
      </c>
      <c r="AD23" s="12"/>
      <c r="AE23" s="12"/>
      <c r="AG23" s="7"/>
    </row>
    <row r="24" customFormat="false" ht="11.1" hidden="false" customHeight="true" outlineLevel="0" collapsed="false">
      <c r="A24" s="13" t="n">
        <f aca="false">A23+1</f>
        <v>15</v>
      </c>
      <c r="B24" s="29" t="n">
        <v>6919.94</v>
      </c>
      <c r="C24" s="8" t="n">
        <v>363315</v>
      </c>
      <c r="D24" s="12" t="n">
        <f aca="false">C24-C23</f>
        <v>5800</v>
      </c>
      <c r="E24" s="8" t="n">
        <f aca="false">C24-152000</f>
        <v>211315</v>
      </c>
      <c r="F24" s="7" t="n">
        <f aca="false">D24/$D$2</f>
        <v>2924.86132123046</v>
      </c>
      <c r="G24" s="7" t="n">
        <v>3595.55</v>
      </c>
      <c r="H24" s="9" t="n">
        <v>106.14</v>
      </c>
      <c r="I24" s="7" t="n">
        <f aca="false">G24+H24</f>
        <v>3701.69</v>
      </c>
      <c r="J24" s="93" t="n">
        <f aca="false">IF(L24&gt;0,L24,0)</f>
        <v>812.011321230459</v>
      </c>
      <c r="K24" s="7" t="n">
        <f aca="false">I24+J24</f>
        <v>4513.70132123046</v>
      </c>
      <c r="L24" s="7" t="n">
        <f aca="false">F24-(I24-W24)</f>
        <v>812.011321230459</v>
      </c>
      <c r="M24" s="7" t="n">
        <v>264.98</v>
      </c>
      <c r="N24" s="7" t="n">
        <f aca="false">((21.04+21.6)*1.05)</f>
        <v>44.772</v>
      </c>
      <c r="O24" s="7" t="n">
        <f aca="false">M24-N24</f>
        <v>220.208</v>
      </c>
      <c r="P24" s="7" t="n">
        <v>133.4</v>
      </c>
      <c r="Q24" s="7" t="n">
        <v>88.77</v>
      </c>
      <c r="R24" s="7" t="n">
        <f aca="false">SUM(O24:Q24)</f>
        <v>442.378</v>
      </c>
      <c r="S24" s="8"/>
      <c r="T24" s="7" t="n">
        <v>56.26</v>
      </c>
      <c r="U24" s="7" t="n">
        <v>1045.43</v>
      </c>
      <c r="V24" s="8" t="n">
        <v>9706</v>
      </c>
      <c r="W24" s="7" t="n">
        <f aca="false">N24+R24+T24+U24</f>
        <v>1588.84</v>
      </c>
      <c r="X24" s="7" t="n">
        <f aca="false">IF(L24&lt;0,L24*-1,0)</f>
        <v>0</v>
      </c>
      <c r="Y24" s="7" t="n">
        <f aca="false">W24+X24</f>
        <v>1588.84</v>
      </c>
      <c r="Z24" s="11" t="n">
        <v>0</v>
      </c>
      <c r="AA24" s="40" t="n">
        <v>82</v>
      </c>
      <c r="AB24" s="12" t="n">
        <v>55</v>
      </c>
      <c r="AC24" s="13" t="n">
        <f aca="false">AC23+1</f>
        <v>15</v>
      </c>
      <c r="AD24" s="12"/>
      <c r="AE24" s="12"/>
      <c r="AG24" s="7"/>
    </row>
    <row r="25" customFormat="false" ht="11.1" hidden="false" customHeight="true" outlineLevel="0" collapsed="false">
      <c r="A25" s="13" t="n">
        <f aca="false">A24+1</f>
        <v>16</v>
      </c>
      <c r="B25" s="29" t="n">
        <v>6920.84</v>
      </c>
      <c r="C25" s="8" t="n">
        <v>367220</v>
      </c>
      <c r="D25" s="12" t="n">
        <f aca="false">C25-C24</f>
        <v>3905</v>
      </c>
      <c r="E25" s="8" t="n">
        <f aca="false">C25-152000</f>
        <v>215220</v>
      </c>
      <c r="F25" s="7" t="n">
        <f aca="false">D25/$D$2</f>
        <v>1969.23852748361</v>
      </c>
      <c r="G25" s="7" t="n">
        <v>3648.32</v>
      </c>
      <c r="H25" s="9" t="n">
        <v>96.22</v>
      </c>
      <c r="I25" s="7" t="n">
        <f aca="false">G25+H25</f>
        <v>3744.54</v>
      </c>
      <c r="J25" s="93" t="n">
        <f aca="false">IF(L25&gt;0,L25,0)</f>
        <v>146.928527483611</v>
      </c>
      <c r="K25" s="7" t="n">
        <f aca="false">I25+J25</f>
        <v>3891.46852748361</v>
      </c>
      <c r="L25" s="7" t="n">
        <f aca="false">F25-(I25-W25)</f>
        <v>146.928527483611</v>
      </c>
      <c r="M25" s="7" t="n">
        <v>252.21</v>
      </c>
      <c r="N25" s="7" t="n">
        <f aca="false">(20.74+20.26)*1.05</f>
        <v>43.05</v>
      </c>
      <c r="O25" s="7" t="n">
        <f aca="false">M25-N25</f>
        <v>209.16</v>
      </c>
      <c r="P25" s="7" t="n">
        <v>133.13</v>
      </c>
      <c r="Q25" s="7" t="n">
        <v>86.38</v>
      </c>
      <c r="R25" s="7" t="n">
        <f aca="false">SUM(O25:Q25)</f>
        <v>428.67</v>
      </c>
      <c r="S25" s="8"/>
      <c r="T25" s="7" t="n">
        <v>52.9</v>
      </c>
      <c r="U25" s="7" t="n">
        <v>1397.61</v>
      </c>
      <c r="V25" s="8" t="n">
        <v>9706</v>
      </c>
      <c r="W25" s="7" t="n">
        <f aca="false">N25+R25+T25+U25</f>
        <v>1922.23</v>
      </c>
      <c r="X25" s="7" t="n">
        <f aca="false">IF(L25&lt;0,L25*-1,0)</f>
        <v>0</v>
      </c>
      <c r="Y25" s="7" t="n">
        <f aca="false">W25+X25</f>
        <v>1922.23</v>
      </c>
      <c r="Z25" s="11" t="n">
        <v>0</v>
      </c>
      <c r="AA25" s="40" t="n">
        <v>76</v>
      </c>
      <c r="AB25" s="12" t="n">
        <v>50</v>
      </c>
      <c r="AC25" s="13" t="n">
        <f aca="false">AC24+1</f>
        <v>16</v>
      </c>
      <c r="AD25" s="12"/>
      <c r="AE25" s="12"/>
      <c r="AG25" s="7"/>
    </row>
    <row r="26" customFormat="false" ht="11.1" hidden="false" customHeight="true" outlineLevel="0" collapsed="false">
      <c r="A26" s="13" t="n">
        <f aca="false">A25+1</f>
        <v>17</v>
      </c>
      <c r="B26" s="29" t="n">
        <v>6921.43</v>
      </c>
      <c r="C26" s="8" t="n">
        <v>369798</v>
      </c>
      <c r="D26" s="12" t="n">
        <f aca="false">C26-C25</f>
        <v>2578</v>
      </c>
      <c r="E26" s="8" t="n">
        <f aca="false">C26-152000</f>
        <v>217798</v>
      </c>
      <c r="F26" s="7" t="n">
        <f aca="false">D26/$D$2</f>
        <v>1300.05042864347</v>
      </c>
      <c r="G26" s="7" t="n">
        <v>3435.08</v>
      </c>
      <c r="H26" s="9" t="n">
        <v>163.52</v>
      </c>
      <c r="I26" s="7" t="n">
        <f aca="false">G26+H26</f>
        <v>3598.6</v>
      </c>
      <c r="J26" s="93" t="n">
        <f aca="false">IF(L26&gt;0,L26,0)</f>
        <v>1.31042864346955</v>
      </c>
      <c r="K26" s="7" t="n">
        <f aca="false">I26+J26</f>
        <v>3599.91042864347</v>
      </c>
      <c r="L26" s="7" t="n">
        <f aca="false">F26-(I26-W26)</f>
        <v>1.31042864346955</v>
      </c>
      <c r="M26" s="7" t="n">
        <v>233.7</v>
      </c>
      <c r="N26" s="7" t="n">
        <f aca="false">(11.7+11.82)*1.05</f>
        <v>24.696</v>
      </c>
      <c r="O26" s="7" t="n">
        <f aca="false">M26-N26</f>
        <v>209.004</v>
      </c>
      <c r="P26" s="7" t="n">
        <v>133.99</v>
      </c>
      <c r="Q26" s="7" t="n">
        <v>83.83</v>
      </c>
      <c r="R26" s="7" t="n">
        <f aca="false">SUM(O26:Q26)</f>
        <v>426.824</v>
      </c>
      <c r="S26" s="8"/>
      <c r="T26" s="7" t="n">
        <v>37.92</v>
      </c>
      <c r="U26" s="7" t="n">
        <v>1810.42</v>
      </c>
      <c r="V26" s="8" t="n">
        <v>9706</v>
      </c>
      <c r="W26" s="7" t="n">
        <f aca="false">N26+R26+T26+U26</f>
        <v>2299.86</v>
      </c>
      <c r="X26" s="7" t="n">
        <f aca="false">IF(L26&lt;0,L26*-1,0)</f>
        <v>0</v>
      </c>
      <c r="Y26" s="7" t="n">
        <f aca="false">W26+X26</f>
        <v>2299.86</v>
      </c>
      <c r="Z26" s="11" t="n">
        <v>0.88</v>
      </c>
      <c r="AA26" s="40" t="n">
        <v>71</v>
      </c>
      <c r="AB26" s="12" t="n">
        <v>45</v>
      </c>
      <c r="AC26" s="13" t="n">
        <f aca="false">AC25+1</f>
        <v>17</v>
      </c>
      <c r="AD26" s="12"/>
      <c r="AE26" s="12"/>
      <c r="AG26" s="7"/>
    </row>
    <row r="27" customFormat="false" ht="11.1" hidden="false" customHeight="true" outlineLevel="0" collapsed="false">
      <c r="A27" s="13" t="n">
        <f aca="false">A26+1</f>
        <v>18</v>
      </c>
      <c r="B27" s="29" t="n">
        <v>6922.45</v>
      </c>
      <c r="C27" s="8" t="n">
        <v>374280</v>
      </c>
      <c r="D27" s="12" t="n">
        <f aca="false">C27-C26</f>
        <v>4482</v>
      </c>
      <c r="E27" s="8" t="n">
        <f aca="false">C27-152000</f>
        <v>222280</v>
      </c>
      <c r="F27" s="7" t="n">
        <f aca="false">D27/$D$2</f>
        <v>2260.21180030257</v>
      </c>
      <c r="G27" s="7" t="n">
        <v>3576.7</v>
      </c>
      <c r="H27" s="9" t="n">
        <v>197.06</v>
      </c>
      <c r="I27" s="7" t="n">
        <f aca="false">G27+H27</f>
        <v>3773.76</v>
      </c>
      <c r="J27" s="93" t="n">
        <f aca="false">IF(L27&gt;0,L27,0)</f>
        <v>1748.55180030257</v>
      </c>
      <c r="K27" s="7" t="n">
        <f aca="false">I27+J27</f>
        <v>5522.31180030257</v>
      </c>
      <c r="L27" s="7" t="n">
        <f aca="false">F27-(I27-W27)</f>
        <v>1748.55180030257</v>
      </c>
      <c r="M27" s="7" t="n">
        <v>219.95</v>
      </c>
      <c r="N27" s="7" t="n">
        <f aca="false">(11.1+11.06)*1.05</f>
        <v>23.268</v>
      </c>
      <c r="O27" s="7" t="n">
        <f aca="false">M27-N27</f>
        <v>196.682</v>
      </c>
      <c r="P27" s="7" t="n">
        <v>135.04</v>
      </c>
      <c r="Q27" s="7" t="n">
        <v>85.04</v>
      </c>
      <c r="R27" s="7" t="n">
        <f aca="false">SUM(O27:Q27)</f>
        <v>416.762</v>
      </c>
      <c r="S27" s="8"/>
      <c r="T27" s="7" t="n">
        <v>37.99</v>
      </c>
      <c r="U27" s="7" t="n">
        <v>2784.08</v>
      </c>
      <c r="V27" s="8" t="n">
        <v>9706</v>
      </c>
      <c r="W27" s="7" t="n">
        <f aca="false">N27+R27+T27+U27</f>
        <v>3262.1</v>
      </c>
      <c r="X27" s="7" t="n">
        <f aca="false">IF(L27&lt;0,L27*-1,0)</f>
        <v>0</v>
      </c>
      <c r="Y27" s="7" t="n">
        <f aca="false">W27+X27</f>
        <v>3262.1</v>
      </c>
      <c r="Z27" s="11" t="n">
        <v>0</v>
      </c>
      <c r="AA27" s="40" t="n">
        <v>72</v>
      </c>
      <c r="AB27" s="12" t="n">
        <v>32</v>
      </c>
      <c r="AC27" s="13" t="n">
        <f aca="false">AC26+1</f>
        <v>18</v>
      </c>
      <c r="AD27" s="12"/>
      <c r="AE27" s="12"/>
      <c r="AG27" s="7"/>
    </row>
    <row r="28" customFormat="false" ht="11.1" hidden="false" customHeight="true" outlineLevel="0" collapsed="false">
      <c r="A28" s="13" t="n">
        <f aca="false">A27+1</f>
        <v>19</v>
      </c>
      <c r="B28" s="29" t="n">
        <v>6922.43</v>
      </c>
      <c r="C28" s="8" t="n">
        <v>374292</v>
      </c>
      <c r="D28" s="12" t="n">
        <f aca="false">C28-C27</f>
        <v>12</v>
      </c>
      <c r="E28" s="8" t="n">
        <f aca="false">C28-152000</f>
        <v>222292</v>
      </c>
      <c r="F28" s="7" t="n">
        <f aca="false">D28/$D$2</f>
        <v>6.05143721633888</v>
      </c>
      <c r="G28" s="7" t="n">
        <v>2687.74</v>
      </c>
      <c r="H28" s="9" t="n">
        <v>89.85</v>
      </c>
      <c r="I28" s="7" t="n">
        <f aca="false">G28+H28</f>
        <v>2777.59</v>
      </c>
      <c r="J28" s="93" t="n">
        <f aca="false">IF(L28&gt;0,L28,0)</f>
        <v>866.27143721634</v>
      </c>
      <c r="K28" s="7" t="n">
        <f aca="false">I28+J28</f>
        <v>3643.86143721634</v>
      </c>
      <c r="L28" s="7" t="n">
        <f aca="false">F28-(I28-W28)</f>
        <v>866.27143721634</v>
      </c>
      <c r="M28" s="7" t="n">
        <v>215.61</v>
      </c>
      <c r="N28" s="7" t="n">
        <f aca="false">(9.48+8.2)*1.05</f>
        <v>18.564</v>
      </c>
      <c r="O28" s="7" t="n">
        <f aca="false">M28-N28</f>
        <v>197.046</v>
      </c>
      <c r="P28" s="7" t="n">
        <v>135.05</v>
      </c>
      <c r="Q28" s="7" t="n">
        <v>82.73</v>
      </c>
      <c r="R28" s="7" t="n">
        <f aca="false">SUM(O28:Q28)</f>
        <v>414.826</v>
      </c>
      <c r="S28" s="8"/>
      <c r="T28" s="7" t="n">
        <v>42.41</v>
      </c>
      <c r="U28" s="7" t="n">
        <v>3162.01</v>
      </c>
      <c r="V28" s="8" t="n">
        <v>9706</v>
      </c>
      <c r="W28" s="7" t="n">
        <f aca="false">N28+R28+T28+U28</f>
        <v>3637.81</v>
      </c>
      <c r="X28" s="7" t="n">
        <f aca="false">IF(L28&lt;0,L28*-1,0)</f>
        <v>0</v>
      </c>
      <c r="Y28" s="7" t="n">
        <f aca="false">W28+X28</f>
        <v>3637.81</v>
      </c>
      <c r="Z28" s="11" t="n">
        <v>0</v>
      </c>
      <c r="AA28" s="40" t="n">
        <v>80</v>
      </c>
      <c r="AB28" s="12" t="n">
        <v>43</v>
      </c>
      <c r="AC28" s="13" t="n">
        <f aca="false">AC27+1</f>
        <v>19</v>
      </c>
      <c r="AD28" s="12"/>
      <c r="AE28" s="12"/>
      <c r="AG28" s="7"/>
    </row>
    <row r="29" customFormat="false" ht="11.1" hidden="false" customHeight="true" outlineLevel="0" collapsed="false">
      <c r="A29" s="13" t="n">
        <f aca="false">A28+1</f>
        <v>20</v>
      </c>
      <c r="B29" s="29" t="n">
        <v>6922.37</v>
      </c>
      <c r="C29" s="8" t="n">
        <v>373927</v>
      </c>
      <c r="D29" s="12" t="n">
        <f aca="false">C29-C28</f>
        <v>-365</v>
      </c>
      <c r="E29" s="8" t="n">
        <f aca="false">C29-152000</f>
        <v>221927</v>
      </c>
      <c r="F29" s="7" t="n">
        <f aca="false">D29/$D$2</f>
        <v>-184.064548663641</v>
      </c>
      <c r="G29" s="7" t="n">
        <v>2649.42</v>
      </c>
      <c r="H29" s="9" t="n">
        <v>45.83</v>
      </c>
      <c r="I29" s="7" t="n">
        <f aca="false">G29+H29</f>
        <v>2695.25</v>
      </c>
      <c r="J29" s="93" t="n">
        <f aca="false">IF(L29&gt;0,L29,0)</f>
        <v>781.565451336359</v>
      </c>
      <c r="K29" s="7" t="n">
        <f aca="false">I29+J29</f>
        <v>3476.81545133636</v>
      </c>
      <c r="L29" s="7" t="n">
        <f aca="false">F29-(I29-W29)</f>
        <v>781.565451336359</v>
      </c>
      <c r="M29" s="7" t="n">
        <v>228.1</v>
      </c>
      <c r="N29" s="7" t="n">
        <f aca="false">(9.2+9.44)*1.05</f>
        <v>19.572</v>
      </c>
      <c r="O29" s="7" t="n">
        <f aca="false">M29-N29</f>
        <v>208.528</v>
      </c>
      <c r="P29" s="7" t="n">
        <v>134.73</v>
      </c>
      <c r="Q29" s="7" t="n">
        <v>81.18</v>
      </c>
      <c r="R29" s="7" t="n">
        <f aca="false">SUM(O29:Q29)</f>
        <v>424.438</v>
      </c>
      <c r="S29" s="8"/>
      <c r="T29" s="7" t="n">
        <v>56.85</v>
      </c>
      <c r="U29" s="7" t="n">
        <v>3160.02</v>
      </c>
      <c r="V29" s="8" t="n">
        <v>9706</v>
      </c>
      <c r="W29" s="7" t="n">
        <f aca="false">N29+R29+T29+U29</f>
        <v>3660.88</v>
      </c>
      <c r="X29" s="7" t="n">
        <f aca="false">IF(L29&lt;0,L29*-1,0)</f>
        <v>0</v>
      </c>
      <c r="Y29" s="7" t="n">
        <f aca="false">W29+X29</f>
        <v>3660.88</v>
      </c>
      <c r="Z29" s="11" t="n">
        <v>0</v>
      </c>
      <c r="AA29" s="40" t="n">
        <v>82</v>
      </c>
      <c r="AB29" s="12" t="n">
        <v>45</v>
      </c>
      <c r="AC29" s="13" t="n">
        <f aca="false">AC28+1</f>
        <v>20</v>
      </c>
      <c r="AD29" s="12"/>
      <c r="AE29" s="12"/>
      <c r="AG29" s="7"/>
    </row>
    <row r="30" customFormat="false" ht="11.1" hidden="false" customHeight="true" outlineLevel="0" collapsed="false">
      <c r="A30" s="13" t="n">
        <f aca="false">A29+1</f>
        <v>21</v>
      </c>
      <c r="B30" s="29" t="n">
        <v>6922.23</v>
      </c>
      <c r="C30" s="8" t="n">
        <v>373309</v>
      </c>
      <c r="D30" s="12" t="n">
        <f aca="false">C30-C29</f>
        <v>-618</v>
      </c>
      <c r="E30" s="8" t="n">
        <f aca="false">C30-152000</f>
        <v>221309</v>
      </c>
      <c r="F30" s="7" t="n">
        <f aca="false">D30/$D$2</f>
        <v>-311.649016641452</v>
      </c>
      <c r="G30" s="7" t="n">
        <v>2495.27</v>
      </c>
      <c r="H30" s="9" t="n">
        <v>7.73</v>
      </c>
      <c r="I30" s="7" t="n">
        <f aca="false">G30+H30</f>
        <v>2503</v>
      </c>
      <c r="J30" s="93" t="n">
        <f aca="false">IF(L30&gt;0,L30,0)</f>
        <v>853.950983358548</v>
      </c>
      <c r="K30" s="7" t="n">
        <f aca="false">I30+J30</f>
        <v>3356.95098335855</v>
      </c>
      <c r="L30" s="7" t="n">
        <f aca="false">F30-(I30-W30)</f>
        <v>853.950983358548</v>
      </c>
      <c r="M30" s="7" t="n">
        <v>231.76</v>
      </c>
      <c r="N30" s="7" t="n">
        <f aca="false">(12.09+12.35)*1.05</f>
        <v>25.662</v>
      </c>
      <c r="O30" s="7" t="n">
        <f aca="false">M30-N30</f>
        <v>206.098</v>
      </c>
      <c r="P30" s="7" t="n">
        <v>134.57</v>
      </c>
      <c r="Q30" s="7" t="n">
        <v>81.09</v>
      </c>
      <c r="R30" s="7" t="n">
        <f aca="false">SUM(O30:Q30)</f>
        <v>421.758</v>
      </c>
      <c r="S30" s="8"/>
      <c r="T30" s="7" t="n">
        <v>66.55</v>
      </c>
      <c r="U30" s="7" t="n">
        <v>3154.63</v>
      </c>
      <c r="V30" s="8" t="n">
        <v>9706</v>
      </c>
      <c r="W30" s="7" t="n">
        <f aca="false">N30+R30+T30+U30</f>
        <v>3668.6</v>
      </c>
      <c r="X30" s="7" t="n">
        <f aca="false">IF(L30&lt;0,L30*-1,0)</f>
        <v>0</v>
      </c>
      <c r="Y30" s="7" t="n">
        <f aca="false">W30+X30</f>
        <v>3668.6</v>
      </c>
      <c r="Z30" s="11" t="n">
        <v>0</v>
      </c>
      <c r="AA30" s="12" t="n">
        <v>82</v>
      </c>
      <c r="AB30" s="12" t="n">
        <v>45</v>
      </c>
      <c r="AC30" s="13" t="n">
        <f aca="false">AC29+1</f>
        <v>21</v>
      </c>
      <c r="AD30" s="12"/>
      <c r="AE30" s="12"/>
      <c r="AG30" s="7"/>
    </row>
    <row r="31" customFormat="false" ht="11.1" hidden="false" customHeight="true" outlineLevel="0" collapsed="false">
      <c r="A31" s="13" t="n">
        <f aca="false">A30+1</f>
        <v>22</v>
      </c>
      <c r="B31" s="29" t="n">
        <v>6922.18</v>
      </c>
      <c r="C31" s="8" t="n">
        <v>373088</v>
      </c>
      <c r="D31" s="12" t="n">
        <f aca="false">C31-C30</f>
        <v>-221</v>
      </c>
      <c r="E31" s="8" t="n">
        <f aca="false">C31-152000</f>
        <v>221088</v>
      </c>
      <c r="F31" s="7" t="n">
        <f aca="false">D31/$D$2</f>
        <v>-111.447302067574</v>
      </c>
      <c r="G31" s="7" t="n">
        <v>2300.54</v>
      </c>
      <c r="H31" s="9" t="n">
        <v>5.12</v>
      </c>
      <c r="I31" s="7" t="n">
        <f aca="false">G31+H31</f>
        <v>2305.66</v>
      </c>
      <c r="J31" s="93" t="n">
        <f aca="false">IF(L31&gt;0,L31,0)</f>
        <v>1197.91269793243</v>
      </c>
      <c r="K31" s="7" t="n">
        <f aca="false">I31+J31</f>
        <v>3503.57269793243</v>
      </c>
      <c r="L31" s="7" t="n">
        <f aca="false">F31-(I31-W31)</f>
        <v>1197.91269793243</v>
      </c>
      <c r="M31" s="7" t="n">
        <v>240.07</v>
      </c>
      <c r="N31" s="7" t="n">
        <f aca="false">(17.5+17.35)*1.05</f>
        <v>36.5925</v>
      </c>
      <c r="O31" s="7" t="n">
        <f aca="false">M31-N31</f>
        <v>203.4775</v>
      </c>
      <c r="P31" s="7" t="n">
        <v>134.28</v>
      </c>
      <c r="Q31" s="7" t="n">
        <v>81.02</v>
      </c>
      <c r="R31" s="7" t="n">
        <f aca="false">SUM(O31:Q31)</f>
        <v>418.7775</v>
      </c>
      <c r="S31" s="8"/>
      <c r="T31" s="7" t="n">
        <v>70.29</v>
      </c>
      <c r="U31" s="7" t="n">
        <v>3089.36</v>
      </c>
      <c r="V31" s="8" t="n">
        <v>9706</v>
      </c>
      <c r="W31" s="7" t="n">
        <f aca="false">N31+R31+T31+U31</f>
        <v>3615.02</v>
      </c>
      <c r="X31" s="7" t="n">
        <f aca="false">IF(L31&lt;0,L31*-1,0)</f>
        <v>0</v>
      </c>
      <c r="Y31" s="7" t="n">
        <f aca="false">W31+X31</f>
        <v>3615.02</v>
      </c>
      <c r="Z31" s="11" t="n">
        <v>0</v>
      </c>
      <c r="AA31" s="12" t="n">
        <v>78</v>
      </c>
      <c r="AB31" s="12" t="n">
        <v>42</v>
      </c>
      <c r="AC31" s="13" t="n">
        <f aca="false">AC30+1</f>
        <v>22</v>
      </c>
      <c r="AD31" s="12"/>
      <c r="AE31" s="12"/>
      <c r="AG31" s="7"/>
    </row>
    <row r="32" customFormat="false" ht="11.1" hidden="false" customHeight="true" outlineLevel="0" collapsed="false">
      <c r="A32" s="13" t="n">
        <f aca="false">A31+1</f>
        <v>23</v>
      </c>
      <c r="B32" s="29" t="n">
        <v>6922.2</v>
      </c>
      <c r="C32" s="8" t="n">
        <v>373177</v>
      </c>
      <c r="D32" s="12" t="n">
        <f aca="false">C32-C31</f>
        <v>89</v>
      </c>
      <c r="E32" s="8" t="n">
        <f aca="false">C32-152000</f>
        <v>221177</v>
      </c>
      <c r="F32" s="7" t="n">
        <f aca="false">D32/$D$2</f>
        <v>44.8814926878467</v>
      </c>
      <c r="G32" s="7" t="n">
        <v>2229.09</v>
      </c>
      <c r="H32" s="9" t="n">
        <v>3.93</v>
      </c>
      <c r="I32" s="7" t="n">
        <f aca="false">G32+H32</f>
        <v>2233.02</v>
      </c>
      <c r="J32" s="93" t="n">
        <f aca="false">IF(L32&gt;0,L32,0)</f>
        <v>925.991492687847</v>
      </c>
      <c r="K32" s="7" t="n">
        <f aca="false">I32+J32</f>
        <v>3159.01149268785</v>
      </c>
      <c r="L32" s="7" t="n">
        <f aca="false">F32-(I32-W32)</f>
        <v>925.991492687847</v>
      </c>
      <c r="M32" s="7" t="n">
        <v>271.38</v>
      </c>
      <c r="N32" s="7" t="n">
        <f aca="false">(19.87+19.87)*1.05</f>
        <v>41.727</v>
      </c>
      <c r="O32" s="7" t="n">
        <f aca="false">M32-N32</f>
        <v>229.653</v>
      </c>
      <c r="P32" s="7" t="n">
        <v>134.13</v>
      </c>
      <c r="Q32" s="7" t="n">
        <v>80.88</v>
      </c>
      <c r="R32" s="7" t="n">
        <f aca="false">SUM(O32:Q32)</f>
        <v>444.663</v>
      </c>
      <c r="S32" s="8"/>
      <c r="T32" s="7" t="n">
        <v>74.96</v>
      </c>
      <c r="U32" s="7" t="n">
        <v>2552.78</v>
      </c>
      <c r="V32" s="8" t="n">
        <v>9706</v>
      </c>
      <c r="W32" s="7" t="n">
        <f aca="false">N32+R32+T32+U32</f>
        <v>3114.13</v>
      </c>
      <c r="X32" s="7" t="n">
        <f aca="false">IF(L32&lt;0,L32*-1,0)</f>
        <v>0</v>
      </c>
      <c r="Y32" s="7" t="n">
        <f aca="false">W32+X32</f>
        <v>3114.13</v>
      </c>
      <c r="Z32" s="11" t="n">
        <v>0</v>
      </c>
      <c r="AA32" s="12" t="n">
        <v>78</v>
      </c>
      <c r="AB32" s="40" t="n">
        <v>43</v>
      </c>
      <c r="AC32" s="13" t="n">
        <f aca="false">AC31+1</f>
        <v>23</v>
      </c>
      <c r="AD32" s="12"/>
      <c r="AE32" s="12"/>
      <c r="AG32" s="7"/>
    </row>
    <row r="33" customFormat="false" ht="11.1" hidden="false" customHeight="true" outlineLevel="0" collapsed="false">
      <c r="A33" s="13" t="n">
        <f aca="false">A32+1</f>
        <v>24</v>
      </c>
      <c r="B33" s="29" t="n">
        <v>6922.5</v>
      </c>
      <c r="C33" s="8" t="n">
        <v>374501</v>
      </c>
      <c r="D33" s="12" t="n">
        <f aca="false">C33-C32</f>
        <v>1324</v>
      </c>
      <c r="E33" s="8" t="n">
        <f aca="false">C33-152000</f>
        <v>222501</v>
      </c>
      <c r="F33" s="7" t="n">
        <f aca="false">D33/$D$2</f>
        <v>667.675239536056</v>
      </c>
      <c r="G33" s="7" t="n">
        <v>2101.03</v>
      </c>
      <c r="H33" s="9" t="n">
        <v>3.26</v>
      </c>
      <c r="I33" s="7" t="n">
        <f aca="false">G33+H33</f>
        <v>2104.29</v>
      </c>
      <c r="J33" s="93" t="n">
        <f aca="false">IF(L33&gt;0,L33,0)</f>
        <v>881.445239536056</v>
      </c>
      <c r="K33" s="7" t="n">
        <f aca="false">I33+J33</f>
        <v>2985.73523953606</v>
      </c>
      <c r="L33" s="7" t="n">
        <f aca="false">F33-(I33-W33)</f>
        <v>881.445239536056</v>
      </c>
      <c r="M33" s="7" t="n">
        <v>248.74</v>
      </c>
      <c r="N33" s="7" t="n">
        <f aca="false">(17.37+17.37)*1.05</f>
        <v>36.477</v>
      </c>
      <c r="O33" s="7" t="n">
        <f aca="false">M33-N33</f>
        <v>212.263</v>
      </c>
      <c r="P33" s="7" t="n">
        <v>134.21</v>
      </c>
      <c r="Q33" s="7" t="n">
        <v>80.96</v>
      </c>
      <c r="R33" s="7" t="n">
        <f aca="false">SUM(O33:Q33)</f>
        <v>427.433</v>
      </c>
      <c r="S33" s="8"/>
      <c r="T33" s="7" t="n">
        <v>90.21</v>
      </c>
      <c r="U33" s="7" t="n">
        <v>1763.94</v>
      </c>
      <c r="V33" s="8" t="n">
        <v>9706</v>
      </c>
      <c r="W33" s="7" t="n">
        <f aca="false">N33+R33+T33+U33</f>
        <v>2318.06</v>
      </c>
      <c r="X33" s="7" t="n">
        <f aca="false">IF(L33&lt;0,L33*-1,0)</f>
        <v>0</v>
      </c>
      <c r="Y33" s="7" t="n">
        <f aca="false">W33+X33</f>
        <v>2318.06</v>
      </c>
      <c r="Z33" s="11" t="n">
        <v>0</v>
      </c>
      <c r="AA33" s="12" t="n">
        <v>80</v>
      </c>
      <c r="AB33" s="40" t="n">
        <v>45</v>
      </c>
      <c r="AC33" s="13" t="n">
        <f aca="false">AC32+1</f>
        <v>24</v>
      </c>
      <c r="AD33" s="12"/>
      <c r="AE33" s="12"/>
      <c r="AG33" s="7"/>
    </row>
    <row r="34" customFormat="false" ht="11.1" hidden="false" customHeight="true" outlineLevel="0" collapsed="false">
      <c r="A34" s="13" t="n">
        <f aca="false">A33+1</f>
        <v>25</v>
      </c>
      <c r="B34" s="29" t="n">
        <v>6922.92</v>
      </c>
      <c r="C34" s="8" t="n">
        <v>376355</v>
      </c>
      <c r="D34" s="12" t="n">
        <f aca="false">C34-C33</f>
        <v>1854</v>
      </c>
      <c r="E34" s="8" t="n">
        <f aca="false">C34-152000</f>
        <v>224355</v>
      </c>
      <c r="F34" s="7" t="n">
        <f aca="false">D34/$D$2</f>
        <v>934.947049924357</v>
      </c>
      <c r="G34" s="7" t="n">
        <v>2070.36</v>
      </c>
      <c r="H34" s="9" t="n">
        <v>2.62</v>
      </c>
      <c r="I34" s="7" t="n">
        <f aca="false">G34+H34</f>
        <v>2072.98</v>
      </c>
      <c r="J34" s="93" t="n">
        <f aca="false">IF(L34&gt;0,L34,0)</f>
        <v>898.257049924357</v>
      </c>
      <c r="K34" s="7" t="n">
        <f aca="false">I34+J34</f>
        <v>2971.23704992436</v>
      </c>
      <c r="L34" s="7" t="n">
        <f aca="false">F34-(I34-W34)</f>
        <v>898.257049924357</v>
      </c>
      <c r="M34" s="7" t="n">
        <v>250.51</v>
      </c>
      <c r="N34" s="7" t="n">
        <f aca="false">(18.41+18.41)*1.05</f>
        <v>38.661</v>
      </c>
      <c r="O34" s="7" t="n">
        <f aca="false">M34-N34</f>
        <v>211.849</v>
      </c>
      <c r="P34" s="7" t="n">
        <v>134.57</v>
      </c>
      <c r="Q34" s="7" t="n">
        <v>81.23</v>
      </c>
      <c r="R34" s="7" t="n">
        <f aca="false">SUM(O34:Q34)</f>
        <v>427.649</v>
      </c>
      <c r="S34" s="8"/>
      <c r="T34" s="7" t="n">
        <v>91.92</v>
      </c>
      <c r="U34" s="7" t="n">
        <v>1478.06</v>
      </c>
      <c r="V34" s="8" t="n">
        <v>9706</v>
      </c>
      <c r="W34" s="7" t="n">
        <f aca="false">N34+R34+T34+U34</f>
        <v>2036.29</v>
      </c>
      <c r="X34" s="7" t="n">
        <f aca="false">IF(L34&lt;0,L34*-1,0)</f>
        <v>0</v>
      </c>
      <c r="Y34" s="7" t="n">
        <f aca="false">W34+X34</f>
        <v>2036.29</v>
      </c>
      <c r="Z34" s="11" t="n">
        <v>0</v>
      </c>
      <c r="AA34" s="12" t="n">
        <v>82</v>
      </c>
      <c r="AB34" s="40" t="n">
        <v>46</v>
      </c>
      <c r="AC34" s="13" t="n">
        <f aca="false">AC33+1</f>
        <v>25</v>
      </c>
      <c r="AD34" s="12"/>
      <c r="AE34" s="12"/>
      <c r="AG34" s="7"/>
    </row>
    <row r="35" customFormat="false" ht="11.1" hidden="false" customHeight="true" outlineLevel="0" collapsed="false">
      <c r="A35" s="13" t="n">
        <f aca="false">A34+1</f>
        <v>26</v>
      </c>
      <c r="B35" s="29" t="n">
        <v>6923.35</v>
      </c>
      <c r="C35" s="8" t="n">
        <v>378267</v>
      </c>
      <c r="D35" s="12" t="n">
        <f aca="false">C35-C34</f>
        <v>1912</v>
      </c>
      <c r="E35" s="8" t="n">
        <f aca="false">C35-152000</f>
        <v>226267</v>
      </c>
      <c r="F35" s="7" t="n">
        <f aca="false">D35/$D$2</f>
        <v>964.195663136662</v>
      </c>
      <c r="G35" s="7" t="n">
        <v>2056.58</v>
      </c>
      <c r="H35" s="9" t="n">
        <v>2.19</v>
      </c>
      <c r="I35" s="7" t="n">
        <f aca="false">G35+H35</f>
        <v>2058.77</v>
      </c>
      <c r="J35" s="93" t="n">
        <f aca="false">IF(L35&gt;0,L35,0)</f>
        <v>701.395663136662</v>
      </c>
      <c r="K35" s="7" t="n">
        <f aca="false">I35+J35</f>
        <v>2760.16566313666</v>
      </c>
      <c r="L35" s="7" t="n">
        <f aca="false">F35-(I35-W35)</f>
        <v>701.395663136662</v>
      </c>
      <c r="M35" s="7" t="n">
        <v>268.13</v>
      </c>
      <c r="N35" s="7" t="n">
        <f aca="false">(15.77+15.03)*1.05</f>
        <v>32.34</v>
      </c>
      <c r="O35" s="7" t="n">
        <f aca="false">M35-N35</f>
        <v>235.79</v>
      </c>
      <c r="P35" s="7" t="n">
        <v>135.05</v>
      </c>
      <c r="Q35" s="7" t="n">
        <v>81.52</v>
      </c>
      <c r="R35" s="7" t="n">
        <f aca="false">SUM(O35:Q35)</f>
        <v>452.36</v>
      </c>
      <c r="S35" s="8"/>
      <c r="T35" s="7" t="n">
        <v>104.61</v>
      </c>
      <c r="U35" s="7" t="n">
        <v>1206.66</v>
      </c>
      <c r="V35" s="8" t="n">
        <v>9706</v>
      </c>
      <c r="W35" s="7" t="n">
        <f aca="false">N35+R35+T35+U35</f>
        <v>1795.97</v>
      </c>
      <c r="X35" s="7" t="n">
        <f aca="false">IF(L35&lt;0,L35*-1,0)</f>
        <v>0</v>
      </c>
      <c r="Y35" s="7" t="n">
        <f aca="false">W35+X35</f>
        <v>1795.97</v>
      </c>
      <c r="Z35" s="11" t="n">
        <v>0</v>
      </c>
      <c r="AA35" s="12" t="n">
        <v>85</v>
      </c>
      <c r="AB35" s="12" t="n">
        <v>50</v>
      </c>
      <c r="AC35" s="13" t="n">
        <f aca="false">AC34+1</f>
        <v>26</v>
      </c>
      <c r="AD35" s="12"/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29" t="n">
        <v>6923.58</v>
      </c>
      <c r="C36" s="8" t="n">
        <v>379290</v>
      </c>
      <c r="D36" s="12" t="n">
        <f aca="false">C36-C35</f>
        <v>1023</v>
      </c>
      <c r="E36" s="8" t="n">
        <f aca="false">C36-152000</f>
        <v>227290</v>
      </c>
      <c r="F36" s="7" t="n">
        <f aca="false">D36/$D$2</f>
        <v>515.885022692889</v>
      </c>
      <c r="G36" s="7" t="n">
        <v>1978.34</v>
      </c>
      <c r="H36" s="9" t="n">
        <v>2.1</v>
      </c>
      <c r="I36" s="7" t="n">
        <f aca="false">G36+H36</f>
        <v>1980.44</v>
      </c>
      <c r="J36" s="93" t="n">
        <f aca="false">IF(L36&gt;0,L36,0)</f>
        <v>503.98502269289</v>
      </c>
      <c r="K36" s="7" t="n">
        <f aca="false">I36+J36</f>
        <v>2484.42502269289</v>
      </c>
      <c r="L36" s="7" t="n">
        <f aca="false">F36-(I36-W36)</f>
        <v>503.98502269289</v>
      </c>
      <c r="M36" s="7" t="n">
        <v>266.79</v>
      </c>
      <c r="N36" s="7" t="n">
        <f aca="false">(15.63+16.8)*1.05</f>
        <v>34.0515</v>
      </c>
      <c r="O36" s="7" t="n">
        <f aca="false">M36-N36</f>
        <v>232.7385</v>
      </c>
      <c r="P36" s="7" t="n">
        <v>135.14</v>
      </c>
      <c r="Q36" s="7" t="n">
        <v>81.84</v>
      </c>
      <c r="R36" s="7" t="n">
        <f aca="false">SUM(O36:Q36)</f>
        <v>449.7185</v>
      </c>
      <c r="S36" s="8"/>
      <c r="T36" s="7" t="n">
        <v>109.93</v>
      </c>
      <c r="U36" s="7" t="n">
        <v>1374.84</v>
      </c>
      <c r="V36" s="8" t="n">
        <v>9706</v>
      </c>
      <c r="W36" s="7" t="n">
        <f aca="false">N36+R36+T36+U36</f>
        <v>1968.54</v>
      </c>
      <c r="X36" s="7" t="n">
        <f aca="false">IF(L36&lt;0,L36*-1,0)</f>
        <v>0</v>
      </c>
      <c r="Y36" s="7" t="n">
        <f aca="false">W36+X36</f>
        <v>1968.54</v>
      </c>
      <c r="Z36" s="11" t="n">
        <v>0.02</v>
      </c>
      <c r="AA36" s="12" t="n">
        <v>88</v>
      </c>
      <c r="AB36" s="12" t="n">
        <v>50</v>
      </c>
      <c r="AC36" s="13" t="n">
        <f aca="false">AC35+1</f>
        <v>27</v>
      </c>
      <c r="AD36" s="12"/>
      <c r="AE36" s="12"/>
      <c r="AG36" s="7"/>
    </row>
    <row r="37" customFormat="false" ht="11.1" hidden="false" customHeight="true" outlineLevel="0" collapsed="false">
      <c r="A37" s="13" t="n">
        <f aca="false">A36+1</f>
        <v>28</v>
      </c>
      <c r="B37" s="29" t="n">
        <v>6923.73</v>
      </c>
      <c r="C37" s="8" t="n">
        <v>379958</v>
      </c>
      <c r="D37" s="12" t="n">
        <f aca="false">C37-C36</f>
        <v>668</v>
      </c>
      <c r="E37" s="8" t="n">
        <f aca="false">C37-152000</f>
        <v>227958</v>
      </c>
      <c r="F37" s="7" t="n">
        <f aca="false">D37/$D$2</f>
        <v>336.863338376198</v>
      </c>
      <c r="G37" s="7" t="n">
        <v>1654.17</v>
      </c>
      <c r="H37" s="9" t="n">
        <v>1.85</v>
      </c>
      <c r="I37" s="7" t="n">
        <f aca="false">G37+H37</f>
        <v>1656.02</v>
      </c>
      <c r="J37" s="93" t="n">
        <f aca="false">IF(L37&gt;0,L37,0)</f>
        <v>648.573338376198</v>
      </c>
      <c r="K37" s="7" t="n">
        <f aca="false">I37+J37</f>
        <v>2304.5933383762</v>
      </c>
      <c r="L37" s="7" t="n">
        <f aca="false">F37-(I37-W37)</f>
        <v>648.573338376198</v>
      </c>
      <c r="M37" s="7" t="n">
        <v>264.69</v>
      </c>
      <c r="N37" s="7" t="n">
        <f aca="false">(14.92+15.21)*1.05</f>
        <v>31.6365</v>
      </c>
      <c r="O37" s="7" t="n">
        <f aca="false">M37-N37</f>
        <v>233.0535</v>
      </c>
      <c r="P37" s="7" t="n">
        <v>135.4</v>
      </c>
      <c r="Q37" s="7" t="n">
        <v>81.7</v>
      </c>
      <c r="R37" s="7" t="n">
        <f aca="false">SUM(O37:Q37)</f>
        <v>450.1535</v>
      </c>
      <c r="S37" s="8"/>
      <c r="T37" s="7" t="n">
        <v>121.58</v>
      </c>
      <c r="U37" s="7" t="n">
        <v>1364.36</v>
      </c>
      <c r="V37" s="8" t="n">
        <v>9706</v>
      </c>
      <c r="W37" s="7" t="n">
        <f aca="false">N37+R37+T37+U37</f>
        <v>1967.73</v>
      </c>
      <c r="X37" s="7" t="n">
        <f aca="false">IF(L37&lt;0,L37*-1,0)</f>
        <v>0</v>
      </c>
      <c r="Y37" s="7" t="n">
        <f aca="false">W37+X37</f>
        <v>1967.73</v>
      </c>
      <c r="Z37" s="11" t="n">
        <v>0</v>
      </c>
      <c r="AA37" s="12" t="n">
        <v>81</v>
      </c>
      <c r="AB37" s="12" t="n">
        <v>51</v>
      </c>
      <c r="AC37" s="13" t="n">
        <f aca="false">AC36+1</f>
        <v>28</v>
      </c>
      <c r="AD37" s="12"/>
      <c r="AE37" s="12"/>
      <c r="AG37" s="7"/>
    </row>
    <row r="38" customFormat="false" ht="11.1" hidden="false" customHeight="true" outlineLevel="0" collapsed="false">
      <c r="A38" s="13" t="n">
        <f aca="false">A37+1</f>
        <v>29</v>
      </c>
      <c r="B38" s="29" t="n">
        <v>6924.03</v>
      </c>
      <c r="C38" s="8" t="n">
        <v>381294</v>
      </c>
      <c r="D38" s="12" t="n">
        <f aca="false">C38-C37</f>
        <v>1336</v>
      </c>
      <c r="E38" s="8" t="n">
        <f aca="false">C38-152000</f>
        <v>229294</v>
      </c>
      <c r="F38" s="7" t="n">
        <f aca="false">D38/$D$2</f>
        <v>673.726676752395</v>
      </c>
      <c r="G38" s="7" t="n">
        <v>1901.14</v>
      </c>
      <c r="H38" s="9" t="n">
        <v>1.59</v>
      </c>
      <c r="I38" s="7" t="n">
        <f aca="false">G38+H38</f>
        <v>1902.73</v>
      </c>
      <c r="J38" s="93" t="n">
        <f aca="false">IF(L38&gt;0,L38,0)</f>
        <v>584.396676752395</v>
      </c>
      <c r="K38" s="7" t="n">
        <f aca="false">I38+J38</f>
        <v>2487.1266767524</v>
      </c>
      <c r="L38" s="7" t="n">
        <f aca="false">F38-(I38-W38)</f>
        <v>584.396676752395</v>
      </c>
      <c r="M38" s="7" t="n">
        <v>269.93</v>
      </c>
      <c r="N38" s="7" t="n">
        <f aca="false">(13.96+14.64)*1.05</f>
        <v>30.03</v>
      </c>
      <c r="O38" s="7" t="n">
        <f aca="false">M38-N38</f>
        <v>239.9</v>
      </c>
      <c r="P38" s="7" t="n">
        <v>135.43</v>
      </c>
      <c r="Q38" s="7" t="n">
        <v>81.74</v>
      </c>
      <c r="R38" s="7" t="n">
        <f aca="false">SUM(O38:Q38)</f>
        <v>457.07</v>
      </c>
      <c r="S38" s="8"/>
      <c r="T38" s="7" t="n">
        <v>135.62</v>
      </c>
      <c r="U38" s="7" t="n">
        <v>1190.68</v>
      </c>
      <c r="V38" s="8" t="n">
        <v>9706</v>
      </c>
      <c r="W38" s="7" t="n">
        <f aca="false">N38+R38+T38+U38</f>
        <v>1813.4</v>
      </c>
      <c r="X38" s="7" t="n">
        <f aca="false">IF(L38&lt;0,L38*-1,0)</f>
        <v>0</v>
      </c>
      <c r="Y38" s="7" t="n">
        <f aca="false">W38+X38</f>
        <v>1813.4</v>
      </c>
      <c r="Z38" s="11" t="n">
        <v>0</v>
      </c>
      <c r="AA38" s="40" t="n">
        <v>81</v>
      </c>
      <c r="AB38" s="12" t="n">
        <v>52</v>
      </c>
      <c r="AC38" s="13" t="n">
        <f aca="false">AC37+1</f>
        <v>29</v>
      </c>
      <c r="AD38" s="12"/>
      <c r="AE38" s="12"/>
      <c r="AG38" s="7"/>
    </row>
    <row r="39" customFormat="false" ht="11.1" hidden="false" customHeight="true" outlineLevel="0" collapsed="false">
      <c r="A39" s="13" t="n">
        <v>30</v>
      </c>
      <c r="B39" s="29" t="n">
        <v>6924.15</v>
      </c>
      <c r="C39" s="8" t="n">
        <v>381833</v>
      </c>
      <c r="D39" s="12" t="n">
        <f aca="false">C39-C38</f>
        <v>539</v>
      </c>
      <c r="E39" s="8" t="n">
        <f aca="false">C39-152000</f>
        <v>229833</v>
      </c>
      <c r="F39" s="7" t="n">
        <f aca="false">D39/$D$2</f>
        <v>271.810388300555</v>
      </c>
      <c r="G39" s="7" t="n">
        <v>2136.95</v>
      </c>
      <c r="H39" s="9" t="n">
        <v>1.43</v>
      </c>
      <c r="I39" s="7" t="n">
        <f aca="false">G39+H39</f>
        <v>2138.38</v>
      </c>
      <c r="J39" s="93" t="n">
        <f aca="false">IF(L39&gt;0,L39,0)</f>
        <v>221.440388300555</v>
      </c>
      <c r="K39" s="7" t="n">
        <f aca="false">I39+J39</f>
        <v>2359.82038830055</v>
      </c>
      <c r="L39" s="7" t="n">
        <f aca="false">F39-(I39-W39)</f>
        <v>221.440388300555</v>
      </c>
      <c r="M39" s="7" t="n">
        <v>276.39</v>
      </c>
      <c r="N39" s="7" t="n">
        <f aca="false">(15.48+16.49)*1.05</f>
        <v>33.5685</v>
      </c>
      <c r="O39" s="7" t="n">
        <f aca="false">M39-N39</f>
        <v>242.8215</v>
      </c>
      <c r="P39" s="7" t="n">
        <v>136.05</v>
      </c>
      <c r="Q39" s="7" t="n">
        <v>82.04</v>
      </c>
      <c r="R39" s="7" t="n">
        <f aca="false">SUM(O39:Q39)</f>
        <v>460.9115</v>
      </c>
      <c r="S39" s="8"/>
      <c r="T39" s="7" t="n">
        <v>111.89</v>
      </c>
      <c r="U39" s="7" t="n">
        <v>1481.64</v>
      </c>
      <c r="V39" s="8" t="n">
        <v>9706</v>
      </c>
      <c r="W39" s="7" t="n">
        <f aca="false">N39+R39+T39+U39</f>
        <v>2088.01</v>
      </c>
      <c r="X39" s="7" t="n">
        <f aca="false">IF(L39&lt;0,L39*-1,0)</f>
        <v>0</v>
      </c>
      <c r="Y39" s="7" t="n">
        <f aca="false">W39+X39</f>
        <v>2088.01</v>
      </c>
      <c r="Z39" s="11" t="n">
        <v>0</v>
      </c>
      <c r="AA39" s="40" t="n">
        <v>80</v>
      </c>
      <c r="AB39" s="12" t="n">
        <v>50</v>
      </c>
      <c r="AC39" s="13" t="n">
        <v>30</v>
      </c>
      <c r="AD39" s="12"/>
      <c r="AE39" s="12"/>
      <c r="AG39" s="7"/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4"/>
      <c r="T40" s="32"/>
      <c r="U40" s="32"/>
      <c r="V40" s="32"/>
      <c r="W40" s="32"/>
      <c r="X40" s="32"/>
      <c r="Y40" s="32"/>
      <c r="Z40" s="36"/>
      <c r="AA40" s="37" t="n">
        <v>73</v>
      </c>
      <c r="AB40" s="37"/>
      <c r="AC40" s="38"/>
      <c r="AD40" s="14"/>
      <c r="AE40" s="14"/>
    </row>
    <row r="41" customFormat="false" ht="11.1" hidden="false" customHeight="true" outlineLevel="0" collapsed="false">
      <c r="A41" s="7" t="s">
        <v>45</v>
      </c>
      <c r="B41" s="7"/>
      <c r="C41" s="8"/>
      <c r="D41" s="8"/>
      <c r="E41" s="8"/>
      <c r="F41" s="8" t="n">
        <f aca="false">SUM(F10:F39)</f>
        <v>31584.9722642461</v>
      </c>
      <c r="G41" s="8" t="n">
        <f aca="false">SUM(G10:G39)</f>
        <v>80264.8</v>
      </c>
      <c r="H41" s="8" t="n">
        <f aca="false">SUM(H10:H39)</f>
        <v>2787.62</v>
      </c>
      <c r="I41" s="8" t="n">
        <f aca="false">SUM(I10:I39)</f>
        <v>83052.42</v>
      </c>
      <c r="J41" s="8" t="n">
        <f aca="false">SUM(J10:J39)</f>
        <v>17166.3985728694</v>
      </c>
      <c r="K41" s="8" t="n">
        <f aca="false">SUM(K10:K39)</f>
        <v>100218.818572869</v>
      </c>
      <c r="L41" s="8" t="n">
        <f aca="false">SUM(L10:L39)</f>
        <v>16942.1222642461</v>
      </c>
      <c r="M41" s="8" t="n">
        <f aca="false">SUM(M10:M39)</f>
        <v>7183.5</v>
      </c>
      <c r="N41" s="8" t="n">
        <f aca="false">SUM(N10:N39)</f>
        <v>756.6825</v>
      </c>
      <c r="O41" s="8" t="n">
        <f aca="false">SUM(O10:O39)</f>
        <v>6426.8175</v>
      </c>
      <c r="P41" s="8" t="n">
        <f aca="false">SUM(P10:P39)</f>
        <v>4063.32</v>
      </c>
      <c r="Q41" s="8" t="n">
        <f aca="false">SUM(Q10:Q39)</f>
        <v>2537.94</v>
      </c>
      <c r="R41" s="8" t="n">
        <f aca="false">SUM(R10:R39)</f>
        <v>13028.0775</v>
      </c>
      <c r="S41" s="8"/>
      <c r="T41" s="8" t="n">
        <f aca="false">SUM(T10:T39)</f>
        <v>2298.92</v>
      </c>
      <c r="U41" s="8" t="n">
        <f aca="false">SUM(U10:U39)</f>
        <v>52325.89</v>
      </c>
      <c r="V41" s="8"/>
      <c r="W41" s="8" t="n">
        <f aca="false">SUM(W10:W39)</f>
        <v>68409.57</v>
      </c>
      <c r="X41" s="8" t="n">
        <f aca="false">SUM(X10:X39)</f>
        <v>224.276308623298</v>
      </c>
      <c r="Y41" s="8" t="n">
        <f aca="false">SUM(Y10:Y39)</f>
        <v>68633.8463086233</v>
      </c>
      <c r="Z41" s="11" t="n">
        <f aca="false">SUM(Z10:Z39)</f>
        <v>0.93</v>
      </c>
      <c r="AA41" s="12" t="n">
        <f aca="false">AVERAGE(AA10:AA39)</f>
        <v>78.4333333333333</v>
      </c>
      <c r="AB41" s="12" t="n">
        <f aca="false">AVERAGE(AB10:AB39)</f>
        <v>44.7</v>
      </c>
      <c r="AC41" s="13"/>
      <c r="AD41" s="14"/>
      <c r="AE41" s="14"/>
    </row>
    <row r="42" customFormat="false" ht="11.1" hidden="false" customHeight="true" outlineLevel="0" collapsed="false">
      <c r="A42" s="7" t="s">
        <v>46</v>
      </c>
      <c r="B42" s="7"/>
      <c r="C42" s="8"/>
      <c r="D42" s="8" t="n">
        <f aca="false">SUM(D10:D39)</f>
        <v>62633</v>
      </c>
      <c r="E42" s="8"/>
      <c r="F42" s="8" t="n">
        <f aca="false">F41*$D$2</f>
        <v>62633</v>
      </c>
      <c r="G42" s="8" t="n">
        <f aca="false">G41*$D$2</f>
        <v>159165.0984</v>
      </c>
      <c r="H42" s="8" t="n">
        <f aca="false">H41*$D$2</f>
        <v>5527.85046</v>
      </c>
      <c r="I42" s="8" t="n">
        <f aca="false">I41*$D$2</f>
        <v>164692.94886</v>
      </c>
      <c r="J42" s="8" t="n">
        <f aca="false">J41*$D$2</f>
        <v>34040.96837</v>
      </c>
      <c r="K42" s="8" t="n">
        <f aca="false">K41*$D$2</f>
        <v>198733.91723</v>
      </c>
      <c r="L42" s="8" t="n">
        <f aca="false">L41*$D$2</f>
        <v>33596.22845</v>
      </c>
      <c r="M42" s="8" t="n">
        <f aca="false">M41*$D$2</f>
        <v>14244.8805</v>
      </c>
      <c r="N42" s="8" t="n">
        <f aca="false">N41*$D$2</f>
        <v>1500.5013975</v>
      </c>
      <c r="O42" s="8" t="n">
        <f aca="false">O41*$D$2</f>
        <v>12744.3791025</v>
      </c>
      <c r="P42" s="8" t="n">
        <f aca="false">P41*$D$2</f>
        <v>8057.56356</v>
      </c>
      <c r="Q42" s="8" t="n">
        <f aca="false">Q41*$D$2</f>
        <v>5032.73502</v>
      </c>
      <c r="R42" s="8" t="n">
        <f aca="false">R41*$D$2</f>
        <v>25834.6776825</v>
      </c>
      <c r="S42" s="8"/>
      <c r="T42" s="8" t="n">
        <f aca="false">T41*$D$2</f>
        <v>4558.75836</v>
      </c>
      <c r="U42" s="8" t="n">
        <f aca="false">U41*$D$2</f>
        <v>103762.23987</v>
      </c>
      <c r="V42" s="8"/>
      <c r="W42" s="8" t="n">
        <f aca="false">W41*$D$2</f>
        <v>135656.17731</v>
      </c>
      <c r="X42" s="8" t="n">
        <f aca="false">X41*$D$2</f>
        <v>444.739920000001</v>
      </c>
      <c r="Y42" s="8" t="n">
        <f aca="false">Y41*$D$2</f>
        <v>136100.91723</v>
      </c>
      <c r="Z42" s="11"/>
      <c r="AA42" s="12" t="n">
        <f aca="false">MAX(AA10:AA39)</f>
        <v>88</v>
      </c>
      <c r="AB42" s="12" t="n">
        <f aca="false">MAX(AB10:AB39)</f>
        <v>56</v>
      </c>
      <c r="AC42" s="13" t="s">
        <v>47</v>
      </c>
      <c r="AD42" s="14"/>
      <c r="AE42" s="14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2"/>
      <c r="W43" s="34"/>
      <c r="X43" s="34"/>
      <c r="Y43" s="34"/>
      <c r="Z43" s="11"/>
      <c r="AA43" s="12"/>
      <c r="AB43" s="12"/>
      <c r="AC43" s="13"/>
      <c r="AD43" s="14"/>
      <c r="AE43" s="14"/>
    </row>
    <row r="44" customFormat="false" ht="11.1" hidden="false" customHeight="true" outlineLevel="0" collapsed="false">
      <c r="A44" s="7" t="s">
        <v>48</v>
      </c>
      <c r="B44" s="7"/>
      <c r="C44" s="8"/>
      <c r="D44" s="8"/>
      <c r="E44" s="8"/>
      <c r="F44" s="8" t="n">
        <f aca="false">F7+F41</f>
        <v>36507.8164397378</v>
      </c>
      <c r="G44" s="8" t="n">
        <f aca="false">G7+G41</f>
        <v>141010.59</v>
      </c>
      <c r="H44" s="12" t="n">
        <f aca="false">H7+H41</f>
        <v>12482.96</v>
      </c>
      <c r="I44" s="8" t="n">
        <f aca="false">I7+I41</f>
        <v>153493.55</v>
      </c>
      <c r="J44" s="8" t="n">
        <f aca="false">J7+J41</f>
        <v>45005.9186081694</v>
      </c>
      <c r="K44" s="8" t="n">
        <f aca="false">K7+K41</f>
        <v>198499.468608169</v>
      </c>
      <c r="L44" s="8" t="n">
        <f aca="false">L7+L41</f>
        <v>44781.6422995461</v>
      </c>
      <c r="M44" s="8" t="n">
        <f aca="false">M7+M41</f>
        <v>13901.45</v>
      </c>
      <c r="N44" s="8" t="n">
        <f aca="false">N7+N41</f>
        <v>1995.64704633888</v>
      </c>
      <c r="O44" s="8" t="n">
        <f aca="false">O7+O41</f>
        <v>11905.8029536611</v>
      </c>
      <c r="P44" s="8" t="n">
        <f aca="false">P7+P41</f>
        <v>6475.33</v>
      </c>
      <c r="Q44" s="8" t="n">
        <f aca="false">Q7+Q41</f>
        <v>3970.18</v>
      </c>
      <c r="R44" s="8" t="n">
        <f aca="false">R7+R41</f>
        <v>22351.3129536611</v>
      </c>
      <c r="S44" s="8" t="n">
        <f aca="false">S39+S54</f>
        <v>3966.70801815431</v>
      </c>
      <c r="T44" s="8" t="n">
        <f aca="false">T7+T41</f>
        <v>3456.42015632879</v>
      </c>
      <c r="U44" s="8" t="n">
        <f aca="false">U7+U41</f>
        <v>133971.56</v>
      </c>
      <c r="V44" s="8" t="n">
        <v>0</v>
      </c>
      <c r="W44" s="8" t="n">
        <f aca="false">W7+W41</f>
        <v>161767.375859808</v>
      </c>
      <c r="X44" s="8" t="n">
        <f aca="false">X7+X41</f>
        <v>224.276308623298</v>
      </c>
      <c r="Y44" s="8" t="n">
        <f aca="false">Y7+Y41</f>
        <v>161991.652168432</v>
      </c>
      <c r="Z44" s="11"/>
      <c r="AA44" s="12" t="n">
        <f aca="false">MIN(AA10:AA39)</f>
        <v>66</v>
      </c>
      <c r="AB44" s="12" t="n">
        <f aca="false">MIN(AB10:AB39)</f>
        <v>32</v>
      </c>
      <c r="AC44" s="13" t="s">
        <v>49</v>
      </c>
      <c r="AD44" s="14"/>
      <c r="AE44" s="14"/>
    </row>
    <row r="45" customFormat="false" ht="11.1" hidden="false" customHeight="true" outlineLevel="0" collapsed="false">
      <c r="A45" s="7" t="s">
        <v>50</v>
      </c>
      <c r="B45" s="7"/>
      <c r="C45" s="8"/>
      <c r="D45" s="8" t="n">
        <f aca="false">D7+D42</f>
        <v>62633</v>
      </c>
      <c r="E45" s="8"/>
      <c r="F45" s="8" t="n">
        <f aca="false">F44*$D$2</f>
        <v>72395</v>
      </c>
      <c r="G45" s="8" t="n">
        <f aca="false">G44*$D$2</f>
        <v>279623.99997</v>
      </c>
      <c r="H45" s="12" t="n">
        <f aca="false">H44*$D$2</f>
        <v>24753.70968</v>
      </c>
      <c r="I45" s="8" t="n">
        <f aca="false">I44*$D$2</f>
        <v>304377.70965</v>
      </c>
      <c r="J45" s="8" t="n">
        <f aca="false">J44*$D$2</f>
        <v>89246.7366</v>
      </c>
      <c r="K45" s="8" t="n">
        <f aca="false">K44*$D$2</f>
        <v>393624.44625</v>
      </c>
      <c r="L45" s="8" t="n">
        <f aca="false">L44*$D$2</f>
        <v>88801.99668</v>
      </c>
      <c r="M45" s="8" t="n">
        <f aca="false">M44*$D$2</f>
        <v>27566.57535</v>
      </c>
      <c r="N45" s="8" t="n">
        <f aca="false">N44*$D$2</f>
        <v>3957.36809289</v>
      </c>
      <c r="O45" s="8" t="n">
        <f aca="false">O44*$D$2</f>
        <v>23609.20725711</v>
      </c>
      <c r="P45" s="8" t="n">
        <f aca="false">P44*$D$2</f>
        <v>12840.57939</v>
      </c>
      <c r="Q45" s="8" t="n">
        <f aca="false">Q44*$D$2</f>
        <v>7872.86694</v>
      </c>
      <c r="R45" s="8" t="n">
        <f aca="false">R44*$D$2</f>
        <v>44322.65358711</v>
      </c>
      <c r="S45" s="8" t="n">
        <f aca="false">S44*$D$2</f>
        <v>7865.982</v>
      </c>
      <c r="T45" s="8" t="n">
        <f aca="false">T44*$D$2</f>
        <v>6854.08117</v>
      </c>
      <c r="U45" s="8" t="n">
        <f aca="false">U44*$D$2</f>
        <v>265665.60348</v>
      </c>
      <c r="V45" s="8" t="n">
        <v>0</v>
      </c>
      <c r="W45" s="8" t="n">
        <f aca="false">W44*$D$2</f>
        <v>320784.70633</v>
      </c>
      <c r="X45" s="8" t="n">
        <f aca="false">X44*$D$2</f>
        <v>444.739920000001</v>
      </c>
      <c r="Y45" s="8" t="n">
        <f aca="false">Y44*$D$2</f>
        <v>321229.44625</v>
      </c>
      <c r="Z45" s="11"/>
      <c r="AA45" s="12"/>
      <c r="AB45" s="12"/>
      <c r="AC45" s="13"/>
      <c r="AD45" s="14"/>
      <c r="AE45" s="14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6"/>
      <c r="AA46" s="12"/>
      <c r="AB46" s="12"/>
      <c r="AC46" s="13"/>
      <c r="AD46" s="14"/>
      <c r="AE46" s="14"/>
    </row>
    <row r="47" customFormat="false" ht="11.1" hidden="false" customHeight="true" outlineLevel="0" collapsed="false">
      <c r="A47" s="7" t="s">
        <v>51</v>
      </c>
      <c r="B47" s="7"/>
      <c r="C47" s="8"/>
      <c r="D47" s="8"/>
      <c r="E47" s="8"/>
      <c r="F47" s="8" t="n">
        <f aca="false">F8+F41</f>
        <v>58129.0973272819</v>
      </c>
      <c r="G47" s="8" t="n">
        <f aca="false">G8+G41</f>
        <v>156799.532592032</v>
      </c>
      <c r="H47" s="12" t="n">
        <f aca="false">H8+H41</f>
        <v>14867.77</v>
      </c>
      <c r="I47" s="8" t="n">
        <f aca="false">I8+I41</f>
        <v>171667.202592032</v>
      </c>
      <c r="J47" s="8" t="n">
        <f aca="false">J8+J41</f>
        <v>57350.0002723147</v>
      </c>
      <c r="K47" s="8" t="n">
        <f aca="false">K8+K41</f>
        <v>229017.202864347</v>
      </c>
      <c r="L47" s="8" t="n">
        <f aca="false">L8+L41</f>
        <v>56888.660595058</v>
      </c>
      <c r="M47" s="8" t="n">
        <f aca="false">M8+M41</f>
        <v>14803.9</v>
      </c>
      <c r="N47" s="8" t="n">
        <f aca="false">N8+N41</f>
        <v>2011.27704633888</v>
      </c>
      <c r="O47" s="8" t="n">
        <f aca="false">O8+O41</f>
        <v>12588.1229536611</v>
      </c>
      <c r="P47" s="8" t="n">
        <f aca="false">P8+P41</f>
        <v>9049.63</v>
      </c>
      <c r="Q47" s="8" t="n">
        <f aca="false">Q8+Q41</f>
        <v>3970.18</v>
      </c>
      <c r="R47" s="8" t="n">
        <f aca="false">R8+R41</f>
        <v>25688.4329536611</v>
      </c>
      <c r="S47" s="8"/>
      <c r="T47" s="8" t="n">
        <f aca="false">T8+T41</f>
        <v>3456.42015632879</v>
      </c>
      <c r="U47" s="8" t="n">
        <f aca="false">U8+U41</f>
        <v>139154.2</v>
      </c>
      <c r="V47" s="8" t="n">
        <f aca="false">V39</f>
        <v>9706</v>
      </c>
      <c r="W47" s="8" t="n">
        <f aca="false">W8+W41</f>
        <v>170426.765859808</v>
      </c>
      <c r="X47" s="8" t="n">
        <f aca="false">X8+X41</f>
        <v>461.339677256682</v>
      </c>
      <c r="Y47" s="8" t="n">
        <f aca="false">Y8+Y41</f>
        <v>170888.105537065</v>
      </c>
      <c r="Z47" s="30" t="n">
        <f aca="false">Z8+Z41</f>
        <v>15.81</v>
      </c>
      <c r="AA47" s="12"/>
      <c r="AB47" s="12"/>
      <c r="AC47" s="13"/>
      <c r="AD47" s="14"/>
      <c r="AE47" s="14"/>
    </row>
    <row r="48" customFormat="false" ht="11.1" hidden="false" customHeight="true" outlineLevel="0" collapsed="false">
      <c r="A48" s="7" t="s">
        <v>52</v>
      </c>
      <c r="B48" s="7"/>
      <c r="C48" s="8"/>
      <c r="D48" s="8" t="n">
        <f aca="false">D8+D42</f>
        <v>115270</v>
      </c>
      <c r="E48" s="8" t="n">
        <f aca="false">E39</f>
        <v>229833</v>
      </c>
      <c r="F48" s="8" t="n">
        <f aca="false">F47*$D$2</f>
        <v>115270</v>
      </c>
      <c r="G48" s="8" t="n">
        <f aca="false">G47*$D$2</f>
        <v>310933.47313</v>
      </c>
      <c r="H48" s="12" t="n">
        <f aca="false">H47*$D$2</f>
        <v>29482.78791</v>
      </c>
      <c r="I48" s="8" t="n">
        <f aca="false">I47*$D$2</f>
        <v>340416.06274</v>
      </c>
      <c r="J48" s="8" t="n">
        <f aca="false">J47*$D$2</f>
        <v>113725.05054</v>
      </c>
      <c r="K48" s="8" t="n">
        <f aca="false">K47*$D$2</f>
        <v>454141.11328</v>
      </c>
      <c r="L48" s="8" t="n">
        <f aca="false">L47*$D$2</f>
        <v>112810.21396</v>
      </c>
      <c r="M48" s="8" t="n">
        <f aca="false">M47*$D$2</f>
        <v>29356.1337</v>
      </c>
      <c r="N48" s="8" t="n">
        <f aca="false">N47*$D$2</f>
        <v>3988.36238289</v>
      </c>
      <c r="O48" s="8" t="n">
        <f aca="false">O47*$D$2</f>
        <v>24962.24781711</v>
      </c>
      <c r="P48" s="8" t="n">
        <f aca="false">P47*$D$2</f>
        <v>17945.41629</v>
      </c>
      <c r="Q48" s="8" t="n">
        <f aca="false">Q47*$D$2</f>
        <v>7872.86694</v>
      </c>
      <c r="R48" s="8" t="n">
        <f aca="false">R47*$D$2</f>
        <v>50940.16254711</v>
      </c>
      <c r="S48" s="8" t="n">
        <f aca="false">S47*$D$2</f>
        <v>0</v>
      </c>
      <c r="T48" s="8" t="n">
        <f aca="false">T47*$D$2</f>
        <v>6854.08117</v>
      </c>
      <c r="U48" s="8" t="n">
        <f aca="false">U47*$D$2</f>
        <v>275942.7786</v>
      </c>
      <c r="V48" s="8" t="n">
        <f aca="false">V47*$D$2</f>
        <v>19246.998</v>
      </c>
      <c r="W48" s="8" t="n">
        <f aca="false">W47*$D$2</f>
        <v>337956.2767</v>
      </c>
      <c r="X48" s="8" t="n">
        <f aca="false">X47*$D$2</f>
        <v>914.836580000001</v>
      </c>
      <c r="Y48" s="8" t="n">
        <f aca="false">Y47*$D$2</f>
        <v>338871.11328</v>
      </c>
      <c r="Z48" s="11"/>
      <c r="AA48" s="12"/>
      <c r="AB48" s="12"/>
      <c r="AC48" s="13"/>
      <c r="AD48" s="14"/>
      <c r="AE48" s="14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4"/>
      <c r="T49" s="32"/>
      <c r="U49" s="32"/>
      <c r="V49" s="34"/>
      <c r="W49" s="32"/>
      <c r="X49" s="32"/>
      <c r="Y49" s="32"/>
      <c r="Z49" s="11"/>
      <c r="AA49" s="12"/>
      <c r="AB49" s="12"/>
      <c r="AC49" s="13"/>
      <c r="AD49" s="14"/>
      <c r="AE49" s="14"/>
    </row>
    <row r="50" customFormat="false" ht="14.1" hidden="false" customHeight="true" outlineLevel="0" collapsed="false">
      <c r="A50" s="41" t="str">
        <f aca="false">"6/8/95 thru 7/17/95"</f>
        <v>6/8/95 thru 7/17/95</v>
      </c>
      <c r="B50" s="42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 t="s">
        <v>71</v>
      </c>
      <c r="S50" s="8" t="n">
        <f aca="false">((78+55+76+45+72+71+126+192)+(42+44+46+41+43+41+55+65))*1.9835</f>
        <v>2165.982</v>
      </c>
      <c r="T50" s="7"/>
      <c r="U50" s="7"/>
      <c r="V50" s="8"/>
      <c r="W50" s="7"/>
      <c r="X50" s="7"/>
      <c r="Y50" s="7"/>
      <c r="Z50" s="11"/>
      <c r="AA50" s="12"/>
      <c r="AB50" s="12"/>
      <c r="AC50" s="13"/>
      <c r="AD50" s="14"/>
      <c r="AE50" s="14"/>
    </row>
    <row r="51" customFormat="false" ht="11.1" hidden="false" customHeight="true" outlineLevel="0" collapsed="false">
      <c r="A51" s="7"/>
      <c r="B51" s="29" t="n">
        <v>6924.1</v>
      </c>
      <c r="C51" s="8" t="n">
        <v>381608</v>
      </c>
      <c r="D51" s="40"/>
      <c r="E51" s="8" t="n">
        <f aca="false">C51-152000</f>
        <v>229608</v>
      </c>
      <c r="F51" s="7"/>
      <c r="G51" s="7" t="str">
        <f aca="false">"152%  RUNOFF APR - JUN"</f>
        <v>152%  RUNOFF APR - JUN</v>
      </c>
      <c r="H51" s="40"/>
      <c r="I51" s="9"/>
      <c r="J51" s="7"/>
      <c r="K51" s="43"/>
      <c r="L51" s="7"/>
      <c r="M51" s="7"/>
      <c r="N51" s="7"/>
      <c r="O51" s="7"/>
      <c r="P51" s="7" t="s">
        <v>72</v>
      </c>
      <c r="Q51" s="7"/>
      <c r="R51" s="7" t="s">
        <v>73</v>
      </c>
      <c r="S51" s="8" t="n">
        <v>3400</v>
      </c>
      <c r="T51" s="7"/>
      <c r="U51" s="7"/>
      <c r="V51" s="8"/>
      <c r="W51" s="7"/>
      <c r="X51" s="7"/>
      <c r="Y51" s="7"/>
      <c r="Z51" s="11"/>
      <c r="AA51" s="12"/>
      <c r="AB51" s="12"/>
      <c r="AC51" s="13"/>
      <c r="AD51" s="14"/>
      <c r="AE51" s="14"/>
    </row>
    <row r="52" customFormat="false" ht="11.1" hidden="false" customHeight="true" outlineLevel="0" collapsed="false">
      <c r="B52" s="40"/>
      <c r="C52" s="8"/>
      <c r="D52" s="8"/>
      <c r="E52" s="8"/>
      <c r="F52" s="40"/>
      <c r="G52" s="40"/>
      <c r="H52" s="9"/>
      <c r="I52" s="40"/>
      <c r="J52" s="40"/>
      <c r="K52" s="40"/>
      <c r="L52" s="40"/>
      <c r="M52" s="30"/>
      <c r="N52" s="30"/>
      <c r="O52" s="30"/>
      <c r="P52" s="40"/>
      <c r="Q52" s="40"/>
      <c r="R52" s="40" t="s">
        <v>74</v>
      </c>
      <c r="S52" s="8" t="n">
        <v>2300</v>
      </c>
      <c r="T52" s="40"/>
      <c r="U52" s="40"/>
      <c r="V52" s="8"/>
      <c r="W52" s="40"/>
      <c r="X52" s="40"/>
      <c r="Y52" s="40"/>
      <c r="Z52" s="11"/>
      <c r="AA52" s="12"/>
      <c r="AB52" s="12"/>
      <c r="AC52" s="13"/>
      <c r="AD52" s="44"/>
      <c r="AE52" s="44"/>
    </row>
    <row r="53" customFormat="false" ht="11.1" hidden="false" customHeight="true" outlineLevel="0" collapsed="false">
      <c r="A53" s="40"/>
      <c r="B53" s="11" t="n">
        <f aca="false">B51-B17</f>
        <v>10.3700000000008</v>
      </c>
      <c r="C53" s="8"/>
      <c r="D53" s="8" t="n">
        <f aca="false">C51-C17</f>
        <v>44487</v>
      </c>
      <c r="E53" s="8"/>
      <c r="F53" s="40"/>
      <c r="G53" s="40"/>
      <c r="H53" s="9"/>
      <c r="I53" s="40"/>
      <c r="J53" s="40"/>
      <c r="K53" s="40"/>
      <c r="L53" s="40"/>
      <c r="M53" s="30"/>
      <c r="N53" s="30"/>
      <c r="O53" s="30"/>
      <c r="P53" s="40"/>
      <c r="Q53" s="40"/>
      <c r="R53" s="40" t="s">
        <v>75</v>
      </c>
      <c r="S53" s="8" t="n">
        <f aca="false">SUM(S50:S52)</f>
        <v>7865.982</v>
      </c>
      <c r="T53" s="40"/>
      <c r="U53" s="40"/>
      <c r="V53" s="8"/>
      <c r="W53" s="40"/>
      <c r="X53" s="40"/>
      <c r="Y53" s="40"/>
      <c r="Z53" s="11"/>
      <c r="AA53" s="12"/>
      <c r="AB53" s="12"/>
      <c r="AC53" s="13"/>
      <c r="AD53" s="44"/>
      <c r="AE53" s="44"/>
    </row>
    <row r="54" customFormat="false" ht="11.1" hidden="false" customHeight="true" outlineLevel="0" collapsed="false">
      <c r="A54" s="40"/>
      <c r="B54" s="40"/>
      <c r="C54" s="8"/>
      <c r="D54" s="40"/>
      <c r="E54" s="8"/>
      <c r="F54" s="40"/>
      <c r="G54" s="45"/>
      <c r="H54" s="9"/>
      <c r="I54" s="40"/>
      <c r="J54" s="40"/>
      <c r="K54" s="40"/>
      <c r="L54" s="40"/>
      <c r="M54" s="30"/>
      <c r="N54" s="30"/>
      <c r="O54" s="30"/>
      <c r="P54" s="40"/>
      <c r="Q54" s="40"/>
      <c r="R54" s="40" t="s">
        <v>76</v>
      </c>
      <c r="S54" s="8" t="n">
        <f aca="false">S53/$D$2</f>
        <v>3966.70801815431</v>
      </c>
      <c r="T54" s="40"/>
      <c r="U54" s="40"/>
      <c r="V54" s="8"/>
      <c r="W54" s="40"/>
      <c r="X54" s="40"/>
      <c r="Y54" s="40"/>
      <c r="Z54" s="11"/>
      <c r="AA54" s="12"/>
      <c r="AB54" s="12"/>
      <c r="AC54" s="13"/>
      <c r="AD54" s="44"/>
      <c r="AE54" s="44"/>
    </row>
  </sheetData>
  <mergeCells count="2">
    <mergeCell ref="K2:V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77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54</v>
      </c>
      <c r="Q4" s="63" t="s">
        <v>15</v>
      </c>
      <c r="R4" s="63" t="s">
        <v>12</v>
      </c>
      <c r="S4" s="64" t="s">
        <v>14</v>
      </c>
      <c r="T4" s="63" t="s">
        <v>16</v>
      </c>
      <c r="U4" s="63" t="s">
        <v>17</v>
      </c>
      <c r="V4" s="64" t="s">
        <v>18</v>
      </c>
      <c r="W4" s="63" t="s">
        <v>10</v>
      </c>
      <c r="X4" s="63" t="s">
        <v>11</v>
      </c>
      <c r="Y4" s="63" t="s">
        <v>12</v>
      </c>
      <c r="Z4" s="66" t="s">
        <v>19</v>
      </c>
      <c r="AA4" s="67" t="s">
        <v>20</v>
      </c>
      <c r="AB4" s="67" t="s">
        <v>21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78</v>
      </c>
      <c r="B5" s="63" t="s">
        <v>23</v>
      </c>
      <c r="C5" s="64" t="s">
        <v>5</v>
      </c>
      <c r="D5" s="63" t="s">
        <v>24</v>
      </c>
      <c r="E5" s="64" t="s">
        <v>25</v>
      </c>
      <c r="F5" s="63" t="s">
        <v>26</v>
      </c>
      <c r="G5" s="63" t="s">
        <v>27</v>
      </c>
      <c r="H5" s="65" t="s">
        <v>28</v>
      </c>
      <c r="I5" s="63" t="s">
        <v>29</v>
      </c>
      <c r="J5" s="63" t="s">
        <v>29</v>
      </c>
      <c r="K5" s="63" t="s">
        <v>29</v>
      </c>
      <c r="L5" s="63" t="s">
        <v>30</v>
      </c>
      <c r="M5" s="63" t="s">
        <v>31</v>
      </c>
      <c r="N5" s="63" t="s">
        <v>32</v>
      </c>
      <c r="O5" s="63" t="s">
        <v>56</v>
      </c>
      <c r="P5" s="63" t="s">
        <v>57</v>
      </c>
      <c r="Q5" s="63" t="s">
        <v>35</v>
      </c>
      <c r="R5" s="63" t="s">
        <v>14</v>
      </c>
      <c r="S5" s="64" t="s">
        <v>36</v>
      </c>
      <c r="T5" s="63" t="s">
        <v>37</v>
      </c>
      <c r="U5" s="63" t="s">
        <v>38</v>
      </c>
      <c r="V5" s="64" t="s">
        <v>39</v>
      </c>
      <c r="W5" s="63" t="s">
        <v>40</v>
      </c>
      <c r="X5" s="63" t="s">
        <v>40</v>
      </c>
      <c r="Y5" s="63" t="s">
        <v>40</v>
      </c>
      <c r="Z5" s="69"/>
      <c r="AA5" s="67" t="s">
        <v>41</v>
      </c>
      <c r="AB5" s="67" t="s">
        <v>41</v>
      </c>
      <c r="AC5" s="70" t="s">
        <v>78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/>
    </row>
    <row r="7" customFormat="false" ht="11.1" hidden="false" customHeight="true" outlineLevel="0" collapsed="false">
      <c r="A7" s="53" t="s">
        <v>42</v>
      </c>
      <c r="B7" s="53"/>
      <c r="C7" s="54"/>
      <c r="D7" s="54"/>
      <c r="E7" s="54"/>
      <c r="F7" s="54" t="n">
        <f aca="false" t="array" ref="F7:Y7">JUN!$F$44:$Y$44</f>
        <v>36507.8164397378</v>
      </c>
      <c r="G7" s="54" t="n">
        <v>141010.59</v>
      </c>
      <c r="H7" s="58" t="n">
        <v>12482.96</v>
      </c>
      <c r="I7" s="54" t="n">
        <v>153493.55</v>
      </c>
      <c r="J7" s="54" t="n">
        <v>45005.9186081694</v>
      </c>
      <c r="K7" s="54" t="n">
        <v>198499.468608169</v>
      </c>
      <c r="L7" s="54" t="n">
        <v>44781.6422995461</v>
      </c>
      <c r="M7" s="54" t="n">
        <v>13901.45</v>
      </c>
      <c r="N7" s="54" t="n">
        <v>1995.64704633888</v>
      </c>
      <c r="O7" s="54" t="n">
        <v>11905.8029536611</v>
      </c>
      <c r="P7" s="54" t="n">
        <v>6475.33</v>
      </c>
      <c r="Q7" s="54" t="n">
        <v>3970.18</v>
      </c>
      <c r="R7" s="54" t="n">
        <v>22351.3129536611</v>
      </c>
      <c r="S7" s="54" t="n">
        <v>3966.70801815431</v>
      </c>
      <c r="T7" s="54" t="n">
        <v>3456.42015632879</v>
      </c>
      <c r="U7" s="54" t="n">
        <v>133971.56</v>
      </c>
      <c r="V7" s="54" t="n">
        <v>0</v>
      </c>
      <c r="W7" s="54" t="n">
        <v>161767.375859808</v>
      </c>
      <c r="X7" s="54" t="n">
        <v>224.276308623298</v>
      </c>
      <c r="Y7" s="54" t="n">
        <v>161991.652168432</v>
      </c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43</v>
      </c>
      <c r="B8" s="76" t="n">
        <f aca="false" t="array" ref="B8:C8">JUN!$B$39:$C$39</f>
        <v>6924.15</v>
      </c>
      <c r="C8" s="54" t="n">
        <v>381833</v>
      </c>
      <c r="D8" s="54" t="n">
        <f aca="false" t="array" ref="D8:E8">JUN!$D$48:$E$48</f>
        <v>115270</v>
      </c>
      <c r="E8" s="54" t="n">
        <v>229833</v>
      </c>
      <c r="F8" s="54" t="n">
        <f aca="false" t="array" ref="F8:Z8">JUN!$F$47:$Z$47</f>
        <v>58129.0973272819</v>
      </c>
      <c r="G8" s="54" t="n">
        <v>156799.532592032</v>
      </c>
      <c r="H8" s="58" t="n">
        <v>14867.77</v>
      </c>
      <c r="I8" s="54" t="n">
        <v>171667.202592032</v>
      </c>
      <c r="J8" s="54" t="n">
        <v>57350.0002723147</v>
      </c>
      <c r="K8" s="54" t="n">
        <v>229017.202864347</v>
      </c>
      <c r="L8" s="54" t="n">
        <v>56888.660595058</v>
      </c>
      <c r="M8" s="54" t="n">
        <v>14803.9</v>
      </c>
      <c r="N8" s="54" t="n">
        <v>2011.27704633888</v>
      </c>
      <c r="O8" s="54" t="n">
        <v>12588.1229536611</v>
      </c>
      <c r="P8" s="54" t="n">
        <v>9049.63</v>
      </c>
      <c r="Q8" s="54" t="n">
        <v>3970.18</v>
      </c>
      <c r="R8" s="54" t="n">
        <v>25688.4329536611</v>
      </c>
      <c r="S8" s="54" t="n">
        <v>0</v>
      </c>
      <c r="T8" s="54" t="n">
        <v>3456.42015632879</v>
      </c>
      <c r="U8" s="54" t="n">
        <v>139154.2</v>
      </c>
      <c r="V8" s="54" t="n">
        <v>9706</v>
      </c>
      <c r="W8" s="54" t="n">
        <v>170426.765859808</v>
      </c>
      <c r="X8" s="54" t="n">
        <v>461.339677256682</v>
      </c>
      <c r="Y8" s="54" t="n">
        <v>170888.105537065</v>
      </c>
      <c r="Z8" s="77" t="n">
        <v>15.81</v>
      </c>
      <c r="AA8" s="58"/>
      <c r="AB8" s="58"/>
      <c r="AC8" s="59"/>
      <c r="AD8" s="78" t="n">
        <v>13634</v>
      </c>
      <c r="AE8" s="74" t="n">
        <v>9147</v>
      </c>
      <c r="AF8" s="78" t="n">
        <v>1728.98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6924.22</v>
      </c>
      <c r="C10" s="54" t="n">
        <v>382147</v>
      </c>
      <c r="D10" s="58" t="n">
        <f aca="false">C10-C8</f>
        <v>314</v>
      </c>
      <c r="E10" s="54" t="n">
        <f aca="false">C10-152000</f>
        <v>230147</v>
      </c>
      <c r="F10" s="53" t="n">
        <f aca="false">D10/$D$2</f>
        <v>158.345940494201</v>
      </c>
      <c r="G10" s="53" t="n">
        <v>2292.93</v>
      </c>
      <c r="H10" s="55" t="n">
        <v>0</v>
      </c>
      <c r="I10" s="53" t="n">
        <f aca="false">G10+H10</f>
        <v>2292.93</v>
      </c>
      <c r="J10" s="77" t="n">
        <f aca="false">IF(L10&gt;0,L10,0)</f>
        <v>385.115940494201</v>
      </c>
      <c r="K10" s="53" t="n">
        <f aca="false">I10+J10</f>
        <v>2678.0459404942</v>
      </c>
      <c r="L10" s="53" t="n">
        <f aca="false">F10-(I10-W10)</f>
        <v>385.115940494201</v>
      </c>
      <c r="M10" s="53" t="n">
        <v>257.75</v>
      </c>
      <c r="N10" s="53" t="n">
        <f aca="false">(14.44+14.14)*1.05</f>
        <v>30.009</v>
      </c>
      <c r="O10" s="53" t="n">
        <f aca="false">M10-N10</f>
        <v>227.741</v>
      </c>
      <c r="P10" s="53" t="n">
        <v>136.26</v>
      </c>
      <c r="Q10" s="53" t="n">
        <v>82.21</v>
      </c>
      <c r="R10" s="53" t="n">
        <f aca="false">SUM(O10:Q10)</f>
        <v>446.211</v>
      </c>
      <c r="S10" s="54"/>
      <c r="T10" s="53" t="n">
        <v>79.38</v>
      </c>
      <c r="U10" s="53" t="n">
        <v>1964.1</v>
      </c>
      <c r="V10" s="54"/>
      <c r="W10" s="53" t="n">
        <f aca="false">R10+T10+N10+U10</f>
        <v>2519.7</v>
      </c>
      <c r="X10" s="53" t="n">
        <f aca="false">IF(L10&lt;0,L10*-1,0)</f>
        <v>0</v>
      </c>
      <c r="Y10" s="53" t="n">
        <f aca="false">W10+X10</f>
        <v>2519.7</v>
      </c>
      <c r="Z10" s="57" t="n">
        <v>1.07</v>
      </c>
      <c r="AA10" s="58" t="n">
        <v>80</v>
      </c>
      <c r="AB10" s="58" t="n">
        <v>52</v>
      </c>
      <c r="AC10" s="59" t="n">
        <v>1</v>
      </c>
      <c r="AD10" s="75" t="n">
        <v>14117</v>
      </c>
      <c r="AE10" s="78" t="n">
        <v>9322</v>
      </c>
      <c r="AF10" s="75" t="n">
        <v>1766.81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6924.11</v>
      </c>
      <c r="C11" s="54" t="n">
        <v>381653</v>
      </c>
      <c r="D11" s="58" t="n">
        <f aca="false">C11-C10</f>
        <v>-494</v>
      </c>
      <c r="E11" s="54" t="n">
        <f aca="false">C11-152000</f>
        <v>229653</v>
      </c>
      <c r="F11" s="53" t="n">
        <f aca="false">D11/$D$2</f>
        <v>-249.117498739284</v>
      </c>
      <c r="G11" s="53" t="n">
        <v>2073.76</v>
      </c>
      <c r="H11" s="55" t="n">
        <v>0</v>
      </c>
      <c r="I11" s="53" t="n">
        <f aca="false">G11+H11</f>
        <v>2073.76</v>
      </c>
      <c r="J11" s="77" t="n">
        <f aca="false">IF(L11&gt;0,L11,0)</f>
        <v>556.592501260716</v>
      </c>
      <c r="K11" s="53" t="n">
        <f aca="false">I11+J11</f>
        <v>2630.35250126072</v>
      </c>
      <c r="L11" s="53" t="n">
        <f aca="false">F11-(I11-W11)</f>
        <v>556.592501260716</v>
      </c>
      <c r="M11" s="53" t="n">
        <v>265.56</v>
      </c>
      <c r="N11" s="53" t="n">
        <f aca="false">(14+14.08)*1.05</f>
        <v>29.484</v>
      </c>
      <c r="O11" s="53" t="n">
        <f aca="false">M11-N11</f>
        <v>236.076</v>
      </c>
      <c r="P11" s="53" t="n">
        <v>136.3</v>
      </c>
      <c r="Q11" s="53" t="n">
        <v>82.02</v>
      </c>
      <c r="R11" s="53" t="n">
        <f aca="false">SUM(O11:Q11)</f>
        <v>454.396</v>
      </c>
      <c r="S11" s="54"/>
      <c r="T11" s="53" t="n">
        <v>128.81</v>
      </c>
      <c r="U11" s="53" t="n">
        <v>2266.78</v>
      </c>
      <c r="V11" s="54"/>
      <c r="W11" s="53" t="n">
        <f aca="false">R11+T11+N11+U11</f>
        <v>2879.47</v>
      </c>
      <c r="X11" s="53" t="n">
        <f aca="false">IF(L11&lt;0,L11*-1,0)</f>
        <v>0</v>
      </c>
      <c r="Y11" s="53" t="n">
        <f aca="false">W11+X11</f>
        <v>2879.47</v>
      </c>
      <c r="Z11" s="57" t="n">
        <v>0</v>
      </c>
      <c r="AA11" s="58" t="n">
        <v>76</v>
      </c>
      <c r="AB11" s="58" t="n">
        <v>48</v>
      </c>
      <c r="AC11" s="59" t="n">
        <f aca="false">AC10+1</f>
        <v>2</v>
      </c>
      <c r="AD11" s="75" t="n">
        <v>14582</v>
      </c>
      <c r="AE11" s="78" t="n">
        <v>9504</v>
      </c>
      <c r="AF11" s="75" t="n">
        <v>1804.29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6924.25</v>
      </c>
      <c r="C12" s="54" t="n">
        <v>382281</v>
      </c>
      <c r="D12" s="58" t="n">
        <f aca="false">C12-C11</f>
        <v>628</v>
      </c>
      <c r="E12" s="54" t="n">
        <f aca="false">C12-152000</f>
        <v>230281</v>
      </c>
      <c r="F12" s="53" t="n">
        <f aca="false">D12/$D$2</f>
        <v>316.691880988401</v>
      </c>
      <c r="G12" s="53" t="n">
        <v>1808.58</v>
      </c>
      <c r="H12" s="55" t="n">
        <v>0</v>
      </c>
      <c r="I12" s="53" t="n">
        <f aca="false">G12+H12</f>
        <v>1808.58</v>
      </c>
      <c r="J12" s="77" t="n">
        <f aca="false">IF(L12&gt;0,L12,0)</f>
        <v>591.551880988402</v>
      </c>
      <c r="K12" s="53" t="n">
        <f aca="false">I12+J12</f>
        <v>2400.1318809884</v>
      </c>
      <c r="L12" s="53" t="n">
        <f aca="false">F12-(I12-W12)</f>
        <v>591.551880988402</v>
      </c>
      <c r="M12" s="53" t="n">
        <v>280.05</v>
      </c>
      <c r="N12" s="53" t="n">
        <f aca="false">(16.18+14.47)*1.05</f>
        <v>32.1825</v>
      </c>
      <c r="O12" s="53" t="n">
        <f aca="false">M12-N12</f>
        <v>247.8675</v>
      </c>
      <c r="P12" s="53" t="n">
        <v>136.3</v>
      </c>
      <c r="Q12" s="53" t="n">
        <v>81.99</v>
      </c>
      <c r="R12" s="53" t="n">
        <f aca="false">SUM(O12:Q12)</f>
        <v>466.1575</v>
      </c>
      <c r="S12" s="54"/>
      <c r="T12" s="53" t="n">
        <v>128.09</v>
      </c>
      <c r="U12" s="53" t="n">
        <v>1457.01</v>
      </c>
      <c r="V12" s="54"/>
      <c r="W12" s="53" t="n">
        <f aca="false">R12+T12+N12+U12</f>
        <v>2083.44</v>
      </c>
      <c r="X12" s="53" t="n">
        <f aca="false">IF(L12&lt;0,L12*-1,0)</f>
        <v>0</v>
      </c>
      <c r="Y12" s="53" t="n">
        <f aca="false">W12+X12</f>
        <v>2083.44</v>
      </c>
      <c r="Z12" s="57" t="n">
        <v>0.21</v>
      </c>
      <c r="AA12" s="58" t="n">
        <v>76</v>
      </c>
      <c r="AB12" s="58" t="n">
        <v>47</v>
      </c>
      <c r="AC12" s="59" t="n">
        <f aca="false">AC11+1</f>
        <v>3</v>
      </c>
      <c r="AD12" s="75" t="n">
        <v>15094</v>
      </c>
      <c r="AE12" s="78" t="n">
        <v>9699</v>
      </c>
      <c r="AF12" s="75" t="n">
        <v>1842.13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6924.15</v>
      </c>
      <c r="C13" s="54" t="n">
        <v>381833</v>
      </c>
      <c r="D13" s="58" t="n">
        <f aca="false">C13-C12</f>
        <v>-448</v>
      </c>
      <c r="E13" s="54" t="n">
        <f aca="false">C13-152000</f>
        <v>229833</v>
      </c>
      <c r="F13" s="53" t="n">
        <f aca="false">D13/$D$2</f>
        <v>-225.920322743318</v>
      </c>
      <c r="G13" s="53" t="n">
        <v>1566.18</v>
      </c>
      <c r="H13" s="55" t="n">
        <v>0</v>
      </c>
      <c r="I13" s="53" t="n">
        <f aca="false">G13+H13</f>
        <v>1566.18</v>
      </c>
      <c r="J13" s="77" t="n">
        <f aca="false">IF(L13&gt;0,L13,0)</f>
        <v>131.399677256682</v>
      </c>
      <c r="K13" s="53" t="n">
        <f aca="false">I13+J13</f>
        <v>1697.57967725668</v>
      </c>
      <c r="L13" s="53" t="n">
        <f aca="false">F13-(I13-W13)</f>
        <v>131.399677256682</v>
      </c>
      <c r="M13" s="53" t="n">
        <v>273.04</v>
      </c>
      <c r="N13" s="53" t="n">
        <f aca="false">(14.49+15.98)*1.05</f>
        <v>31.9935</v>
      </c>
      <c r="O13" s="53" t="n">
        <f aca="false">M13-N13</f>
        <v>241.0465</v>
      </c>
      <c r="P13" s="53" t="n">
        <v>136.3</v>
      </c>
      <c r="Q13" s="53" t="n">
        <v>82.05</v>
      </c>
      <c r="R13" s="53" t="n">
        <f aca="false">SUM(O13:Q13)</f>
        <v>459.3965</v>
      </c>
      <c r="S13" s="54"/>
      <c r="T13" s="53" t="n">
        <v>125.11</v>
      </c>
      <c r="U13" s="53" t="n">
        <v>1307</v>
      </c>
      <c r="V13" s="54"/>
      <c r="W13" s="53" t="n">
        <f aca="false">R13+T13+N13+U13</f>
        <v>1923.5</v>
      </c>
      <c r="X13" s="53" t="n">
        <f aca="false">IF(L13&lt;0,L13*-1,0)</f>
        <v>0</v>
      </c>
      <c r="Y13" s="53" t="n">
        <f aca="false">W13+X13</f>
        <v>1923.5</v>
      </c>
      <c r="Z13" s="57" t="n">
        <v>0</v>
      </c>
      <c r="AA13" s="58" t="n">
        <v>70</v>
      </c>
      <c r="AB13" s="58" t="n">
        <v>40</v>
      </c>
      <c r="AC13" s="59" t="n">
        <f aca="false">AC12+1</f>
        <v>4</v>
      </c>
      <c r="AD13" s="75" t="n">
        <v>15565</v>
      </c>
      <c r="AE13" s="78" t="n">
        <v>9876</v>
      </c>
      <c r="AF13" s="75" t="n">
        <v>1859.79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6924.06</v>
      </c>
      <c r="C14" s="54" t="n">
        <v>381429</v>
      </c>
      <c r="D14" s="58" t="n">
        <f aca="false">C14-C13</f>
        <v>-404</v>
      </c>
      <c r="E14" s="54" t="n">
        <f aca="false">C14-152000</f>
        <v>229429</v>
      </c>
      <c r="F14" s="53" t="n">
        <f aca="false">D14/$D$2</f>
        <v>-203.731719616742</v>
      </c>
      <c r="G14" s="53" t="n">
        <v>1332.55</v>
      </c>
      <c r="H14" s="55" t="n">
        <v>0</v>
      </c>
      <c r="I14" s="53" t="n">
        <f aca="false">G14+H14</f>
        <v>1332.55</v>
      </c>
      <c r="J14" s="77" t="n">
        <f aca="false">IF(L14&gt;0,L14,0)</f>
        <v>0</v>
      </c>
      <c r="K14" s="53" t="n">
        <f aca="false">I14+J14</f>
        <v>1332.55</v>
      </c>
      <c r="L14" s="53" t="n">
        <f aca="false">F14-(I14-W14)</f>
        <v>-13.2017196167423</v>
      </c>
      <c r="M14" s="53" t="n">
        <v>266.6</v>
      </c>
      <c r="N14" s="53" t="n">
        <f aca="false">(14.8+14.83)*1.05</f>
        <v>31.1115</v>
      </c>
      <c r="O14" s="53" t="n">
        <f aca="false">M14-N14</f>
        <v>235.4885</v>
      </c>
      <c r="P14" s="53" t="n">
        <v>136.3</v>
      </c>
      <c r="Q14" s="53" t="n">
        <v>82.01</v>
      </c>
      <c r="R14" s="53" t="n">
        <f aca="false">SUM(O14:Q14)</f>
        <v>453.7985</v>
      </c>
      <c r="S14" s="54"/>
      <c r="T14" s="53" t="n">
        <v>142.07</v>
      </c>
      <c r="U14" s="53" t="n">
        <v>896.1</v>
      </c>
      <c r="V14" s="54"/>
      <c r="W14" s="53" t="n">
        <f aca="false">R14+T14+N14+U14</f>
        <v>1523.08</v>
      </c>
      <c r="X14" s="53" t="n">
        <f aca="false">IF(L14&lt;0,L14*-1,0)</f>
        <v>13.2017196167423</v>
      </c>
      <c r="Y14" s="53" t="n">
        <f aca="false">W14+X14</f>
        <v>1536.28171961674</v>
      </c>
      <c r="Z14" s="57" t="n">
        <v>0</v>
      </c>
      <c r="AA14" s="58" t="n">
        <v>80</v>
      </c>
      <c r="AB14" s="58" t="n">
        <v>44</v>
      </c>
      <c r="AC14" s="59" t="n">
        <f aca="false">AC13+1</f>
        <v>5</v>
      </c>
      <c r="AD14" s="75" t="n">
        <v>16027</v>
      </c>
      <c r="AE14" s="78" t="n">
        <v>10042</v>
      </c>
      <c r="AF14" s="75" t="n">
        <v>1917.1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6924.11</v>
      </c>
      <c r="C15" s="54" t="n">
        <v>381653</v>
      </c>
      <c r="D15" s="58" t="n">
        <f aca="false">C15-C14</f>
        <v>224</v>
      </c>
      <c r="E15" s="54" t="n">
        <f aca="false">C15-152000</f>
        <v>229653</v>
      </c>
      <c r="F15" s="53" t="n">
        <f aca="false">D15/$D$2</f>
        <v>112.960161371659</v>
      </c>
      <c r="G15" s="53" t="n">
        <v>1391.33</v>
      </c>
      <c r="H15" s="55" t="n">
        <v>0</v>
      </c>
      <c r="I15" s="53" t="n">
        <f aca="false">G15+H15</f>
        <v>1391.33</v>
      </c>
      <c r="J15" s="77" t="n">
        <f aca="false">IF(L15&gt;0,L15,0)</f>
        <v>177.100161371659</v>
      </c>
      <c r="K15" s="53" t="n">
        <f aca="false">I15+J15</f>
        <v>1568.43016137166</v>
      </c>
      <c r="L15" s="53" t="n">
        <f aca="false">F15-(I15-W15)</f>
        <v>177.100161371659</v>
      </c>
      <c r="M15" s="53" t="n">
        <v>267.51</v>
      </c>
      <c r="N15" s="53" t="n">
        <f aca="false">(14.51+15.19)*1.05</f>
        <v>31.185</v>
      </c>
      <c r="O15" s="53" t="n">
        <f aca="false">M15-N15</f>
        <v>236.325</v>
      </c>
      <c r="P15" s="53" t="n">
        <v>136.3</v>
      </c>
      <c r="Q15" s="53" t="n">
        <v>81.9</v>
      </c>
      <c r="R15" s="53" t="n">
        <f aca="false">SUM(O15:Q15)</f>
        <v>454.525</v>
      </c>
      <c r="S15" s="54"/>
      <c r="T15" s="53" t="n">
        <v>156.32</v>
      </c>
      <c r="U15" s="53" t="n">
        <v>813.44</v>
      </c>
      <c r="V15" s="54"/>
      <c r="W15" s="53" t="n">
        <f aca="false">R15+T15+N15+U15</f>
        <v>1455.47</v>
      </c>
      <c r="X15" s="53" t="n">
        <f aca="false">IF(L15&lt;0,L15*-1,0)</f>
        <v>0</v>
      </c>
      <c r="Y15" s="53" t="n">
        <f aca="false">W15+X15</f>
        <v>1455.47</v>
      </c>
      <c r="Z15" s="57" t="n">
        <v>0</v>
      </c>
      <c r="AA15" s="58" t="n">
        <v>88</v>
      </c>
      <c r="AB15" s="58" t="n">
        <v>50</v>
      </c>
      <c r="AC15" s="59" t="n">
        <f aca="false">AC14+1</f>
        <v>6</v>
      </c>
      <c r="AD15" s="74" t="n">
        <v>16542</v>
      </c>
      <c r="AE15" s="78" t="n">
        <v>10224</v>
      </c>
      <c r="AF15" s="75" t="n">
        <v>1954.03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6924.19</v>
      </c>
      <c r="C16" s="54" t="n">
        <v>382012</v>
      </c>
      <c r="D16" s="58" t="n">
        <f aca="false">C16-C15</f>
        <v>359</v>
      </c>
      <c r="E16" s="54" t="n">
        <f aca="false">C16-152000</f>
        <v>230012</v>
      </c>
      <c r="F16" s="53" t="n">
        <f aca="false">D16/$D$2</f>
        <v>181.038830055472</v>
      </c>
      <c r="G16" s="53" t="n">
        <v>1507.2</v>
      </c>
      <c r="H16" s="55" t="n">
        <v>0</v>
      </c>
      <c r="I16" s="53" t="n">
        <f aca="false">G16+H16</f>
        <v>1507.2</v>
      </c>
      <c r="J16" s="77" t="n">
        <f aca="false">IF(L16&gt;0,L16,0)</f>
        <v>231.088830055471</v>
      </c>
      <c r="K16" s="53" t="n">
        <f aca="false">I16+J16</f>
        <v>1738.28883005547</v>
      </c>
      <c r="L16" s="53" t="n">
        <f aca="false">F16-(I16-W16)</f>
        <v>231.088830055471</v>
      </c>
      <c r="M16" s="53" t="n">
        <v>287.34</v>
      </c>
      <c r="N16" s="53" t="n">
        <f aca="false">(17.4+17.17)*1.05</f>
        <v>36.2985</v>
      </c>
      <c r="O16" s="53" t="n">
        <f aca="false">M16-N16</f>
        <v>251.0415</v>
      </c>
      <c r="P16" s="53" t="n">
        <v>136.3</v>
      </c>
      <c r="Q16" s="53" t="n">
        <v>81.93</v>
      </c>
      <c r="R16" s="53" t="n">
        <f aca="false">SUM(O16:Q16)</f>
        <v>469.2715</v>
      </c>
      <c r="S16" s="54"/>
      <c r="T16" s="53" t="n">
        <v>173.24</v>
      </c>
      <c r="U16" s="53" t="n">
        <v>878.44</v>
      </c>
      <c r="V16" s="54"/>
      <c r="W16" s="53" t="n">
        <f aca="false">R16+T16+N16+U16</f>
        <v>1557.25</v>
      </c>
      <c r="X16" s="53" t="n">
        <f aca="false">IF(L16&lt;0,L16*-1,0)</f>
        <v>0</v>
      </c>
      <c r="Y16" s="53" t="n">
        <f aca="false">W16+X16</f>
        <v>1557.25</v>
      </c>
      <c r="Z16" s="57" t="n">
        <v>0</v>
      </c>
      <c r="AA16" s="58" t="n">
        <v>90</v>
      </c>
      <c r="AB16" s="58" t="n">
        <v>45</v>
      </c>
      <c r="AC16" s="59" t="n">
        <f aca="false">AC15+1</f>
        <v>7</v>
      </c>
      <c r="AD16" s="74" t="n">
        <v>17072</v>
      </c>
      <c r="AE16" s="78" t="n">
        <v>10417</v>
      </c>
      <c r="AF16" s="75" t="n">
        <v>1992.84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6924.22</v>
      </c>
      <c r="C17" s="54" t="n">
        <v>382148</v>
      </c>
      <c r="D17" s="58" t="n">
        <f aca="false">C17-C16</f>
        <v>136</v>
      </c>
      <c r="E17" s="54" t="n">
        <f aca="false">C17-152000</f>
        <v>230148</v>
      </c>
      <c r="F17" s="53" t="n">
        <f aca="false">D17/$D$2</f>
        <v>68.5829551185073</v>
      </c>
      <c r="G17" s="53" t="n">
        <v>1461.42</v>
      </c>
      <c r="H17" s="55" t="n">
        <v>0</v>
      </c>
      <c r="I17" s="53" t="n">
        <f aca="false">G17+H17</f>
        <v>1461.42</v>
      </c>
      <c r="J17" s="77" t="n">
        <f aca="false">IF(L17&gt;0,L17,0)</f>
        <v>221.902955118507</v>
      </c>
      <c r="K17" s="53" t="n">
        <f aca="false">I17+J17</f>
        <v>1683.32295511851</v>
      </c>
      <c r="L17" s="53" t="n">
        <f aca="false">F17-(I17-W17)</f>
        <v>221.902955118507</v>
      </c>
      <c r="M17" s="53" t="n">
        <v>291.77</v>
      </c>
      <c r="N17" s="53" t="n">
        <f aca="false">(19.79+19.88)*1.05</f>
        <v>41.6535</v>
      </c>
      <c r="O17" s="53" t="n">
        <f aca="false">M17-N17</f>
        <v>250.1165</v>
      </c>
      <c r="P17" s="53" t="n">
        <v>136.3</v>
      </c>
      <c r="Q17" s="53" t="n">
        <v>81.84</v>
      </c>
      <c r="R17" s="53" t="n">
        <f aca="false">SUM(O17:Q17)</f>
        <v>468.2565</v>
      </c>
      <c r="S17" s="54"/>
      <c r="T17" s="53" t="n">
        <v>178.34</v>
      </c>
      <c r="U17" s="53" t="n">
        <v>926.49</v>
      </c>
      <c r="V17" s="54"/>
      <c r="W17" s="53" t="n">
        <f aca="false">R17+T17+N17+U17</f>
        <v>1614.74</v>
      </c>
      <c r="X17" s="53" t="n">
        <f aca="false">IF(L17&lt;0,L17*-1,0)</f>
        <v>0</v>
      </c>
      <c r="Y17" s="53" t="n">
        <f aca="false">W17+X17</f>
        <v>1614.74</v>
      </c>
      <c r="Z17" s="57" t="n">
        <v>0</v>
      </c>
      <c r="AA17" s="58" t="n">
        <v>92</v>
      </c>
      <c r="AB17" s="58" t="n">
        <v>52</v>
      </c>
      <c r="AC17" s="59" t="n">
        <f aca="false">AC16+1</f>
        <v>8</v>
      </c>
      <c r="AD17" s="74" t="n">
        <v>17504</v>
      </c>
      <c r="AE17" s="78" t="n">
        <v>10583</v>
      </c>
      <c r="AF17" s="75" t="n">
        <v>2020.67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6924.25</v>
      </c>
      <c r="C18" s="54" t="n">
        <v>382282</v>
      </c>
      <c r="D18" s="58" t="n">
        <f aca="false">C18-C17</f>
        <v>134</v>
      </c>
      <c r="E18" s="54" t="n">
        <f aca="false">C18-152000</f>
        <v>230282</v>
      </c>
      <c r="F18" s="53" t="n">
        <f aca="false">D18/$D$2</f>
        <v>67.5743822491175</v>
      </c>
      <c r="G18" s="53" t="n">
        <v>1482.61</v>
      </c>
      <c r="H18" s="55" t="n">
        <v>0</v>
      </c>
      <c r="I18" s="53" t="n">
        <f aca="false">G18+H18</f>
        <v>1482.61</v>
      </c>
      <c r="J18" s="77" t="n">
        <f aca="false">IF(L18&gt;0,L18,0)</f>
        <v>164.374382249117</v>
      </c>
      <c r="K18" s="53" t="n">
        <f aca="false">I18+J18</f>
        <v>1646.98438224912</v>
      </c>
      <c r="L18" s="53" t="n">
        <f aca="false">F18-(I18-W18)</f>
        <v>164.374382249117</v>
      </c>
      <c r="M18" s="53" t="n">
        <v>297.71</v>
      </c>
      <c r="N18" s="53" t="n">
        <f aca="false">(15.26+15.66)*1.05</f>
        <v>32.466</v>
      </c>
      <c r="O18" s="53" t="n">
        <f aca="false">M18-N18</f>
        <v>265.244</v>
      </c>
      <c r="P18" s="53" t="n">
        <v>136.3</v>
      </c>
      <c r="Q18" s="53" t="n">
        <v>81.96</v>
      </c>
      <c r="R18" s="53" t="n">
        <f aca="false">SUM(O18:Q18)</f>
        <v>483.504</v>
      </c>
      <c r="S18" s="54"/>
      <c r="T18" s="53" t="n">
        <v>172.41</v>
      </c>
      <c r="U18" s="53" t="n">
        <v>891.03</v>
      </c>
      <c r="V18" s="54"/>
      <c r="W18" s="53" t="n">
        <f aca="false">R18+T18+N18+U18</f>
        <v>1579.41</v>
      </c>
      <c r="X18" s="53" t="n">
        <f aca="false">IF(L18&lt;0,L18*-1,0)</f>
        <v>0</v>
      </c>
      <c r="Y18" s="53" t="n">
        <f aca="false">W18+X18</f>
        <v>1579.41</v>
      </c>
      <c r="Z18" s="57" t="n">
        <v>0</v>
      </c>
      <c r="AA18" s="86" t="n">
        <v>92</v>
      </c>
      <c r="AB18" s="58" t="n">
        <v>58</v>
      </c>
      <c r="AC18" s="59" t="n">
        <f aca="false">AC17+1</f>
        <v>9</v>
      </c>
      <c r="AD18" s="74" t="n">
        <v>17966</v>
      </c>
      <c r="AE18" s="78" t="n">
        <v>10763</v>
      </c>
      <c r="AF18" s="75" t="n">
        <v>2048.09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6924.17</v>
      </c>
      <c r="C19" s="54" t="n">
        <v>381922</v>
      </c>
      <c r="D19" s="58" t="n">
        <f aca="false">C19-C18</f>
        <v>-360</v>
      </c>
      <c r="E19" s="54" t="n">
        <f aca="false">C19-152000</f>
        <v>229922</v>
      </c>
      <c r="F19" s="53" t="n">
        <f aca="false">D19/$D$2</f>
        <v>-181.543116490166</v>
      </c>
      <c r="G19" s="53" t="n">
        <v>1561.3</v>
      </c>
      <c r="H19" s="55" t="n">
        <v>0</v>
      </c>
      <c r="I19" s="53" t="n">
        <f aca="false">G19+H19</f>
        <v>1561.3</v>
      </c>
      <c r="J19" s="77" t="n">
        <f aca="false">IF(L19&gt;0,L19,0)</f>
        <v>240.636883509834</v>
      </c>
      <c r="K19" s="53" t="n">
        <f aca="false">I19+J19</f>
        <v>1801.93688350983</v>
      </c>
      <c r="L19" s="53" t="n">
        <f aca="false">F19-(I19-W19)</f>
        <v>240.636883509834</v>
      </c>
      <c r="M19" s="53" t="n">
        <v>320.28</v>
      </c>
      <c r="N19" s="53" t="n">
        <f aca="false">(15.26+15.67)*1.05</f>
        <v>32.4765</v>
      </c>
      <c r="O19" s="53" t="n">
        <f aca="false">M19-N19</f>
        <v>287.8035</v>
      </c>
      <c r="P19" s="53" t="n">
        <v>400</v>
      </c>
      <c r="Q19" s="53" t="n">
        <v>83.71</v>
      </c>
      <c r="R19" s="53" t="n">
        <f aca="false">SUM(O19:Q19)</f>
        <v>771.5135</v>
      </c>
      <c r="S19" s="54"/>
      <c r="T19" s="53" t="n">
        <v>190.75</v>
      </c>
      <c r="U19" s="53" t="n">
        <v>988.74</v>
      </c>
      <c r="V19" s="54"/>
      <c r="W19" s="53" t="n">
        <f aca="false">R19+T19+N19+U19</f>
        <v>1983.48</v>
      </c>
      <c r="X19" s="53" t="n">
        <f aca="false">IF(L19&lt;0,L19*-1,0)</f>
        <v>0</v>
      </c>
      <c r="Y19" s="53" t="n">
        <f aca="false">W19+X19</f>
        <v>1983.48</v>
      </c>
      <c r="Z19" s="57" t="n">
        <v>0</v>
      </c>
      <c r="AA19" s="58" t="n">
        <v>91</v>
      </c>
      <c r="AB19" s="58" t="n">
        <v>60</v>
      </c>
      <c r="AC19" s="59" t="n">
        <f aca="false">AC18+1</f>
        <v>10</v>
      </c>
      <c r="AD19" s="74" t="n">
        <v>18428</v>
      </c>
      <c r="AE19" s="78" t="n">
        <v>10941</v>
      </c>
      <c r="AF19" s="75" t="n">
        <v>2067.19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6924.05</v>
      </c>
      <c r="C20" s="54" t="n">
        <v>381383</v>
      </c>
      <c r="D20" s="58" t="n">
        <f aca="false">C20-C19</f>
        <v>-539</v>
      </c>
      <c r="E20" s="54" t="n">
        <f aca="false">C20-152000</f>
        <v>229383</v>
      </c>
      <c r="F20" s="53" t="n">
        <f aca="false">D20/$D$2</f>
        <v>-271.810388300555</v>
      </c>
      <c r="G20" s="53" t="n">
        <v>1404.47</v>
      </c>
      <c r="H20" s="55" t="n">
        <v>0</v>
      </c>
      <c r="I20" s="53" t="n">
        <f aca="false">G20+H20</f>
        <v>1404.47</v>
      </c>
      <c r="J20" s="77" t="n">
        <f aca="false">IF(L20&gt;0,L20,0)</f>
        <v>204.259611699445</v>
      </c>
      <c r="K20" s="53" t="n">
        <f aca="false">I20+J20</f>
        <v>1608.72961169945</v>
      </c>
      <c r="L20" s="53" t="n">
        <f aca="false">F20-(I20-W20)</f>
        <v>204.259611699445</v>
      </c>
      <c r="M20" s="53" t="n">
        <v>336.8</v>
      </c>
      <c r="N20" s="53" t="n">
        <f aca="false">(16.96+16.15)*1.05</f>
        <v>34.7655</v>
      </c>
      <c r="O20" s="53" t="n">
        <f aca="false">M20-N20</f>
        <v>302.0345</v>
      </c>
      <c r="P20" s="53" t="n">
        <v>400</v>
      </c>
      <c r="Q20" s="53" t="n">
        <v>84.62</v>
      </c>
      <c r="R20" s="53" t="n">
        <f aca="false">SUM(O20:Q20)</f>
        <v>786.6545</v>
      </c>
      <c r="S20" s="54"/>
      <c r="T20" s="53" t="n">
        <v>230.64</v>
      </c>
      <c r="U20" s="53" t="n">
        <v>828.48</v>
      </c>
      <c r="V20" s="54"/>
      <c r="W20" s="53" t="n">
        <f aca="false">R20+T20+N20+U20</f>
        <v>1880.54</v>
      </c>
      <c r="X20" s="53" t="n">
        <f aca="false">IF(L20&lt;0,L20*-1,0)</f>
        <v>0</v>
      </c>
      <c r="Y20" s="53" t="n">
        <f aca="false">W20+X20</f>
        <v>1880.54</v>
      </c>
      <c r="Z20" s="57" t="n">
        <v>0</v>
      </c>
      <c r="AA20" s="58" t="n">
        <v>90</v>
      </c>
      <c r="AB20" s="58" t="n">
        <v>61</v>
      </c>
      <c r="AC20" s="59" t="n">
        <f aca="false">AC19+1</f>
        <v>11</v>
      </c>
      <c r="AD20" s="74" t="n">
        <v>18870</v>
      </c>
      <c r="AE20" s="78" t="n">
        <v>11125</v>
      </c>
      <c r="AF20" s="75" t="n">
        <v>2084.88</v>
      </c>
      <c r="AG20" s="99"/>
      <c r="AH20" s="99"/>
      <c r="AI20" s="99"/>
    </row>
    <row r="21" customFormat="false" ht="11.1" hidden="false" customHeight="true" outlineLevel="0" collapsed="false">
      <c r="A21" s="59" t="n">
        <f aca="false">A20+1</f>
        <v>12</v>
      </c>
      <c r="B21" s="76" t="n">
        <v>6923.95</v>
      </c>
      <c r="C21" s="54" t="n">
        <v>380938</v>
      </c>
      <c r="D21" s="58" t="n">
        <f aca="false">C21-C20</f>
        <v>-445</v>
      </c>
      <c r="E21" s="54" t="n">
        <f aca="false">C21-152000</f>
        <v>228938</v>
      </c>
      <c r="F21" s="53" t="n">
        <f aca="false">D21/$D$2</f>
        <v>-224.407463439233</v>
      </c>
      <c r="G21" s="53" t="n">
        <v>1329.47</v>
      </c>
      <c r="H21" s="55" t="n">
        <v>0</v>
      </c>
      <c r="I21" s="53" t="n">
        <f aca="false">G21+H21</f>
        <v>1329.47</v>
      </c>
      <c r="J21" s="77" t="n">
        <f aca="false">IF(L21&gt;0,L21,0)</f>
        <v>168.502536560767</v>
      </c>
      <c r="K21" s="53" t="n">
        <f aca="false">I21+J21</f>
        <v>1497.97253656077</v>
      </c>
      <c r="L21" s="53" t="n">
        <f aca="false">F21-(I21-W21)</f>
        <v>168.502536560767</v>
      </c>
      <c r="M21" s="53" t="n">
        <v>337.14</v>
      </c>
      <c r="N21" s="53" t="n">
        <f aca="false">(16.34+16.35)*1.05</f>
        <v>34.3245</v>
      </c>
      <c r="O21" s="53" t="n">
        <f aca="false">M21-N21</f>
        <v>302.8155</v>
      </c>
      <c r="P21" s="53" t="n">
        <v>400</v>
      </c>
      <c r="Q21" s="53" t="n">
        <v>84.68</v>
      </c>
      <c r="R21" s="53" t="n">
        <f aca="false">SUM(O21:Q21)</f>
        <v>787.4955</v>
      </c>
      <c r="S21" s="54"/>
      <c r="T21" s="53" t="n">
        <v>223.97</v>
      </c>
      <c r="U21" s="53" t="n">
        <v>676.59</v>
      </c>
      <c r="V21" s="54"/>
      <c r="W21" s="53" t="n">
        <f aca="false">R21+T21+N21+U21</f>
        <v>1722.38</v>
      </c>
      <c r="X21" s="53" t="n">
        <f aca="false">IF(L21&lt;0,L21*-1,0)</f>
        <v>0</v>
      </c>
      <c r="Y21" s="53" t="n">
        <f aca="false">W21+X21</f>
        <v>1722.38</v>
      </c>
      <c r="Z21" s="57" t="n">
        <v>0</v>
      </c>
      <c r="AA21" s="58" t="n">
        <v>89</v>
      </c>
      <c r="AB21" s="58" t="n">
        <v>60</v>
      </c>
      <c r="AC21" s="59" t="n">
        <f aca="false">AC20+1</f>
        <v>12</v>
      </c>
      <c r="AD21" s="74" t="n">
        <v>19293</v>
      </c>
      <c r="AE21" s="74" t="n">
        <v>11305</v>
      </c>
      <c r="AF21" s="74" t="n">
        <v>2107.07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6923.92</v>
      </c>
      <c r="C22" s="54" t="n">
        <v>380804</v>
      </c>
      <c r="D22" s="58" t="n">
        <f aca="false">C22-C21</f>
        <v>-134</v>
      </c>
      <c r="E22" s="54" t="n">
        <f aca="false">C22-152000</f>
        <v>228804</v>
      </c>
      <c r="F22" s="53" t="n">
        <f aca="false">D22/$D$2</f>
        <v>-67.5743822491175</v>
      </c>
      <c r="G22" s="53" t="n">
        <v>1229.07</v>
      </c>
      <c r="H22" s="55" t="n">
        <v>0</v>
      </c>
      <c r="I22" s="53" t="n">
        <f aca="false">G22+H22</f>
        <v>1229.07</v>
      </c>
      <c r="J22" s="77" t="n">
        <f aca="false">IF(L22&gt;0,L22,0)</f>
        <v>333.165617750883</v>
      </c>
      <c r="K22" s="53" t="n">
        <f aca="false">I22+J22</f>
        <v>1562.23561775088</v>
      </c>
      <c r="L22" s="53" t="n">
        <f aca="false">F22-(I22-W22)</f>
        <v>333.165617750883</v>
      </c>
      <c r="M22" s="53" t="n">
        <v>323.61</v>
      </c>
      <c r="N22" s="53" t="n">
        <f aca="false">(17.59+18.4)*1.05</f>
        <v>37.7895</v>
      </c>
      <c r="O22" s="53" t="n">
        <f aca="false">M22-N22</f>
        <v>285.8205</v>
      </c>
      <c r="P22" s="53" t="n">
        <v>401.64</v>
      </c>
      <c r="Q22" s="53" t="n">
        <v>84.58</v>
      </c>
      <c r="R22" s="53" t="n">
        <f aca="false">SUM(O22:Q22)</f>
        <v>772.0405</v>
      </c>
      <c r="S22" s="54"/>
      <c r="T22" s="53" t="n">
        <v>219.04</v>
      </c>
      <c r="U22" s="53" t="n">
        <v>600.94</v>
      </c>
      <c r="V22" s="54"/>
      <c r="W22" s="53" t="n">
        <f aca="false">R22+T22+N22+U22</f>
        <v>1629.81</v>
      </c>
      <c r="X22" s="53" t="n">
        <f aca="false">IF(L22&lt;0,L22*-1,0)</f>
        <v>0</v>
      </c>
      <c r="Y22" s="53" t="n">
        <f aca="false">W22+X22</f>
        <v>1629.81</v>
      </c>
      <c r="Z22" s="57" t="n">
        <v>0.8</v>
      </c>
      <c r="AA22" s="58" t="n">
        <v>85</v>
      </c>
      <c r="AB22" s="58" t="n">
        <v>54</v>
      </c>
      <c r="AC22" s="59" t="n">
        <f aca="false">AC21+1</f>
        <v>13</v>
      </c>
      <c r="AD22" s="74" t="n">
        <v>19704</v>
      </c>
      <c r="AE22" s="74" t="n">
        <v>11483</v>
      </c>
      <c r="AF22" s="74" t="n">
        <v>2132.08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6923.99</v>
      </c>
      <c r="C23" s="54" t="n">
        <v>381117</v>
      </c>
      <c r="D23" s="58" t="n">
        <f aca="false">C23-C22</f>
        <v>313</v>
      </c>
      <c r="E23" s="54" t="n">
        <f aca="false">C23-152000</f>
        <v>229117</v>
      </c>
      <c r="F23" s="53" t="n">
        <f aca="false">D23/$D$2</f>
        <v>157.841654059506</v>
      </c>
      <c r="G23" s="53" t="n">
        <v>1388.04</v>
      </c>
      <c r="H23" s="55" t="n">
        <v>0</v>
      </c>
      <c r="I23" s="53" t="n">
        <f aca="false">G23+H23</f>
        <v>1388.04</v>
      </c>
      <c r="J23" s="77" t="n">
        <f aca="false">IF(L23&gt;0,L23,0)</f>
        <v>131.901654059506</v>
      </c>
      <c r="K23" s="53" t="n">
        <f aca="false">I23+J23</f>
        <v>1519.94165405951</v>
      </c>
      <c r="L23" s="53" t="n">
        <f aca="false">F23-(I23-W23)</f>
        <v>131.901654059506</v>
      </c>
      <c r="M23" s="53" t="n">
        <v>273.93</v>
      </c>
      <c r="N23" s="53" t="n">
        <f aca="false">(20.05+20.01)*1.05</f>
        <v>42.063</v>
      </c>
      <c r="O23" s="53" t="n">
        <f aca="false">M23-N23</f>
        <v>231.867</v>
      </c>
      <c r="P23" s="53" t="n">
        <v>400.47</v>
      </c>
      <c r="Q23" s="53" t="n">
        <v>84.78</v>
      </c>
      <c r="R23" s="53" t="n">
        <f aca="false">SUM(O23:Q23)</f>
        <v>717.117</v>
      </c>
      <c r="S23" s="54"/>
      <c r="T23" s="53" t="n">
        <v>208.35</v>
      </c>
      <c r="U23" s="53" t="n">
        <v>394.57</v>
      </c>
      <c r="V23" s="54"/>
      <c r="W23" s="53" t="n">
        <f aca="false">R23+T23+N23+U23</f>
        <v>1362.1</v>
      </c>
      <c r="X23" s="53" t="n">
        <f aca="false">IF(L23&lt;0,L23*-1,0)</f>
        <v>0</v>
      </c>
      <c r="Y23" s="53" t="n">
        <f aca="false">W23+X23</f>
        <v>1362.1</v>
      </c>
      <c r="Z23" s="57" t="n">
        <v>0</v>
      </c>
      <c r="AA23" s="86" t="n">
        <v>83</v>
      </c>
      <c r="AB23" s="58" t="n">
        <v>55</v>
      </c>
      <c r="AC23" s="59" t="n">
        <f aca="false">AC22+1</f>
        <v>14</v>
      </c>
      <c r="AD23" s="74" t="n">
        <v>20107</v>
      </c>
      <c r="AE23" s="74" t="n">
        <v>11662</v>
      </c>
      <c r="AF23" s="74" t="n">
        <v>2155.29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6924.03</v>
      </c>
      <c r="C24" s="54" t="n">
        <v>381294</v>
      </c>
      <c r="D24" s="58" t="n">
        <f aca="false">C24-C23</f>
        <v>177</v>
      </c>
      <c r="E24" s="54" t="n">
        <f aca="false">C24-152000</f>
        <v>229294</v>
      </c>
      <c r="F24" s="53" t="n">
        <f aca="false">D24/$D$2</f>
        <v>89.2586989409985</v>
      </c>
      <c r="G24" s="53" t="n">
        <v>1116.6</v>
      </c>
      <c r="H24" s="55" t="n">
        <v>0</v>
      </c>
      <c r="I24" s="53" t="n">
        <f aca="false">G24+H24</f>
        <v>1116.6</v>
      </c>
      <c r="J24" s="77" t="n">
        <f aca="false">IF(L24&gt;0,L24,0)</f>
        <v>142.588698940999</v>
      </c>
      <c r="K24" s="53" t="n">
        <f aca="false">I24+J24</f>
        <v>1259.188698941</v>
      </c>
      <c r="L24" s="53" t="n">
        <f aca="false">F24-(I24-W24)</f>
        <v>142.588698940999</v>
      </c>
      <c r="M24" s="53" t="n">
        <v>287.55</v>
      </c>
      <c r="N24" s="53" t="n">
        <f aca="false">(17.93+17.36)*1.05</f>
        <v>37.0545</v>
      </c>
      <c r="O24" s="53" t="n">
        <f aca="false">M24-N24</f>
        <v>250.4955</v>
      </c>
      <c r="P24" s="53" t="n">
        <v>197.6</v>
      </c>
      <c r="Q24" s="53" t="n">
        <v>87.21</v>
      </c>
      <c r="R24" s="53" t="n">
        <f aca="false">SUM(O24:Q24)</f>
        <v>535.3055</v>
      </c>
      <c r="S24" s="54"/>
      <c r="T24" s="53" t="n">
        <v>214.56</v>
      </c>
      <c r="U24" s="53" t="n">
        <v>383.01</v>
      </c>
      <c r="V24" s="54"/>
      <c r="W24" s="53" t="n">
        <f aca="false">R24+T24+N24+U24</f>
        <v>1169.93</v>
      </c>
      <c r="X24" s="53" t="n">
        <f aca="false">IF(L24&lt;0,L24*-1,0)</f>
        <v>0</v>
      </c>
      <c r="Y24" s="53" t="n">
        <f aca="false">W24+X24</f>
        <v>1169.93</v>
      </c>
      <c r="Z24" s="57" t="n">
        <v>0</v>
      </c>
      <c r="AA24" s="86" t="n">
        <v>86</v>
      </c>
      <c r="AB24" s="58" t="n">
        <v>54</v>
      </c>
      <c r="AC24" s="59" t="n">
        <f aca="false">AC23+1</f>
        <v>15</v>
      </c>
      <c r="AD24" s="74" t="n">
        <v>20490</v>
      </c>
      <c r="AE24" s="74" t="n">
        <v>11839</v>
      </c>
      <c r="AF24" s="74" t="n">
        <v>2183.36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6924.03</v>
      </c>
      <c r="C25" s="54" t="n">
        <v>381294</v>
      </c>
      <c r="D25" s="58" t="n">
        <f aca="false">C25-C24</f>
        <v>0</v>
      </c>
      <c r="E25" s="54" t="n">
        <f aca="false">C25-152000</f>
        <v>229294</v>
      </c>
      <c r="F25" s="53" t="n">
        <f aca="false">D25/$D$2</f>
        <v>0</v>
      </c>
      <c r="G25" s="53" t="n">
        <v>998.11</v>
      </c>
      <c r="H25" s="55" t="n">
        <v>0</v>
      </c>
      <c r="I25" s="53" t="n">
        <f aca="false">G25+H25</f>
        <v>998.11</v>
      </c>
      <c r="J25" s="77" t="n">
        <f aca="false">IF(L25&gt;0,L25,0)</f>
        <v>0</v>
      </c>
      <c r="K25" s="53" t="n">
        <f aca="false">I25+J25</f>
        <v>998.11</v>
      </c>
      <c r="L25" s="53" t="n">
        <f aca="false">F25-(I25-W25)</f>
        <v>-33.98</v>
      </c>
      <c r="M25" s="53" t="n">
        <v>275.4</v>
      </c>
      <c r="N25" s="53" t="n">
        <f aca="false">(16.32+16.88)*1.05</f>
        <v>34.86</v>
      </c>
      <c r="O25" s="53" t="n">
        <f aca="false">M25-N25</f>
        <v>240.54</v>
      </c>
      <c r="P25" s="53" t="n">
        <v>145.77</v>
      </c>
      <c r="Q25" s="53" t="n">
        <v>87.95</v>
      </c>
      <c r="R25" s="53" t="n">
        <f aca="false">SUM(O25:Q25)</f>
        <v>474.26</v>
      </c>
      <c r="S25" s="54"/>
      <c r="T25" s="53" t="n">
        <v>205.03</v>
      </c>
      <c r="U25" s="53" t="n">
        <v>249.98</v>
      </c>
      <c r="V25" s="54"/>
      <c r="W25" s="53" t="n">
        <f aca="false">R25+T25+N25+U25</f>
        <v>964.13</v>
      </c>
      <c r="X25" s="53" t="n">
        <f aca="false">IF(L25&lt;0,L25*-1,0)</f>
        <v>33.98</v>
      </c>
      <c r="Y25" s="53" t="n">
        <f aca="false">W25+X25</f>
        <v>998.11</v>
      </c>
      <c r="Z25" s="57" t="n">
        <v>0</v>
      </c>
      <c r="AA25" s="86" t="n">
        <v>84</v>
      </c>
      <c r="AB25" s="58" t="n">
        <v>54</v>
      </c>
      <c r="AC25" s="59" t="n">
        <f aca="false">AC24+1</f>
        <v>16</v>
      </c>
      <c r="AD25" s="74" t="n">
        <v>20872</v>
      </c>
      <c r="AE25" s="74" t="n">
        <v>12016</v>
      </c>
      <c r="AF25" s="74" t="n">
        <v>2221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6924.12</v>
      </c>
      <c r="C26" s="54" t="n">
        <v>381699</v>
      </c>
      <c r="D26" s="58" t="n">
        <f aca="false">C26-C25</f>
        <v>405</v>
      </c>
      <c r="E26" s="54" t="n">
        <f aca="false">C26-152000</f>
        <v>229699</v>
      </c>
      <c r="F26" s="53" t="n">
        <f aca="false">D26/$D$2</f>
        <v>204.236006051437</v>
      </c>
      <c r="G26" s="53" t="n">
        <v>938.26</v>
      </c>
      <c r="H26" s="55" t="n">
        <v>0</v>
      </c>
      <c r="I26" s="53" t="n">
        <f aca="false">G26+H26</f>
        <v>938.26</v>
      </c>
      <c r="J26" s="77" t="n">
        <f aca="false">IF(L26&gt;0,L26,0)</f>
        <v>161.846006051437</v>
      </c>
      <c r="K26" s="53" t="n">
        <f aca="false">I26+J26</f>
        <v>1100.10600605144</v>
      </c>
      <c r="L26" s="53" t="n">
        <f aca="false">F26-(I26-W26)</f>
        <v>161.846006051437</v>
      </c>
      <c r="M26" s="53" t="n">
        <v>263.2</v>
      </c>
      <c r="N26" s="53" t="n">
        <f aca="false">(16.08+16.23)*1.05</f>
        <v>33.9255</v>
      </c>
      <c r="O26" s="53" t="n">
        <f aca="false">M26-N26</f>
        <v>229.2745</v>
      </c>
      <c r="P26" s="53" t="n">
        <v>146.13</v>
      </c>
      <c r="Q26" s="53" t="n">
        <v>87.99</v>
      </c>
      <c r="R26" s="53" t="n">
        <f aca="false">SUM(O26:Q26)</f>
        <v>463.3945</v>
      </c>
      <c r="S26" s="54"/>
      <c r="T26" s="53" t="n">
        <v>199.06</v>
      </c>
      <c r="U26" s="53" t="n">
        <v>199.49</v>
      </c>
      <c r="V26" s="54"/>
      <c r="W26" s="53" t="n">
        <f aca="false">R26+T26+N26+U26</f>
        <v>895.87</v>
      </c>
      <c r="X26" s="53" t="n">
        <f aca="false">IF(L26&lt;0,L26*-1,0)</f>
        <v>0</v>
      </c>
      <c r="Y26" s="53" t="n">
        <f aca="false">W26+X26</f>
        <v>895.87</v>
      </c>
      <c r="Z26" s="57" t="n">
        <v>0.14</v>
      </c>
      <c r="AA26" s="86" t="n">
        <v>69</v>
      </c>
      <c r="AB26" s="58" t="n">
        <v>53</v>
      </c>
      <c r="AC26" s="59" t="n">
        <f aca="false">AC25+1</f>
        <v>17</v>
      </c>
      <c r="AD26" s="74" t="n">
        <v>21265</v>
      </c>
      <c r="AE26" s="74" t="n">
        <v>12197</v>
      </c>
      <c r="AF26" s="74" t="n">
        <v>2265.77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6924.16</v>
      </c>
      <c r="C27" s="54" t="n">
        <v>381879</v>
      </c>
      <c r="D27" s="58" t="n">
        <f aca="false">C27-C26</f>
        <v>180</v>
      </c>
      <c r="E27" s="54" t="n">
        <f aca="false">C27-152000</f>
        <v>229879</v>
      </c>
      <c r="F27" s="53" t="n">
        <f aca="false">D27/$D$2</f>
        <v>90.7715582450832</v>
      </c>
      <c r="G27" s="53" t="n">
        <v>873.9</v>
      </c>
      <c r="H27" s="55" t="n">
        <v>0</v>
      </c>
      <c r="I27" s="53" t="n">
        <f aca="false">G27+H27</f>
        <v>873.9</v>
      </c>
      <c r="J27" s="77" t="n">
        <f aca="false">IF(L27&gt;0,L27,0)</f>
        <v>115.461558245083</v>
      </c>
      <c r="K27" s="53" t="n">
        <f aca="false">I27+J27</f>
        <v>989.361558245083</v>
      </c>
      <c r="L27" s="53" t="n">
        <f aca="false">F27-(I27-W27)</f>
        <v>115.461558245083</v>
      </c>
      <c r="M27" s="53" t="n">
        <v>258.91</v>
      </c>
      <c r="N27" s="53" t="n">
        <f aca="false">(13.57+14.16)*1.05</f>
        <v>29.1165</v>
      </c>
      <c r="O27" s="53" t="n">
        <f aca="false">M27-N27</f>
        <v>229.7935</v>
      </c>
      <c r="P27" s="53" t="n">
        <v>145.94</v>
      </c>
      <c r="Q27" s="53" t="n">
        <v>88.04</v>
      </c>
      <c r="R27" s="53" t="n">
        <f aca="false">SUM(O27:Q27)</f>
        <v>463.7735</v>
      </c>
      <c r="S27" s="54"/>
      <c r="T27" s="53" t="n">
        <v>205.9</v>
      </c>
      <c r="U27" s="53" t="n">
        <v>199.8</v>
      </c>
      <c r="V27" s="54"/>
      <c r="W27" s="53" t="n">
        <f aca="false">R27+T27+N27+U27</f>
        <v>898.59</v>
      </c>
      <c r="X27" s="53" t="n">
        <f aca="false">IF(L27&lt;0,L27*-1,0)</f>
        <v>0</v>
      </c>
      <c r="Y27" s="53" t="n">
        <f aca="false">W27+X27</f>
        <v>898.59</v>
      </c>
      <c r="Z27" s="57" t="n">
        <v>0</v>
      </c>
      <c r="AA27" s="86" t="n">
        <v>75</v>
      </c>
      <c r="AB27" s="58" t="n">
        <v>55</v>
      </c>
      <c r="AC27" s="59" t="n">
        <f aca="false">AC26+1</f>
        <v>18</v>
      </c>
      <c r="AD27" s="74" t="n">
        <v>21641</v>
      </c>
      <c r="AE27" s="74" t="n">
        <v>12377</v>
      </c>
      <c r="AF27" s="74" t="n">
        <v>2316.88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6924.18</v>
      </c>
      <c r="C28" s="88" t="n">
        <v>381968</v>
      </c>
      <c r="D28" s="58" t="n">
        <f aca="false">C28-C27</f>
        <v>89</v>
      </c>
      <c r="E28" s="54" t="n">
        <f aca="false">C28-152000</f>
        <v>229968</v>
      </c>
      <c r="F28" s="53" t="n">
        <f aca="false">D28/$D$2</f>
        <v>44.8814926878467</v>
      </c>
      <c r="G28" s="53" t="n">
        <v>826.85</v>
      </c>
      <c r="H28" s="55" t="n">
        <v>0</v>
      </c>
      <c r="I28" s="53" t="n">
        <f aca="false">G28+H28</f>
        <v>826.85</v>
      </c>
      <c r="J28" s="77" t="n">
        <f aca="false">IF(L28&gt;0,L28,0)</f>
        <v>147.861492687847</v>
      </c>
      <c r="K28" s="53" t="n">
        <f aca="false">I28+J28</f>
        <v>974.711492687847</v>
      </c>
      <c r="L28" s="53" t="n">
        <f aca="false">F28-(I28-W28)</f>
        <v>147.861492687847</v>
      </c>
      <c r="M28" s="53" t="n">
        <v>274.48</v>
      </c>
      <c r="N28" s="53" t="n">
        <f aca="false">(18.11+18.7)*1.05</f>
        <v>38.6505</v>
      </c>
      <c r="O28" s="53" t="n">
        <f aca="false">M28-N28</f>
        <v>235.8295</v>
      </c>
      <c r="P28" s="53" t="n">
        <v>159.58</v>
      </c>
      <c r="Q28" s="53" t="n">
        <v>87.86</v>
      </c>
      <c r="R28" s="53" t="n">
        <f aca="false">SUM(O28:Q28)</f>
        <v>483.2695</v>
      </c>
      <c r="S28" s="54"/>
      <c r="T28" s="53" t="n">
        <v>208.11</v>
      </c>
      <c r="U28" s="53" t="n">
        <v>199.8</v>
      </c>
      <c r="V28" s="54"/>
      <c r="W28" s="53" t="n">
        <f aca="false">R28+T28+N28+U28</f>
        <v>929.83</v>
      </c>
      <c r="X28" s="53" t="n">
        <f aca="false">IF(L28&lt;0,L28*-1,0)</f>
        <v>0</v>
      </c>
      <c r="Y28" s="53" t="n">
        <f aca="false">W28+X28</f>
        <v>929.83</v>
      </c>
      <c r="Z28" s="57" t="n">
        <v>0</v>
      </c>
      <c r="AA28" s="86" t="n">
        <v>80</v>
      </c>
      <c r="AB28" s="58" t="n">
        <v>54</v>
      </c>
      <c r="AC28" s="59" t="n">
        <f aca="false">AC27+1</f>
        <v>19</v>
      </c>
      <c r="AD28" s="74" t="n">
        <v>22021</v>
      </c>
      <c r="AE28" s="74" t="n">
        <f aca="false">AE27+$AH$31</f>
        <v>12557</v>
      </c>
      <c r="AF28" s="74" t="n">
        <v>2348.11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6924.15</v>
      </c>
      <c r="C29" s="54" t="n">
        <v>381833</v>
      </c>
      <c r="D29" s="58" t="n">
        <f aca="false">C29-C28</f>
        <v>-135</v>
      </c>
      <c r="E29" s="54" t="n">
        <f aca="false">C29-152000</f>
        <v>229833</v>
      </c>
      <c r="F29" s="53" t="n">
        <f aca="false">D29/$D$2</f>
        <v>-68.0786686838124</v>
      </c>
      <c r="G29" s="53" t="n">
        <v>744.75</v>
      </c>
      <c r="H29" s="55" t="n">
        <v>0</v>
      </c>
      <c r="I29" s="53" t="n">
        <f aca="false">G29+H29</f>
        <v>744.75</v>
      </c>
      <c r="J29" s="77" t="n">
        <f aca="false">IF(L29&gt;0,L29,0)</f>
        <v>119.391331316188</v>
      </c>
      <c r="K29" s="53" t="n">
        <f aca="false">I29+J29</f>
        <v>864.141331316188</v>
      </c>
      <c r="L29" s="53" t="n">
        <f aca="false">F29-(I29-W29)</f>
        <v>119.391331316188</v>
      </c>
      <c r="M29" s="53" t="n">
        <v>272.03</v>
      </c>
      <c r="N29" s="53" t="n">
        <f aca="false">(15.08+15.4)*1.05</f>
        <v>32.004</v>
      </c>
      <c r="O29" s="53" t="n">
        <f aca="false">M29-N29</f>
        <v>240.026</v>
      </c>
      <c r="P29" s="53" t="n">
        <v>167.41</v>
      </c>
      <c r="Q29" s="53" t="n">
        <v>87.98</v>
      </c>
      <c r="R29" s="53" t="n">
        <f aca="false">SUM(O29:Q29)</f>
        <v>495.416</v>
      </c>
      <c r="S29" s="54"/>
      <c r="T29" s="53" t="n">
        <v>205</v>
      </c>
      <c r="U29" s="53" t="n">
        <v>199.8</v>
      </c>
      <c r="V29" s="54" t="n">
        <f aca="false">V8-U29</f>
        <v>9506.2</v>
      </c>
      <c r="W29" s="53" t="n">
        <f aca="false">R29+T29+N29+U29</f>
        <v>932.22</v>
      </c>
      <c r="X29" s="53" t="n">
        <f aca="false">IF(L29&lt;0,L29*-1,0)</f>
        <v>0</v>
      </c>
      <c r="Y29" s="53" t="n">
        <f aca="false">W29+X29</f>
        <v>932.22</v>
      </c>
      <c r="Z29" s="57" t="n">
        <v>0</v>
      </c>
      <c r="AA29" s="86" t="n">
        <v>85</v>
      </c>
      <c r="AB29" s="58" t="n">
        <v>56</v>
      </c>
      <c r="AC29" s="59" t="n">
        <f aca="false">AC28+1</f>
        <v>20</v>
      </c>
      <c r="AD29" s="74" t="n">
        <v>22407</v>
      </c>
      <c r="AE29" s="74" t="n">
        <f aca="false">AE28+$AH$31</f>
        <v>12737</v>
      </c>
      <c r="AF29" s="74" t="n">
        <v>2383.86</v>
      </c>
    </row>
    <row r="30" customFormat="false" ht="11.1" hidden="false" customHeight="true" outlineLevel="0" collapsed="false">
      <c r="A30" s="59" t="n">
        <f aca="false">A29+1</f>
        <v>21</v>
      </c>
      <c r="B30" s="76" t="n">
        <v>6924.02</v>
      </c>
      <c r="C30" s="54" t="n">
        <v>381250</v>
      </c>
      <c r="D30" s="58" t="n">
        <f aca="false">C30-C29</f>
        <v>-583</v>
      </c>
      <c r="E30" s="54" t="n">
        <f aca="false">C30-152000</f>
        <v>229250</v>
      </c>
      <c r="F30" s="53" t="n">
        <f aca="false">D30/$D$2</f>
        <v>-293.998991427131</v>
      </c>
      <c r="G30" s="53" t="n">
        <v>669.94</v>
      </c>
      <c r="H30" s="55" t="n">
        <v>0</v>
      </c>
      <c r="I30" s="53" t="n">
        <f aca="false">G30+H30</f>
        <v>669.94</v>
      </c>
      <c r="J30" s="77" t="n">
        <f aca="false">IF(L30&gt;0,L30,0)</f>
        <v>0</v>
      </c>
      <c r="K30" s="53" t="n">
        <f aca="false">I30+J30</f>
        <v>669.94</v>
      </c>
      <c r="L30" s="53" t="n">
        <f aca="false">F30-(I30-W30)</f>
        <v>-31.7589914271306</v>
      </c>
      <c r="M30" s="53" t="n">
        <v>270.03</v>
      </c>
      <c r="N30" s="53" t="n">
        <f aca="false">(13.45+13.72)*1.05</f>
        <v>28.5285</v>
      </c>
      <c r="O30" s="53" t="n">
        <f aca="false">M30-N30</f>
        <v>241.5015</v>
      </c>
      <c r="P30" s="53" t="n">
        <v>167.62</v>
      </c>
      <c r="Q30" s="53" t="n">
        <v>97.74</v>
      </c>
      <c r="R30" s="53" t="n">
        <f aca="false">SUM(O30:Q30)</f>
        <v>506.8615</v>
      </c>
      <c r="S30" s="54"/>
      <c r="T30" s="53" t="n">
        <v>196.99</v>
      </c>
      <c r="U30" s="53" t="n">
        <v>199.8</v>
      </c>
      <c r="V30" s="54" t="n">
        <f aca="false">V29-U30</f>
        <v>9306.4</v>
      </c>
      <c r="W30" s="53" t="n">
        <f aca="false">R30+T30+N30+U30</f>
        <v>932.18</v>
      </c>
      <c r="X30" s="53" t="n">
        <f aca="false">IF(L30&lt;0,L30*-1,0)</f>
        <v>31.7589914271306</v>
      </c>
      <c r="Y30" s="53" t="n">
        <f aca="false">W30+X30</f>
        <v>963.938991427131</v>
      </c>
      <c r="Z30" s="57" t="n">
        <v>0</v>
      </c>
      <c r="AA30" s="58" t="n">
        <v>85</v>
      </c>
      <c r="AB30" s="58" t="n">
        <v>52</v>
      </c>
      <c r="AC30" s="59" t="n">
        <f aca="false">AC29+1</f>
        <v>21</v>
      </c>
      <c r="AD30" s="74" t="n">
        <v>22776</v>
      </c>
      <c r="AE30" s="74" t="n">
        <v>12906</v>
      </c>
      <c r="AF30" s="74" t="n">
        <v>2435.45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6923.96</v>
      </c>
      <c r="C31" s="54" t="n">
        <v>380982</v>
      </c>
      <c r="D31" s="58" t="n">
        <f aca="false">C31-C30</f>
        <v>-268</v>
      </c>
      <c r="E31" s="54" t="n">
        <f aca="false">C31-152000</f>
        <v>228982</v>
      </c>
      <c r="F31" s="53" t="n">
        <f aca="false">D31/$D$2</f>
        <v>-135.148764498235</v>
      </c>
      <c r="G31" s="53" t="n">
        <v>609.92</v>
      </c>
      <c r="H31" s="55" t="n">
        <v>0</v>
      </c>
      <c r="I31" s="53" t="n">
        <f aca="false">G31+H31</f>
        <v>609.92</v>
      </c>
      <c r="J31" s="77" t="n">
        <f aca="false">IF(L31&gt;0,L31,0)</f>
        <v>131.541235501765</v>
      </c>
      <c r="K31" s="53" t="n">
        <f aca="false">I31+J31</f>
        <v>741.461235501765</v>
      </c>
      <c r="L31" s="53" t="n">
        <f aca="false">F31-(I31-W31)</f>
        <v>131.541235501765</v>
      </c>
      <c r="M31" s="53" t="n">
        <v>266.51</v>
      </c>
      <c r="N31" s="53" t="n">
        <f aca="false">(12.98+11.51)*1.05</f>
        <v>25.7145</v>
      </c>
      <c r="O31" s="53" t="n">
        <f aca="false">M31-N31</f>
        <v>240.7955</v>
      </c>
      <c r="P31" s="53" t="n">
        <v>167.49</v>
      </c>
      <c r="Q31" s="53" t="n">
        <v>87.55</v>
      </c>
      <c r="R31" s="53" t="n">
        <f aca="false">SUM(O31:Q31)</f>
        <v>495.8355</v>
      </c>
      <c r="S31" s="54"/>
      <c r="T31" s="53" t="n">
        <v>191.49</v>
      </c>
      <c r="U31" s="53" t="n">
        <v>163.57</v>
      </c>
      <c r="V31" s="54" t="n">
        <f aca="false">V30-U31</f>
        <v>9142.83</v>
      </c>
      <c r="W31" s="53" t="n">
        <f aca="false">R31+T31+N31+U31</f>
        <v>876.61</v>
      </c>
      <c r="X31" s="53" t="n">
        <f aca="false">IF(L31&lt;0,L31*-1,0)</f>
        <v>0</v>
      </c>
      <c r="Y31" s="53" t="n">
        <f aca="false">W31+X31</f>
        <v>876.61</v>
      </c>
      <c r="Z31" s="57" t="n">
        <v>0</v>
      </c>
      <c r="AA31" s="58" t="n">
        <v>84</v>
      </c>
      <c r="AB31" s="58" t="n">
        <v>51</v>
      </c>
      <c r="AC31" s="59" t="n">
        <f aca="false">AC30+1</f>
        <v>22</v>
      </c>
      <c r="AD31" s="74" t="n">
        <v>23161</v>
      </c>
      <c r="AE31" s="74" t="n">
        <f aca="false">AE30+$AH$31</f>
        <v>13086</v>
      </c>
      <c r="AF31" s="74" t="n">
        <v>2489.26</v>
      </c>
      <c r="AG31" s="99" t="n">
        <f aca="false">AD30-AD29</f>
        <v>369</v>
      </c>
      <c r="AH31" s="99" t="n">
        <f aca="false">AE27-AE26</f>
        <v>180</v>
      </c>
      <c r="AI31" s="99" t="n">
        <f aca="false">AF30-AF29</f>
        <v>51.5899999999997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6923.85</v>
      </c>
      <c r="C32" s="54" t="n">
        <v>380493</v>
      </c>
      <c r="D32" s="58" t="n">
        <f aca="false">C32-C31</f>
        <v>-489</v>
      </c>
      <c r="E32" s="54" t="n">
        <f aca="false">C32-152000</f>
        <v>228493</v>
      </c>
      <c r="F32" s="53" t="n">
        <f aca="false">D32/$D$2</f>
        <v>-246.596066565809</v>
      </c>
      <c r="G32" s="53" t="n">
        <v>561.86</v>
      </c>
      <c r="H32" s="55" t="n">
        <v>0</v>
      </c>
      <c r="I32" s="53" t="n">
        <f aca="false">G32+H32</f>
        <v>561.86</v>
      </c>
      <c r="J32" s="77" t="n">
        <f aca="false">IF(L32&gt;0,L32,0)</f>
        <v>40.0339334341906</v>
      </c>
      <c r="K32" s="53" t="n">
        <f aca="false">I32+J32</f>
        <v>601.893933434191</v>
      </c>
      <c r="L32" s="53" t="n">
        <f aca="false">F32-(I32-W32)</f>
        <v>40.0339334341906</v>
      </c>
      <c r="M32" s="53" t="n">
        <v>264.27</v>
      </c>
      <c r="N32" s="53" t="n">
        <f aca="false">(12.55+12.05)*1.05</f>
        <v>25.83</v>
      </c>
      <c r="O32" s="53" t="n">
        <f aca="false">M32-N32</f>
        <v>238.44</v>
      </c>
      <c r="P32" s="53" t="n">
        <v>167.54</v>
      </c>
      <c r="Q32" s="53" t="n">
        <v>87.51</v>
      </c>
      <c r="R32" s="53" t="n">
        <f aca="false">SUM(O32:Q32)</f>
        <v>493.49</v>
      </c>
      <c r="S32" s="54"/>
      <c r="T32" s="53" t="n">
        <v>179.08</v>
      </c>
      <c r="U32" s="53" t="n">
        <v>150.09</v>
      </c>
      <c r="V32" s="54" t="n">
        <f aca="false">V31-U32</f>
        <v>8992.74</v>
      </c>
      <c r="W32" s="53" t="n">
        <f aca="false">R32+T32+N32+U32</f>
        <v>848.49</v>
      </c>
      <c r="X32" s="53" t="n">
        <f aca="false">IF(L32&lt;0,L32*-1,0)</f>
        <v>0</v>
      </c>
      <c r="Y32" s="53" t="n">
        <f aca="false">W32+X32</f>
        <v>848.49</v>
      </c>
      <c r="Z32" s="57" t="n">
        <v>0</v>
      </c>
      <c r="AA32" s="58" t="n">
        <v>84</v>
      </c>
      <c r="AB32" s="86" t="n">
        <v>56</v>
      </c>
      <c r="AC32" s="59" t="n">
        <f aca="false">AC31+1</f>
        <v>23</v>
      </c>
      <c r="AD32" s="74" t="n">
        <v>23475</v>
      </c>
      <c r="AE32" s="74" t="n">
        <f aca="false">AE31+$AH$31</f>
        <v>13266</v>
      </c>
      <c r="AF32" s="74" t="n">
        <v>2541.2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6923.62</v>
      </c>
      <c r="C33" s="54" t="n">
        <v>379469</v>
      </c>
      <c r="D33" s="58" t="n">
        <f aca="false">C33-C32</f>
        <v>-1024</v>
      </c>
      <c r="E33" s="54" t="n">
        <f aca="false">C33-152000</f>
        <v>227469</v>
      </c>
      <c r="F33" s="53" t="n">
        <f aca="false">D33/$D$2</f>
        <v>-516.389309127584</v>
      </c>
      <c r="G33" s="53" t="n">
        <v>488.25</v>
      </c>
      <c r="H33" s="55" t="n">
        <v>0</v>
      </c>
      <c r="I33" s="53" t="n">
        <f aca="false">G33+H33</f>
        <v>488.25</v>
      </c>
      <c r="J33" s="77" t="n">
        <f aca="false">IF(L33&gt;0,L33,0)</f>
        <v>0</v>
      </c>
      <c r="K33" s="53" t="n">
        <f aca="false">I33+J33</f>
        <v>488.25</v>
      </c>
      <c r="L33" s="53" t="n">
        <f aca="false">F33-(I33-W33)</f>
        <v>-136.309309127584</v>
      </c>
      <c r="M33" s="53" t="n">
        <v>264.44</v>
      </c>
      <c r="N33" s="53" t="n">
        <f aca="false">(14.34+15.54)*1.05</f>
        <v>31.374</v>
      </c>
      <c r="O33" s="53" t="n">
        <f aca="false">M33-N33</f>
        <v>233.066</v>
      </c>
      <c r="P33" s="53" t="n">
        <v>188.91</v>
      </c>
      <c r="Q33" s="53" t="n">
        <v>87.18</v>
      </c>
      <c r="R33" s="53" t="n">
        <f aca="false">SUM(O33:Q33)</f>
        <v>509.156</v>
      </c>
      <c r="S33" s="54" t="n">
        <f aca="false">(I33-R33)+S7</f>
        <v>3945.80201815431</v>
      </c>
      <c r="T33" s="53" t="n">
        <v>183.61</v>
      </c>
      <c r="U33" s="53" t="n">
        <v>144.19</v>
      </c>
      <c r="V33" s="54" t="n">
        <f aca="false">V32-U33</f>
        <v>8848.55</v>
      </c>
      <c r="W33" s="53" t="n">
        <f aca="false">R33+T33+N33+U33</f>
        <v>868.33</v>
      </c>
      <c r="X33" s="53" t="n">
        <f aca="false">IF(L33&lt;0,L33*-1,0)</f>
        <v>136.309309127584</v>
      </c>
      <c r="Y33" s="53" t="n">
        <f aca="false">W33+X33</f>
        <v>1004.63930912758</v>
      </c>
      <c r="Z33" s="57" t="n">
        <v>0</v>
      </c>
      <c r="AA33" s="58" t="n">
        <v>86</v>
      </c>
      <c r="AB33" s="86" t="n">
        <v>51</v>
      </c>
      <c r="AC33" s="59" t="n">
        <f aca="false">AC32+1</f>
        <v>24</v>
      </c>
      <c r="AD33" s="74" t="n">
        <v>23836</v>
      </c>
      <c r="AE33" s="74" t="n">
        <f aca="false">AE32+$AH$31</f>
        <v>13446</v>
      </c>
      <c r="AF33" s="74" t="n">
        <v>2594.21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6923.39</v>
      </c>
      <c r="C34" s="54" t="n">
        <v>378446</v>
      </c>
      <c r="D34" s="58" t="n">
        <f aca="false">C34-C33</f>
        <v>-1023</v>
      </c>
      <c r="E34" s="54" t="n">
        <f aca="false">C34-152000</f>
        <v>226446</v>
      </c>
      <c r="F34" s="53" t="n">
        <f aca="false">D34/$D$2</f>
        <v>-515.885022692889</v>
      </c>
      <c r="G34" s="53" t="n">
        <v>457.51</v>
      </c>
      <c r="H34" s="55" t="n">
        <v>0</v>
      </c>
      <c r="I34" s="53" t="n">
        <f aca="false">G34+H34</f>
        <v>457.51</v>
      </c>
      <c r="J34" s="77" t="n">
        <f aca="false">IF(L34&gt;0,L34,0)</f>
        <v>0</v>
      </c>
      <c r="K34" s="53" t="n">
        <f aca="false">I34+J34</f>
        <v>457.51</v>
      </c>
      <c r="L34" s="53" t="n">
        <f aca="false">F34-(I34-W34)</f>
        <v>-117.015022692889</v>
      </c>
      <c r="M34" s="53" t="n">
        <v>257.57</v>
      </c>
      <c r="N34" s="53" t="n">
        <f aca="false">(14.26+13.76)*1.05</f>
        <v>29.421</v>
      </c>
      <c r="O34" s="53" t="n">
        <f aca="false">M34-N34</f>
        <v>228.149</v>
      </c>
      <c r="P34" s="53" t="n">
        <v>194.82</v>
      </c>
      <c r="Q34" s="53" t="n">
        <v>86.97</v>
      </c>
      <c r="R34" s="53" t="n">
        <f aca="false">SUM(O34:Q34)</f>
        <v>509.939</v>
      </c>
      <c r="S34" s="54" t="n">
        <f aca="false">(I34-R34)+S33</f>
        <v>3893.37301815431</v>
      </c>
      <c r="T34" s="53" t="n">
        <v>172.92</v>
      </c>
      <c r="U34" s="53" t="n">
        <v>144.1</v>
      </c>
      <c r="V34" s="54" t="n">
        <f aca="false">V33-U34</f>
        <v>8704.45</v>
      </c>
      <c r="W34" s="53" t="n">
        <f aca="false">R34+T34+N34+U34</f>
        <v>856.38</v>
      </c>
      <c r="X34" s="53" t="n">
        <f aca="false">IF(L34&lt;0,L34*-1,0)</f>
        <v>117.015022692889</v>
      </c>
      <c r="Y34" s="53" t="n">
        <f aca="false">W34+X34</f>
        <v>973.39502269289</v>
      </c>
      <c r="Z34" s="57" t="n">
        <v>0</v>
      </c>
      <c r="AA34" s="58" t="n">
        <v>92</v>
      </c>
      <c r="AB34" s="86" t="n">
        <v>52</v>
      </c>
      <c r="AC34" s="59" t="n">
        <f aca="false">AC33+1</f>
        <v>25</v>
      </c>
      <c r="AD34" s="74" t="n">
        <v>24193</v>
      </c>
      <c r="AE34" s="74" t="n">
        <v>13629</v>
      </c>
      <c r="AF34" s="74" t="n">
        <v>2647.7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6923.24</v>
      </c>
      <c r="C35" s="54" t="n">
        <v>377778</v>
      </c>
      <c r="D35" s="58" t="n">
        <f aca="false">C35-C34</f>
        <v>-668</v>
      </c>
      <c r="E35" s="54" t="n">
        <f aca="false">C35-152000</f>
        <v>225778</v>
      </c>
      <c r="F35" s="53" t="n">
        <f aca="false">D35/$D$2</f>
        <v>-336.863338376198</v>
      </c>
      <c r="G35" s="53" t="n">
        <v>421.15</v>
      </c>
      <c r="H35" s="55" t="n">
        <v>0</v>
      </c>
      <c r="I35" s="53" t="n">
        <f aca="false">G35+H35</f>
        <v>421.15</v>
      </c>
      <c r="J35" s="77" t="n">
        <f aca="false">IF(L35&gt;0,L35,0)</f>
        <v>120.726661623802</v>
      </c>
      <c r="K35" s="53" t="n">
        <f aca="false">I35+J35</f>
        <v>541.876661623802</v>
      </c>
      <c r="L35" s="53" t="n">
        <f aca="false">F35-(I35-W35)</f>
        <v>120.726661623802</v>
      </c>
      <c r="M35" s="53" t="n">
        <v>265.4</v>
      </c>
      <c r="N35" s="53" t="n">
        <f aca="false">(11.37+10.97)*1.05</f>
        <v>23.457</v>
      </c>
      <c r="O35" s="53" t="n">
        <f aca="false">M35-N35</f>
        <v>241.943</v>
      </c>
      <c r="P35" s="53" t="n">
        <v>196.35</v>
      </c>
      <c r="Q35" s="53" t="n">
        <v>86.67</v>
      </c>
      <c r="R35" s="53" t="n">
        <f aca="false">SUM(O35:Q35)</f>
        <v>524.963</v>
      </c>
      <c r="S35" s="54" t="n">
        <f aca="false">(I35-R35)+S34</f>
        <v>3789.56001815431</v>
      </c>
      <c r="T35" s="53" t="n">
        <v>186.22</v>
      </c>
      <c r="U35" s="53" t="n">
        <v>144.1</v>
      </c>
      <c r="V35" s="54" t="n">
        <f aca="false">V34-U35</f>
        <v>8560.35</v>
      </c>
      <c r="W35" s="53" t="n">
        <f aca="false">R35+T35+N35+U35</f>
        <v>878.74</v>
      </c>
      <c r="X35" s="53" t="n">
        <f aca="false">IF(L35&lt;0,L35*-1,0)</f>
        <v>0</v>
      </c>
      <c r="Y35" s="53" t="n">
        <f aca="false">W35+X35</f>
        <v>878.74</v>
      </c>
      <c r="Z35" s="57" t="n">
        <v>0</v>
      </c>
      <c r="AA35" s="58" t="n">
        <v>91</v>
      </c>
      <c r="AB35" s="58" t="n">
        <v>52</v>
      </c>
      <c r="AC35" s="59" t="n">
        <f aca="false">AC34+1</f>
        <v>26</v>
      </c>
      <c r="AD35" s="74" t="n">
        <v>24577</v>
      </c>
      <c r="AE35" s="74" t="n">
        <v>13806</v>
      </c>
      <c r="AF35" s="74" t="n">
        <v>2690.03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6923.05</v>
      </c>
      <c r="C36" s="54" t="n">
        <v>376931</v>
      </c>
      <c r="D36" s="58" t="n">
        <f aca="false">C36-C35</f>
        <v>-847</v>
      </c>
      <c r="E36" s="54" t="n">
        <f aca="false">C36-152000</f>
        <v>224931</v>
      </c>
      <c r="F36" s="53" t="n">
        <f aca="false">D36/$D$2</f>
        <v>-427.130610186586</v>
      </c>
      <c r="G36" s="53" t="n">
        <v>381.54</v>
      </c>
      <c r="H36" s="55" t="n">
        <v>0</v>
      </c>
      <c r="I36" s="53" t="n">
        <f aca="false">G36+H36</f>
        <v>381.54</v>
      </c>
      <c r="J36" s="77" t="n">
        <f aca="false">IF(L36&gt;0,L36,0)</f>
        <v>54.5493898134141</v>
      </c>
      <c r="K36" s="53" t="n">
        <f aca="false">I36+J36</f>
        <v>436.089389813414</v>
      </c>
      <c r="L36" s="53" t="n">
        <f aca="false">F36-(I36-W36)</f>
        <v>54.5493898134141</v>
      </c>
      <c r="M36" s="53" t="n">
        <v>277.86</v>
      </c>
      <c r="N36" s="53" t="n">
        <f aca="false">(16.94+17.69)*1.05</f>
        <v>36.3615</v>
      </c>
      <c r="O36" s="53" t="n">
        <f aca="false">M36-N36</f>
        <v>241.4985</v>
      </c>
      <c r="P36" s="53" t="n">
        <v>167.06</v>
      </c>
      <c r="Q36" s="53" t="n">
        <v>86.73</v>
      </c>
      <c r="R36" s="53" t="n">
        <f aca="false">SUM(O36:Q36)</f>
        <v>495.2885</v>
      </c>
      <c r="S36" s="54" t="n">
        <f aca="false">(I36-R36)+S35</f>
        <v>3675.81151815431</v>
      </c>
      <c r="T36" s="53" t="n">
        <v>187.47</v>
      </c>
      <c r="U36" s="53" t="n">
        <v>144.1</v>
      </c>
      <c r="V36" s="54" t="n">
        <f aca="false">V35-U36</f>
        <v>8416.25</v>
      </c>
      <c r="W36" s="53" t="n">
        <f aca="false">R36+T36+N36+U36</f>
        <v>863.22</v>
      </c>
      <c r="X36" s="53" t="n">
        <f aca="false">IF(L36&lt;0,L36*-1,0)</f>
        <v>0</v>
      </c>
      <c r="Y36" s="53" t="n">
        <f aca="false">W36+X36</f>
        <v>863.22</v>
      </c>
      <c r="Z36" s="57" t="n">
        <v>0</v>
      </c>
      <c r="AA36" s="58" t="n">
        <v>94</v>
      </c>
      <c r="AB36" s="58" t="n">
        <v>54</v>
      </c>
      <c r="AC36" s="59" t="n">
        <f aca="false">AC35+1</f>
        <v>27</v>
      </c>
      <c r="AD36" s="74" t="n">
        <v>24943</v>
      </c>
      <c r="AE36" s="74" t="n">
        <v>13985</v>
      </c>
      <c r="AF36" s="74" t="n">
        <v>2737.63</v>
      </c>
    </row>
    <row r="37" customFormat="false" ht="11.1" hidden="false" customHeight="true" outlineLevel="0" collapsed="false">
      <c r="A37" s="59" t="n">
        <f aca="false">A36+1</f>
        <v>28</v>
      </c>
      <c r="B37" s="76" t="n">
        <v>6922.85</v>
      </c>
      <c r="C37" s="54" t="n">
        <v>376047</v>
      </c>
      <c r="D37" s="58" t="n">
        <f aca="false">C37-C36</f>
        <v>-884</v>
      </c>
      <c r="E37" s="54" t="n">
        <f aca="false">C37-152000</f>
        <v>224047</v>
      </c>
      <c r="F37" s="53" t="n">
        <f aca="false">D37/$D$2</f>
        <v>-445.789208270298</v>
      </c>
      <c r="G37" s="53" t="n">
        <v>367.17</v>
      </c>
      <c r="H37" s="55" t="n">
        <v>0</v>
      </c>
      <c r="I37" s="53" t="n">
        <f aca="false">G37+H37</f>
        <v>367.17</v>
      </c>
      <c r="J37" s="77" t="n">
        <f aca="false">IF(L37&gt;0,L37,0)</f>
        <v>53.0307917297025</v>
      </c>
      <c r="K37" s="53" t="n">
        <f aca="false">I37+J37</f>
        <v>420.200791729703</v>
      </c>
      <c r="L37" s="53" t="n">
        <f aca="false">F37-(I37-W37)</f>
        <v>53.0307917297025</v>
      </c>
      <c r="M37" s="53" t="n">
        <v>280.71</v>
      </c>
      <c r="N37" s="53" t="n">
        <f aca="false">(17.53+17.86)*1.05</f>
        <v>37.1595</v>
      </c>
      <c r="O37" s="53" t="n">
        <f aca="false">M37-N37</f>
        <v>243.5505</v>
      </c>
      <c r="P37" s="53" t="n">
        <v>156.68</v>
      </c>
      <c r="Q37" s="53" t="n">
        <v>87.11</v>
      </c>
      <c r="R37" s="53" t="n">
        <f aca="false">SUM(O37:Q37)</f>
        <v>487.3405</v>
      </c>
      <c r="S37" s="54" t="n">
        <f aca="false">(I37-R37)+S36</f>
        <v>3555.64101815431</v>
      </c>
      <c r="T37" s="53" t="n">
        <v>196.94</v>
      </c>
      <c r="U37" s="53" t="n">
        <v>144.55</v>
      </c>
      <c r="V37" s="54" t="n">
        <f aca="false">V36-U37</f>
        <v>8271.7</v>
      </c>
      <c r="W37" s="53" t="n">
        <f aca="false">R37+T37+N37+U37</f>
        <v>865.99</v>
      </c>
      <c r="X37" s="53" t="n">
        <f aca="false">IF(L37&lt;0,L37*-1,0)</f>
        <v>0</v>
      </c>
      <c r="Y37" s="53" t="n">
        <f aca="false">W37+X37</f>
        <v>865.99</v>
      </c>
      <c r="Z37" s="57" t="n">
        <v>0</v>
      </c>
      <c r="AA37" s="58" t="n">
        <v>96</v>
      </c>
      <c r="AB37" s="58" t="n">
        <v>57</v>
      </c>
      <c r="AC37" s="59" t="n">
        <f aca="false">AC36+1</f>
        <v>28</v>
      </c>
      <c r="AD37" s="74" t="n">
        <v>25267</v>
      </c>
      <c r="AE37" s="74" t="n">
        <v>14163</v>
      </c>
      <c r="AF37" s="74" t="n">
        <v>2790.54</v>
      </c>
    </row>
    <row r="38" customFormat="false" ht="11.1" hidden="false" customHeight="true" outlineLevel="0" collapsed="false">
      <c r="A38" s="59" t="n">
        <f aca="false">A37+1</f>
        <v>29</v>
      </c>
      <c r="B38" s="76" t="n">
        <v>6922.6</v>
      </c>
      <c r="C38" s="54" t="n">
        <v>374943</v>
      </c>
      <c r="D38" s="58" t="n">
        <f aca="false">C38-C37</f>
        <v>-1104</v>
      </c>
      <c r="E38" s="54" t="n">
        <f aca="false">C38-152000</f>
        <v>222943</v>
      </c>
      <c r="F38" s="53" t="n">
        <f aca="false">D38/$D$2</f>
        <v>-556.732223903177</v>
      </c>
      <c r="G38" s="53" t="n">
        <v>346.68</v>
      </c>
      <c r="H38" s="55" t="n">
        <v>0</v>
      </c>
      <c r="I38" s="53" t="n">
        <f aca="false">G38+H38</f>
        <v>346.68</v>
      </c>
      <c r="J38" s="77" t="n">
        <f aca="false">IF(L38&gt;0,L38,0)</f>
        <v>0</v>
      </c>
      <c r="K38" s="53" t="n">
        <f aca="false">I38+J38</f>
        <v>346.68</v>
      </c>
      <c r="L38" s="53" t="n">
        <f aca="false">F38-(I38-W38)</f>
        <v>-28.712223903177</v>
      </c>
      <c r="M38" s="53" t="n">
        <v>299.93</v>
      </c>
      <c r="N38" s="53" t="n">
        <f aca="false">(19.23+19.42)*1.05</f>
        <v>40.5825</v>
      </c>
      <c r="O38" s="53" t="n">
        <f aca="false">M38-N38</f>
        <v>259.3475</v>
      </c>
      <c r="P38" s="53" t="n">
        <v>157.04</v>
      </c>
      <c r="Q38" s="53" t="n">
        <v>88.09</v>
      </c>
      <c r="R38" s="53" t="n">
        <f aca="false">SUM(O38:Q38)</f>
        <v>504.4775</v>
      </c>
      <c r="S38" s="54" t="n">
        <f aca="false">(I38-R38)+S37</f>
        <v>3397.84351815431</v>
      </c>
      <c r="T38" s="53" t="n">
        <v>184.24</v>
      </c>
      <c r="U38" s="53" t="n">
        <v>145.4</v>
      </c>
      <c r="V38" s="54" t="n">
        <f aca="false">V37-U38</f>
        <v>8126.3</v>
      </c>
      <c r="W38" s="53" t="n">
        <f aca="false">R38+T38+N38+U38</f>
        <v>874.7</v>
      </c>
      <c r="X38" s="53" t="n">
        <f aca="false">IF(L38&lt;0,L38*-1,0)</f>
        <v>28.712223903177</v>
      </c>
      <c r="Y38" s="53" t="n">
        <f aca="false">W38+X38</f>
        <v>903.412223903177</v>
      </c>
      <c r="Z38" s="57" t="n">
        <v>0</v>
      </c>
      <c r="AA38" s="86" t="n">
        <v>96</v>
      </c>
      <c r="AB38" s="58" t="n">
        <v>60</v>
      </c>
      <c r="AC38" s="59" t="n">
        <f aca="false">AC37+1</f>
        <v>29</v>
      </c>
      <c r="AD38" s="74" t="n">
        <v>25611</v>
      </c>
      <c r="AE38" s="78" t="n">
        <v>14343</v>
      </c>
      <c r="AF38" s="75" t="n">
        <v>2846.34</v>
      </c>
    </row>
    <row r="39" customFormat="false" ht="11.1" hidden="false" customHeight="true" outlineLevel="0" collapsed="false">
      <c r="A39" s="59" t="n">
        <v>30</v>
      </c>
      <c r="B39" s="76" t="n">
        <v>6922.35</v>
      </c>
      <c r="C39" s="54" t="n">
        <v>373840</v>
      </c>
      <c r="D39" s="58" t="n">
        <f aca="false">C39-C38</f>
        <v>-1103</v>
      </c>
      <c r="E39" s="54" t="n">
        <f aca="false">C39-152000</f>
        <v>221840</v>
      </c>
      <c r="F39" s="53" t="n">
        <f aca="false">D39/$D$2</f>
        <v>-556.227937468482</v>
      </c>
      <c r="G39" s="53" t="n">
        <v>330.1</v>
      </c>
      <c r="H39" s="55" t="n">
        <v>0</v>
      </c>
      <c r="I39" s="53" t="n">
        <f aca="false">G39+H39</f>
        <v>330.1</v>
      </c>
      <c r="J39" s="77" t="n">
        <f aca="false">IF(L39&gt;0,L39,0)</f>
        <v>0</v>
      </c>
      <c r="K39" s="53" t="n">
        <f aca="false">I39+J39</f>
        <v>330.1</v>
      </c>
      <c r="L39" s="53" t="n">
        <f aca="false">F39-(I39-W39)</f>
        <v>-33.6679374684821</v>
      </c>
      <c r="M39" s="53" t="n">
        <v>283.64</v>
      </c>
      <c r="N39" s="53" t="n">
        <f aca="false">(19.86+19.89)*1.05</f>
        <v>41.7375</v>
      </c>
      <c r="O39" s="53" t="n">
        <f aca="false">M39-N39</f>
        <v>241.9025</v>
      </c>
      <c r="P39" s="53" t="n">
        <v>156.67</v>
      </c>
      <c r="Q39" s="53" t="n">
        <v>87.9</v>
      </c>
      <c r="R39" s="53" t="n">
        <f aca="false">SUM(O39:Q39)</f>
        <v>486.4725</v>
      </c>
      <c r="S39" s="54" t="n">
        <f aca="false">(I39-R39)+S38</f>
        <v>3241.47101815431</v>
      </c>
      <c r="T39" s="53" t="n">
        <v>179.05</v>
      </c>
      <c r="U39" s="53" t="n">
        <v>145.4</v>
      </c>
      <c r="V39" s="54" t="n">
        <f aca="false">V38-U39</f>
        <v>7980.9</v>
      </c>
      <c r="W39" s="53" t="n">
        <f aca="false">R39+T39+N39+U39</f>
        <v>852.66</v>
      </c>
      <c r="X39" s="53" t="n">
        <f aca="false">IF(L39&lt;0,L39*-1,0)</f>
        <v>33.6679374684821</v>
      </c>
      <c r="Y39" s="53" t="n">
        <f aca="false">W39+X39</f>
        <v>886.327937468482</v>
      </c>
      <c r="Z39" s="57" t="n">
        <v>0</v>
      </c>
      <c r="AA39" s="86" t="n">
        <v>93</v>
      </c>
      <c r="AB39" s="58" t="n">
        <v>64</v>
      </c>
      <c r="AC39" s="59" t="n">
        <v>30</v>
      </c>
      <c r="AD39" s="74" t="n">
        <v>25963</v>
      </c>
      <c r="AE39" s="78" t="n">
        <v>14525</v>
      </c>
      <c r="AF39" s="75" t="n">
        <v>2905.66</v>
      </c>
    </row>
    <row r="40" customFormat="false" ht="11.1" hidden="false" customHeight="true" outlineLevel="0" collapsed="false">
      <c r="A40" s="59" t="n">
        <v>31</v>
      </c>
      <c r="B40" s="76" t="n">
        <v>6922.1</v>
      </c>
      <c r="C40" s="54" t="n">
        <v>372736</v>
      </c>
      <c r="D40" s="58" t="n">
        <f aca="false">C40-C39</f>
        <v>-1104</v>
      </c>
      <c r="E40" s="54" t="n">
        <f aca="false">C40-152000</f>
        <v>220736</v>
      </c>
      <c r="F40" s="53" t="n">
        <f aca="false">D40/$D$2</f>
        <v>-556.732223903177</v>
      </c>
      <c r="G40" s="53" t="n">
        <v>324.01</v>
      </c>
      <c r="H40" s="55" t="n">
        <v>0</v>
      </c>
      <c r="I40" s="53" t="n">
        <f aca="false">G40+H40</f>
        <v>324.01</v>
      </c>
      <c r="J40" s="77" t="n">
        <f aca="false">IF(L40&gt;0,L40,0)</f>
        <v>0</v>
      </c>
      <c r="K40" s="53" t="n">
        <f aca="false">I40+J40</f>
        <v>324.01</v>
      </c>
      <c r="L40" s="53" t="n">
        <f aca="false">F40-(I40-W40)</f>
        <v>-6.67222390317704</v>
      </c>
      <c r="M40" s="53" t="n">
        <v>293.27</v>
      </c>
      <c r="N40" s="53" t="n">
        <f aca="false">(21.14+21.81)*1.05</f>
        <v>45.0975</v>
      </c>
      <c r="O40" s="53" t="n">
        <f aca="false">M40-N40</f>
        <v>248.1725</v>
      </c>
      <c r="P40" s="53" t="n">
        <v>156.23</v>
      </c>
      <c r="Q40" s="53" t="n">
        <v>87.6</v>
      </c>
      <c r="R40" s="53" t="n">
        <f aca="false">SUM(O40:Q40)</f>
        <v>492.0025</v>
      </c>
      <c r="S40" s="54" t="n">
        <f aca="false">(I40-R40)+S39</f>
        <v>3073.47851815431</v>
      </c>
      <c r="T40" s="53" t="n">
        <v>191.57</v>
      </c>
      <c r="U40" s="53" t="n">
        <v>145.4</v>
      </c>
      <c r="V40" s="54" t="n">
        <f aca="false">V39-U40</f>
        <v>7835.5</v>
      </c>
      <c r="W40" s="53" t="n">
        <f aca="false">R40+T40+N40+U40</f>
        <v>874.07</v>
      </c>
      <c r="X40" s="53" t="n">
        <f aca="false">IF(L40&lt;0,L40*-1,0)</f>
        <v>6.67222390317704</v>
      </c>
      <c r="Y40" s="53" t="n">
        <f aca="false">W40+X40</f>
        <v>880.742223903177</v>
      </c>
      <c r="Z40" s="57" t="n">
        <v>0</v>
      </c>
      <c r="AA40" s="86" t="n">
        <v>87</v>
      </c>
      <c r="AB40" s="58" t="n">
        <v>59</v>
      </c>
      <c r="AC40" s="59" t="n">
        <v>31</v>
      </c>
      <c r="AD40" s="74" t="n">
        <v>26327</v>
      </c>
      <c r="AE40" s="74" t="n">
        <v>14703</v>
      </c>
      <c r="AF40" s="75" t="n">
        <v>2963.64</v>
      </c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-4587.49369641957</v>
      </c>
      <c r="G42" s="54" t="n">
        <f aca="false">SUM(G10:G40)</f>
        <v>32285.51</v>
      </c>
      <c r="H42" s="54" t="n">
        <f aca="false">SUM(H10:H40)</f>
        <v>0</v>
      </c>
      <c r="I42" s="54" t="n">
        <f aca="false">SUM(I10:I40)</f>
        <v>32285.51</v>
      </c>
      <c r="J42" s="54" t="n">
        <f aca="false">SUM(J10:J40)</f>
        <v>4624.62373171962</v>
      </c>
      <c r="K42" s="54" t="n">
        <f aca="false">SUM(K10:K40)</f>
        <v>36910.1337317196</v>
      </c>
      <c r="L42" s="54" t="n">
        <f aca="false">SUM(L10:L40)</f>
        <v>4223.30630358043</v>
      </c>
      <c r="M42" s="54" t="n">
        <f aca="false">SUM(M10:M40)</f>
        <v>8734.29</v>
      </c>
      <c r="N42" s="54" t="n">
        <f aca="false">SUM(N10:N40)</f>
        <v>1048.677</v>
      </c>
      <c r="O42" s="54" t="n">
        <f aca="false">SUM(O10:O40)</f>
        <v>7685.613</v>
      </c>
      <c r="P42" s="54" t="n">
        <f aca="false">SUM(P10:P40)</f>
        <v>6067.61</v>
      </c>
      <c r="Q42" s="54" t="n">
        <f aca="false">SUM(Q10:Q40)</f>
        <v>2658.36</v>
      </c>
      <c r="R42" s="54" t="n">
        <f aca="false">SUM(R10:R40)</f>
        <v>16411.583</v>
      </c>
      <c r="S42" s="54"/>
      <c r="T42" s="54" t="n">
        <f aca="false">SUM(T10:T40)</f>
        <v>5643.76</v>
      </c>
      <c r="U42" s="54" t="n">
        <f aca="false">SUM(U10:U40)</f>
        <v>17992.29</v>
      </c>
      <c r="V42" s="54" t="n">
        <f aca="false">V40</f>
        <v>7835.5</v>
      </c>
      <c r="W42" s="54" t="n">
        <f aca="false">SUM(W10:W40)</f>
        <v>41096.31</v>
      </c>
      <c r="X42" s="54" t="n">
        <f aca="false">SUM(X10:X40)</f>
        <v>401.317428139183</v>
      </c>
      <c r="Y42" s="54" t="n">
        <f aca="false">SUM(Y10:Y40)</f>
        <v>41497.6274281392</v>
      </c>
      <c r="Z42" s="57" t="n">
        <f aca="false">SUM(Z10:Z40)</f>
        <v>2.22</v>
      </c>
      <c r="AA42" s="58" t="n">
        <f aca="false">AVERAGE(AA10:AA40)</f>
        <v>85.4516129032258</v>
      </c>
      <c r="AB42" s="58" t="n">
        <f aca="false">AVERAGE(AB10:AB40)</f>
        <v>53.5483870967742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-9097</v>
      </c>
      <c r="E43" s="54"/>
      <c r="F43" s="54" t="n">
        <f aca="false">F42*$D$2</f>
        <v>-9097</v>
      </c>
      <c r="G43" s="54" t="n">
        <f aca="false">G42*$D$2</f>
        <v>64022.16633</v>
      </c>
      <c r="H43" s="54" t="n">
        <f aca="false">H42*$D$2</f>
        <v>0</v>
      </c>
      <c r="I43" s="54" t="n">
        <f aca="false">I42*$D$2</f>
        <v>64022.16633</v>
      </c>
      <c r="J43" s="54" t="n">
        <f aca="false">J42*$D$2</f>
        <v>9170.62886</v>
      </c>
      <c r="K43" s="54" t="n">
        <f aca="false">K42*$D$2</f>
        <v>73192.79519</v>
      </c>
      <c r="L43" s="54" t="n">
        <f aca="false">L42*$D$2</f>
        <v>8374.8164</v>
      </c>
      <c r="M43" s="54" t="n">
        <f aca="false">M42*$D$2</f>
        <v>17320.09707</v>
      </c>
      <c r="N43" s="54" t="n">
        <f aca="false">N42*$D$2</f>
        <v>2079.526491</v>
      </c>
      <c r="O43" s="54" t="n">
        <f aca="false">O42*$D$2</f>
        <v>15240.570579</v>
      </c>
      <c r="P43" s="54" t="n">
        <f aca="false">P42*$D$2</f>
        <v>12032.07063</v>
      </c>
      <c r="Q43" s="54" t="n">
        <f aca="false">Q42*$D$2</f>
        <v>5271.52788</v>
      </c>
      <c r="R43" s="54" t="n">
        <f aca="false">R42*$D$2</f>
        <v>32544.169089</v>
      </c>
      <c r="S43" s="54"/>
      <c r="T43" s="54" t="n">
        <f aca="false">T42*$D$2</f>
        <v>11191.57608</v>
      </c>
      <c r="U43" s="54" t="n">
        <f aca="false">U42*$D$2</f>
        <v>35678.71107</v>
      </c>
      <c r="V43" s="54" t="n">
        <f aca="false">V42*$D$2</f>
        <v>15537.7965</v>
      </c>
      <c r="W43" s="54" t="n">
        <f aca="false">W42*$D$2</f>
        <v>81493.98273</v>
      </c>
      <c r="X43" s="54" t="n">
        <f aca="false">X42*$D$2</f>
        <v>795.81246</v>
      </c>
      <c r="Y43" s="54" t="n">
        <f aca="false">Y42*$D$2</f>
        <v>82289.79519</v>
      </c>
      <c r="Z43" s="57"/>
      <c r="AA43" s="58" t="n">
        <f aca="false">MAX(AA10:AA40)</f>
        <v>96</v>
      </c>
      <c r="AB43" s="58" t="n">
        <f aca="false">MAX(AB10:AB40)</f>
        <v>64</v>
      </c>
      <c r="AC43" s="59" t="s">
        <v>47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 t="n">
        <f aca="false">F7+F42</f>
        <v>31920.3227433182</v>
      </c>
      <c r="G45" s="54" t="n">
        <f aca="false">G7+G42</f>
        <v>173296.1</v>
      </c>
      <c r="H45" s="54" t="n">
        <f aca="false">H7+H42</f>
        <v>12482.96</v>
      </c>
      <c r="I45" s="54" t="n">
        <f aca="false">I7+I42</f>
        <v>185779.06</v>
      </c>
      <c r="J45" s="54" t="n">
        <f aca="false">J7+J42</f>
        <v>49630.5423398891</v>
      </c>
      <c r="K45" s="54" t="n">
        <f aca="false">K7+K42</f>
        <v>235409.602339889</v>
      </c>
      <c r="L45" s="54" t="n">
        <f aca="false">L7+L42</f>
        <v>49004.9486031266</v>
      </c>
      <c r="M45" s="54" t="n">
        <f aca="false">M7+M42</f>
        <v>22635.74</v>
      </c>
      <c r="N45" s="54" t="n">
        <f aca="false">N7+N42</f>
        <v>3044.32404633888</v>
      </c>
      <c r="O45" s="54" t="n">
        <f aca="false">O7+O42</f>
        <v>19591.4159536611</v>
      </c>
      <c r="P45" s="54" t="n">
        <f aca="false">P7+P42</f>
        <v>12542.94</v>
      </c>
      <c r="Q45" s="54" t="n">
        <f aca="false">Q7+Q42</f>
        <v>6628.54</v>
      </c>
      <c r="R45" s="54" t="n">
        <f aca="false">R7+R42</f>
        <v>38762.8959536611</v>
      </c>
      <c r="S45" s="54" t="n">
        <f aca="false">S40</f>
        <v>3073.47851815431</v>
      </c>
      <c r="T45" s="54" t="n">
        <f aca="false">T7+T42</f>
        <v>9100.1801563288</v>
      </c>
      <c r="U45" s="54" t="n">
        <f aca="false">U7+U42</f>
        <v>151963.85</v>
      </c>
      <c r="V45" s="54" t="n">
        <f aca="false">V7+V42</f>
        <v>7835.5</v>
      </c>
      <c r="W45" s="54" t="n">
        <f aca="false">W7+W42</f>
        <v>202863.685859808</v>
      </c>
      <c r="X45" s="54" t="n">
        <f aca="false">X7+X42</f>
        <v>625.593736762481</v>
      </c>
      <c r="Y45" s="54" t="n">
        <f aca="false">Y7+Y42</f>
        <v>203489.279596571</v>
      </c>
      <c r="Z45" s="57"/>
      <c r="AA45" s="58" t="n">
        <f aca="false">MIN(AA10:AA40)</f>
        <v>69</v>
      </c>
      <c r="AB45" s="58" t="n">
        <f aca="false">MIN(AB10:AB40)</f>
        <v>40</v>
      </c>
      <c r="AC45" s="59" t="s">
        <v>49</v>
      </c>
      <c r="AD45" s="74"/>
      <c r="AE45" s="74"/>
      <c r="AF45" s="75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 t="n">
        <f aca="false">F45*$D$2</f>
        <v>63298</v>
      </c>
      <c r="G46" s="54" t="n">
        <f aca="false">G45*$D$2</f>
        <v>343646.1663</v>
      </c>
      <c r="H46" s="54" t="n">
        <f aca="false">H45*$D$2</f>
        <v>24753.70968</v>
      </c>
      <c r="I46" s="54" t="n">
        <f aca="false">I45*$D$2</f>
        <v>368399.87598</v>
      </c>
      <c r="J46" s="54" t="n">
        <f aca="false">J45*$D$2</f>
        <v>98417.36546</v>
      </c>
      <c r="K46" s="54" t="n">
        <f aca="false">K45*$D$2</f>
        <v>466817.24144</v>
      </c>
      <c r="L46" s="54" t="n">
        <f aca="false">L45*$D$2</f>
        <v>97176.81308</v>
      </c>
      <c r="M46" s="54" t="n">
        <f aca="false">M45*$D$2</f>
        <v>44886.67242</v>
      </c>
      <c r="N46" s="54" t="n">
        <f aca="false">N45*$D$2</f>
        <v>6036.89458389</v>
      </c>
      <c r="O46" s="54" t="n">
        <f aca="false">O45*$D$2</f>
        <v>38849.77783611</v>
      </c>
      <c r="P46" s="54" t="n">
        <f aca="false">P45*$D$2</f>
        <v>24872.65002</v>
      </c>
      <c r="Q46" s="54" t="n">
        <f aca="false">Q45*$D$2</f>
        <v>13144.39482</v>
      </c>
      <c r="R46" s="54" t="n">
        <f aca="false">R45*$D$2</f>
        <v>76866.82267611</v>
      </c>
      <c r="S46" s="54" t="n">
        <f aca="false">S45*$D$2</f>
        <v>6094.7079015</v>
      </c>
      <c r="T46" s="54" t="n">
        <f aca="false">T45*$D$2</f>
        <v>18045.65725</v>
      </c>
      <c r="U46" s="54" t="n">
        <f aca="false">U45*$D$2</f>
        <v>301344.31455</v>
      </c>
      <c r="V46" s="54" t="n">
        <f aca="false">V45*$D$2</f>
        <v>15537.7965</v>
      </c>
      <c r="W46" s="54" t="n">
        <f aca="false">W45*$D$2</f>
        <v>402278.68906</v>
      </c>
      <c r="X46" s="54" t="n">
        <f aca="false">X45*$D$2</f>
        <v>1240.55238</v>
      </c>
      <c r="Y46" s="54" t="n">
        <f aca="false">Y45*$D$2</f>
        <v>403519.24144</v>
      </c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53541.6036308623</v>
      </c>
      <c r="G48" s="54" t="n">
        <f aca="false">G8+G42</f>
        <v>189085.042592032</v>
      </c>
      <c r="H48" s="58" t="n">
        <f aca="false">H8+H42</f>
        <v>14867.77</v>
      </c>
      <c r="I48" s="54" t="n">
        <f aca="false">I8+I42</f>
        <v>203952.712592032</v>
      </c>
      <c r="J48" s="54" t="n">
        <f aca="false">J8+J42</f>
        <v>61974.6240040343</v>
      </c>
      <c r="K48" s="54" t="n">
        <f aca="false">K8+K42</f>
        <v>265927.336596067</v>
      </c>
      <c r="L48" s="54" t="n">
        <f aca="false">L8+L42</f>
        <v>61111.9668986384</v>
      </c>
      <c r="M48" s="54" t="n">
        <f aca="false">M8+M42</f>
        <v>23538.19</v>
      </c>
      <c r="N48" s="54" t="n">
        <f aca="false">N8+N42</f>
        <v>3059.95404633888</v>
      </c>
      <c r="O48" s="54" t="n">
        <f aca="false">O8+O42</f>
        <v>20273.7359536611</v>
      </c>
      <c r="P48" s="54" t="n">
        <f aca="false">P8+P42</f>
        <v>15117.24</v>
      </c>
      <c r="Q48" s="54" t="n">
        <f aca="false">Q8+Q42</f>
        <v>6628.54</v>
      </c>
      <c r="R48" s="54" t="n">
        <f aca="false">R8+R42</f>
        <v>42100.0159536611</v>
      </c>
      <c r="S48" s="54"/>
      <c r="T48" s="54" t="n">
        <f aca="false">T8+T42</f>
        <v>9100.1801563288</v>
      </c>
      <c r="U48" s="54" t="n">
        <f aca="false">U8+U42</f>
        <v>157146.49</v>
      </c>
      <c r="V48" s="54" t="n">
        <f aca="false">V40</f>
        <v>7835.5</v>
      </c>
      <c r="W48" s="54" t="n">
        <f aca="false">W8+W42</f>
        <v>211523.075859808</v>
      </c>
      <c r="X48" s="54" t="n">
        <f aca="false">X8+X42</f>
        <v>862.657105395865</v>
      </c>
      <c r="Y48" s="54" t="n">
        <f aca="false">Y8+Y42</f>
        <v>212385.732965204</v>
      </c>
      <c r="Z48" s="77" t="n">
        <f aca="false">Z8+Z42</f>
        <v>18.03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106173</v>
      </c>
      <c r="E49" s="54" t="n">
        <f aca="false">E40</f>
        <v>220736</v>
      </c>
      <c r="F49" s="54" t="n">
        <f aca="false">F48*$D$2</f>
        <v>106173</v>
      </c>
      <c r="G49" s="54" t="n">
        <f aca="false">G48*$D$2</f>
        <v>374955.63946</v>
      </c>
      <c r="H49" s="58" t="n">
        <f aca="false">H48*$D$2</f>
        <v>29482.78791</v>
      </c>
      <c r="I49" s="54" t="n">
        <f aca="false">I48*$D$2</f>
        <v>404438.22907</v>
      </c>
      <c r="J49" s="54" t="n">
        <f aca="false">J48*$D$2</f>
        <v>122895.6794</v>
      </c>
      <c r="K49" s="54" t="n">
        <f aca="false">K48*$D$2</f>
        <v>527333.90847</v>
      </c>
      <c r="L49" s="54" t="n">
        <f aca="false">L48*$D$2</f>
        <v>121185.03036</v>
      </c>
      <c r="M49" s="54" t="n">
        <f aca="false">M48*$D$2</f>
        <v>46676.23077</v>
      </c>
      <c r="N49" s="54" t="n">
        <f aca="false">N48*$D$2</f>
        <v>6067.88887389</v>
      </c>
      <c r="O49" s="54" t="n">
        <f aca="false">O48*$D$2</f>
        <v>40202.81839611</v>
      </c>
      <c r="P49" s="54" t="n">
        <f aca="false">P48*$D$2</f>
        <v>29977.48692</v>
      </c>
      <c r="Q49" s="54" t="n">
        <f aca="false">Q48*$D$2</f>
        <v>13144.39482</v>
      </c>
      <c r="R49" s="54" t="n">
        <f aca="false">R48*$D$2</f>
        <v>83484.33163611</v>
      </c>
      <c r="S49" s="54" t="n">
        <f aca="false">S48*$D$2</f>
        <v>0</v>
      </c>
      <c r="T49" s="54" t="n">
        <f aca="false">T48*$D$2</f>
        <v>18045.65725</v>
      </c>
      <c r="U49" s="54" t="n">
        <f aca="false">U48*$D$2</f>
        <v>311621.48967</v>
      </c>
      <c r="V49" s="54" t="n">
        <f aca="false">V40*$D$2</f>
        <v>15537.7965</v>
      </c>
      <c r="W49" s="54" t="n">
        <f aca="false">W48*$D$2</f>
        <v>419450.25943</v>
      </c>
      <c r="X49" s="54" t="n">
        <f aca="false">X48*$D$2</f>
        <v>1710.64904</v>
      </c>
      <c r="Y49" s="54" t="n">
        <f aca="false">Y48*$D$2</f>
        <v>421160.90847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53" t="str">
        <f aca="false">"AUG /9"</f>
        <v>AUG /9</v>
      </c>
      <c r="B51" s="89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 t="s">
        <v>79</v>
      </c>
      <c r="U51" s="88" t="n">
        <v>296709</v>
      </c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6920.17</v>
      </c>
      <c r="C52" s="54" t="n">
        <v>364311</v>
      </c>
      <c r="D52" s="86"/>
      <c r="E52" s="54" t="n">
        <f aca="false">C52-152000</f>
        <v>212311</v>
      </c>
      <c r="F52" s="53"/>
      <c r="G52" s="53"/>
      <c r="H52" s="86"/>
      <c r="I52" s="55"/>
      <c r="J52" s="53"/>
      <c r="K52" s="43" t="s">
        <v>80</v>
      </c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"7/13/95 thru 8/10/95"</f>
        <v>7/13/95 thru 8/10/95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86"/>
      <c r="Q53" s="86"/>
      <c r="R53" s="86"/>
      <c r="S53" s="54"/>
      <c r="T53" s="86"/>
      <c r="U53" s="86"/>
      <c r="V53" s="54"/>
      <c r="W53" s="86"/>
      <c r="X53" s="86"/>
      <c r="Y53" s="86"/>
      <c r="Z53" s="57"/>
      <c r="AA53" s="58"/>
      <c r="AB53" s="58"/>
      <c r="AC53" s="59"/>
      <c r="AD53" s="90"/>
      <c r="AE53" s="90"/>
    </row>
    <row r="54" customFormat="false" ht="11.1" hidden="false" customHeight="true" outlineLevel="0" collapsed="false">
      <c r="A54" s="86"/>
      <c r="B54" s="57" t="n">
        <f aca="false">B52-B22</f>
        <v>-3.75</v>
      </c>
      <c r="C54" s="54"/>
      <c r="D54" s="54" t="n">
        <f aca="false">C52-C22</f>
        <v>-16493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/>
      <c r="U54" s="86"/>
      <c r="V54" s="54"/>
      <c r="W54" s="86"/>
      <c r="X54" s="86"/>
      <c r="Y54" s="86"/>
      <c r="Z54" s="57"/>
      <c r="AA54" s="58"/>
      <c r="AB54" s="58"/>
      <c r="AC54" s="59"/>
      <c r="AD54" s="90"/>
      <c r="AE54" s="90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1"/>
      <c r="H55" s="55"/>
      <c r="I55" s="86"/>
      <c r="J55" s="86"/>
      <c r="K55" s="86"/>
      <c r="L55" s="86"/>
      <c r="M55" s="77"/>
      <c r="N55" s="77"/>
      <c r="O55" s="77"/>
      <c r="P55" s="86"/>
      <c r="Q55" s="86"/>
      <c r="R55" s="86"/>
      <c r="S55" s="54"/>
      <c r="T55" s="86"/>
      <c r="U55" s="86"/>
      <c r="V55" s="54"/>
      <c r="W55" s="86"/>
      <c r="X55" s="86"/>
      <c r="Y55" s="86"/>
      <c r="Z55" s="57"/>
      <c r="AA55" s="58"/>
      <c r="AB55" s="58"/>
      <c r="AC55" s="59"/>
      <c r="AD55" s="90"/>
      <c r="AE55" s="90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8" activeCellId="0" sqref="K58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7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81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54</v>
      </c>
      <c r="Q4" s="63" t="s">
        <v>15</v>
      </c>
      <c r="R4" s="63" t="s">
        <v>12</v>
      </c>
      <c r="S4" s="64" t="s">
        <v>14</v>
      </c>
      <c r="T4" s="63" t="s">
        <v>16</v>
      </c>
      <c r="U4" s="63" t="s">
        <v>17</v>
      </c>
      <c r="V4" s="64" t="s">
        <v>18</v>
      </c>
      <c r="W4" s="63" t="s">
        <v>10</v>
      </c>
      <c r="X4" s="63" t="s">
        <v>11</v>
      </c>
      <c r="Y4" s="63" t="s">
        <v>12</v>
      </c>
      <c r="Z4" s="66" t="s">
        <v>19</v>
      </c>
      <c r="AA4" s="67" t="s">
        <v>20</v>
      </c>
      <c r="AB4" s="67" t="s">
        <v>21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82</v>
      </c>
      <c r="B5" s="63" t="s">
        <v>23</v>
      </c>
      <c r="C5" s="64" t="s">
        <v>5</v>
      </c>
      <c r="D5" s="63" t="s">
        <v>24</v>
      </c>
      <c r="E5" s="64" t="s">
        <v>25</v>
      </c>
      <c r="F5" s="63" t="s">
        <v>26</v>
      </c>
      <c r="G5" s="63" t="s">
        <v>27</v>
      </c>
      <c r="H5" s="65" t="s">
        <v>28</v>
      </c>
      <c r="I5" s="63" t="s">
        <v>29</v>
      </c>
      <c r="J5" s="63" t="s">
        <v>29</v>
      </c>
      <c r="K5" s="63" t="s">
        <v>29</v>
      </c>
      <c r="L5" s="63" t="s">
        <v>30</v>
      </c>
      <c r="M5" s="63" t="s">
        <v>31</v>
      </c>
      <c r="N5" s="63" t="s">
        <v>32</v>
      </c>
      <c r="O5" s="63" t="s">
        <v>56</v>
      </c>
      <c r="P5" s="63" t="s">
        <v>57</v>
      </c>
      <c r="Q5" s="63" t="s">
        <v>35</v>
      </c>
      <c r="R5" s="63" t="s">
        <v>14</v>
      </c>
      <c r="S5" s="64" t="s">
        <v>36</v>
      </c>
      <c r="T5" s="63" t="s">
        <v>37</v>
      </c>
      <c r="U5" s="63" t="s">
        <v>38</v>
      </c>
      <c r="V5" s="64" t="s">
        <v>39</v>
      </c>
      <c r="W5" s="63" t="s">
        <v>40</v>
      </c>
      <c r="X5" s="63" t="s">
        <v>40</v>
      </c>
      <c r="Y5" s="63" t="s">
        <v>40</v>
      </c>
      <c r="Z5" s="69"/>
      <c r="AA5" s="67" t="s">
        <v>41</v>
      </c>
      <c r="AB5" s="67" t="s">
        <v>41</v>
      </c>
      <c r="AC5" s="70" t="s">
        <v>82</v>
      </c>
      <c r="AD5" s="60"/>
      <c r="AE5" s="60"/>
      <c r="AG5" s="100" t="s">
        <v>83</v>
      </c>
      <c r="AH5" s="10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 t="s">
        <v>75</v>
      </c>
      <c r="AG6" s="100" t="s">
        <v>84</v>
      </c>
      <c r="AH6" s="100" t="s">
        <v>85</v>
      </c>
    </row>
    <row r="7" customFormat="false" ht="11.1" hidden="false" customHeight="true" outlineLevel="0" collapsed="false">
      <c r="A7" s="53" t="s">
        <v>42</v>
      </c>
      <c r="B7" s="53"/>
      <c r="C7" s="54"/>
      <c r="D7" s="54"/>
      <c r="E7" s="54"/>
      <c r="F7" s="54" t="n">
        <f aca="false" t="array" ref="F7:Y7">JUL!$F$45:$Y$45</f>
        <v>31920.3227433182</v>
      </c>
      <c r="G7" s="54" t="n">
        <v>173296.1</v>
      </c>
      <c r="H7" s="54" t="n">
        <v>12482.96</v>
      </c>
      <c r="I7" s="54" t="n">
        <v>185779.06</v>
      </c>
      <c r="J7" s="54" t="n">
        <v>49630.5423398891</v>
      </c>
      <c r="K7" s="54" t="n">
        <v>235409.602339889</v>
      </c>
      <c r="L7" s="54" t="n">
        <v>49004.9486031266</v>
      </c>
      <c r="M7" s="54" t="n">
        <v>22635.74</v>
      </c>
      <c r="N7" s="54" t="n">
        <v>3044.32404633888</v>
      </c>
      <c r="O7" s="54" t="n">
        <v>19591.4159536611</v>
      </c>
      <c r="P7" s="54" t="n">
        <v>12542.94</v>
      </c>
      <c r="Q7" s="54" t="n">
        <v>6628.54</v>
      </c>
      <c r="R7" s="54" t="n">
        <v>38762.8959536611</v>
      </c>
      <c r="S7" s="54" t="n">
        <v>3073.47851815431</v>
      </c>
      <c r="T7" s="54" t="n">
        <v>9100.1801563288</v>
      </c>
      <c r="U7" s="54" t="n">
        <v>151963.85</v>
      </c>
      <c r="V7" s="54" t="n">
        <v>7835.5</v>
      </c>
      <c r="W7" s="54" t="n">
        <v>202863.685859808</v>
      </c>
      <c r="X7" s="54" t="n">
        <v>625.593736762481</v>
      </c>
      <c r="Y7" s="54" t="n">
        <v>203489.279596571</v>
      </c>
      <c r="Z7" s="57"/>
      <c r="AA7" s="58"/>
      <c r="AB7" s="58"/>
      <c r="AC7" s="59"/>
      <c r="AD7" s="74"/>
      <c r="AE7" s="75"/>
      <c r="AF7" s="75" t="s">
        <v>86</v>
      </c>
    </row>
    <row r="8" s="47" customFormat="true" ht="11.1" hidden="false" customHeight="true" outlineLevel="0" collapsed="false">
      <c r="A8" s="54" t="s">
        <v>43</v>
      </c>
      <c r="B8" s="76" t="n">
        <f aca="false" t="array" ref="B8:C8">JUL!$B$40:$C$40</f>
        <v>6922.1</v>
      </c>
      <c r="C8" s="54" t="n">
        <v>372736</v>
      </c>
      <c r="D8" s="54" t="n">
        <f aca="false" t="array" ref="D8:E8">JUL!$D$49:$E$49</f>
        <v>106173</v>
      </c>
      <c r="E8" s="54" t="n">
        <v>220736</v>
      </c>
      <c r="F8" s="54" t="n">
        <f aca="false" t="array" ref="F8:Z8">JUL!$F$48:$Z$48</f>
        <v>53541.6036308623</v>
      </c>
      <c r="G8" s="54" t="n">
        <v>189085.042592032</v>
      </c>
      <c r="H8" s="58" t="n">
        <v>14867.77</v>
      </c>
      <c r="I8" s="54" t="n">
        <v>203952.712592032</v>
      </c>
      <c r="J8" s="54" t="n">
        <v>61974.6240040343</v>
      </c>
      <c r="K8" s="54" t="n">
        <v>265927.336596067</v>
      </c>
      <c r="L8" s="54" t="n">
        <v>61111.9668986384</v>
      </c>
      <c r="M8" s="54" t="n">
        <v>23538.19</v>
      </c>
      <c r="N8" s="54" t="n">
        <v>3059.95404633888</v>
      </c>
      <c r="O8" s="54" t="n">
        <v>20273.7359536611</v>
      </c>
      <c r="P8" s="54" t="n">
        <v>15117.24</v>
      </c>
      <c r="Q8" s="54" t="n">
        <v>6628.54</v>
      </c>
      <c r="R8" s="54" t="n">
        <v>42100.0159536611</v>
      </c>
      <c r="S8" s="54" t="n">
        <v>0</v>
      </c>
      <c r="T8" s="54" t="n">
        <v>9100.1801563288</v>
      </c>
      <c r="U8" s="54" t="n">
        <v>157146.49</v>
      </c>
      <c r="V8" s="54" t="n">
        <v>7835.5</v>
      </c>
      <c r="W8" s="54" t="n">
        <v>211523.075859808</v>
      </c>
      <c r="X8" s="54" t="n">
        <v>862.657105395865</v>
      </c>
      <c r="Y8" s="54" t="n">
        <v>212385.732965204</v>
      </c>
      <c r="Z8" s="77" t="n">
        <v>18.03</v>
      </c>
      <c r="AA8" s="58"/>
      <c r="AB8" s="58"/>
      <c r="AC8" s="59"/>
      <c r="AD8" s="78" t="n">
        <v>26327</v>
      </c>
      <c r="AE8" s="74" t="n">
        <v>14703</v>
      </c>
      <c r="AF8" s="78" t="n">
        <v>2963.64</v>
      </c>
      <c r="AG8" s="47" t="n">
        <v>2963.64</v>
      </c>
      <c r="AH8" s="47" t="n">
        <v>0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6921.85</v>
      </c>
      <c r="C10" s="54" t="n">
        <v>371637</v>
      </c>
      <c r="D10" s="58" t="n">
        <f aca="false">C10-C8</f>
        <v>-1099</v>
      </c>
      <c r="E10" s="54" t="n">
        <f aca="false">C10-152000</f>
        <v>219637</v>
      </c>
      <c r="F10" s="53" t="n">
        <f aca="false">D10/$D$2</f>
        <v>-554.210791729703</v>
      </c>
      <c r="G10" s="53" t="n">
        <v>334</v>
      </c>
      <c r="H10" s="55" t="n">
        <v>0</v>
      </c>
      <c r="I10" s="53" t="n">
        <f aca="false">G10+H10</f>
        <v>334</v>
      </c>
      <c r="J10" s="77" t="n">
        <f aca="false">IF(L10&gt;0,L10,0)</f>
        <v>0</v>
      </c>
      <c r="K10" s="53" t="n">
        <f aca="false">I10+J10</f>
        <v>334</v>
      </c>
      <c r="L10" s="53" t="n">
        <f aca="false">F10-(I10-W10)</f>
        <v>-14.1107917297026</v>
      </c>
      <c r="M10" s="53" t="n">
        <v>293.3</v>
      </c>
      <c r="N10" s="53" t="n">
        <f aca="false">(21.14+21.81)*1.05</f>
        <v>45.0975</v>
      </c>
      <c r="O10" s="53" t="n">
        <f aca="false">M10-N10</f>
        <v>248.2025</v>
      </c>
      <c r="P10" s="53" t="n">
        <v>156.2</v>
      </c>
      <c r="Q10" s="53" t="n">
        <v>87.6</v>
      </c>
      <c r="R10" s="53" t="n">
        <f aca="false">SUM(O10:Q10)</f>
        <v>492.0025</v>
      </c>
      <c r="S10" s="54" t="n">
        <f aca="false">(I10-R10)+S7</f>
        <v>2915.47601815431</v>
      </c>
      <c r="T10" s="53" t="n">
        <v>191.6</v>
      </c>
      <c r="U10" s="53" t="n">
        <v>145.4</v>
      </c>
      <c r="V10" s="54" t="n">
        <f aca="false">V8-U10</f>
        <v>7690.1</v>
      </c>
      <c r="W10" s="53" t="n">
        <f aca="false">R10+T10+N10+U10</f>
        <v>874.1</v>
      </c>
      <c r="X10" s="53" t="n">
        <f aca="false">IF(L10&lt;0,L10*-1,0)</f>
        <v>14.1107917297026</v>
      </c>
      <c r="Y10" s="53" t="n">
        <f aca="false">W10+X10</f>
        <v>888.210791729703</v>
      </c>
      <c r="Z10" s="57" t="n">
        <v>0</v>
      </c>
      <c r="AA10" s="58" t="n">
        <v>87</v>
      </c>
      <c r="AB10" s="58" t="n">
        <v>54</v>
      </c>
      <c r="AC10" s="59" t="n">
        <v>1</v>
      </c>
      <c r="AD10" s="75" t="n">
        <v>26690</v>
      </c>
      <c r="AE10" s="78" t="n">
        <v>14883</v>
      </c>
      <c r="AF10" s="78" t="n">
        <f aca="false">(AG10+AH10)-(AG8+AH8)</f>
        <v>59.9400000000005</v>
      </c>
      <c r="AG10" s="46" t="n">
        <v>3023.32</v>
      </c>
      <c r="AH10" s="46" t="n">
        <v>0.26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6921.64</v>
      </c>
      <c r="C11" s="54" t="n">
        <v>370717</v>
      </c>
      <c r="D11" s="58" t="n">
        <f aca="false">C11-C10</f>
        <v>-920</v>
      </c>
      <c r="E11" s="54" t="n">
        <f aca="false">C11-152000</f>
        <v>218717</v>
      </c>
      <c r="F11" s="53" t="n">
        <f aca="false">D11/$D$2</f>
        <v>-463.943519919314</v>
      </c>
      <c r="G11" s="53" t="n">
        <v>314.11</v>
      </c>
      <c r="H11" s="55" t="n">
        <v>0</v>
      </c>
      <c r="I11" s="53" t="n">
        <f aca="false">G11+H11</f>
        <v>314.11</v>
      </c>
      <c r="J11" s="77" t="n">
        <f aca="false">IF(L11&gt;0,L11,0)</f>
        <v>14.9864800806858</v>
      </c>
      <c r="K11" s="53" t="n">
        <f aca="false">I11+J11</f>
        <v>329.096480080686</v>
      </c>
      <c r="L11" s="53" t="n">
        <f aca="false">F11-(I11-W11)</f>
        <v>14.9864800806858</v>
      </c>
      <c r="M11" s="53" t="n">
        <v>289.22</v>
      </c>
      <c r="N11" s="53" t="n">
        <f aca="false">(18.99+17.22)*1.05</f>
        <v>38.0205</v>
      </c>
      <c r="O11" s="53" t="n">
        <f aca="false">M11-N11</f>
        <v>251.1995</v>
      </c>
      <c r="P11" s="53" t="n">
        <v>111.66</v>
      </c>
      <c r="Q11" s="53" t="n">
        <v>88.23</v>
      </c>
      <c r="R11" s="53" t="n">
        <f aca="false">SUM(O11:Q11)</f>
        <v>451.0895</v>
      </c>
      <c r="S11" s="54" t="n">
        <f aca="false">(I11-R11)+S10</f>
        <v>2778.49651815431</v>
      </c>
      <c r="T11" s="53" t="n">
        <v>190.53</v>
      </c>
      <c r="U11" s="53" t="n">
        <v>113.4</v>
      </c>
      <c r="V11" s="54" t="n">
        <f aca="false">V10-U11</f>
        <v>7576.7</v>
      </c>
      <c r="W11" s="53" t="n">
        <f aca="false">R11+T11+N11+U11</f>
        <v>793.04</v>
      </c>
      <c r="X11" s="53" t="n">
        <f aca="false">IF(L11&lt;0,L11*-1,0)</f>
        <v>0</v>
      </c>
      <c r="Y11" s="53" t="n">
        <f aca="false">W11+X11</f>
        <v>793.04</v>
      </c>
      <c r="Z11" s="57" t="n">
        <v>0</v>
      </c>
      <c r="AA11" s="58" t="n">
        <v>91</v>
      </c>
      <c r="AB11" s="58" t="n">
        <v>55</v>
      </c>
      <c r="AC11" s="59" t="n">
        <f aca="false">AC10+1</f>
        <v>2</v>
      </c>
      <c r="AD11" s="75" t="n">
        <v>27072</v>
      </c>
      <c r="AE11" s="78" t="n">
        <v>15062</v>
      </c>
      <c r="AF11" s="78" t="n">
        <f aca="false">(AG11+AH11)-(AG10+AH10)</f>
        <v>61.7699999999995</v>
      </c>
      <c r="AG11" s="46" t="n">
        <v>3065.96</v>
      </c>
      <c r="AH11" s="46" t="n">
        <v>19.39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6921.45</v>
      </c>
      <c r="C12" s="54" t="n">
        <v>369885</v>
      </c>
      <c r="D12" s="58" t="n">
        <f aca="false">C12-C11</f>
        <v>-832</v>
      </c>
      <c r="E12" s="54" t="n">
        <f aca="false">C12-152000</f>
        <v>217885</v>
      </c>
      <c r="F12" s="53" t="n">
        <f aca="false">D12/$D$2</f>
        <v>-419.566313666162</v>
      </c>
      <c r="G12" s="53" t="n">
        <v>294.21</v>
      </c>
      <c r="H12" s="55" t="n">
        <v>0</v>
      </c>
      <c r="I12" s="53" t="n">
        <f aca="false">G12+H12</f>
        <v>294.21</v>
      </c>
      <c r="J12" s="77" t="n">
        <f aca="false">IF(L12&gt;0,L12,0)</f>
        <v>54.3036863338377</v>
      </c>
      <c r="K12" s="53" t="n">
        <f aca="false">I12+J12</f>
        <v>348.513686333838</v>
      </c>
      <c r="L12" s="53" t="n">
        <f aca="false">F12-(I12-W12)</f>
        <v>54.3036863338377</v>
      </c>
      <c r="M12" s="53" t="n">
        <v>279.14</v>
      </c>
      <c r="N12" s="53" t="n">
        <f aca="false">(20.82+19.06)*1.05</f>
        <v>41.874</v>
      </c>
      <c r="O12" s="53" t="n">
        <f aca="false">M12-N12</f>
        <v>237.266</v>
      </c>
      <c r="P12" s="53" t="n">
        <v>108.69</v>
      </c>
      <c r="Q12" s="53" t="n">
        <v>75.96</v>
      </c>
      <c r="R12" s="53" t="n">
        <f aca="false">SUM(O12:Q12)</f>
        <v>421.916</v>
      </c>
      <c r="S12" s="54" t="n">
        <f aca="false">(I12-R12)+S11</f>
        <v>2650.79051815431</v>
      </c>
      <c r="T12" s="53" t="n">
        <v>189.93</v>
      </c>
      <c r="U12" s="53" t="n">
        <v>114.36</v>
      </c>
      <c r="V12" s="54" t="n">
        <f aca="false">V11-U12</f>
        <v>7462.34</v>
      </c>
      <c r="W12" s="53" t="n">
        <f aca="false">R12+T12+N12+U12</f>
        <v>768.08</v>
      </c>
      <c r="X12" s="53" t="n">
        <f aca="false">IF(L12&lt;0,L12*-1,0)</f>
        <v>0</v>
      </c>
      <c r="Y12" s="53" t="n">
        <f aca="false">W12+X12</f>
        <v>768.08</v>
      </c>
      <c r="Z12" s="57" t="n">
        <v>0</v>
      </c>
      <c r="AA12" s="58" t="n">
        <v>92</v>
      </c>
      <c r="AB12" s="58" t="n">
        <v>56</v>
      </c>
      <c r="AC12" s="59" t="n">
        <f aca="false">AC11+1</f>
        <v>3</v>
      </c>
      <c r="AD12" s="75" t="n">
        <v>27469</v>
      </c>
      <c r="AE12" s="78" t="n">
        <v>15243</v>
      </c>
      <c r="AF12" s="78" t="n">
        <f aca="false">(AG12+AH12)-(AG11+AH11)</f>
        <v>51.5799999999999</v>
      </c>
      <c r="AG12" s="46" t="n">
        <v>3093.46</v>
      </c>
      <c r="AH12" s="46" t="n">
        <v>43.47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6921.23</v>
      </c>
      <c r="C13" s="54" t="n">
        <v>368922</v>
      </c>
      <c r="D13" s="58" t="n">
        <f aca="false">C13-C12</f>
        <v>-963</v>
      </c>
      <c r="E13" s="54" t="n">
        <f aca="false">C13-152000</f>
        <v>216922</v>
      </c>
      <c r="F13" s="53" t="n">
        <f aca="false">D13/$D$2</f>
        <v>-485.627836611195</v>
      </c>
      <c r="G13" s="53" t="n">
        <v>284.03</v>
      </c>
      <c r="H13" s="55" t="n">
        <v>0</v>
      </c>
      <c r="I13" s="53" t="n">
        <f aca="false">G13+H13</f>
        <v>284.03</v>
      </c>
      <c r="J13" s="77" t="n">
        <f aca="false">IF(L13&gt;0,L13,0)</f>
        <v>18.2821633888049</v>
      </c>
      <c r="K13" s="53" t="n">
        <f aca="false">I13+J13</f>
        <v>302.312163388805</v>
      </c>
      <c r="L13" s="53" t="n">
        <f aca="false">F13-(I13-W13)</f>
        <v>18.2821633888049</v>
      </c>
      <c r="M13" s="53" t="n">
        <v>280</v>
      </c>
      <c r="N13" s="53" t="n">
        <f aca="false">(17.04+16.3)*1.05</f>
        <v>35.007</v>
      </c>
      <c r="O13" s="53" t="n">
        <f aca="false">M13-N13</f>
        <v>244.993</v>
      </c>
      <c r="P13" s="53" t="n">
        <v>107.07</v>
      </c>
      <c r="Q13" s="53" t="n">
        <v>85.67</v>
      </c>
      <c r="R13" s="53" t="n">
        <f aca="false">SUM(O13:Q13)</f>
        <v>437.733</v>
      </c>
      <c r="S13" s="54" t="n">
        <f aca="false">(I13-R13)+S12</f>
        <v>2497.08751815431</v>
      </c>
      <c r="T13" s="53" t="n">
        <v>200.6</v>
      </c>
      <c r="U13" s="53" t="n">
        <v>114.6</v>
      </c>
      <c r="V13" s="54" t="n">
        <f aca="false">V12-U13</f>
        <v>7347.74</v>
      </c>
      <c r="W13" s="53" t="n">
        <f aca="false">R13+T13+N13+U13</f>
        <v>787.94</v>
      </c>
      <c r="X13" s="53" t="n">
        <f aca="false">IF(L13&lt;0,L13*-1,0)</f>
        <v>0</v>
      </c>
      <c r="Y13" s="53" t="n">
        <f aca="false">W13+X13</f>
        <v>787.94</v>
      </c>
      <c r="Z13" s="57" t="n">
        <v>0</v>
      </c>
      <c r="AA13" s="58" t="n">
        <v>91</v>
      </c>
      <c r="AB13" s="58" t="n">
        <v>57</v>
      </c>
      <c r="AC13" s="59" t="n">
        <f aca="false">AC12+1</f>
        <v>4</v>
      </c>
      <c r="AD13" s="75" t="n">
        <v>27857</v>
      </c>
      <c r="AE13" s="78" t="n">
        <v>15417</v>
      </c>
      <c r="AF13" s="78" t="n">
        <f aca="false">(AG13+AH13)-(AG12+AH12)</f>
        <v>57.3200000000002</v>
      </c>
      <c r="AG13" s="46" t="n">
        <v>3121.69</v>
      </c>
      <c r="AH13" s="46" t="n">
        <v>72.56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6921</v>
      </c>
      <c r="C14" s="54" t="n">
        <v>367915</v>
      </c>
      <c r="D14" s="58" t="n">
        <f aca="false">C14-C13</f>
        <v>-1007</v>
      </c>
      <c r="E14" s="54" t="n">
        <f aca="false">C14-152000</f>
        <v>215915</v>
      </c>
      <c r="F14" s="53" t="n">
        <f aca="false">D14/$D$2</f>
        <v>-507.816439737771</v>
      </c>
      <c r="G14" s="53" t="n">
        <v>275.92</v>
      </c>
      <c r="H14" s="55" t="n">
        <v>0</v>
      </c>
      <c r="I14" s="53" t="n">
        <f aca="false">G14+H14</f>
        <v>275.92</v>
      </c>
      <c r="J14" s="77" t="n">
        <f aca="false">IF(L14&gt;0,L14,0)</f>
        <v>0</v>
      </c>
      <c r="K14" s="53" t="n">
        <f aca="false">I14+J14</f>
        <v>275.92</v>
      </c>
      <c r="L14" s="53" t="n">
        <f aca="false">F14-(I14-W14)</f>
        <v>-8.46643973777105</v>
      </c>
      <c r="M14" s="53" t="n">
        <v>287.2</v>
      </c>
      <c r="N14" s="53" t="n">
        <f aca="false">(16.26+17.05)*1.05</f>
        <v>34.9755</v>
      </c>
      <c r="O14" s="53" t="n">
        <f aca="false">M14-N14</f>
        <v>252.2245</v>
      </c>
      <c r="P14" s="53" t="n">
        <v>107.07</v>
      </c>
      <c r="Q14" s="53" t="n">
        <v>91.58</v>
      </c>
      <c r="R14" s="53" t="n">
        <f aca="false">SUM(O14:Q14)</f>
        <v>450.8745</v>
      </c>
      <c r="S14" s="54" t="n">
        <f aca="false">(I14-R14)+S13</f>
        <v>2322.13301815431</v>
      </c>
      <c r="T14" s="53" t="n">
        <v>174.82</v>
      </c>
      <c r="U14" s="53" t="n">
        <v>114.6</v>
      </c>
      <c r="V14" s="54" t="n">
        <f aca="false">V13-U14</f>
        <v>7233.14</v>
      </c>
      <c r="W14" s="53" t="n">
        <f aca="false">R14+T14+N14+U14</f>
        <v>775.27</v>
      </c>
      <c r="X14" s="53" t="n">
        <f aca="false">IF(L14&lt;0,L14*-1,0)</f>
        <v>8.46643973777105</v>
      </c>
      <c r="Y14" s="53" t="n">
        <f aca="false">W14+X14</f>
        <v>783.736439737771</v>
      </c>
      <c r="Z14" s="57" t="n">
        <v>0</v>
      </c>
      <c r="AA14" s="58" t="n">
        <v>91</v>
      </c>
      <c r="AB14" s="58" t="n">
        <v>57</v>
      </c>
      <c r="AC14" s="59" t="n">
        <f aca="false">AC13+1</f>
        <v>5</v>
      </c>
      <c r="AD14" s="75" t="n">
        <v>28260</v>
      </c>
      <c r="AE14" s="78" t="n">
        <v>15594</v>
      </c>
      <c r="AF14" s="78" t="n">
        <f aca="false">(AG14+AH14)-(AG13+AH13)</f>
        <v>52.1599999999999</v>
      </c>
      <c r="AG14" s="46" t="n">
        <v>3147.72</v>
      </c>
      <c r="AH14" s="46" t="n">
        <v>98.69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6920.75</v>
      </c>
      <c r="C15" s="54" t="n">
        <v>366786</v>
      </c>
      <c r="D15" s="58" t="n">
        <f aca="false">C15-C14</f>
        <v>-1129</v>
      </c>
      <c r="E15" s="54" t="n">
        <f aca="false">C15-152000</f>
        <v>214786</v>
      </c>
      <c r="F15" s="53" t="n">
        <f aca="false">D15/$D$2</f>
        <v>-569.33938477055</v>
      </c>
      <c r="G15" s="53" t="n">
        <v>264.41</v>
      </c>
      <c r="H15" s="55" t="n">
        <v>0</v>
      </c>
      <c r="I15" s="53" t="n">
        <f aca="false">G15+H15</f>
        <v>264.41</v>
      </c>
      <c r="J15" s="77" t="n">
        <f aca="false">IF(L15&gt;0,L15,0)</f>
        <v>0</v>
      </c>
      <c r="K15" s="53" t="n">
        <f aca="false">I15+J15</f>
        <v>264.41</v>
      </c>
      <c r="L15" s="53" t="n">
        <f aca="false">F15-(I15-W15)</f>
        <v>-29.9893847705495</v>
      </c>
      <c r="M15" s="53" t="n">
        <v>300.22</v>
      </c>
      <c r="N15" s="53" t="n">
        <f aca="false">(17.12+17.17)*1.05</f>
        <v>36.0045</v>
      </c>
      <c r="O15" s="53" t="n">
        <f aca="false">M15-N15</f>
        <v>264.2155</v>
      </c>
      <c r="P15" s="53" t="n">
        <v>106.43</v>
      </c>
      <c r="Q15" s="53" t="n">
        <v>91.25</v>
      </c>
      <c r="R15" s="53" t="n">
        <f aca="false">SUM(O15:Q15)</f>
        <v>461.8955</v>
      </c>
      <c r="S15" s="54" t="n">
        <f aca="false">(I15-R15)+S14</f>
        <v>2124.64751815431</v>
      </c>
      <c r="T15" s="53" t="n">
        <v>190.9</v>
      </c>
      <c r="U15" s="53" t="n">
        <v>114.96</v>
      </c>
      <c r="V15" s="54" t="n">
        <f aca="false">V14-U15</f>
        <v>7118.18</v>
      </c>
      <c r="W15" s="53" t="n">
        <f aca="false">R15+T15+N15+U15</f>
        <v>803.76</v>
      </c>
      <c r="X15" s="53" t="n">
        <f aca="false">IF(L15&lt;0,L15*-1,0)</f>
        <v>29.9893847705495</v>
      </c>
      <c r="Y15" s="53" t="n">
        <f aca="false">W15+X15</f>
        <v>833.74938477055</v>
      </c>
      <c r="Z15" s="57" t="n">
        <v>0</v>
      </c>
      <c r="AA15" s="58" t="n">
        <v>92</v>
      </c>
      <c r="AB15" s="58" t="n">
        <v>56</v>
      </c>
      <c r="AC15" s="59" t="n">
        <f aca="false">AC14+1</f>
        <v>6</v>
      </c>
      <c r="AD15" s="74" t="n">
        <v>28673</v>
      </c>
      <c r="AE15" s="78" t="n">
        <v>15777</v>
      </c>
      <c r="AF15" s="78" t="n">
        <f aca="false">(AG15+AH15)-(AG14+AH14)</f>
        <v>54.75</v>
      </c>
      <c r="AG15" s="46" t="n">
        <v>3174.17</v>
      </c>
      <c r="AH15" s="46" t="n">
        <v>126.99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6920.49</v>
      </c>
      <c r="C16" s="54" t="n">
        <v>365701</v>
      </c>
      <c r="D16" s="58" t="n">
        <f aca="false">C16-C15</f>
        <v>-1085</v>
      </c>
      <c r="E16" s="54" t="n">
        <f aca="false">C16-152000</f>
        <v>213701</v>
      </c>
      <c r="F16" s="53" t="n">
        <f aca="false">D16/$D$2</f>
        <v>-547.150781643974</v>
      </c>
      <c r="G16" s="53" t="n">
        <v>255.28</v>
      </c>
      <c r="H16" s="55" t="n">
        <v>0</v>
      </c>
      <c r="I16" s="53" t="n">
        <f aca="false">G16+H16</f>
        <v>255.28</v>
      </c>
      <c r="J16" s="77" t="n">
        <f aca="false">IF(L16&gt;0,L16,0)</f>
        <v>0</v>
      </c>
      <c r="K16" s="53" t="n">
        <f aca="false">I16+J16</f>
        <v>255.28</v>
      </c>
      <c r="L16" s="53" t="n">
        <f aca="false">F16-(I16-W16)</f>
        <v>-11.4507816439738</v>
      </c>
      <c r="M16" s="53" t="n">
        <v>288.73</v>
      </c>
      <c r="N16" s="53" t="n">
        <f aca="false">(19.94+20.06)*1.05</f>
        <v>42</v>
      </c>
      <c r="O16" s="53" t="n">
        <f aca="false">M16-N16</f>
        <v>246.73</v>
      </c>
      <c r="P16" s="53" t="n">
        <v>106.39</v>
      </c>
      <c r="Q16" s="53" t="n">
        <v>90.94</v>
      </c>
      <c r="R16" s="53" t="n">
        <f aca="false">SUM(O16:Q16)</f>
        <v>444.06</v>
      </c>
      <c r="S16" s="54" t="n">
        <f aca="false">(I16-R16)+S15</f>
        <v>1935.86751815431</v>
      </c>
      <c r="T16" s="53" t="n">
        <v>192.72</v>
      </c>
      <c r="U16" s="53" t="n">
        <v>112.2</v>
      </c>
      <c r="V16" s="54" t="n">
        <f aca="false">V15-U16</f>
        <v>7005.98</v>
      </c>
      <c r="W16" s="53" t="n">
        <f aca="false">R16+T16+N16+U16</f>
        <v>790.98</v>
      </c>
      <c r="X16" s="53" t="n">
        <f aca="false">IF(L16&lt;0,L16*-1,0)</f>
        <v>11.4507816439738</v>
      </c>
      <c r="Y16" s="53" t="n">
        <f aca="false">W16+X16</f>
        <v>802.430781643974</v>
      </c>
      <c r="Z16" s="57" t="n">
        <v>0</v>
      </c>
      <c r="AA16" s="58" t="n">
        <v>94</v>
      </c>
      <c r="AB16" s="58" t="n">
        <v>61</v>
      </c>
      <c r="AC16" s="59" t="n">
        <f aca="false">AC15+1</f>
        <v>7</v>
      </c>
      <c r="AD16" s="74" t="n">
        <v>29064</v>
      </c>
      <c r="AE16" s="78" t="n">
        <v>15957</v>
      </c>
      <c r="AF16" s="78" t="n">
        <f aca="false">(AG16+AH16)-(AG15+AH15)</f>
        <v>74.3299999999999</v>
      </c>
      <c r="AG16" s="46" t="n">
        <v>3210.45</v>
      </c>
      <c r="AH16" s="46" t="n">
        <v>165.04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6920.25</v>
      </c>
      <c r="C17" s="54" t="n">
        <v>364659</v>
      </c>
      <c r="D17" s="58" t="n">
        <f aca="false">C17-C16</f>
        <v>-1042</v>
      </c>
      <c r="E17" s="54" t="n">
        <f aca="false">C17-152000</f>
        <v>212659</v>
      </c>
      <c r="F17" s="53" t="n">
        <f aca="false">D17/$D$2</f>
        <v>-525.466464952093</v>
      </c>
      <c r="G17" s="53" t="n">
        <v>246.37</v>
      </c>
      <c r="H17" s="55" t="n">
        <v>0</v>
      </c>
      <c r="I17" s="53" t="n">
        <f aca="false">G17+H17</f>
        <v>246.37</v>
      </c>
      <c r="J17" s="77" t="n">
        <f aca="false">IF(L17&gt;0,L17,0)</f>
        <v>0</v>
      </c>
      <c r="K17" s="53" t="n">
        <f aca="false">I17+J17</f>
        <v>246.37</v>
      </c>
      <c r="L17" s="53" t="n">
        <f aca="false">F17-(I17-W17)</f>
        <v>-0.256464952092756</v>
      </c>
      <c r="M17" s="53" t="n">
        <v>277.83</v>
      </c>
      <c r="N17" s="53" t="n">
        <f aca="false">(14.81+15.44)*1.05</f>
        <v>31.7625</v>
      </c>
      <c r="O17" s="53" t="n">
        <f aca="false">M17-N17</f>
        <v>246.0675</v>
      </c>
      <c r="P17" s="53" t="n">
        <v>106.38</v>
      </c>
      <c r="Q17" s="53" t="n">
        <v>89.63</v>
      </c>
      <c r="R17" s="53" t="n">
        <f aca="false">SUM(O17:Q17)</f>
        <v>442.0775</v>
      </c>
      <c r="S17" s="54" t="n">
        <f aca="false">(I17-R17)+S16</f>
        <v>1740.16001815431</v>
      </c>
      <c r="T17" s="53" t="n">
        <v>185.54</v>
      </c>
      <c r="U17" s="53" t="n">
        <v>112.2</v>
      </c>
      <c r="V17" s="54" t="n">
        <f aca="false">V16-U17</f>
        <v>6893.78</v>
      </c>
      <c r="W17" s="53" t="n">
        <f aca="false">R17+T17+N17+U17</f>
        <v>771.58</v>
      </c>
      <c r="X17" s="53" t="n">
        <f aca="false">IF(L17&lt;0,L17*-1,0)</f>
        <v>0.256464952092756</v>
      </c>
      <c r="Y17" s="53" t="n">
        <f aca="false">W17+X17</f>
        <v>771.836464952093</v>
      </c>
      <c r="Z17" s="57" t="n">
        <v>0</v>
      </c>
      <c r="AA17" s="58" t="n">
        <v>92</v>
      </c>
      <c r="AB17" s="58" t="n">
        <v>62</v>
      </c>
      <c r="AC17" s="59" t="n">
        <f aca="false">AC16+1</f>
        <v>8</v>
      </c>
      <c r="AD17" s="74" t="n">
        <v>29474</v>
      </c>
      <c r="AE17" s="78" t="n">
        <v>16141</v>
      </c>
      <c r="AF17" s="78" t="n">
        <f aca="false">(AG17+AH17)-(AG16+AH16)</f>
        <v>66.5599999999999</v>
      </c>
      <c r="AG17" s="46" t="n">
        <v>3243.24</v>
      </c>
      <c r="AH17" s="46" t="n">
        <v>198.81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6920.02</v>
      </c>
      <c r="C18" s="54" t="n">
        <v>363660</v>
      </c>
      <c r="D18" s="58" t="n">
        <f aca="false">C18-C17</f>
        <v>-999</v>
      </c>
      <c r="E18" s="54" t="n">
        <f aca="false">C18-152000</f>
        <v>211660</v>
      </c>
      <c r="F18" s="53" t="n">
        <f aca="false">D18/$D$2</f>
        <v>-503.782148260212</v>
      </c>
      <c r="G18" s="53" t="n">
        <v>244.24</v>
      </c>
      <c r="H18" s="55" t="n">
        <v>0</v>
      </c>
      <c r="I18" s="53" t="n">
        <f aca="false">G18+H18</f>
        <v>244.24</v>
      </c>
      <c r="J18" s="77" t="n">
        <f aca="false">IF(L18&gt;0,L18,0)</f>
        <v>36.2178517397882</v>
      </c>
      <c r="K18" s="53" t="n">
        <f aca="false">I18+J18</f>
        <v>280.457851739788</v>
      </c>
      <c r="L18" s="53" t="n">
        <f aca="false">F18-(I18-W18)</f>
        <v>36.2178517397882</v>
      </c>
      <c r="M18" s="53" t="n">
        <v>281.58</v>
      </c>
      <c r="N18" s="53" t="n">
        <f aca="false">(17.16+17.53)*1.05</f>
        <v>36.4245</v>
      </c>
      <c r="O18" s="53" t="n">
        <f aca="false">M18-N18</f>
        <v>245.1555</v>
      </c>
      <c r="P18" s="53" t="n">
        <v>105.96</v>
      </c>
      <c r="Q18" s="53" t="n">
        <v>91.05</v>
      </c>
      <c r="R18" s="53" t="n">
        <f aca="false">SUM(O18:Q18)</f>
        <v>442.1655</v>
      </c>
      <c r="S18" s="54" t="n">
        <f aca="false">(I18-R18)+S17</f>
        <v>1542.23451815431</v>
      </c>
      <c r="T18" s="53" t="n">
        <v>195.84</v>
      </c>
      <c r="U18" s="53" t="n">
        <v>109.81</v>
      </c>
      <c r="V18" s="54" t="n">
        <f aca="false">V17-U18</f>
        <v>6783.97</v>
      </c>
      <c r="W18" s="53" t="n">
        <f aca="false">R18+T18+N18+U18</f>
        <v>784.24</v>
      </c>
      <c r="X18" s="53" t="n">
        <f aca="false">IF(L18&lt;0,L18*-1,0)</f>
        <v>0</v>
      </c>
      <c r="Y18" s="53" t="n">
        <f aca="false">W18+X18</f>
        <v>784.24</v>
      </c>
      <c r="Z18" s="57" t="n">
        <v>0.06</v>
      </c>
      <c r="AA18" s="86" t="n">
        <v>93</v>
      </c>
      <c r="AB18" s="58" t="n">
        <v>61</v>
      </c>
      <c r="AC18" s="59" t="n">
        <f aca="false">AC17+1</f>
        <v>9</v>
      </c>
      <c r="AD18" s="74" t="n">
        <v>29844</v>
      </c>
      <c r="AE18" s="78" t="n">
        <v>16318</v>
      </c>
      <c r="AF18" s="78" t="n">
        <f aca="false">(AG18+AH18)-(AG17+AH17)</f>
        <v>65.1600000000003</v>
      </c>
      <c r="AG18" s="46" t="n">
        <v>3275.89</v>
      </c>
      <c r="AH18" s="46" t="n">
        <v>231.32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6919.75</v>
      </c>
      <c r="C19" s="54" t="n">
        <v>362497</v>
      </c>
      <c r="D19" s="58" t="n">
        <f aca="false">C19-C18</f>
        <v>-1163</v>
      </c>
      <c r="E19" s="54" t="n">
        <f aca="false">C19-152000</f>
        <v>210497</v>
      </c>
      <c r="F19" s="53" t="n">
        <f aca="false">D19/$D$2</f>
        <v>-586.485123550176</v>
      </c>
      <c r="G19" s="53" t="n">
        <v>238.72</v>
      </c>
      <c r="H19" s="55" t="n">
        <v>0</v>
      </c>
      <c r="I19" s="53" t="n">
        <f aca="false">G19+H19</f>
        <v>238.72</v>
      </c>
      <c r="J19" s="77" t="n">
        <f aca="false">IF(L19&gt;0,L19,0)</f>
        <v>0</v>
      </c>
      <c r="K19" s="53" t="n">
        <f aca="false">I19+J19</f>
        <v>238.72</v>
      </c>
      <c r="L19" s="53" t="n">
        <f aca="false">F19-(I19-W19)</f>
        <v>-10.8851235501764</v>
      </c>
      <c r="M19" s="53" t="n">
        <v>295.97</v>
      </c>
      <c r="N19" s="53" t="n">
        <f aca="false">(20.76+19.54)*1.05</f>
        <v>42.315</v>
      </c>
      <c r="O19" s="53" t="n">
        <f aca="false">M19-N19</f>
        <v>253.655</v>
      </c>
      <c r="P19" s="53" t="n">
        <v>105.52</v>
      </c>
      <c r="Q19" s="53" t="n">
        <v>91.18</v>
      </c>
      <c r="R19" s="53" t="n">
        <f aca="false">SUM(O19:Q19)</f>
        <v>450.355</v>
      </c>
      <c r="S19" s="54" t="n">
        <f aca="false">(I19-R19)+S18</f>
        <v>1330.59951815431</v>
      </c>
      <c r="T19" s="53" t="n">
        <v>211.74</v>
      </c>
      <c r="U19" s="53" t="n">
        <v>109.91</v>
      </c>
      <c r="V19" s="54" t="n">
        <f aca="false">V18-U19</f>
        <v>6674.06</v>
      </c>
      <c r="W19" s="53" t="n">
        <f aca="false">R19+T19+N19+U19</f>
        <v>814.32</v>
      </c>
      <c r="X19" s="53" t="n">
        <f aca="false">IF(L19&lt;0,L19*-1,0)</f>
        <v>10.8851235501764</v>
      </c>
      <c r="Y19" s="53" t="n">
        <f aca="false">W19+X19</f>
        <v>825.205123550177</v>
      </c>
      <c r="Z19" s="57" t="n">
        <v>0.15</v>
      </c>
      <c r="AA19" s="58" t="n">
        <v>91</v>
      </c>
      <c r="AB19" s="58" t="n">
        <v>64</v>
      </c>
      <c r="AC19" s="59" t="n">
        <f aca="false">AC18+1</f>
        <v>10</v>
      </c>
      <c r="AD19" s="74" t="n">
        <v>30244</v>
      </c>
      <c r="AE19" s="78" t="n">
        <v>16496</v>
      </c>
      <c r="AF19" s="78" t="n">
        <f aca="false">(AG19+AH19)-(AG18+AH18)</f>
        <v>63.4000000000001</v>
      </c>
      <c r="AG19" s="46" t="n">
        <v>3308.31</v>
      </c>
      <c r="AH19" s="46" t="n">
        <v>262.3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6919.49</v>
      </c>
      <c r="C20" s="54" t="n">
        <v>361377</v>
      </c>
      <c r="D20" s="58" t="n">
        <f aca="false">C20-C19</f>
        <v>-1120</v>
      </c>
      <c r="E20" s="54" t="n">
        <f aca="false">C20-152000</f>
        <v>209377</v>
      </c>
      <c r="F20" s="53" t="n">
        <f aca="false">D20/$D$2</f>
        <v>-564.800806858295</v>
      </c>
      <c r="G20" s="53" t="n">
        <v>243.15</v>
      </c>
      <c r="H20" s="55" t="n">
        <v>0</v>
      </c>
      <c r="I20" s="53" t="n">
        <f aca="false">G20+H20</f>
        <v>243.15</v>
      </c>
      <c r="J20" s="77" t="n">
        <f aca="false">IF(L20&gt;0,L20,0)</f>
        <v>0</v>
      </c>
      <c r="K20" s="53" t="n">
        <f aca="false">I20+J20</f>
        <v>243.15</v>
      </c>
      <c r="L20" s="53" t="n">
        <f aca="false">F20-(I20-W20)</f>
        <v>-8.28080685829536</v>
      </c>
      <c r="M20" s="53" t="n">
        <v>285.5</v>
      </c>
      <c r="N20" s="53" t="n">
        <v>42.85</v>
      </c>
      <c r="O20" s="53" t="n">
        <f aca="false">M20-N20</f>
        <v>242.65</v>
      </c>
      <c r="P20" s="53" t="n">
        <v>105.38</v>
      </c>
      <c r="Q20" s="53" t="n">
        <v>90.86</v>
      </c>
      <c r="R20" s="53" t="n">
        <f aca="false">SUM(O20:Q20)</f>
        <v>438.89</v>
      </c>
      <c r="S20" s="54" t="n">
        <f aca="false">(I20-R20)+S19</f>
        <v>1134.85951815431</v>
      </c>
      <c r="T20" s="53" t="n">
        <v>207.71</v>
      </c>
      <c r="U20" s="53" t="n">
        <v>110.22</v>
      </c>
      <c r="V20" s="54" t="n">
        <f aca="false">V19-U20</f>
        <v>6563.84</v>
      </c>
      <c r="W20" s="53" t="n">
        <f aca="false">R20+T20+N20+U20</f>
        <v>799.67</v>
      </c>
      <c r="X20" s="53" t="n">
        <f aca="false">IF(L20&lt;0,L20*-1,0)</f>
        <v>8.28080685829536</v>
      </c>
      <c r="Y20" s="53" t="n">
        <f aca="false">W20+X20</f>
        <v>807.950806858296</v>
      </c>
      <c r="Z20" s="57" t="n">
        <v>0.03</v>
      </c>
      <c r="AA20" s="58" t="n">
        <v>89</v>
      </c>
      <c r="AB20" s="58" t="n">
        <v>60</v>
      </c>
      <c r="AC20" s="59" t="n">
        <f aca="false">AC19+1</f>
        <v>11</v>
      </c>
      <c r="AD20" s="74" t="n">
        <v>30659</v>
      </c>
      <c r="AE20" s="78" t="n">
        <v>16676</v>
      </c>
      <c r="AF20" s="78" t="n">
        <f aca="false">(AG20+AH20)-(AG19+AH19)</f>
        <v>64.77</v>
      </c>
      <c r="AG20" s="99" t="n">
        <v>3339.87</v>
      </c>
      <c r="AH20" s="99" t="n">
        <v>295.51</v>
      </c>
      <c r="AI20" s="99"/>
    </row>
    <row r="21" customFormat="false" ht="11.1" hidden="false" customHeight="true" outlineLevel="0" collapsed="false">
      <c r="A21" s="59" t="n">
        <f aca="false">A20+1</f>
        <v>12</v>
      </c>
      <c r="B21" s="76" t="n">
        <v>6919.24</v>
      </c>
      <c r="C21" s="54" t="n">
        <v>360300</v>
      </c>
      <c r="D21" s="58" t="n">
        <f aca="false">C21-C20</f>
        <v>-1077</v>
      </c>
      <c r="E21" s="54" t="n">
        <f aca="false">C21-152000</f>
        <v>208300</v>
      </c>
      <c r="F21" s="53" t="n">
        <f aca="false">D21/$D$2</f>
        <v>-543.116490166414</v>
      </c>
      <c r="G21" s="53" t="n">
        <v>240.01</v>
      </c>
      <c r="H21" s="55" t="n">
        <v>0</v>
      </c>
      <c r="I21" s="53" t="n">
        <f aca="false">G21+H21</f>
        <v>240.01</v>
      </c>
      <c r="J21" s="77" t="n">
        <f aca="false">IF(L21&gt;0,L21,0)</f>
        <v>0.693509833585608</v>
      </c>
      <c r="K21" s="53" t="n">
        <f aca="false">I21+J21</f>
        <v>240.703509833586</v>
      </c>
      <c r="L21" s="53" t="n">
        <f aca="false">F21-(I21-W21)</f>
        <v>0.693509833585608</v>
      </c>
      <c r="M21" s="53" t="n">
        <v>287.68</v>
      </c>
      <c r="N21" s="53" t="n">
        <v>39.32</v>
      </c>
      <c r="O21" s="53" t="n">
        <f aca="false">M21-N21</f>
        <v>248.36</v>
      </c>
      <c r="P21" s="53" t="n">
        <v>105.47</v>
      </c>
      <c r="Q21" s="53" t="n">
        <v>90.86</v>
      </c>
      <c r="R21" s="53" t="n">
        <f aca="false">SUM(O21:Q21)</f>
        <v>444.69</v>
      </c>
      <c r="S21" s="54" t="n">
        <f aca="false">(I21-R21)+S20</f>
        <v>930.179518154312</v>
      </c>
      <c r="T21" s="53" t="n">
        <v>189.05</v>
      </c>
      <c r="U21" s="53" t="n">
        <v>110.76</v>
      </c>
      <c r="V21" s="54" t="n">
        <f aca="false">V20-U21</f>
        <v>6453.08</v>
      </c>
      <c r="W21" s="53" t="n">
        <f aca="false">R21+T21+N21+U21</f>
        <v>783.82</v>
      </c>
      <c r="X21" s="53" t="n">
        <f aca="false">IF(L21&lt;0,L21*-1,0)</f>
        <v>0</v>
      </c>
      <c r="Y21" s="53" t="n">
        <f aca="false">W21+X21</f>
        <v>783.82</v>
      </c>
      <c r="Z21" s="57" t="n">
        <v>0</v>
      </c>
      <c r="AA21" s="58" t="n">
        <v>86</v>
      </c>
      <c r="AB21" s="58" t="n">
        <v>60</v>
      </c>
      <c r="AC21" s="59" t="n">
        <f aca="false">AC20+1</f>
        <v>12</v>
      </c>
      <c r="AD21" s="74" t="n">
        <v>31063</v>
      </c>
      <c r="AE21" s="74" t="n">
        <v>16853</v>
      </c>
      <c r="AF21" s="78" t="n">
        <f aca="false">(AG21+AH21)-(AG20+AH20)</f>
        <v>50.6799999999998</v>
      </c>
      <c r="AG21" s="46" t="n">
        <v>3365.06</v>
      </c>
      <c r="AH21" s="46" t="n">
        <v>321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6919</v>
      </c>
      <c r="C22" s="54" t="n">
        <v>359267</v>
      </c>
      <c r="D22" s="58" t="n">
        <f aca="false">C22-C21</f>
        <v>-1033</v>
      </c>
      <c r="E22" s="54" t="n">
        <f aca="false">C22-152000</f>
        <v>207267</v>
      </c>
      <c r="F22" s="53" t="n">
        <f aca="false">D22/$D$2</f>
        <v>-520.927887039839</v>
      </c>
      <c r="G22" s="53" t="n">
        <v>239.05</v>
      </c>
      <c r="H22" s="55" t="n">
        <v>0</v>
      </c>
      <c r="I22" s="53" t="n">
        <f aca="false">G22+H22</f>
        <v>239.05</v>
      </c>
      <c r="J22" s="77" t="n">
        <f aca="false">IF(L22&gt;0,L22,0)</f>
        <v>17.4421129601615</v>
      </c>
      <c r="K22" s="53" t="n">
        <f aca="false">I22+J22</f>
        <v>256.492112960161</v>
      </c>
      <c r="L22" s="53" t="n">
        <f aca="false">F22-(I22-W22)</f>
        <v>17.4421129601615</v>
      </c>
      <c r="M22" s="53" t="n">
        <v>278.92</v>
      </c>
      <c r="N22" s="53" t="n">
        <v>38.82</v>
      </c>
      <c r="O22" s="53" t="n">
        <f aca="false">M22-N22</f>
        <v>240.1</v>
      </c>
      <c r="P22" s="53" t="n">
        <v>105.37</v>
      </c>
      <c r="Q22" s="53" t="n">
        <v>90.86</v>
      </c>
      <c r="R22" s="53" t="n">
        <f aca="false">SUM(O22:Q22)</f>
        <v>436.33</v>
      </c>
      <c r="S22" s="54" t="n">
        <f aca="false">(I22-R22)+S21</f>
        <v>732.899518154312</v>
      </c>
      <c r="T22" s="53" t="n">
        <v>191.58</v>
      </c>
      <c r="U22" s="53" t="n">
        <v>110.69</v>
      </c>
      <c r="V22" s="54" t="n">
        <f aca="false">V21-U22</f>
        <v>6342.39</v>
      </c>
      <c r="W22" s="53" t="n">
        <f aca="false">R22+T22+N22+U22</f>
        <v>777.42</v>
      </c>
      <c r="X22" s="53" t="n">
        <f aca="false">IF(L22&lt;0,L22*-1,0)</f>
        <v>0</v>
      </c>
      <c r="Y22" s="53" t="n">
        <f aca="false">W22+X22</f>
        <v>777.42</v>
      </c>
      <c r="Z22" s="57" t="n">
        <v>0.02</v>
      </c>
      <c r="AA22" s="58" t="n">
        <v>86</v>
      </c>
      <c r="AB22" s="58" t="n">
        <v>56</v>
      </c>
      <c r="AC22" s="59" t="n">
        <f aca="false">AC21+1</f>
        <v>13</v>
      </c>
      <c r="AD22" s="74" t="n">
        <v>31473</v>
      </c>
      <c r="AE22" s="74" t="n">
        <v>17017</v>
      </c>
      <c r="AF22" s="78" t="n">
        <f aca="false">(AG22+AH22)-(AG21+AH21)</f>
        <v>32.4000000000001</v>
      </c>
      <c r="AG22" s="46" t="n">
        <v>3380.9</v>
      </c>
      <c r="AH22" s="46" t="n">
        <v>337.56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6918.69</v>
      </c>
      <c r="C23" s="54" t="n">
        <v>357942</v>
      </c>
      <c r="D23" s="58" t="n">
        <f aca="false">C23-C22</f>
        <v>-1325</v>
      </c>
      <c r="E23" s="54" t="n">
        <f aca="false">C23-152000</f>
        <v>205942</v>
      </c>
      <c r="F23" s="53" t="n">
        <f aca="false">D23/$D$2</f>
        <v>-668.179525970751</v>
      </c>
      <c r="G23" s="53" t="n">
        <v>229.95</v>
      </c>
      <c r="H23" s="55" t="n">
        <v>0</v>
      </c>
      <c r="I23" s="53" t="n">
        <f aca="false">G23+H23</f>
        <v>229.95</v>
      </c>
      <c r="J23" s="77" t="n">
        <f aca="false">IF(L23&gt;0,L23,0)</f>
        <v>0</v>
      </c>
      <c r="K23" s="53" t="n">
        <f aca="false">I23+J23</f>
        <v>229.95</v>
      </c>
      <c r="L23" s="53" t="n">
        <f aca="false">F23-(I23-W23)</f>
        <v>-110.019525970751</v>
      </c>
      <c r="M23" s="53" t="n">
        <v>277.92</v>
      </c>
      <c r="N23" s="53" t="n">
        <v>38.82</v>
      </c>
      <c r="O23" s="53" t="n">
        <f aca="false">M23-N23</f>
        <v>239.1</v>
      </c>
      <c r="P23" s="53" t="n">
        <v>105.22</v>
      </c>
      <c r="Q23" s="53" t="n">
        <v>90.86</v>
      </c>
      <c r="R23" s="53" t="n">
        <f aca="false">SUM(O23:Q23)</f>
        <v>435.18</v>
      </c>
      <c r="S23" s="54" t="n">
        <f aca="false">(I23-R23)+S22</f>
        <v>527.669518154312</v>
      </c>
      <c r="T23" s="53" t="n">
        <v>201.66</v>
      </c>
      <c r="U23" s="53" t="n">
        <v>112.45</v>
      </c>
      <c r="V23" s="54" t="n">
        <f aca="false">V22-U23</f>
        <v>6229.94</v>
      </c>
      <c r="W23" s="53" t="n">
        <f aca="false">R23+T23+N23+U23</f>
        <v>788.11</v>
      </c>
      <c r="X23" s="53" t="n">
        <f aca="false">IF(L23&lt;0,L23*-1,0)</f>
        <v>110.019525970751</v>
      </c>
      <c r="Y23" s="53" t="n">
        <f aca="false">W23+X23</f>
        <v>898.129525970751</v>
      </c>
      <c r="Z23" s="57" t="n">
        <v>0</v>
      </c>
      <c r="AA23" s="86" t="n">
        <v>82</v>
      </c>
      <c r="AB23" s="58" t="n">
        <v>58</v>
      </c>
      <c r="AC23" s="59" t="n">
        <f aca="false">AC22+1</f>
        <v>14</v>
      </c>
      <c r="AD23" s="74" t="n">
        <v>31884</v>
      </c>
      <c r="AE23" s="74" t="n">
        <v>17222</v>
      </c>
      <c r="AF23" s="78" t="n">
        <f aca="false">(AG23+AH23)-(AG22+AH22)</f>
        <v>29.2799999999997</v>
      </c>
      <c r="AG23" s="46" t="n">
        <v>3397.48</v>
      </c>
      <c r="AH23" s="46" t="n">
        <v>350.26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6918.42</v>
      </c>
      <c r="C24" s="54" t="n">
        <v>356788</v>
      </c>
      <c r="D24" s="58" t="n">
        <f aca="false">C24-C23</f>
        <v>-1154</v>
      </c>
      <c r="E24" s="54" t="n">
        <f aca="false">C24-152000</f>
        <v>204788</v>
      </c>
      <c r="F24" s="53" t="n">
        <f aca="false">D24/$D$2</f>
        <v>-581.946545637922</v>
      </c>
      <c r="G24" s="53" t="n">
        <v>218.62</v>
      </c>
      <c r="H24" s="55" t="n">
        <v>0</v>
      </c>
      <c r="I24" s="53" t="n">
        <v>92</v>
      </c>
      <c r="J24" s="77" t="n">
        <f aca="false">IF(L24&gt;0,L24,0)</f>
        <v>126.293454362078</v>
      </c>
      <c r="K24" s="53" t="n">
        <f aca="false">I24+J24</f>
        <v>218.293454362078</v>
      </c>
      <c r="L24" s="53" t="n">
        <f aca="false">F24-(I24-W24)</f>
        <v>126.293454362078</v>
      </c>
      <c r="M24" s="53" t="n">
        <v>277.57</v>
      </c>
      <c r="N24" s="53" t="n">
        <v>33.27</v>
      </c>
      <c r="O24" s="53" t="n">
        <f aca="false">M24-N24</f>
        <v>244.3</v>
      </c>
      <c r="P24" s="53" t="n">
        <v>106.15</v>
      </c>
      <c r="Q24" s="53" t="n">
        <v>90.86</v>
      </c>
      <c r="R24" s="53" t="n">
        <f aca="false">SUM(O24:Q24)</f>
        <v>441.31</v>
      </c>
      <c r="S24" s="54" t="n">
        <f aca="false">(I24-R24)+S23</f>
        <v>178.359518154312</v>
      </c>
      <c r="T24" s="53" t="n">
        <v>213.25</v>
      </c>
      <c r="U24" s="53" t="n">
        <v>112.41</v>
      </c>
      <c r="V24" s="54" t="n">
        <f aca="false">V23-U24</f>
        <v>6117.53</v>
      </c>
      <c r="W24" s="53" t="n">
        <f aca="false">R24+T24+N24+U24</f>
        <v>800.24</v>
      </c>
      <c r="X24" s="53" t="n">
        <f aca="false">IF(L24&lt;0,L24*-1,0)</f>
        <v>0</v>
      </c>
      <c r="Y24" s="53" t="n">
        <f aca="false">W24+X24</f>
        <v>800.24</v>
      </c>
      <c r="Z24" s="57" t="n">
        <v>0</v>
      </c>
      <c r="AA24" s="86" t="n">
        <v>89</v>
      </c>
      <c r="AB24" s="58" t="n">
        <v>52</v>
      </c>
      <c r="AC24" s="59" t="n">
        <f aca="false">AC23+1</f>
        <v>15</v>
      </c>
      <c r="AD24" s="74" t="n">
        <v>32234</v>
      </c>
      <c r="AE24" s="74" t="n">
        <v>17391</v>
      </c>
      <c r="AF24" s="78" t="n">
        <f aca="false">(AG24+AH24)-(AG23+AH23)</f>
        <v>46.46</v>
      </c>
      <c r="AG24" s="46" t="n">
        <v>3418</v>
      </c>
      <c r="AH24" s="46" t="n">
        <v>376.2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6918.12</v>
      </c>
      <c r="C25" s="54" t="n">
        <v>355506</v>
      </c>
      <c r="D25" s="58" t="n">
        <f aca="false">C25-C24</f>
        <v>-1282</v>
      </c>
      <c r="E25" s="54" t="n">
        <f aca="false">C25-152000</f>
        <v>203506</v>
      </c>
      <c r="F25" s="53" t="n">
        <f aca="false">D25/$D$2</f>
        <v>-646.49520927887</v>
      </c>
      <c r="G25" s="53" t="n">
        <v>202.94</v>
      </c>
      <c r="H25" s="55" t="n">
        <v>0</v>
      </c>
      <c r="I25" s="53" t="n">
        <f aca="false">G25+H25</f>
        <v>202.94</v>
      </c>
      <c r="J25" s="77" t="n">
        <f aca="false">IF(L25&gt;0,L25,0)</f>
        <v>0</v>
      </c>
      <c r="K25" s="53" t="n">
        <f aca="false">I25+J25</f>
        <v>202.94</v>
      </c>
      <c r="L25" s="53" t="n">
        <f aca="false">F25-(I25-W25)</f>
        <v>-36.0452092788703</v>
      </c>
      <c r="M25" s="53" t="n">
        <v>281.45</v>
      </c>
      <c r="N25" s="53" t="n">
        <f aca="false">(14.78+14.87)*1.05</f>
        <v>31.1325</v>
      </c>
      <c r="O25" s="53" t="n">
        <f aca="false">M25-N25</f>
        <v>250.3175</v>
      </c>
      <c r="P25" s="53" t="n">
        <v>106.06</v>
      </c>
      <c r="Q25" s="53" t="n">
        <v>90.86</v>
      </c>
      <c r="R25" s="53" t="n">
        <f aca="false">SUM(O25:Q25)</f>
        <v>447.2375</v>
      </c>
      <c r="S25" s="54" t="n">
        <f aca="false">(I25-R25)+S24</f>
        <v>-65.9379818456882</v>
      </c>
      <c r="T25" s="53" t="n">
        <v>222.82</v>
      </c>
      <c r="U25" s="53" t="n">
        <v>112.2</v>
      </c>
      <c r="V25" s="54" t="n">
        <f aca="false">V24-U25</f>
        <v>6005.33</v>
      </c>
      <c r="W25" s="53" t="n">
        <f aca="false">R25+T25+N25+U25</f>
        <v>813.39</v>
      </c>
      <c r="X25" s="53" t="n">
        <f aca="false">IF(L25&lt;0,L25*-1,0)</f>
        <v>36.0452092788703</v>
      </c>
      <c r="Y25" s="53" t="n">
        <f aca="false">W25+X25</f>
        <v>849.43520927887</v>
      </c>
      <c r="Z25" s="57" t="n">
        <v>0.02</v>
      </c>
      <c r="AA25" s="86" t="n">
        <v>81</v>
      </c>
      <c r="AB25" s="58" t="n">
        <v>52</v>
      </c>
      <c r="AC25" s="59" t="n">
        <f aca="false">AC24+1</f>
        <v>16</v>
      </c>
      <c r="AD25" s="74" t="n">
        <v>32611</v>
      </c>
      <c r="AE25" s="74" t="n">
        <v>17560</v>
      </c>
      <c r="AF25" s="78" t="n">
        <f aca="false">(AG25+AH25)-(AG24+AH24)</f>
        <v>41.96</v>
      </c>
      <c r="AG25" s="46" t="n">
        <v>3438.91</v>
      </c>
      <c r="AH25" s="46" t="n">
        <v>397.25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6917.84</v>
      </c>
      <c r="C26" s="54" t="n">
        <v>354315</v>
      </c>
      <c r="D26" s="58" t="n">
        <f aca="false">C26-C25</f>
        <v>-1191</v>
      </c>
      <c r="E26" s="54" t="n">
        <f aca="false">C26-152000</f>
        <v>202315</v>
      </c>
      <c r="F26" s="53" t="n">
        <f aca="false">D26/$D$2</f>
        <v>-600.605143721634</v>
      </c>
      <c r="G26" s="53" t="n">
        <v>197.55</v>
      </c>
      <c r="H26" s="55" t="n">
        <v>0</v>
      </c>
      <c r="I26" s="53" t="n">
        <f aca="false">G26+H26</f>
        <v>197.55</v>
      </c>
      <c r="J26" s="77" t="n">
        <f aca="false">IF(L26&gt;0,L26,0)</f>
        <v>13.8748562783661</v>
      </c>
      <c r="K26" s="53" t="n">
        <f aca="false">I26+J26</f>
        <v>211.424856278366</v>
      </c>
      <c r="L26" s="53" t="n">
        <f aca="false">F26-(I26-W26)</f>
        <v>13.8748562783661</v>
      </c>
      <c r="M26" s="53" t="n">
        <v>286.78</v>
      </c>
      <c r="N26" s="53" t="n">
        <v>42.34</v>
      </c>
      <c r="O26" s="53" t="n">
        <f aca="false">M26-N26</f>
        <v>244.44</v>
      </c>
      <c r="P26" s="53" t="n">
        <v>106.59</v>
      </c>
      <c r="Q26" s="53" t="n">
        <v>91.39</v>
      </c>
      <c r="R26" s="53" t="n">
        <f aca="false">SUM(O26:Q26)</f>
        <v>442.42</v>
      </c>
      <c r="S26" s="54" t="n">
        <f aca="false">(I26-R26)+S25</f>
        <v>-310.807981845688</v>
      </c>
      <c r="T26" s="53" t="n">
        <v>215.07</v>
      </c>
      <c r="U26" s="53" t="n">
        <v>112.2</v>
      </c>
      <c r="V26" s="54" t="n">
        <f aca="false">V25-U26</f>
        <v>5893.13</v>
      </c>
      <c r="W26" s="53" t="n">
        <f aca="false">R26+T26+N26+U26</f>
        <v>812.03</v>
      </c>
      <c r="X26" s="53" t="n">
        <f aca="false">IF(L26&lt;0,L26*-1,0)</f>
        <v>0</v>
      </c>
      <c r="Y26" s="53" t="n">
        <f aca="false">W26+X26</f>
        <v>812.03</v>
      </c>
      <c r="Z26" s="57" t="n">
        <v>0</v>
      </c>
      <c r="AA26" s="86" t="n">
        <v>84</v>
      </c>
      <c r="AB26" s="58" t="n">
        <v>54</v>
      </c>
      <c r="AC26" s="59" t="n">
        <f aca="false">AC25+1</f>
        <v>17</v>
      </c>
      <c r="AD26" s="74" t="n">
        <v>32970</v>
      </c>
      <c r="AE26" s="74" t="n">
        <v>17724</v>
      </c>
      <c r="AF26" s="78" t="n">
        <f aca="false">(AG26+AH26)-(AG25+AH25)</f>
        <v>39.8600000000001</v>
      </c>
      <c r="AG26" s="46" t="n">
        <v>3458.63</v>
      </c>
      <c r="AH26" s="46" t="n">
        <v>417.39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6917.54</v>
      </c>
      <c r="C27" s="54" t="n">
        <v>353086</v>
      </c>
      <c r="D27" s="58" t="n">
        <f aca="false">C27-C26</f>
        <v>-1229</v>
      </c>
      <c r="E27" s="54" t="n">
        <f aca="false">C27-152000</f>
        <v>201086</v>
      </c>
      <c r="F27" s="53" t="n">
        <f aca="false">D27/$D$2</f>
        <v>-619.76802824004</v>
      </c>
      <c r="G27" s="53" t="n">
        <v>194.44</v>
      </c>
      <c r="H27" s="55" t="n">
        <v>0</v>
      </c>
      <c r="I27" s="53" t="n">
        <f aca="false">G27+H27</f>
        <v>194.44</v>
      </c>
      <c r="J27" s="77" t="n">
        <f aca="false">IF(L27&gt;0,L27,0)</f>
        <v>0</v>
      </c>
      <c r="K27" s="53" t="n">
        <f aca="false">I27+J27</f>
        <v>194.44</v>
      </c>
      <c r="L27" s="53" t="n">
        <f aca="false">F27-(I27-W27)</f>
        <v>-6.29802824004025</v>
      </c>
      <c r="M27" s="53" t="n">
        <v>281.9</v>
      </c>
      <c r="N27" s="53" t="n">
        <v>43.86</v>
      </c>
      <c r="O27" s="53" t="n">
        <f aca="false">M27-N27</f>
        <v>238.04</v>
      </c>
      <c r="P27" s="53" t="n">
        <v>107.49</v>
      </c>
      <c r="Q27" s="53" t="n">
        <v>91.64</v>
      </c>
      <c r="R27" s="53" t="n">
        <f aca="false">SUM(O27:Q27)</f>
        <v>437.17</v>
      </c>
      <c r="S27" s="54" t="n">
        <f aca="false">(I27-R27)+S26</f>
        <v>-553.537981845688</v>
      </c>
      <c r="T27" s="53" t="n">
        <v>214.68</v>
      </c>
      <c r="U27" s="53" t="n">
        <v>112.2</v>
      </c>
      <c r="V27" s="54" t="n">
        <f aca="false">V26-U27</f>
        <v>5780.93</v>
      </c>
      <c r="W27" s="53" t="n">
        <f aca="false">R27+T27+N27+U27</f>
        <v>807.91</v>
      </c>
      <c r="X27" s="53" t="n">
        <f aca="false">IF(L27&lt;0,L27*-1,0)</f>
        <v>6.29802824004025</v>
      </c>
      <c r="Y27" s="53" t="n">
        <f aca="false">W27+X27</f>
        <v>814.20802824004</v>
      </c>
      <c r="Z27" s="57" t="n">
        <v>0</v>
      </c>
      <c r="AA27" s="86" t="n">
        <v>87</v>
      </c>
      <c r="AB27" s="58" t="n">
        <v>52</v>
      </c>
      <c r="AC27" s="59" t="n">
        <f aca="false">AC26+1</f>
        <v>18</v>
      </c>
      <c r="AD27" s="74" t="n">
        <v>33323</v>
      </c>
      <c r="AE27" s="74" t="n">
        <v>17898</v>
      </c>
      <c r="AF27" s="78" t="n">
        <f aca="false">(AG27+AH27)-(AG26+AH26)</f>
        <v>50.2900000000004</v>
      </c>
      <c r="AG27" s="46" t="n">
        <v>3482.82</v>
      </c>
      <c r="AH27" s="46" t="n">
        <v>443.49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6917.33</v>
      </c>
      <c r="C28" s="88" t="n">
        <v>352153</v>
      </c>
      <c r="D28" s="58" t="n">
        <f aca="false">C28-C27</f>
        <v>-933</v>
      </c>
      <c r="E28" s="54" t="n">
        <f aca="false">C28-152000</f>
        <v>200153</v>
      </c>
      <c r="F28" s="53" t="n">
        <f aca="false">D28/$D$2</f>
        <v>-470.499243570348</v>
      </c>
      <c r="G28" s="53" t="n">
        <v>186.23</v>
      </c>
      <c r="H28" s="55" t="n">
        <v>0</v>
      </c>
      <c r="I28" s="53" t="n">
        <f aca="false">G28+H28</f>
        <v>186.23</v>
      </c>
      <c r="J28" s="77" t="n">
        <f aca="false">IF(L28&gt;0,L28,0)</f>
        <v>125.350756429652</v>
      </c>
      <c r="K28" s="53" t="n">
        <f aca="false">I28+J28</f>
        <v>311.580756429652</v>
      </c>
      <c r="L28" s="53" t="n">
        <f aca="false">F28-(I28-W28)</f>
        <v>125.350756429652</v>
      </c>
      <c r="M28" s="53" t="n">
        <v>268.06</v>
      </c>
      <c r="N28" s="53" t="n">
        <v>41.34</v>
      </c>
      <c r="O28" s="53" t="n">
        <f aca="false">M28-N28</f>
        <v>226.72</v>
      </c>
      <c r="P28" s="53" t="n">
        <v>107.27</v>
      </c>
      <c r="Q28" s="53" t="n">
        <v>91.47</v>
      </c>
      <c r="R28" s="53" t="n">
        <f aca="false">SUM(O28:Q28)</f>
        <v>425.46</v>
      </c>
      <c r="S28" s="54" t="n">
        <f aca="false">(I28-R28)+S27</f>
        <v>-792.767981845688</v>
      </c>
      <c r="T28" s="53" t="n">
        <v>202.92</v>
      </c>
      <c r="U28" s="53" t="n">
        <v>112.36</v>
      </c>
      <c r="V28" s="54" t="n">
        <f aca="false">V27-U28</f>
        <v>5668.57</v>
      </c>
      <c r="W28" s="53" t="n">
        <f aca="false">R28+T28+N28+U28</f>
        <v>782.08</v>
      </c>
      <c r="X28" s="53" t="n">
        <f aca="false">IF(L28&lt;0,L28*-1,0)</f>
        <v>0</v>
      </c>
      <c r="Y28" s="53" t="n">
        <f aca="false">W28+X28</f>
        <v>782.08</v>
      </c>
      <c r="Z28" s="57" t="n">
        <v>0.75</v>
      </c>
      <c r="AA28" s="86" t="n">
        <v>86</v>
      </c>
      <c r="AB28" s="58" t="n">
        <v>53</v>
      </c>
      <c r="AC28" s="59" t="n">
        <f aca="false">AC27+1</f>
        <v>19</v>
      </c>
      <c r="AD28" s="74" t="n">
        <v>33616</v>
      </c>
      <c r="AE28" s="74" t="n">
        <v>18046</v>
      </c>
      <c r="AF28" s="78" t="n">
        <f aca="false">(AG28+AH28)-(AG27+AH27)</f>
        <v>39.6499999999996</v>
      </c>
      <c r="AG28" s="46" t="n">
        <v>3502</v>
      </c>
      <c r="AH28" s="46" t="n">
        <v>463.96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6917.14</v>
      </c>
      <c r="C29" s="54" t="n">
        <v>351347</v>
      </c>
      <c r="D29" s="58" t="n">
        <f aca="false">C29-C28</f>
        <v>-806</v>
      </c>
      <c r="E29" s="54" t="n">
        <f aca="false">C29-152000</f>
        <v>199347</v>
      </c>
      <c r="F29" s="53" t="n">
        <f aca="false">D29/$D$2</f>
        <v>-406.454866364095</v>
      </c>
      <c r="G29" s="53" t="n">
        <v>276.33</v>
      </c>
      <c r="H29" s="55" t="n">
        <v>0</v>
      </c>
      <c r="I29" s="53" t="n">
        <f aca="false">G29+H29</f>
        <v>276.33</v>
      </c>
      <c r="J29" s="77" t="n">
        <f aca="false">IF(L29&gt;0,L29,0)</f>
        <v>23.4751336359052</v>
      </c>
      <c r="K29" s="53" t="n">
        <f aca="false">I29+J29</f>
        <v>299.805133635905</v>
      </c>
      <c r="L29" s="53" t="n">
        <f aca="false">F29-(I29-W29)</f>
        <v>23.4751336359052</v>
      </c>
      <c r="M29" s="53" t="n">
        <v>232.43</v>
      </c>
      <c r="N29" s="53" t="n">
        <v>29.74</v>
      </c>
      <c r="O29" s="53" t="n">
        <f aca="false">M29-N29</f>
        <v>202.69</v>
      </c>
      <c r="P29" s="53" t="n">
        <v>107.76</v>
      </c>
      <c r="Q29" s="53" t="n">
        <v>91.71</v>
      </c>
      <c r="R29" s="53" t="n">
        <f aca="false">SUM(O29:Q29)</f>
        <v>402.16</v>
      </c>
      <c r="S29" s="54" t="n">
        <f aca="false">(I29-R29)+S28</f>
        <v>-918.597981845688</v>
      </c>
      <c r="T29" s="53" t="n">
        <v>162.62</v>
      </c>
      <c r="U29" s="53" t="n">
        <v>111.74</v>
      </c>
      <c r="V29" s="54" t="n">
        <f aca="false">V28-U29</f>
        <v>5556.83</v>
      </c>
      <c r="W29" s="53" t="n">
        <f aca="false">R29+T29+N29+U29</f>
        <v>706.26</v>
      </c>
      <c r="X29" s="53" t="n">
        <f aca="false">IF(L29&lt;0,L29*-1,0)</f>
        <v>0</v>
      </c>
      <c r="Y29" s="53" t="n">
        <f aca="false">W29+X29</f>
        <v>706.26</v>
      </c>
      <c r="Z29" s="57" t="n">
        <v>0</v>
      </c>
      <c r="AA29" s="86" t="n">
        <v>82</v>
      </c>
      <c r="AB29" s="58" t="n">
        <v>55</v>
      </c>
      <c r="AC29" s="59" t="n">
        <f aca="false">AC28+1</f>
        <v>20</v>
      </c>
      <c r="AD29" s="74" t="n">
        <v>33914</v>
      </c>
      <c r="AE29" s="74" t="n">
        <v>18203</v>
      </c>
      <c r="AF29" s="78" t="n">
        <f aca="false">(AG29+AH29)-(AG28+AH28)</f>
        <v>37.6199999999999</v>
      </c>
      <c r="AG29" s="46" t="n">
        <v>3520</v>
      </c>
      <c r="AH29" s="46" t="n">
        <v>483.58</v>
      </c>
    </row>
    <row r="30" customFormat="false" ht="11.1" hidden="false" customHeight="true" outlineLevel="0" collapsed="false">
      <c r="A30" s="59" t="n">
        <f aca="false">A29+1</f>
        <v>21</v>
      </c>
      <c r="B30" s="76" t="n">
        <v>6917.01</v>
      </c>
      <c r="C30" s="54" t="n">
        <v>350796</v>
      </c>
      <c r="D30" s="58" t="n">
        <f aca="false">C30-C29</f>
        <v>-551</v>
      </c>
      <c r="E30" s="54" t="n">
        <f aca="false">C30-152000</f>
        <v>198796</v>
      </c>
      <c r="F30" s="53" t="n">
        <f aca="false">D30/$D$2</f>
        <v>-277.861825516894</v>
      </c>
      <c r="G30" s="53" t="n">
        <v>296.98</v>
      </c>
      <c r="H30" s="55" t="n">
        <v>0</v>
      </c>
      <c r="I30" s="53" t="n">
        <f aca="false">G30+H30</f>
        <v>296.98</v>
      </c>
      <c r="J30" s="77" t="n">
        <f aca="false">IF(L30&gt;0,L30,0)</f>
        <v>122.948174483106</v>
      </c>
      <c r="K30" s="53" t="n">
        <f aca="false">I30+J30</f>
        <v>419.928174483106</v>
      </c>
      <c r="L30" s="53" t="n">
        <f aca="false">F30-(I30-W30)</f>
        <v>122.948174483106</v>
      </c>
      <c r="M30" s="53" t="n">
        <v>223.46</v>
      </c>
      <c r="N30" s="53" t="n">
        <v>29.74</v>
      </c>
      <c r="O30" s="53" t="n">
        <f aca="false">M30-N30</f>
        <v>193.72</v>
      </c>
      <c r="P30" s="53" t="n">
        <v>107.66</v>
      </c>
      <c r="Q30" s="53" t="n">
        <v>91.53</v>
      </c>
      <c r="R30" s="53" t="n">
        <f aca="false">SUM(O30:Q30)</f>
        <v>392.91</v>
      </c>
      <c r="S30" s="54" t="n">
        <f aca="false">(I30-R30)+S29</f>
        <v>-1014.52798184569</v>
      </c>
      <c r="T30" s="53" t="n">
        <v>163.93</v>
      </c>
      <c r="U30" s="53" t="n">
        <v>111.21</v>
      </c>
      <c r="V30" s="54" t="n">
        <f aca="false">V29-U30</f>
        <v>5445.62</v>
      </c>
      <c r="W30" s="53" t="n">
        <f aca="false">R30+T30+N30+U30</f>
        <v>697.79</v>
      </c>
      <c r="X30" s="53" t="n">
        <f aca="false">IF(L30&lt;0,L30*-1,0)</f>
        <v>0</v>
      </c>
      <c r="Y30" s="53" t="n">
        <f aca="false">W30+X30</f>
        <v>697.79</v>
      </c>
      <c r="Z30" s="57" t="n">
        <v>0.4</v>
      </c>
      <c r="AA30" s="58" t="n">
        <v>87</v>
      </c>
      <c r="AB30" s="58" t="n">
        <v>60</v>
      </c>
      <c r="AC30" s="59" t="n">
        <f aca="false">AC29+1</f>
        <v>21</v>
      </c>
      <c r="AD30" s="74" t="n">
        <v>34229</v>
      </c>
      <c r="AE30" s="74" t="n">
        <v>18362</v>
      </c>
      <c r="AF30" s="78" t="n">
        <f aca="false">(AG30+AH30)-(AG29+AH29)</f>
        <v>38.9099999999999</v>
      </c>
      <c r="AG30" s="46" t="n">
        <v>3539</v>
      </c>
      <c r="AH30" s="46" t="n">
        <v>503.49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6916.87</v>
      </c>
      <c r="C31" s="54" t="n">
        <v>350207</v>
      </c>
      <c r="D31" s="58" t="n">
        <f aca="false">C31-C30</f>
        <v>-589</v>
      </c>
      <c r="E31" s="54" t="n">
        <f aca="false">C31-152000</f>
        <v>198207</v>
      </c>
      <c r="F31" s="53" t="n">
        <f aca="false">D31/$D$2</f>
        <v>-297.0247100353</v>
      </c>
      <c r="G31" s="53" t="n">
        <v>354.63</v>
      </c>
      <c r="H31" s="55" t="n">
        <v>0</v>
      </c>
      <c r="I31" s="53" t="n">
        <f aca="false">G31+H31</f>
        <v>354.63</v>
      </c>
      <c r="J31" s="77" t="n">
        <f aca="false">IF(L31&gt;0,L31,0)</f>
        <v>76.0652899647</v>
      </c>
      <c r="K31" s="53" t="n">
        <f aca="false">I31+J31</f>
        <v>430.6952899647</v>
      </c>
      <c r="L31" s="53" t="n">
        <f aca="false">F31-(I31-W31)</f>
        <v>76.0652899647</v>
      </c>
      <c r="M31" s="53" t="n">
        <v>239.5</v>
      </c>
      <c r="N31" s="53" t="n">
        <v>29.74</v>
      </c>
      <c r="O31" s="53" t="n">
        <f aca="false">M31-N31</f>
        <v>209.76</v>
      </c>
      <c r="P31" s="53" t="n">
        <v>107.59</v>
      </c>
      <c r="Q31" s="53" t="n">
        <v>91.26</v>
      </c>
      <c r="R31" s="53" t="n">
        <f aca="false">SUM(O31:Q31)</f>
        <v>408.61</v>
      </c>
      <c r="S31" s="54" t="n">
        <f aca="false">(I31-R31)+S30</f>
        <v>-1068.50798184569</v>
      </c>
      <c r="T31" s="53" t="n">
        <v>178.23</v>
      </c>
      <c r="U31" s="53" t="n">
        <v>111.14</v>
      </c>
      <c r="V31" s="54" t="n">
        <f aca="false">V30-U31</f>
        <v>5334.48</v>
      </c>
      <c r="W31" s="53" t="n">
        <f aca="false">R31+T31+N31+U31</f>
        <v>727.72</v>
      </c>
      <c r="X31" s="53" t="n">
        <f aca="false">IF(L31&lt;0,L31*-1,0)</f>
        <v>0</v>
      </c>
      <c r="Y31" s="53" t="n">
        <f aca="false">W31+X31</f>
        <v>727.72</v>
      </c>
      <c r="Z31" s="57" t="n">
        <v>0.01</v>
      </c>
      <c r="AA31" s="58" t="n">
        <v>84</v>
      </c>
      <c r="AB31" s="58" t="n">
        <v>56</v>
      </c>
      <c r="AC31" s="59" t="n">
        <f aca="false">AC30+1</f>
        <v>22</v>
      </c>
      <c r="AD31" s="74" t="n">
        <v>34532</v>
      </c>
      <c r="AE31" s="74" t="n">
        <v>18519</v>
      </c>
      <c r="AF31" s="78" t="n">
        <f aca="false">(AG31+AH31)-(AG30+AH30)</f>
        <v>37.8400000000001</v>
      </c>
      <c r="AG31" s="99" t="n">
        <v>3557</v>
      </c>
      <c r="AH31" s="99" t="n">
        <v>523.33</v>
      </c>
      <c r="AI31" s="99" t="n">
        <f aca="false">AF30-AF29</f>
        <v>1.28999999999996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6916.67</v>
      </c>
      <c r="C32" s="54" t="n">
        <v>349365</v>
      </c>
      <c r="D32" s="58" t="n">
        <f aca="false">C32-C31</f>
        <v>-842</v>
      </c>
      <c r="E32" s="54" t="n">
        <f aca="false">C32-152000</f>
        <v>197365</v>
      </c>
      <c r="F32" s="53" t="n">
        <f aca="false">D32/$D$2</f>
        <v>-424.609178013111</v>
      </c>
      <c r="G32" s="53" t="n">
        <v>319.05</v>
      </c>
      <c r="H32" s="55" t="n">
        <v>0</v>
      </c>
      <c r="I32" s="53" t="n">
        <f aca="false">G32+H32</f>
        <v>319.05</v>
      </c>
      <c r="J32" s="77" t="n">
        <f aca="false">IF(L32&gt;0,L32,0)</f>
        <v>0</v>
      </c>
      <c r="K32" s="53" t="n">
        <f aca="false">I32+J32</f>
        <v>319.05</v>
      </c>
      <c r="L32" s="53" t="n">
        <f aca="false">F32-(I32-W32)</f>
        <v>-38.2391780131115</v>
      </c>
      <c r="M32" s="53" t="n">
        <v>231.88</v>
      </c>
      <c r="N32" s="53" t="n">
        <f aca="false">(21.62+26.05)*1.05</f>
        <v>50.0535</v>
      </c>
      <c r="O32" s="53" t="n">
        <f aca="false">M32-N32</f>
        <v>181.8265</v>
      </c>
      <c r="P32" s="53" t="n">
        <v>110.32</v>
      </c>
      <c r="Q32" s="53" t="n">
        <v>91.22</v>
      </c>
      <c r="R32" s="53" t="n">
        <f aca="false">SUM(O32:Q32)</f>
        <v>383.3665</v>
      </c>
      <c r="S32" s="54" t="n">
        <f aca="false">(I32-R32)+S31</f>
        <v>-1132.82448184569</v>
      </c>
      <c r="T32" s="53" t="n">
        <v>161</v>
      </c>
      <c r="U32" s="53" t="n">
        <v>111</v>
      </c>
      <c r="V32" s="54" t="n">
        <f aca="false">V31-U32</f>
        <v>5223.48</v>
      </c>
      <c r="W32" s="53" t="n">
        <f aca="false">R32+T32+N32+U32</f>
        <v>705.42</v>
      </c>
      <c r="X32" s="53" t="n">
        <f aca="false">IF(L32&lt;0,L32*-1,0)</f>
        <v>38.2391780131115</v>
      </c>
      <c r="Y32" s="53" t="n">
        <f aca="false">W32+X32</f>
        <v>743.659178013111</v>
      </c>
      <c r="Z32" s="57" t="n">
        <v>0.07</v>
      </c>
      <c r="AA32" s="58" t="n">
        <v>84</v>
      </c>
      <c r="AB32" s="86" t="n">
        <v>55</v>
      </c>
      <c r="AC32" s="59" t="n">
        <f aca="false">AC31+1</f>
        <v>23</v>
      </c>
      <c r="AD32" s="74" t="n">
        <v>34828</v>
      </c>
      <c r="AE32" s="74" t="n">
        <v>18670</v>
      </c>
      <c r="AF32" s="78" t="n">
        <f aca="false">(AG32+AH32)-(AG31+AH31)</f>
        <v>38.8299999999999</v>
      </c>
      <c r="AG32" s="46" t="n">
        <v>3576</v>
      </c>
      <c r="AH32" s="46" t="n">
        <v>543.16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6916.47</v>
      </c>
      <c r="C33" s="54" t="n">
        <v>348524</v>
      </c>
      <c r="D33" s="58" t="n">
        <f aca="false">C33-C32</f>
        <v>-841</v>
      </c>
      <c r="E33" s="54" t="n">
        <f aca="false">C33-152000</f>
        <v>196524</v>
      </c>
      <c r="F33" s="53" t="n">
        <f aca="false">D33/$D$2</f>
        <v>-424.104891578417</v>
      </c>
      <c r="G33" s="53" t="n">
        <v>288.23</v>
      </c>
      <c r="H33" s="55" t="n">
        <v>0</v>
      </c>
      <c r="I33" s="53" t="n">
        <f aca="false">G33+H33</f>
        <v>288.23</v>
      </c>
      <c r="J33" s="77" t="n">
        <f aca="false">IF(L33&gt;0,L33,0)</f>
        <v>0</v>
      </c>
      <c r="K33" s="53" t="n">
        <f aca="false">I33+J33</f>
        <v>288.23</v>
      </c>
      <c r="L33" s="53" t="n">
        <f aca="false">F33-(I33-W33)</f>
        <v>-0.814891578416564</v>
      </c>
      <c r="M33" s="53" t="n">
        <v>228.75</v>
      </c>
      <c r="N33" s="53" t="n">
        <f aca="false">(21.62+26.05)*1.05</f>
        <v>50.0535</v>
      </c>
      <c r="O33" s="53" t="n">
        <f aca="false">M33-N33</f>
        <v>178.6965</v>
      </c>
      <c r="P33" s="53" t="n">
        <v>112.54</v>
      </c>
      <c r="Q33" s="53" t="n">
        <v>90.93</v>
      </c>
      <c r="R33" s="53" t="n">
        <f aca="false">SUM(O33:Q33)</f>
        <v>382.1665</v>
      </c>
      <c r="S33" s="54" t="n">
        <f aca="false">(I33-R33)+S32</f>
        <v>-1226.76098184569</v>
      </c>
      <c r="T33" s="53" t="n">
        <v>167.31</v>
      </c>
      <c r="U33" s="53" t="n">
        <v>111.99</v>
      </c>
      <c r="V33" s="54" t="n">
        <f aca="false">V32-U33</f>
        <v>5111.49</v>
      </c>
      <c r="W33" s="53" t="n">
        <f aca="false">R33+T33+N33+U33</f>
        <v>711.52</v>
      </c>
      <c r="X33" s="53" t="n">
        <f aca="false">IF(L33&lt;0,L33*-1,0)</f>
        <v>0.814891578416564</v>
      </c>
      <c r="Y33" s="53" t="n">
        <f aca="false">W33+X33</f>
        <v>712.334891578417</v>
      </c>
      <c r="Z33" s="57" t="n">
        <v>0.13</v>
      </c>
      <c r="AA33" s="58" t="n">
        <v>79</v>
      </c>
      <c r="AB33" s="86" t="n">
        <v>54</v>
      </c>
      <c r="AC33" s="59" t="n">
        <f aca="false">AC32+1</f>
        <v>24</v>
      </c>
      <c r="AD33" s="74" t="n">
        <v>35133</v>
      </c>
      <c r="AE33" s="74" t="n">
        <v>18824</v>
      </c>
      <c r="AF33" s="78" t="n">
        <f aca="false">(AG33+AH33)-(AG32+AH32)</f>
        <v>38.2700000000004</v>
      </c>
      <c r="AG33" s="46" t="n">
        <v>3594.8</v>
      </c>
      <c r="AH33" s="46" t="n">
        <v>562.63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6916.37</v>
      </c>
      <c r="C34" s="54" t="n">
        <v>348103</v>
      </c>
      <c r="D34" s="58" t="n">
        <f aca="false">C34-C33</f>
        <v>-421</v>
      </c>
      <c r="E34" s="54" t="n">
        <f aca="false">C34-152000</f>
        <v>196103</v>
      </c>
      <c r="F34" s="53" t="n">
        <f aca="false">D34/$D$2</f>
        <v>-212.304589006556</v>
      </c>
      <c r="G34" s="53" t="n">
        <v>283.51</v>
      </c>
      <c r="H34" s="55" t="n">
        <v>0</v>
      </c>
      <c r="I34" s="53" t="n">
        <f aca="false">G34+H34</f>
        <v>283.51</v>
      </c>
      <c r="J34" s="77" t="n">
        <f aca="false">IF(L34&gt;0,L34,0)</f>
        <v>177.115410993444</v>
      </c>
      <c r="K34" s="53" t="n">
        <f aca="false">I34+J34</f>
        <v>460.625410993444</v>
      </c>
      <c r="L34" s="53" t="n">
        <f aca="false">F34-(I34-W34)</f>
        <v>177.115410993444</v>
      </c>
      <c r="M34" s="53" t="n">
        <v>207.54</v>
      </c>
      <c r="N34" s="53" t="n">
        <f aca="false">(16.99+17.54)*1.05</f>
        <v>36.2565</v>
      </c>
      <c r="O34" s="53" t="n">
        <f aca="false">M34-N34</f>
        <v>171.2835</v>
      </c>
      <c r="P34" s="53" t="n">
        <v>113.12</v>
      </c>
      <c r="Q34" s="53" t="n">
        <v>90.87</v>
      </c>
      <c r="R34" s="53" t="n">
        <f aca="false">SUM(O34:Q34)</f>
        <v>375.2735</v>
      </c>
      <c r="S34" s="54" t="n">
        <f aca="false">(I34-R34)+S33</f>
        <v>-1318.52448184569</v>
      </c>
      <c r="T34" s="53" t="n">
        <v>148.06</v>
      </c>
      <c r="U34" s="53" t="n">
        <v>113.34</v>
      </c>
      <c r="V34" s="54" t="n">
        <f aca="false">V33-U34</f>
        <v>4998.15</v>
      </c>
      <c r="W34" s="53" t="n">
        <f aca="false">R34+T34+N34+U34</f>
        <v>672.93</v>
      </c>
      <c r="X34" s="53" t="n">
        <f aca="false">IF(L34&lt;0,L34*-1,0)</f>
        <v>0</v>
      </c>
      <c r="Y34" s="53" t="n">
        <f aca="false">W34+X34</f>
        <v>672.93</v>
      </c>
      <c r="Z34" s="57" t="n">
        <v>0.23</v>
      </c>
      <c r="AA34" s="58" t="n">
        <v>81</v>
      </c>
      <c r="AB34" s="86" t="n">
        <v>56</v>
      </c>
      <c r="AC34" s="59" t="n">
        <f aca="false">AC33+1</f>
        <v>25</v>
      </c>
      <c r="AD34" s="74" t="n">
        <v>35439</v>
      </c>
      <c r="AE34" s="74" t="n">
        <v>18978</v>
      </c>
      <c r="AF34" s="78" t="n">
        <f aca="false">(AG34+AH34)-(AG33+AH33)</f>
        <v>37.9399999999996</v>
      </c>
      <c r="AG34" s="46" t="n">
        <v>3613.7</v>
      </c>
      <c r="AH34" s="46" t="n">
        <v>581.67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6916.27</v>
      </c>
      <c r="C35" s="54" t="n">
        <v>347683</v>
      </c>
      <c r="D35" s="58" t="n">
        <f aca="false">C35-C34</f>
        <v>-420</v>
      </c>
      <c r="E35" s="54" t="n">
        <f aca="false">C35-152000</f>
        <v>195683</v>
      </c>
      <c r="F35" s="53" t="n">
        <f aca="false">D35/$D$2</f>
        <v>-211.800302571861</v>
      </c>
      <c r="G35" s="53" t="n">
        <v>414.32</v>
      </c>
      <c r="H35" s="55" t="n">
        <v>0</v>
      </c>
      <c r="I35" s="53" t="n">
        <f aca="false">G35+H35</f>
        <v>414.32</v>
      </c>
      <c r="J35" s="77" t="n">
        <f aca="false">IF(L35&gt;0,L35,0)</f>
        <v>25.1696974281393</v>
      </c>
      <c r="K35" s="53" t="n">
        <f aca="false">I35+J35</f>
        <v>439.489697428139</v>
      </c>
      <c r="L35" s="53" t="n">
        <f aca="false">F35-(I35-W35)</f>
        <v>25.1696974281393</v>
      </c>
      <c r="M35" s="53" t="n">
        <v>206.02</v>
      </c>
      <c r="N35" s="53" t="n">
        <f aca="false">(16.27+16.73)*1.05</f>
        <v>34.65</v>
      </c>
      <c r="O35" s="53" t="n">
        <f aca="false">M35-N35</f>
        <v>171.37</v>
      </c>
      <c r="P35" s="53" t="n">
        <v>113.35</v>
      </c>
      <c r="Q35" s="53" t="n">
        <v>90.96</v>
      </c>
      <c r="R35" s="53" t="n">
        <f aca="false">SUM(O35:Q35)</f>
        <v>375.68</v>
      </c>
      <c r="S35" s="54" t="n">
        <f aca="false">(I35-R35)+S34</f>
        <v>-1279.88448184569</v>
      </c>
      <c r="T35" s="53" t="n">
        <v>128.25</v>
      </c>
      <c r="U35" s="53" t="n">
        <v>112.71</v>
      </c>
      <c r="V35" s="54" t="n">
        <f aca="false">V34-U35</f>
        <v>4885.44</v>
      </c>
      <c r="W35" s="53" t="n">
        <f aca="false">R35+T35+N35+U35</f>
        <v>651.29</v>
      </c>
      <c r="X35" s="53" t="n">
        <f aca="false">IF(L35&lt;0,L35*-1,0)</f>
        <v>0</v>
      </c>
      <c r="Y35" s="53" t="n">
        <f aca="false">W35+X35</f>
        <v>651.29</v>
      </c>
      <c r="Z35" s="57" t="n">
        <v>0.03</v>
      </c>
      <c r="AA35" s="58" t="n">
        <v>86</v>
      </c>
      <c r="AB35" s="58" t="n">
        <v>53</v>
      </c>
      <c r="AC35" s="59" t="n">
        <f aca="false">AC34+1</f>
        <v>26</v>
      </c>
      <c r="AD35" s="74" t="n">
        <v>35759</v>
      </c>
      <c r="AE35" s="74" t="n">
        <v>19127</v>
      </c>
      <c r="AF35" s="78" t="n">
        <f aca="false">(AG35+AH35)-(AG34+AH34)</f>
        <v>36.7600000000002</v>
      </c>
      <c r="AG35" s="46" t="n">
        <v>3632.53</v>
      </c>
      <c r="AH35" s="46" t="n">
        <v>599.6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6916.16</v>
      </c>
      <c r="C36" s="54" t="n">
        <v>347220</v>
      </c>
      <c r="D36" s="58" t="n">
        <f aca="false">C36-C35</f>
        <v>-463</v>
      </c>
      <c r="E36" s="54" t="n">
        <f aca="false">C36-152000</f>
        <v>195220</v>
      </c>
      <c r="F36" s="53" t="n">
        <f aca="false">D36/$D$2</f>
        <v>-233.484619263742</v>
      </c>
      <c r="G36" s="53" t="n">
        <v>363.14</v>
      </c>
      <c r="H36" s="55" t="n">
        <v>0</v>
      </c>
      <c r="I36" s="53" t="n">
        <f aca="false">G36+H36</f>
        <v>363.14</v>
      </c>
      <c r="J36" s="77" t="n">
        <f aca="false">IF(L36&gt;0,L36,0)</f>
        <v>39.5053807362582</v>
      </c>
      <c r="K36" s="53" t="n">
        <f aca="false">I36+J36</f>
        <v>402.645380736258</v>
      </c>
      <c r="L36" s="53" t="n">
        <f aca="false">F36-(I36-W36)</f>
        <v>39.5053807362582</v>
      </c>
      <c r="M36" s="53" t="n">
        <v>201.48</v>
      </c>
      <c r="N36" s="53" t="n">
        <f aca="false">(14.62+14.49)*1.05</f>
        <v>30.5655</v>
      </c>
      <c r="O36" s="53" t="n">
        <f aca="false">M36-N36</f>
        <v>170.9145</v>
      </c>
      <c r="P36" s="53" t="n">
        <v>113.92</v>
      </c>
      <c r="Q36" s="53" t="n">
        <v>90.92</v>
      </c>
      <c r="R36" s="53" t="n">
        <f aca="false">SUM(O36:Q36)</f>
        <v>375.7545</v>
      </c>
      <c r="S36" s="54" t="n">
        <f aca="false">(I36-R36)+S35</f>
        <v>-1292.49898184569</v>
      </c>
      <c r="T36" s="53" t="n">
        <v>117.51</v>
      </c>
      <c r="U36" s="53" t="n">
        <v>112.3</v>
      </c>
      <c r="V36" s="54" t="n">
        <f aca="false">V35-U36</f>
        <v>4773.14</v>
      </c>
      <c r="W36" s="53" t="n">
        <f aca="false">R36+T36+N36+U36</f>
        <v>636.13</v>
      </c>
      <c r="X36" s="53" t="n">
        <f aca="false">IF(L36&lt;0,L36*-1,0)</f>
        <v>0</v>
      </c>
      <c r="Y36" s="53" t="n">
        <f aca="false">W36+X36</f>
        <v>636.13</v>
      </c>
      <c r="Z36" s="57" t="n">
        <v>0.32</v>
      </c>
      <c r="AA36" s="58" t="n">
        <v>84</v>
      </c>
      <c r="AB36" s="58" t="n">
        <v>57</v>
      </c>
      <c r="AC36" s="59" t="n">
        <f aca="false">AC35+1</f>
        <v>27</v>
      </c>
      <c r="AD36" s="74" t="n">
        <v>36043</v>
      </c>
      <c r="AE36" s="74" t="n">
        <v>19278</v>
      </c>
      <c r="AF36" s="78" t="n">
        <f aca="false">(AG36+AH36)-(AG35+AH35)</f>
        <v>39.71</v>
      </c>
      <c r="AG36" s="46" t="n">
        <v>3652.19</v>
      </c>
      <c r="AH36" s="46" t="n">
        <v>619.65</v>
      </c>
    </row>
    <row r="37" customFormat="false" ht="11.1" hidden="false" customHeight="true" outlineLevel="0" collapsed="false">
      <c r="A37" s="59" t="n">
        <f aca="false">A36+1</f>
        <v>28</v>
      </c>
      <c r="B37" s="76" t="n">
        <v>6916.04</v>
      </c>
      <c r="C37" s="54" t="n">
        <v>346715</v>
      </c>
      <c r="D37" s="58" t="n">
        <f aca="false">C37-C36</f>
        <v>-505</v>
      </c>
      <c r="E37" s="54" t="n">
        <f aca="false">C37-152000</f>
        <v>194715</v>
      </c>
      <c r="F37" s="53" t="n">
        <f aca="false">D37/$D$2</f>
        <v>-254.664649520928</v>
      </c>
      <c r="G37" s="53" t="n">
        <v>332.29</v>
      </c>
      <c r="H37" s="55" t="n">
        <v>0</v>
      </c>
      <c r="I37" s="53" t="n">
        <f aca="false">G37+H37</f>
        <v>332.29</v>
      </c>
      <c r="J37" s="77" t="n">
        <f aca="false">IF(L37&gt;0,L37,0)</f>
        <v>78.9312657589511</v>
      </c>
      <c r="K37" s="53" t="n">
        <f aca="false">I37+J37</f>
        <v>411.221265758951</v>
      </c>
      <c r="L37" s="53" t="n">
        <f aca="false">F37-(I37-W37)</f>
        <v>78.9312657589511</v>
      </c>
      <c r="M37" s="53" t="n">
        <v>209.3</v>
      </c>
      <c r="N37" s="53" t="n">
        <f aca="false">(16.76+16.8)*1.05</f>
        <v>35.238</v>
      </c>
      <c r="O37" s="53" t="n">
        <f aca="false">M37-N38</f>
        <v>169.988</v>
      </c>
      <c r="P37" s="53" t="n">
        <v>112.93</v>
      </c>
      <c r="Q37" s="53" t="n">
        <v>90.74</v>
      </c>
      <c r="R37" s="53" t="n">
        <f aca="false">SUM(O37:Q37)</f>
        <v>373.658</v>
      </c>
      <c r="S37" s="54" t="n">
        <f aca="false">(I37-R37)+S36</f>
        <v>-1333.86698184569</v>
      </c>
      <c r="T37" s="53" t="n">
        <f aca="false">(AD37-AD36)/$D$2</f>
        <v>140.695915279879</v>
      </c>
      <c r="U37" s="53" t="n">
        <v>112.22</v>
      </c>
      <c r="V37" s="54" t="n">
        <f aca="false">V36-U37</f>
        <v>4660.92</v>
      </c>
      <c r="W37" s="53" t="n">
        <f aca="false">R37+T37+N38+U37</f>
        <v>665.885915279879</v>
      </c>
      <c r="X37" s="53" t="n">
        <f aca="false">IF(L37&lt;0,L37*-1,0)</f>
        <v>0</v>
      </c>
      <c r="Y37" s="53" t="n">
        <f aca="false">W37+X37</f>
        <v>665.885915279879</v>
      </c>
      <c r="Z37" s="57" t="n">
        <v>0</v>
      </c>
      <c r="AA37" s="58" t="n">
        <v>83</v>
      </c>
      <c r="AB37" s="58" t="n">
        <v>55</v>
      </c>
      <c r="AC37" s="59" t="n">
        <f aca="false">AC36+1</f>
        <v>28</v>
      </c>
      <c r="AD37" s="74" t="n">
        <v>36322</v>
      </c>
      <c r="AE37" s="74" t="n">
        <v>19426</v>
      </c>
      <c r="AF37" s="78" t="n">
        <f aca="false">(AG37+AH37)-(AG36+AH36)</f>
        <v>33.1399999999994</v>
      </c>
      <c r="AG37" s="46" t="n">
        <v>3667.79</v>
      </c>
      <c r="AH37" s="46" t="n">
        <v>637.19</v>
      </c>
    </row>
    <row r="38" customFormat="false" ht="11.1" hidden="false" customHeight="true" outlineLevel="0" collapsed="false">
      <c r="A38" s="59" t="n">
        <f aca="false">A37+1</f>
        <v>29</v>
      </c>
      <c r="B38" s="76" t="n">
        <v>6915.91</v>
      </c>
      <c r="C38" s="54" t="n">
        <v>346171</v>
      </c>
      <c r="D38" s="58" t="n">
        <f aca="false">C38-C37</f>
        <v>-544</v>
      </c>
      <c r="E38" s="54" t="n">
        <f aca="false">C38-152000</f>
        <v>194171</v>
      </c>
      <c r="F38" s="53" t="n">
        <f aca="false">D38/$D$2</f>
        <v>-274.331820474029</v>
      </c>
      <c r="G38" s="53" t="n">
        <v>343.65</v>
      </c>
      <c r="H38" s="55" t="n">
        <v>0</v>
      </c>
      <c r="I38" s="53" t="n">
        <f aca="false">G38+H38</f>
        <v>343.65</v>
      </c>
      <c r="J38" s="77" t="n">
        <f aca="false">IF(L38&gt;0,L38,0)</f>
        <v>31.9455219364599</v>
      </c>
      <c r="K38" s="53" t="n">
        <f aca="false">I38+J38</f>
        <v>375.59552193646</v>
      </c>
      <c r="L38" s="53" t="n">
        <f aca="false">F38-(I38-W38)</f>
        <v>31.9455219364599</v>
      </c>
      <c r="M38" s="53" t="n">
        <v>219.45</v>
      </c>
      <c r="N38" s="53" t="n">
        <f aca="false">(19.37+18.07)*1.05</f>
        <v>39.312</v>
      </c>
      <c r="O38" s="53" t="n">
        <f aca="false">M38-N38</f>
        <v>180.138</v>
      </c>
      <c r="P38" s="53" t="n">
        <v>88.08</v>
      </c>
      <c r="Q38" s="53" t="n">
        <v>90.51</v>
      </c>
      <c r="R38" s="53" t="n">
        <f aca="false">SUM(O38:Q38)</f>
        <v>358.728</v>
      </c>
      <c r="S38" s="54" t="n">
        <f aca="false">(I38-R38)+S37</f>
        <v>-1348.94498184569</v>
      </c>
      <c r="T38" s="53" t="n">
        <f aca="false">(AD38-AD37)/$D$2</f>
        <v>139.687342410489</v>
      </c>
      <c r="U38" s="53" t="n">
        <v>112.2</v>
      </c>
      <c r="V38" s="54" t="n">
        <f aca="false">V37-U38</f>
        <v>4548.72</v>
      </c>
      <c r="W38" s="53" t="n">
        <f aca="false">R38+T38+N38+U38</f>
        <v>649.927342410489</v>
      </c>
      <c r="X38" s="53" t="n">
        <f aca="false">IF(L38&lt;0,L38*-1,0)</f>
        <v>0</v>
      </c>
      <c r="Y38" s="53" t="n">
        <f aca="false">W38+X38</f>
        <v>649.927342410489</v>
      </c>
      <c r="Z38" s="57" t="n">
        <v>0</v>
      </c>
      <c r="AA38" s="86" t="n">
        <v>86</v>
      </c>
      <c r="AB38" s="58" t="n">
        <v>57</v>
      </c>
      <c r="AC38" s="59" t="n">
        <f aca="false">AC37+1</f>
        <v>29</v>
      </c>
      <c r="AD38" s="74" t="n">
        <v>36599</v>
      </c>
      <c r="AE38" s="78" t="n">
        <v>19573</v>
      </c>
      <c r="AF38" s="78" t="n">
        <f aca="false">(AG38+AH38)-(AG37+AH37)</f>
        <v>31.4300000000003</v>
      </c>
      <c r="AG38" s="46" t="n">
        <v>3683.12</v>
      </c>
      <c r="AH38" s="46" t="n">
        <v>653.29</v>
      </c>
    </row>
    <row r="39" customFormat="false" ht="11.1" hidden="false" customHeight="true" outlineLevel="0" collapsed="false">
      <c r="A39" s="59" t="n">
        <v>30</v>
      </c>
      <c r="B39" s="76" t="n">
        <v>6915.73</v>
      </c>
      <c r="C39" s="54" t="n">
        <v>345420</v>
      </c>
      <c r="D39" s="58" t="n">
        <f aca="false">C39-C38</f>
        <v>-751</v>
      </c>
      <c r="E39" s="54" t="n">
        <f aca="false">C39-152000</f>
        <v>193420</v>
      </c>
      <c r="F39" s="53" t="n">
        <f aca="false">D39/$D$2</f>
        <v>-378.719112455875</v>
      </c>
      <c r="G39" s="53" t="n">
        <v>287.18</v>
      </c>
      <c r="H39" s="55" t="n">
        <v>0</v>
      </c>
      <c r="I39" s="53" t="n">
        <f aca="false">G39+H39</f>
        <v>287.18</v>
      </c>
      <c r="J39" s="77" t="n">
        <f aca="false">IF(L39&gt;0,L39,0)</f>
        <v>0</v>
      </c>
      <c r="K39" s="53" t="n">
        <f aca="false">I39+J39</f>
        <v>287.18</v>
      </c>
      <c r="L39" s="53" t="n">
        <f aca="false">F39-(I39-W39)</f>
        <v>-39.1191124558749</v>
      </c>
      <c r="M39" s="53" t="n">
        <v>206.69</v>
      </c>
      <c r="N39" s="53" t="n">
        <f aca="false">(17.17+18.2)*1.05</f>
        <v>37.1385</v>
      </c>
      <c r="O39" s="53" t="n">
        <f aca="false">M39-N39</f>
        <v>169.5515</v>
      </c>
      <c r="P39" s="53" t="n">
        <v>78.61</v>
      </c>
      <c r="Q39" s="53" t="n">
        <v>86.86</v>
      </c>
      <c r="R39" s="53" t="n">
        <f aca="false">SUM(O39:Q39)</f>
        <v>335.0215</v>
      </c>
      <c r="S39" s="54" t="n">
        <f aca="false">(I39-R39)+S38</f>
        <v>-1396.78648184569</v>
      </c>
      <c r="T39" s="53" t="n">
        <v>142.42</v>
      </c>
      <c r="U39" s="53" t="n">
        <v>112.2</v>
      </c>
      <c r="V39" s="54" t="n">
        <f aca="false">V38-U39</f>
        <v>4436.52</v>
      </c>
      <c r="W39" s="53" t="n">
        <f aca="false">R39+T39+N39+U39</f>
        <v>626.78</v>
      </c>
      <c r="X39" s="53" t="n">
        <f aca="false">IF(L39&lt;0,L39*-1,0)</f>
        <v>39.1191124558749</v>
      </c>
      <c r="Y39" s="53" t="n">
        <f aca="false">W39+X39</f>
        <v>665.899112455875</v>
      </c>
      <c r="Z39" s="57" t="n">
        <v>0</v>
      </c>
      <c r="AA39" s="86" t="n">
        <v>88</v>
      </c>
      <c r="AB39" s="58" t="n">
        <v>56</v>
      </c>
      <c r="AC39" s="59" t="n">
        <v>30</v>
      </c>
      <c r="AD39" s="74" t="n">
        <v>36880</v>
      </c>
      <c r="AE39" s="78" t="n">
        <v>19721</v>
      </c>
      <c r="AF39" s="78" t="n">
        <f aca="false">(AG39+AH39)-(AG38+AH38)</f>
        <v>32.7000000000007</v>
      </c>
      <c r="AG39" s="46" t="n">
        <v>3699.36</v>
      </c>
      <c r="AH39" s="46" t="n">
        <v>669.75</v>
      </c>
    </row>
    <row r="40" customFormat="false" ht="11.1" hidden="false" customHeight="true" outlineLevel="0" collapsed="false">
      <c r="A40" s="59" t="n">
        <v>31</v>
      </c>
      <c r="B40" s="76" t="n">
        <v>6915.55</v>
      </c>
      <c r="C40" s="54" t="n">
        <v>344668</v>
      </c>
      <c r="D40" s="58" t="n">
        <f aca="false">C40-C39</f>
        <v>-752</v>
      </c>
      <c r="E40" s="54" t="n">
        <f aca="false">C40-152000</f>
        <v>192668</v>
      </c>
      <c r="F40" s="53" t="n">
        <f aca="false">D40/$D$2</f>
        <v>-379.22339889057</v>
      </c>
      <c r="G40" s="53" t="n">
        <v>252.72</v>
      </c>
      <c r="H40" s="55" t="n">
        <v>0</v>
      </c>
      <c r="I40" s="53" t="n">
        <f aca="false">G40+H40</f>
        <v>252.72</v>
      </c>
      <c r="J40" s="77" t="n">
        <f aca="false">IF(L40&gt;0,L40,0)</f>
        <v>7.21660110943026</v>
      </c>
      <c r="K40" s="53" t="n">
        <f aca="false">I40+J40</f>
        <v>259.93660110943</v>
      </c>
      <c r="L40" s="53" t="n">
        <f aca="false">F40-(I40-W40)</f>
        <v>7.21660110943026</v>
      </c>
      <c r="M40" s="53" t="n">
        <v>221.39</v>
      </c>
      <c r="N40" s="53" t="n">
        <f aca="false">(18.84+19.43)*1.05</f>
        <v>40.1835</v>
      </c>
      <c r="O40" s="53" t="n">
        <f aca="false">M40-N40</f>
        <v>181.2065</v>
      </c>
      <c r="P40" s="53" t="n">
        <v>79.85</v>
      </c>
      <c r="Q40" s="53" t="n">
        <v>82.12</v>
      </c>
      <c r="R40" s="53" t="n">
        <f aca="false">SUM(O40:Q40)</f>
        <v>343.1765</v>
      </c>
      <c r="S40" s="54" t="n">
        <f aca="false">(I40-R40)+S39</f>
        <v>-1487.24298184569</v>
      </c>
      <c r="T40" s="53" t="n">
        <v>149.62</v>
      </c>
      <c r="U40" s="53" t="n">
        <v>106.18</v>
      </c>
      <c r="V40" s="54" t="n">
        <f aca="false">V39-U40</f>
        <v>4330.34</v>
      </c>
      <c r="W40" s="53" t="n">
        <f aca="false">R40+T40+N40+U40</f>
        <v>639.16</v>
      </c>
      <c r="X40" s="53" t="n">
        <f aca="false">IF(L40&lt;0,L40*-1,0)</f>
        <v>0</v>
      </c>
      <c r="Y40" s="53" t="n">
        <f aca="false">W40+X40</f>
        <v>639.16</v>
      </c>
      <c r="Z40" s="57" t="n">
        <v>0</v>
      </c>
      <c r="AA40" s="86" t="n">
        <v>92</v>
      </c>
      <c r="AB40" s="58" t="n">
        <v>55</v>
      </c>
      <c r="AC40" s="59" t="n">
        <v>31</v>
      </c>
      <c r="AD40" s="74" t="n">
        <v>37136</v>
      </c>
      <c r="AE40" s="74" t="n">
        <v>19854</v>
      </c>
      <c r="AF40" s="78" t="n">
        <f aca="false">(AG40+AH40)-(AG39+AH39)</f>
        <v>35.0299999999997</v>
      </c>
      <c r="AG40" s="46" t="n">
        <v>3715.57</v>
      </c>
      <c r="AH40" s="46" t="n">
        <v>688.57</v>
      </c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-14154.3116490166</v>
      </c>
      <c r="G42" s="54" t="n">
        <f aca="false">SUM(G10:G40)</f>
        <v>8515.26</v>
      </c>
      <c r="H42" s="54" t="n">
        <f aca="false">SUM(H10:H40)</f>
        <v>0</v>
      </c>
      <c r="I42" s="54" t="n">
        <f aca="false">SUM(I10:I40)</f>
        <v>8388.64</v>
      </c>
      <c r="J42" s="54" t="n">
        <f aca="false">SUM(J10:J40)</f>
        <v>989.817347453354</v>
      </c>
      <c r="K42" s="54" t="n">
        <f aca="false">SUM(K10:K40)</f>
        <v>9378.45734745335</v>
      </c>
      <c r="L42" s="54" t="n">
        <f aca="false">SUM(L10:L40)</f>
        <v>675.841608673728</v>
      </c>
      <c r="M42" s="54" t="n">
        <f aca="false">SUM(M10:M40)</f>
        <v>8026.86</v>
      </c>
      <c r="N42" s="54" t="n">
        <f aca="false">SUM(N10:N40)</f>
        <v>1177.9045</v>
      </c>
      <c r="O42" s="54" t="n">
        <f aca="false">SUM(O10:O40)</f>
        <v>6844.8815</v>
      </c>
      <c r="P42" s="54" t="n">
        <f aca="false">SUM(P10:P40)</f>
        <v>3322.1</v>
      </c>
      <c r="Q42" s="54" t="n">
        <f aca="false">SUM(Q10:Q40)</f>
        <v>2782.38</v>
      </c>
      <c r="R42" s="54" t="n">
        <f aca="false">SUM(R10:R40)</f>
        <v>12949.3615</v>
      </c>
      <c r="S42" s="54"/>
      <c r="T42" s="54" t="n">
        <f aca="false">SUM(T10:T40)</f>
        <v>5582.29325769037</v>
      </c>
      <c r="U42" s="54" t="n">
        <f aca="false">SUM(U10:U40)</f>
        <v>3505.16</v>
      </c>
      <c r="V42" s="54"/>
      <c r="W42" s="54" t="n">
        <f aca="false">SUM(W10:W40)</f>
        <v>23218.7932576904</v>
      </c>
      <c r="X42" s="54" t="n">
        <f aca="false">SUM(X10:X40)</f>
        <v>313.975738779626</v>
      </c>
      <c r="Y42" s="54" t="n">
        <f aca="false">SUM(Y10:Y40)</f>
        <v>23532.76899647</v>
      </c>
      <c r="Z42" s="57" t="n">
        <f aca="false">SUM(Z10:Z40)</f>
        <v>2.22</v>
      </c>
      <c r="AA42" s="58" t="n">
        <f aca="false">AVERAGE(AA10:AA40)</f>
        <v>87.0967741935484</v>
      </c>
      <c r="AB42" s="58" t="n">
        <f aca="false">AVERAGE(AB10:AB40)</f>
        <v>56.4193548387097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-28068</v>
      </c>
      <c r="E43" s="54"/>
      <c r="F43" s="54" t="n">
        <f aca="false">F42*$D$2</f>
        <v>-28068</v>
      </c>
      <c r="G43" s="54" t="n">
        <f aca="false">G42*$D$2</f>
        <v>16885.76058</v>
      </c>
      <c r="H43" s="54" t="n">
        <f aca="false">H42*$D$2</f>
        <v>0</v>
      </c>
      <c r="I43" s="54" t="n">
        <f aca="false">I42*$D$2</f>
        <v>16634.67312</v>
      </c>
      <c r="J43" s="54" t="n">
        <f aca="false">J42*$D$2</f>
        <v>1962.8078</v>
      </c>
      <c r="K43" s="54" t="n">
        <f aca="false">K42*$D$2</f>
        <v>18597.48092</v>
      </c>
      <c r="L43" s="54" t="n">
        <f aca="false">L42*$D$2</f>
        <v>1340.19391</v>
      </c>
      <c r="M43" s="54" t="n">
        <f aca="false">M42*$D$2</f>
        <v>15917.26338</v>
      </c>
      <c r="N43" s="54" t="n">
        <f aca="false">N42*$D$2</f>
        <v>2335.7846235</v>
      </c>
      <c r="O43" s="54" t="n">
        <f aca="false">O42*$D$2</f>
        <v>13573.4000145</v>
      </c>
      <c r="P43" s="54" t="n">
        <f aca="false">P42*$D$2</f>
        <v>6587.7243</v>
      </c>
      <c r="Q43" s="54" t="n">
        <f aca="false">Q42*$D$2</f>
        <v>5517.45954</v>
      </c>
      <c r="R43" s="54" t="n">
        <f aca="false">R42*$D$2</f>
        <v>25678.5838545</v>
      </c>
      <c r="S43" s="54"/>
      <c r="T43" s="54" t="n">
        <f aca="false">T42*$D$2</f>
        <v>11069.68753</v>
      </c>
      <c r="U43" s="54" t="n">
        <f aca="false">U42*$D$2</f>
        <v>6950.73228</v>
      </c>
      <c r="V43" s="54" t="n">
        <f aca="false">V42*$D$2</f>
        <v>0</v>
      </c>
      <c r="W43" s="54" t="n">
        <f aca="false">W42*$D$2</f>
        <v>46042.86703</v>
      </c>
      <c r="X43" s="54" t="n">
        <f aca="false">X42*$D$2</f>
        <v>622.613889999999</v>
      </c>
      <c r="Y43" s="54" t="n">
        <f aca="false">Y42*$D$2</f>
        <v>46665.48092</v>
      </c>
      <c r="Z43" s="57"/>
      <c r="AA43" s="58" t="n">
        <f aca="false">MAX(AA10:AA40)</f>
        <v>94</v>
      </c>
      <c r="AB43" s="58" t="n">
        <f aca="false">MAX(AB10:AB40)</f>
        <v>64</v>
      </c>
      <c r="AC43" s="59" t="s">
        <v>47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 t="n">
        <f aca="false">F7+F42</f>
        <v>17766.0110943016</v>
      </c>
      <c r="G45" s="54" t="n">
        <f aca="false">G7+G42</f>
        <v>181811.36</v>
      </c>
      <c r="H45" s="54" t="n">
        <f aca="false">H7+H42</f>
        <v>12482.96</v>
      </c>
      <c r="I45" s="54" t="n">
        <f aca="false">I7+I42</f>
        <v>194167.7</v>
      </c>
      <c r="J45" s="54" t="n">
        <f aca="false">J7+J42</f>
        <v>50620.3596873424</v>
      </c>
      <c r="K45" s="54" t="n">
        <f aca="false">K7+K42</f>
        <v>244788.059687342</v>
      </c>
      <c r="L45" s="54" t="n">
        <f aca="false">L7+L42</f>
        <v>49680.7902118003</v>
      </c>
      <c r="M45" s="54" t="n">
        <f aca="false">M7+M42</f>
        <v>30662.6</v>
      </c>
      <c r="N45" s="54" t="n">
        <f aca="false">N7+N42</f>
        <v>4222.22854633888</v>
      </c>
      <c r="O45" s="54" t="n">
        <f aca="false">O7+O42</f>
        <v>26436.2974536611</v>
      </c>
      <c r="P45" s="54" t="n">
        <f aca="false">P7+P42</f>
        <v>15865.04</v>
      </c>
      <c r="Q45" s="54" t="n">
        <f aca="false">Q7+Q42</f>
        <v>9410.92</v>
      </c>
      <c r="R45" s="54" t="n">
        <f aca="false">R7+R42</f>
        <v>51712.2574536611</v>
      </c>
      <c r="S45" s="54" t="n">
        <f aca="false">S40</f>
        <v>-1487.24298184569</v>
      </c>
      <c r="T45" s="54" t="n">
        <f aca="false">T7+T42</f>
        <v>14682.4734140192</v>
      </c>
      <c r="U45" s="54" t="n">
        <f aca="false">U7+U42</f>
        <v>155469.01</v>
      </c>
      <c r="V45" s="54"/>
      <c r="W45" s="54" t="n">
        <f aca="false">W7+W42</f>
        <v>226082.479117499</v>
      </c>
      <c r="X45" s="54" t="n">
        <f aca="false">X7+X42</f>
        <v>939.569475542107</v>
      </c>
      <c r="Y45" s="54" t="n">
        <f aca="false">Y7+Y42</f>
        <v>227022.048593041</v>
      </c>
      <c r="Z45" s="57"/>
      <c r="AA45" s="58" t="n">
        <f aca="false">MIN(AA10:AA40)</f>
        <v>79</v>
      </c>
      <c r="AB45" s="58" t="n">
        <f aca="false">MIN(AB10:AB40)</f>
        <v>52</v>
      </c>
      <c r="AC45" s="59" t="s">
        <v>49</v>
      </c>
      <c r="AD45" s="74"/>
      <c r="AE45" s="74"/>
      <c r="AF45" s="75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 t="n">
        <f aca="false">F45*$D$2</f>
        <v>35230</v>
      </c>
      <c r="G46" s="54" t="n">
        <f aca="false">G45*$D$2</f>
        <v>360531.92688</v>
      </c>
      <c r="H46" s="54" t="n">
        <f aca="false">H45*$D$2</f>
        <v>24753.70968</v>
      </c>
      <c r="I46" s="54" t="n">
        <f aca="false">I45*$D$2</f>
        <v>385034.5491</v>
      </c>
      <c r="J46" s="54" t="n">
        <f aca="false">J45*$D$2</f>
        <v>100380.17326</v>
      </c>
      <c r="K46" s="54" t="n">
        <f aca="false">K45*$D$2</f>
        <v>485414.72236</v>
      </c>
      <c r="L46" s="54" t="n">
        <f aca="false">L45*$D$2</f>
        <v>98517.00699</v>
      </c>
      <c r="M46" s="54" t="n">
        <f aca="false">M45*$D$2</f>
        <v>60803.9358</v>
      </c>
      <c r="N46" s="54" t="n">
        <f aca="false">N45*$D$2</f>
        <v>8372.67920739</v>
      </c>
      <c r="O46" s="54" t="n">
        <f aca="false">O45*$D$2</f>
        <v>52423.17785061</v>
      </c>
      <c r="P46" s="54" t="n">
        <f aca="false">P45*$D$2</f>
        <v>31460.37432</v>
      </c>
      <c r="Q46" s="54" t="n">
        <f aca="false">Q45*$D$2</f>
        <v>18661.85436</v>
      </c>
      <c r="R46" s="54" t="n">
        <f aca="false">R45*$D$2</f>
        <v>102545.40653061</v>
      </c>
      <c r="S46" s="54" t="n">
        <f aca="false">S45*$D$2</f>
        <v>-2949.202833</v>
      </c>
      <c r="T46" s="54" t="n">
        <f aca="false">T45*$D$2</f>
        <v>29115.34478</v>
      </c>
      <c r="U46" s="54" t="n">
        <f aca="false">U45*$D$2</f>
        <v>308295.04683</v>
      </c>
      <c r="V46" s="54" t="n">
        <f aca="false">V45*$D$2</f>
        <v>0</v>
      </c>
      <c r="W46" s="54" t="n">
        <f aca="false">W45*$D$2</f>
        <v>448321.55609</v>
      </c>
      <c r="X46" s="54" t="n">
        <f aca="false">X45*$D$2</f>
        <v>1863.16627</v>
      </c>
      <c r="Y46" s="54" t="n">
        <f aca="false">Y45*$D$2</f>
        <v>450184.72236</v>
      </c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39387.2919818457</v>
      </c>
      <c r="G48" s="54" t="n">
        <f aca="false">G8+G42</f>
        <v>197600.302592032</v>
      </c>
      <c r="H48" s="58" t="n">
        <f aca="false">H8+H42</f>
        <v>14867.77</v>
      </c>
      <c r="I48" s="54" t="n">
        <f aca="false">I8+I42</f>
        <v>212341.352592032</v>
      </c>
      <c r="J48" s="54" t="n">
        <f aca="false">J8+J42</f>
        <v>62964.4413514876</v>
      </c>
      <c r="K48" s="54" t="n">
        <f aca="false">K8+K42</f>
        <v>275305.79394352</v>
      </c>
      <c r="L48" s="54" t="n">
        <f aca="false">L8+L42</f>
        <v>61787.8085073122</v>
      </c>
      <c r="M48" s="54" t="n">
        <f aca="false">M8+M42</f>
        <v>31565.05</v>
      </c>
      <c r="N48" s="54" t="n">
        <f aca="false">N8+N42</f>
        <v>4237.85854633888</v>
      </c>
      <c r="O48" s="54" t="n">
        <f aca="false">O8+O42</f>
        <v>27118.6174536611</v>
      </c>
      <c r="P48" s="54" t="n">
        <f aca="false">P8+P42</f>
        <v>18439.34</v>
      </c>
      <c r="Q48" s="54" t="n">
        <f aca="false">Q8+Q42</f>
        <v>9410.92</v>
      </c>
      <c r="R48" s="54" t="n">
        <f aca="false">R8+R42</f>
        <v>55049.3774536611</v>
      </c>
      <c r="S48" s="54"/>
      <c r="T48" s="54" t="n">
        <f aca="false">T8+T42</f>
        <v>14682.4734140192</v>
      </c>
      <c r="U48" s="54" t="n">
        <f aca="false">U8+U42</f>
        <v>160651.65</v>
      </c>
      <c r="V48" s="54" t="n">
        <f aca="false">V40</f>
        <v>4330.34</v>
      </c>
      <c r="W48" s="54" t="n">
        <f aca="false">W8+W42</f>
        <v>234741.869117499</v>
      </c>
      <c r="X48" s="54" t="n">
        <f aca="false">X8+X42</f>
        <v>1176.63284417549</v>
      </c>
      <c r="Y48" s="54" t="n">
        <f aca="false">Y8+Y42</f>
        <v>235918.501961674</v>
      </c>
      <c r="Z48" s="77" t="n">
        <f aca="false">Z8+Z42</f>
        <v>20.25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78105</v>
      </c>
      <c r="E49" s="54" t="n">
        <f aca="false">E40</f>
        <v>192668</v>
      </c>
      <c r="F49" s="54" t="n">
        <f aca="false">F48*$D$2</f>
        <v>78105</v>
      </c>
      <c r="G49" s="54" t="n">
        <f aca="false">G48*$D$2</f>
        <v>391841.40004</v>
      </c>
      <c r="H49" s="58" t="n">
        <f aca="false">H48*$D$2</f>
        <v>29482.78791</v>
      </c>
      <c r="I49" s="54" t="n">
        <f aca="false">I48*$D$2</f>
        <v>421072.90219</v>
      </c>
      <c r="J49" s="54" t="n">
        <f aca="false">J48*$D$2</f>
        <v>124858.4872</v>
      </c>
      <c r="K49" s="54" t="n">
        <f aca="false">K48*$D$2</f>
        <v>545931.38939</v>
      </c>
      <c r="L49" s="54" t="n">
        <f aca="false">L48*$D$2</f>
        <v>122525.22427</v>
      </c>
      <c r="M49" s="54" t="n">
        <f aca="false">M48*$D$2</f>
        <v>62593.49415</v>
      </c>
      <c r="N49" s="54" t="n">
        <f aca="false">N48*$D$2</f>
        <v>8403.67349739</v>
      </c>
      <c r="O49" s="54" t="n">
        <f aca="false">O48*$D$2</f>
        <v>53776.21841061</v>
      </c>
      <c r="P49" s="54" t="n">
        <f aca="false">P48*$D$2</f>
        <v>36565.21122</v>
      </c>
      <c r="Q49" s="54" t="n">
        <f aca="false">Q48*$D$2</f>
        <v>18661.85436</v>
      </c>
      <c r="R49" s="54" t="n">
        <f aca="false">R48*$D$2</f>
        <v>109162.91549061</v>
      </c>
      <c r="S49" s="54" t="n">
        <f aca="false">S48*$D$2</f>
        <v>0</v>
      </c>
      <c r="T49" s="54" t="n">
        <f aca="false">T48*$D$2</f>
        <v>29115.34478</v>
      </c>
      <c r="U49" s="54" t="n">
        <f aca="false">U48*$D$2</f>
        <v>318572.22195</v>
      </c>
      <c r="V49" s="54" t="n">
        <f aca="false">V48*$D$2</f>
        <v>8587.06422000001</v>
      </c>
      <c r="W49" s="54" t="n">
        <f aca="false">W48*$D$2</f>
        <v>465493.12646</v>
      </c>
      <c r="X49" s="54" t="n">
        <f aca="false">X48*$D$2</f>
        <v>2333.26293</v>
      </c>
      <c r="Y49" s="54" t="n">
        <f aca="false">Y48*$D$2</f>
        <v>467826.38939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101" t="str">
        <f aca="false">"SEP /11"</f>
        <v>SEP /11</v>
      </c>
      <c r="B51" s="89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6913.95</v>
      </c>
      <c r="C52" s="54" t="n">
        <v>338025</v>
      </c>
      <c r="D52" s="86"/>
      <c r="E52" s="54" t="n">
        <f aca="false">C52-152000</f>
        <v>186025</v>
      </c>
      <c r="F52" s="53"/>
      <c r="G52" s="53"/>
      <c r="H52" s="86"/>
      <c r="I52" s="55"/>
      <c r="J52" s="53"/>
      <c r="K52" s="43"/>
      <c r="L52" s="53"/>
      <c r="M52" s="53"/>
      <c r="N52" s="53"/>
      <c r="O52" s="53"/>
      <c r="P52" s="53"/>
      <c r="Q52" s="53"/>
      <c r="R52" s="53"/>
      <c r="S52" s="54"/>
      <c r="T52" s="86"/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"8/8/94 thru9/11/95"</f>
        <v>8/8/94 thru9/11/95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102" t="str">
        <f aca="false">"1994"</f>
        <v>1994</v>
      </c>
      <c r="Q53" s="86"/>
      <c r="R53" s="88" t="n">
        <v>115017</v>
      </c>
      <c r="S53" s="54" t="n">
        <v>-37412</v>
      </c>
      <c r="T53" s="86"/>
      <c r="V53" s="54"/>
      <c r="W53" s="86"/>
      <c r="X53" s="86"/>
      <c r="Y53" s="86"/>
      <c r="Z53" s="57"/>
      <c r="AA53" s="58"/>
      <c r="AB53" s="58"/>
      <c r="AC53" s="59"/>
      <c r="AD53" s="90"/>
      <c r="AE53" s="90"/>
    </row>
    <row r="54" customFormat="false" ht="11.1" hidden="false" customHeight="true" outlineLevel="0" collapsed="false">
      <c r="A54" s="86"/>
      <c r="B54" s="57" t="n">
        <f aca="false">B52-B17</f>
        <v>-6.30000000000018</v>
      </c>
      <c r="C54" s="54"/>
      <c r="D54" s="54" t="n">
        <f aca="false">C52-C17</f>
        <v>-26634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/>
      <c r="V54" s="54"/>
      <c r="W54" s="86"/>
      <c r="X54" s="86"/>
      <c r="Y54" s="86"/>
      <c r="Z54" s="57"/>
      <c r="AA54" s="58"/>
      <c r="AB54" s="58"/>
      <c r="AC54" s="59"/>
      <c r="AD54" s="90"/>
      <c r="AE54" s="90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1"/>
      <c r="H55" s="55"/>
      <c r="I55" s="86"/>
      <c r="J55" s="86"/>
      <c r="K55" s="86"/>
      <c r="L55" s="86"/>
      <c r="M55" s="77"/>
      <c r="N55" s="77"/>
      <c r="O55" s="77"/>
      <c r="P55" s="86"/>
      <c r="Q55" s="86"/>
      <c r="R55" s="86"/>
      <c r="S55" s="54"/>
      <c r="T55" s="86"/>
      <c r="V55" s="54"/>
      <c r="W55" s="86"/>
      <c r="X55" s="86"/>
      <c r="Y55" s="86"/>
      <c r="Z55" s="57"/>
      <c r="AA55" s="58"/>
      <c r="AB55" s="58"/>
      <c r="AC55" s="59"/>
      <c r="AD55" s="90"/>
      <c r="AE55" s="90"/>
    </row>
  </sheetData>
  <mergeCells count="3">
    <mergeCell ref="K2:T2"/>
    <mergeCell ref="M4:O4"/>
    <mergeCell ref="AG5:AH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7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87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54</v>
      </c>
      <c r="Q4" s="63" t="s">
        <v>15</v>
      </c>
      <c r="R4" s="63" t="s">
        <v>12</v>
      </c>
      <c r="S4" s="64" t="s">
        <v>14</v>
      </c>
      <c r="T4" s="63" t="s">
        <v>16</v>
      </c>
      <c r="U4" s="63" t="s">
        <v>17</v>
      </c>
      <c r="V4" s="64" t="s">
        <v>18</v>
      </c>
      <c r="W4" s="63" t="s">
        <v>10</v>
      </c>
      <c r="X4" s="63" t="s">
        <v>11</v>
      </c>
      <c r="Y4" s="63" t="s">
        <v>12</v>
      </c>
      <c r="Z4" s="66" t="s">
        <v>19</v>
      </c>
      <c r="AA4" s="67" t="s">
        <v>20</v>
      </c>
      <c r="AB4" s="67" t="s">
        <v>21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88</v>
      </c>
      <c r="B5" s="63" t="s">
        <v>23</v>
      </c>
      <c r="C5" s="64" t="s">
        <v>5</v>
      </c>
      <c r="D5" s="63" t="s">
        <v>24</v>
      </c>
      <c r="E5" s="64" t="s">
        <v>25</v>
      </c>
      <c r="F5" s="63" t="s">
        <v>26</v>
      </c>
      <c r="G5" s="63" t="s">
        <v>27</v>
      </c>
      <c r="H5" s="65" t="s">
        <v>28</v>
      </c>
      <c r="I5" s="63" t="s">
        <v>29</v>
      </c>
      <c r="J5" s="63" t="s">
        <v>29</v>
      </c>
      <c r="K5" s="63" t="s">
        <v>29</v>
      </c>
      <c r="L5" s="63" t="s">
        <v>30</v>
      </c>
      <c r="M5" s="63" t="s">
        <v>31</v>
      </c>
      <c r="N5" s="63" t="s">
        <v>32</v>
      </c>
      <c r="O5" s="63" t="s">
        <v>56</v>
      </c>
      <c r="P5" s="63" t="s">
        <v>57</v>
      </c>
      <c r="Q5" s="63" t="s">
        <v>35</v>
      </c>
      <c r="R5" s="63" t="s">
        <v>14</v>
      </c>
      <c r="S5" s="64" t="s">
        <v>36</v>
      </c>
      <c r="T5" s="63" t="s">
        <v>37</v>
      </c>
      <c r="U5" s="63" t="s">
        <v>38</v>
      </c>
      <c r="V5" s="64" t="s">
        <v>39</v>
      </c>
      <c r="W5" s="63" t="s">
        <v>40</v>
      </c>
      <c r="X5" s="63" t="s">
        <v>40</v>
      </c>
      <c r="Y5" s="63" t="s">
        <v>40</v>
      </c>
      <c r="Z5" s="69"/>
      <c r="AA5" s="67" t="s">
        <v>41</v>
      </c>
      <c r="AB5" s="67" t="s">
        <v>41</v>
      </c>
      <c r="AC5" s="70" t="s">
        <v>88</v>
      </c>
      <c r="AD5" s="60"/>
      <c r="AE5" s="60"/>
      <c r="AG5" s="100" t="s">
        <v>83</v>
      </c>
      <c r="AH5" s="10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/>
      <c r="AE6" s="74"/>
      <c r="AF6" s="75"/>
      <c r="AG6" s="100"/>
      <c r="AH6" s="100"/>
    </row>
    <row r="7" customFormat="false" ht="11.1" hidden="false" customHeight="true" outlineLevel="0" collapsed="false">
      <c r="A7" s="53" t="s">
        <v>42</v>
      </c>
      <c r="B7" s="53"/>
      <c r="C7" s="54"/>
      <c r="D7" s="54"/>
      <c r="E7" s="54"/>
      <c r="F7" s="54" t="n">
        <f aca="false" t="array" ref="F7:Y7">AUG!$F$45:$Y$45</f>
        <v>17766.0110943016</v>
      </c>
      <c r="G7" s="54" t="n">
        <v>181811.36</v>
      </c>
      <c r="H7" s="54" t="n">
        <v>12482.96</v>
      </c>
      <c r="I7" s="54" t="n">
        <v>194167.7</v>
      </c>
      <c r="J7" s="54" t="n">
        <v>50620.3596873424</v>
      </c>
      <c r="K7" s="54" t="n">
        <v>244788.059687342</v>
      </c>
      <c r="L7" s="54" t="n">
        <v>49680.7902118003</v>
      </c>
      <c r="M7" s="54" t="n">
        <v>30662.6</v>
      </c>
      <c r="N7" s="54" t="n">
        <v>4222.22854633888</v>
      </c>
      <c r="O7" s="54" t="n">
        <v>26436.2974536611</v>
      </c>
      <c r="P7" s="54" t="n">
        <v>15865.04</v>
      </c>
      <c r="Q7" s="54" t="n">
        <v>9410.92</v>
      </c>
      <c r="R7" s="54" t="n">
        <v>51712.2574536611</v>
      </c>
      <c r="S7" s="54" t="n">
        <v>-1487.24298184569</v>
      </c>
      <c r="T7" s="54" t="n">
        <v>14682.4734140192</v>
      </c>
      <c r="U7" s="54" t="n">
        <v>155469.01</v>
      </c>
      <c r="V7" s="54" t="n">
        <v>0</v>
      </c>
      <c r="W7" s="54" t="n">
        <v>226082.479117499</v>
      </c>
      <c r="X7" s="54" t="n">
        <v>939.569475542107</v>
      </c>
      <c r="Y7" s="54" t="n">
        <v>227022.048593041</v>
      </c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43</v>
      </c>
      <c r="B8" s="76" t="n">
        <f aca="false" t="array" ref="B8:C8">AUG!$B$40:$C$40</f>
        <v>6915.55</v>
      </c>
      <c r="C8" s="54" t="n">
        <v>344668</v>
      </c>
      <c r="D8" s="54" t="n">
        <f aca="false" t="array" ref="D8:E8">AUG!$D$49:$E$49</f>
        <v>78105</v>
      </c>
      <c r="E8" s="54" t="n">
        <v>192668</v>
      </c>
      <c r="F8" s="54" t="n">
        <f aca="false" t="array" ref="F8:Z8">AUG!$F$48:$Z$48</f>
        <v>39387.2919818457</v>
      </c>
      <c r="G8" s="54" t="n">
        <v>197600.302592032</v>
      </c>
      <c r="H8" s="54" t="n">
        <v>14867.77</v>
      </c>
      <c r="I8" s="54" t="n">
        <v>212341.352592032</v>
      </c>
      <c r="J8" s="54" t="n">
        <v>62964.4413514876</v>
      </c>
      <c r="K8" s="54" t="n">
        <v>275305.79394352</v>
      </c>
      <c r="L8" s="54" t="n">
        <v>61787.8085073122</v>
      </c>
      <c r="M8" s="54" t="n">
        <v>31565.05</v>
      </c>
      <c r="N8" s="54" t="n">
        <v>4237.85854633888</v>
      </c>
      <c r="O8" s="54" t="n">
        <v>27118.6174536611</v>
      </c>
      <c r="P8" s="54" t="n">
        <v>18439.34</v>
      </c>
      <c r="Q8" s="54" t="n">
        <v>9410.92</v>
      </c>
      <c r="R8" s="54" t="n">
        <v>55049.3774536611</v>
      </c>
      <c r="S8" s="54" t="n">
        <v>0</v>
      </c>
      <c r="T8" s="54" t="n">
        <v>14682.4734140192</v>
      </c>
      <c r="U8" s="54" t="n">
        <v>160651.65</v>
      </c>
      <c r="V8" s="54" t="n">
        <v>4330.34</v>
      </c>
      <c r="W8" s="54" t="n">
        <v>234741.869117499</v>
      </c>
      <c r="X8" s="54" t="n">
        <v>1176.63284417549</v>
      </c>
      <c r="Y8" s="54" t="n">
        <v>235918.501961674</v>
      </c>
      <c r="Z8" s="77" t="n">
        <v>20.25</v>
      </c>
      <c r="AA8" s="58"/>
      <c r="AB8" s="58"/>
      <c r="AC8" s="59"/>
      <c r="AD8" s="74"/>
      <c r="AE8" s="74"/>
      <c r="AF8" s="78"/>
      <c r="AG8" s="46"/>
      <c r="AH8" s="46"/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6915.46</v>
      </c>
      <c r="C10" s="54" t="n">
        <v>344292</v>
      </c>
      <c r="D10" s="58" t="n">
        <f aca="false">C10-C8</f>
        <v>-376</v>
      </c>
      <c r="E10" s="54" t="n">
        <f aca="false">C10-152000</f>
        <v>192292</v>
      </c>
      <c r="F10" s="53" t="n">
        <f aca="false">D10/$D$2</f>
        <v>-189.611699445285</v>
      </c>
      <c r="G10" s="53" t="n">
        <v>230.28</v>
      </c>
      <c r="H10" s="55" t="n">
        <v>0</v>
      </c>
      <c r="I10" s="53" t="n">
        <f aca="false">G10+H10</f>
        <v>230.28</v>
      </c>
      <c r="J10" s="77" t="n">
        <f aca="false">IF(L10&gt;0,L10,0)</f>
        <v>194.068300554715</v>
      </c>
      <c r="K10" s="53" t="n">
        <f aca="false">I10+J10</f>
        <v>424.348300554715</v>
      </c>
      <c r="L10" s="53" t="n">
        <f aca="false">F10-(I10-W10)</f>
        <v>194.068300554715</v>
      </c>
      <c r="M10" s="53" t="n">
        <v>225.53</v>
      </c>
      <c r="N10" s="53" t="n">
        <f aca="false">(21.04+21.06)*1.05</f>
        <v>44.205</v>
      </c>
      <c r="O10" s="53" t="n">
        <f aca="false">M10-N10</f>
        <v>181.325</v>
      </c>
      <c r="P10" s="53" t="n">
        <v>80.44</v>
      </c>
      <c r="Q10" s="53" t="n">
        <v>80.64</v>
      </c>
      <c r="R10" s="53" t="n">
        <f aca="false">SUM(O10:Q10)</f>
        <v>342.405</v>
      </c>
      <c r="S10" s="54" t="n">
        <f aca="false">(I10-R10)+S7</f>
        <v>-1599.36798184569</v>
      </c>
      <c r="T10" s="53" t="n">
        <v>131.15</v>
      </c>
      <c r="U10" s="53" t="n">
        <v>96.2</v>
      </c>
      <c r="V10" s="54" t="n">
        <f aca="false">V8-U10</f>
        <v>4234.14</v>
      </c>
      <c r="W10" s="53" t="n">
        <f aca="false">R10+T10+N10+U10</f>
        <v>613.96</v>
      </c>
      <c r="X10" s="53" t="n">
        <f aca="false">IF(L10&lt;0,L10*-1,0)</f>
        <v>0</v>
      </c>
      <c r="Y10" s="53" t="n">
        <f aca="false">W10+X10</f>
        <v>613.96</v>
      </c>
      <c r="Z10" s="57" t="n">
        <v>0</v>
      </c>
      <c r="AA10" s="58" t="n">
        <v>92</v>
      </c>
      <c r="AB10" s="58" t="n">
        <v>55</v>
      </c>
      <c r="AC10" s="59" t="n">
        <v>1</v>
      </c>
      <c r="AD10" s="75"/>
      <c r="AE10" s="78"/>
      <c r="AF10" s="78"/>
    </row>
    <row r="11" customFormat="false" ht="11.1" hidden="false" customHeight="true" outlineLevel="0" collapsed="false">
      <c r="A11" s="59" t="n">
        <f aca="false">A10+1</f>
        <v>2</v>
      </c>
      <c r="B11" s="76" t="n">
        <v>6915.23</v>
      </c>
      <c r="C11" s="54" t="n">
        <v>343332</v>
      </c>
      <c r="D11" s="58" t="n">
        <f aca="false">C11-C10</f>
        <v>-960</v>
      </c>
      <c r="E11" s="54" t="n">
        <f aca="false">C11-152000</f>
        <v>191332</v>
      </c>
      <c r="F11" s="53" t="n">
        <f aca="false">D11/$D$2</f>
        <v>-484.11497730711</v>
      </c>
      <c r="G11" s="53" t="n">
        <v>220.38</v>
      </c>
      <c r="H11" s="55" t="n">
        <v>0</v>
      </c>
      <c r="I11" s="53" t="n">
        <f aca="false">G11+H11</f>
        <v>220.38</v>
      </c>
      <c r="J11" s="77" t="n">
        <f aca="false">IF(L11&gt;0,L11,0)</f>
        <v>0</v>
      </c>
      <c r="K11" s="53" t="n">
        <f aca="false">I11+J11</f>
        <v>220.38</v>
      </c>
      <c r="L11" s="53" t="n">
        <f aca="false">F11-(I11-W11)</f>
        <v>-127.70497730711</v>
      </c>
      <c r="M11" s="53" t="n">
        <v>222.91</v>
      </c>
      <c r="N11" s="53" t="n">
        <f aca="false">(25.92+26.33)*1.05</f>
        <v>54.8625</v>
      </c>
      <c r="O11" s="53" t="n">
        <f aca="false">M11-N11</f>
        <v>168.0475</v>
      </c>
      <c r="P11" s="53" t="n">
        <v>80.51</v>
      </c>
      <c r="Q11" s="53" t="n">
        <v>80.56</v>
      </c>
      <c r="R11" s="53" t="n">
        <f aca="false">SUM(O11:Q11)</f>
        <v>329.1175</v>
      </c>
      <c r="S11" s="54" t="n">
        <f aca="false">(I11-R11)+S10</f>
        <v>-1708.10548184569</v>
      </c>
      <c r="T11" s="53" t="n">
        <v>107.99</v>
      </c>
      <c r="U11" s="53" t="n">
        <v>84.82</v>
      </c>
      <c r="V11" s="54" t="n">
        <f aca="false">V10-U11</f>
        <v>4149.32</v>
      </c>
      <c r="W11" s="53" t="n">
        <f aca="false">R11+T11+N11+U11</f>
        <v>576.79</v>
      </c>
      <c r="X11" s="53" t="n">
        <f aca="false">IF(L11&lt;0,L11*-1,0)</f>
        <v>127.70497730711</v>
      </c>
      <c r="Y11" s="53" t="n">
        <f aca="false">W11+X11</f>
        <v>704.49497730711</v>
      </c>
      <c r="Z11" s="57" t="n">
        <v>0</v>
      </c>
      <c r="AA11" s="58" t="n">
        <v>90</v>
      </c>
      <c r="AB11" s="58" t="n">
        <v>60</v>
      </c>
      <c r="AC11" s="59" t="n">
        <f aca="false">AC10+1</f>
        <v>2</v>
      </c>
      <c r="AD11" s="75"/>
      <c r="AE11" s="78"/>
      <c r="AF11" s="78"/>
    </row>
    <row r="12" customFormat="false" ht="11.1" hidden="false" customHeight="true" outlineLevel="0" collapsed="false">
      <c r="A12" s="59" t="n">
        <f aca="false">A11+1</f>
        <v>3</v>
      </c>
      <c r="B12" s="76" t="n">
        <v>6915.07</v>
      </c>
      <c r="C12" s="54" t="n">
        <v>342664</v>
      </c>
      <c r="D12" s="58" t="n">
        <f aca="false">C12-C11</f>
        <v>-668</v>
      </c>
      <c r="E12" s="54" t="n">
        <f aca="false">C12-152000</f>
        <v>190664</v>
      </c>
      <c r="F12" s="53" t="n">
        <f aca="false">D12/$D$2</f>
        <v>-336.863338376198</v>
      </c>
      <c r="G12" s="53" t="n">
        <v>208.92</v>
      </c>
      <c r="H12" s="55" t="n">
        <v>0</v>
      </c>
      <c r="I12" s="53" t="n">
        <f aca="false">G12+H12</f>
        <v>208.92</v>
      </c>
      <c r="J12" s="77" t="n">
        <f aca="false">IF(L12&gt;0,L12,0)</f>
        <v>36.5166616238023</v>
      </c>
      <c r="K12" s="53" t="n">
        <f aca="false">I12+J12</f>
        <v>245.436661623802</v>
      </c>
      <c r="L12" s="53" t="n">
        <f aca="false">F12-(I12-W12)</f>
        <v>36.5166616238023</v>
      </c>
      <c r="M12" s="53" t="n">
        <v>224.55</v>
      </c>
      <c r="N12" s="53" t="n">
        <f aca="false">(20.85+21.16)*1.05</f>
        <v>44.1105</v>
      </c>
      <c r="O12" s="53" t="n">
        <f aca="false">M12-N12</f>
        <v>180.4395</v>
      </c>
      <c r="P12" s="53" t="n">
        <v>80.29</v>
      </c>
      <c r="Q12" s="53" t="n">
        <v>80.42</v>
      </c>
      <c r="R12" s="53" t="n">
        <f aca="false">SUM(O12:Q12)</f>
        <v>341.1495</v>
      </c>
      <c r="S12" s="54" t="n">
        <f aca="false">(I12-R12)+S11</f>
        <v>-1840.33498184569</v>
      </c>
      <c r="T12" s="53" t="n">
        <v>112.02</v>
      </c>
      <c r="U12" s="53" t="n">
        <v>85.02</v>
      </c>
      <c r="V12" s="54" t="n">
        <f aca="false">V11-U12</f>
        <v>4064.3</v>
      </c>
      <c r="W12" s="53" t="n">
        <f aca="false">R12+T12+N12+U12</f>
        <v>582.3</v>
      </c>
      <c r="X12" s="53" t="n">
        <f aca="false">IF(L12&lt;0,L12*-1,0)</f>
        <v>0</v>
      </c>
      <c r="Y12" s="53" t="n">
        <f aca="false">W12+X12</f>
        <v>582.3</v>
      </c>
      <c r="Z12" s="57" t="n">
        <v>0</v>
      </c>
      <c r="AA12" s="58" t="n">
        <v>88</v>
      </c>
      <c r="AB12" s="58" t="n">
        <v>58</v>
      </c>
      <c r="AC12" s="59" t="n">
        <f aca="false">AC11+1</f>
        <v>3</v>
      </c>
      <c r="AD12" s="75"/>
      <c r="AE12" s="78"/>
      <c r="AF12" s="78"/>
    </row>
    <row r="13" customFormat="false" ht="11.1" hidden="false" customHeight="true" outlineLevel="0" collapsed="false">
      <c r="A13" s="59" t="n">
        <f aca="false">A12+1</f>
        <v>4</v>
      </c>
      <c r="B13" s="76" t="n">
        <v>6914.9</v>
      </c>
      <c r="C13" s="54" t="n">
        <v>341958</v>
      </c>
      <c r="D13" s="58" t="n">
        <f aca="false">C13-C12</f>
        <v>-706</v>
      </c>
      <c r="E13" s="54" t="n">
        <f aca="false">C13-152000</f>
        <v>189958</v>
      </c>
      <c r="F13" s="53" t="n">
        <f aca="false">D13/$D$2</f>
        <v>-356.026222894604</v>
      </c>
      <c r="G13" s="53" t="n">
        <v>197.04</v>
      </c>
      <c r="H13" s="55" t="n">
        <v>0</v>
      </c>
      <c r="I13" s="53" t="n">
        <f aca="false">G13+H13</f>
        <v>197.04</v>
      </c>
      <c r="J13" s="77" t="n">
        <f aca="false">IF(L13&gt;0,L13,0)</f>
        <v>32.3137771053959</v>
      </c>
      <c r="K13" s="53" t="n">
        <f aca="false">I13+J13</f>
        <v>229.353777105396</v>
      </c>
      <c r="L13" s="53" t="n">
        <f aca="false">F13-(I13-W13)</f>
        <v>32.3137771053959</v>
      </c>
      <c r="M13" s="53" t="n">
        <v>222.08</v>
      </c>
      <c r="N13" s="53" t="n">
        <f aca="false">(17.65+18.96)*1.05</f>
        <v>38.4405</v>
      </c>
      <c r="O13" s="53" t="n">
        <f aca="false">M13-N13</f>
        <v>183.6395</v>
      </c>
      <c r="P13" s="53" t="n">
        <v>80.24</v>
      </c>
      <c r="Q13" s="53" t="n">
        <v>80.2</v>
      </c>
      <c r="R13" s="53" t="n">
        <f aca="false">SUM(O13:Q13)</f>
        <v>344.0795</v>
      </c>
      <c r="S13" s="54" t="n">
        <f aca="false">(I13-R13)+S12</f>
        <v>-1987.37448184569</v>
      </c>
      <c r="T13" s="53" t="n">
        <v>117.53</v>
      </c>
      <c r="U13" s="53" t="n">
        <v>85.33</v>
      </c>
      <c r="V13" s="54" t="n">
        <f aca="false">V12-U13</f>
        <v>3978.97</v>
      </c>
      <c r="W13" s="53" t="n">
        <f aca="false">R13+T13+N13+U13</f>
        <v>585.38</v>
      </c>
      <c r="X13" s="53" t="n">
        <f aca="false">IF(L13&lt;0,L13*-1,0)</f>
        <v>0</v>
      </c>
      <c r="Y13" s="53" t="n">
        <f aca="false">W13+X13</f>
        <v>585.38</v>
      </c>
      <c r="Z13" s="57" t="n">
        <v>0</v>
      </c>
      <c r="AA13" s="58" t="n">
        <v>91</v>
      </c>
      <c r="AB13" s="58" t="n">
        <v>59</v>
      </c>
      <c r="AC13" s="59" t="n">
        <f aca="false">AC12+1</f>
        <v>4</v>
      </c>
      <c r="AD13" s="75"/>
      <c r="AE13" s="78"/>
      <c r="AF13" s="78"/>
    </row>
    <row r="14" customFormat="false" ht="11.1" hidden="false" customHeight="true" outlineLevel="0" collapsed="false">
      <c r="A14" s="59" t="n">
        <f aca="false">A13+1</f>
        <v>5</v>
      </c>
      <c r="B14" s="76" t="n">
        <v>6914.66</v>
      </c>
      <c r="C14" s="54" t="n">
        <v>340965</v>
      </c>
      <c r="D14" s="58" t="n">
        <f aca="false">C14-C13</f>
        <v>-993</v>
      </c>
      <c r="E14" s="54" t="n">
        <f aca="false">C14-152000</f>
        <v>188965</v>
      </c>
      <c r="F14" s="53" t="n">
        <f aca="false">D14/$D$2</f>
        <v>-500.756429652042</v>
      </c>
      <c r="G14" s="53" t="n">
        <v>185.35</v>
      </c>
      <c r="H14" s="55" t="n">
        <v>0</v>
      </c>
      <c r="I14" s="53" t="n">
        <f aca="false">G14+H14</f>
        <v>185.35</v>
      </c>
      <c r="J14" s="77" t="n">
        <f aca="false">IF(L14&gt;0,L14,0)</f>
        <v>0</v>
      </c>
      <c r="K14" s="53" t="n">
        <f aca="false">I14+J14</f>
        <v>185.35</v>
      </c>
      <c r="L14" s="53" t="n">
        <f aca="false">F14-(I14-W14)</f>
        <v>-85.2664296520424</v>
      </c>
      <c r="M14" s="53" t="n">
        <v>233.38</v>
      </c>
      <c r="N14" s="53" t="n">
        <f aca="false">(17.18+17.37)*1.05</f>
        <v>36.2775</v>
      </c>
      <c r="O14" s="53" t="n">
        <f aca="false">M14-N14</f>
        <v>197.1025</v>
      </c>
      <c r="P14" s="53" t="n">
        <v>80.23</v>
      </c>
      <c r="Q14" s="53" t="n">
        <v>79.98</v>
      </c>
      <c r="R14" s="53" t="n">
        <f aca="false">SUM(O14:Q14)</f>
        <v>357.3125</v>
      </c>
      <c r="S14" s="54" t="n">
        <f aca="false">(I14-R14)+S13</f>
        <v>-2159.33698184569</v>
      </c>
      <c r="T14" s="53" t="n">
        <v>121.65</v>
      </c>
      <c r="U14" s="53" t="n">
        <v>85.6</v>
      </c>
      <c r="V14" s="54" t="n">
        <f aca="false">V13-U14</f>
        <v>3893.37</v>
      </c>
      <c r="W14" s="53" t="n">
        <f aca="false">R14+T14+N14+U14</f>
        <v>600.84</v>
      </c>
      <c r="X14" s="53" t="n">
        <f aca="false">IF(L14&lt;0,L14*-1,0)</f>
        <v>85.2664296520424</v>
      </c>
      <c r="Y14" s="53" t="n">
        <f aca="false">W14+X14</f>
        <v>686.106429652042</v>
      </c>
      <c r="Z14" s="57" t="n">
        <v>0</v>
      </c>
      <c r="AA14" s="58" t="n">
        <v>87</v>
      </c>
      <c r="AB14" s="58" t="n">
        <v>57</v>
      </c>
      <c r="AC14" s="59" t="n">
        <f aca="false">AC13+1</f>
        <v>5</v>
      </c>
      <c r="AD14" s="75"/>
      <c r="AE14" s="78"/>
      <c r="AF14" s="78"/>
    </row>
    <row r="15" customFormat="false" ht="11.1" hidden="false" customHeight="true" outlineLevel="0" collapsed="false">
      <c r="A15" s="59" t="n">
        <f aca="false">A14+1</f>
        <v>6</v>
      </c>
      <c r="B15" s="76" t="n">
        <v>6914.45</v>
      </c>
      <c r="C15" s="54" t="n">
        <v>340095</v>
      </c>
      <c r="D15" s="58" t="n">
        <f aca="false">C15-C14</f>
        <v>-870</v>
      </c>
      <c r="E15" s="54" t="n">
        <f aca="false">C15-152000</f>
        <v>188095</v>
      </c>
      <c r="F15" s="53" t="n">
        <f aca="false">D15/$D$2</f>
        <v>-438.729198184569</v>
      </c>
      <c r="G15" s="53" t="n">
        <v>181.54</v>
      </c>
      <c r="H15" s="55" t="n">
        <v>0</v>
      </c>
      <c r="I15" s="53" t="n">
        <f aca="false">G15+H15</f>
        <v>181.54</v>
      </c>
      <c r="J15" s="77" t="n">
        <f aca="false">IF(L15&gt;0,L15,0)</f>
        <v>0</v>
      </c>
      <c r="K15" s="53" t="n">
        <f aca="false">I15+J15</f>
        <v>181.54</v>
      </c>
      <c r="L15" s="53" t="n">
        <f aca="false">F15-(I15-W15)</f>
        <v>-12.4591981845687</v>
      </c>
      <c r="M15" s="53" t="n">
        <v>243.81</v>
      </c>
      <c r="N15" s="53" t="n">
        <f aca="false">(17.35+17.34)*1.05</f>
        <v>36.4245</v>
      </c>
      <c r="O15" s="53" t="n">
        <f aca="false">M15-N15</f>
        <v>207.3855</v>
      </c>
      <c r="P15" s="53" t="n">
        <v>80.04</v>
      </c>
      <c r="Q15" s="53" t="n">
        <v>80.6</v>
      </c>
      <c r="R15" s="53" t="n">
        <f aca="false">SUM(O15:Q15)</f>
        <v>368.0255</v>
      </c>
      <c r="S15" s="54" t="n">
        <f aca="false">(I15-R15)+S14</f>
        <v>-2345.82248184569</v>
      </c>
      <c r="T15" s="53" t="n">
        <v>117.53</v>
      </c>
      <c r="U15" s="53" t="n">
        <v>85.83</v>
      </c>
      <c r="V15" s="54" t="n">
        <f aca="false">V14-U15</f>
        <v>3807.54</v>
      </c>
      <c r="W15" s="53" t="n">
        <f aca="false">R15+T15+N15+U15</f>
        <v>607.81</v>
      </c>
      <c r="X15" s="53" t="n">
        <f aca="false">IF(L15&lt;0,L15*-1,0)</f>
        <v>12.4591981845687</v>
      </c>
      <c r="Y15" s="53" t="n">
        <f aca="false">W15+X15</f>
        <v>620.269198184569</v>
      </c>
      <c r="Z15" s="57" t="n">
        <v>0</v>
      </c>
      <c r="AA15" s="58" t="n">
        <v>85</v>
      </c>
      <c r="AB15" s="58" t="n">
        <v>60</v>
      </c>
      <c r="AC15" s="59" t="n">
        <f aca="false">AC14+1</f>
        <v>6</v>
      </c>
      <c r="AD15" s="74"/>
      <c r="AE15" s="78"/>
      <c r="AF15" s="78"/>
    </row>
    <row r="16" customFormat="false" ht="11.1" hidden="false" customHeight="true" outlineLevel="0" collapsed="false">
      <c r="A16" s="59" t="n">
        <f aca="false">A15+1</f>
        <v>7</v>
      </c>
      <c r="B16" s="76" t="n">
        <v>6914.23</v>
      </c>
      <c r="C16" s="54" t="n">
        <v>339183</v>
      </c>
      <c r="D16" s="58" t="n">
        <f aca="false">C16-C15</f>
        <v>-912</v>
      </c>
      <c r="E16" s="54" t="n">
        <f aca="false">C16-152000</f>
        <v>187183</v>
      </c>
      <c r="F16" s="53" t="n">
        <f aca="false">D16/$D$2</f>
        <v>-459.909228441755</v>
      </c>
      <c r="G16" s="53" t="n">
        <v>192.3</v>
      </c>
      <c r="H16" s="55" t="n">
        <v>0</v>
      </c>
      <c r="I16" s="53" t="n">
        <f aca="false">G16+H16</f>
        <v>192.3</v>
      </c>
      <c r="J16" s="77" t="n">
        <f aca="false">IF(L16&gt;0,L16,0)</f>
        <v>0</v>
      </c>
      <c r="K16" s="53" t="n">
        <f aca="false">I16+J16</f>
        <v>192.3</v>
      </c>
      <c r="L16" s="53" t="n">
        <f aca="false">F16-(I16-W16)</f>
        <v>-43.2292284417549</v>
      </c>
      <c r="M16" s="53" t="n">
        <v>244.01</v>
      </c>
      <c r="N16" s="53" t="n">
        <f aca="false">(16.57+16.51)*1.05</f>
        <v>34.734</v>
      </c>
      <c r="O16" s="53" t="n">
        <f aca="false">M16-N16</f>
        <v>209.276</v>
      </c>
      <c r="P16" s="53" t="n">
        <v>79.98</v>
      </c>
      <c r="Q16" s="53" t="n">
        <v>80.57</v>
      </c>
      <c r="R16" s="53" t="n">
        <f aca="false">SUM(O16:Q16)</f>
        <v>369.826</v>
      </c>
      <c r="S16" s="54" t="n">
        <f aca="false">(I16-R16)+S15</f>
        <v>-2523.34848184569</v>
      </c>
      <c r="T16" s="53" t="n">
        <v>119.36</v>
      </c>
      <c r="U16" s="53" t="n">
        <v>85.06</v>
      </c>
      <c r="V16" s="54" t="n">
        <f aca="false">V15-U16</f>
        <v>3722.48</v>
      </c>
      <c r="W16" s="53" t="n">
        <f aca="false">R16+T16+N16+U16</f>
        <v>608.98</v>
      </c>
      <c r="X16" s="53" t="n">
        <f aca="false">IF(L16&lt;0,L16*-1,0)</f>
        <v>43.2292284417549</v>
      </c>
      <c r="Y16" s="53" t="n">
        <f aca="false">W16+X16</f>
        <v>652.209228441755</v>
      </c>
      <c r="Z16" s="57" t="n">
        <v>0.17</v>
      </c>
      <c r="AA16" s="58" t="n">
        <v>81</v>
      </c>
      <c r="AB16" s="58" t="n">
        <v>57</v>
      </c>
      <c r="AC16" s="59" t="n">
        <f aca="false">AC15+1</f>
        <v>7</v>
      </c>
      <c r="AD16" s="74"/>
      <c r="AE16" s="78"/>
      <c r="AF16" s="78"/>
    </row>
    <row r="17" customFormat="false" ht="11.1" hidden="false" customHeight="true" outlineLevel="0" collapsed="false">
      <c r="A17" s="59" t="n">
        <f aca="false">A16+1</f>
        <v>8</v>
      </c>
      <c r="B17" s="76" t="n">
        <v>6914.18</v>
      </c>
      <c r="C17" s="54" t="n">
        <v>338977</v>
      </c>
      <c r="D17" s="58" t="n">
        <f aca="false">C17-C16</f>
        <v>-206</v>
      </c>
      <c r="E17" s="54" t="n">
        <f aca="false">C17-152000</f>
        <v>186977</v>
      </c>
      <c r="F17" s="53" t="n">
        <f aca="false">D17/$D$2</f>
        <v>-103.883005547151</v>
      </c>
      <c r="G17" s="53" t="n">
        <v>215.82</v>
      </c>
      <c r="H17" s="55" t="n">
        <v>0</v>
      </c>
      <c r="I17" s="53" t="n">
        <f aca="false">G17+H17</f>
        <v>215.82</v>
      </c>
      <c r="J17" s="77" t="n">
        <f aca="false">IF(L17&gt;0,L17,0)</f>
        <v>222.256994452849</v>
      </c>
      <c r="K17" s="53" t="n">
        <f aca="false">I17+J17</f>
        <v>438.076994452849</v>
      </c>
      <c r="L17" s="53" t="n">
        <f aca="false">F17-(I17-W17)</f>
        <v>222.256994452849</v>
      </c>
      <c r="M17" s="53" t="n">
        <v>218.32</v>
      </c>
      <c r="N17" s="53" t="n">
        <f aca="false">(9.13+9.71)*1.05</f>
        <v>19.782</v>
      </c>
      <c r="O17" s="53" t="n">
        <f aca="false">M17-N17</f>
        <v>198.538</v>
      </c>
      <c r="P17" s="53" t="n">
        <v>80.34</v>
      </c>
      <c r="Q17" s="53" t="n">
        <v>80.54</v>
      </c>
      <c r="R17" s="53" t="n">
        <f aca="false">SUM(O17:Q17)</f>
        <v>359.418</v>
      </c>
      <c r="S17" s="54" t="n">
        <f aca="false">(I17-R17)+S16</f>
        <v>-2666.94648184569</v>
      </c>
      <c r="T17" s="53" t="n">
        <v>73.13</v>
      </c>
      <c r="U17" s="53" t="n">
        <v>89.63</v>
      </c>
      <c r="V17" s="54" t="n">
        <f aca="false">V16-U17</f>
        <v>3632.85</v>
      </c>
      <c r="W17" s="53" t="n">
        <f aca="false">R17+T17+N17+U17</f>
        <v>541.96</v>
      </c>
      <c r="X17" s="53" t="n">
        <f aca="false">IF(L17&lt;0,L17*-1,0)</f>
        <v>0</v>
      </c>
      <c r="Y17" s="53" t="n">
        <f aca="false">W17+X17</f>
        <v>541.96</v>
      </c>
      <c r="Z17" s="57" t="n">
        <v>0.75</v>
      </c>
      <c r="AA17" s="58" t="n">
        <v>75</v>
      </c>
      <c r="AB17" s="58" t="n">
        <v>52</v>
      </c>
      <c r="AC17" s="59" t="n">
        <f aca="false">AC16+1</f>
        <v>8</v>
      </c>
      <c r="AD17" s="74"/>
      <c r="AE17" s="78"/>
      <c r="AF17" s="78"/>
    </row>
    <row r="18" customFormat="false" ht="11.1" hidden="false" customHeight="true" outlineLevel="0" collapsed="false">
      <c r="A18" s="59" t="n">
        <f aca="false">A17+1</f>
        <v>9</v>
      </c>
      <c r="B18" s="76" t="n">
        <v>6914.09</v>
      </c>
      <c r="C18" s="54" t="n">
        <v>338603</v>
      </c>
      <c r="D18" s="58" t="n">
        <f aca="false">C18-C17</f>
        <v>-374</v>
      </c>
      <c r="E18" s="54" t="n">
        <f aca="false">C18-152000</f>
        <v>186603</v>
      </c>
      <c r="F18" s="53" t="n">
        <f aca="false">D18/$D$2</f>
        <v>-188.603126575895</v>
      </c>
      <c r="G18" s="53" t="n">
        <v>272.85</v>
      </c>
      <c r="H18" s="55" t="n">
        <v>0</v>
      </c>
      <c r="I18" s="53" t="n">
        <f aca="false">G18+H18</f>
        <v>272.85</v>
      </c>
      <c r="J18" s="77" t="n">
        <f aca="false">IF(L18&gt;0,L18,0)</f>
        <v>0</v>
      </c>
      <c r="K18" s="53" t="n">
        <f aca="false">I18+J18</f>
        <v>272.85</v>
      </c>
      <c r="L18" s="53" t="n">
        <f aca="false">F18-(I18-W18)</f>
        <v>-9.86312657589508</v>
      </c>
      <c r="M18" s="53" t="n">
        <v>171.54</v>
      </c>
      <c r="N18" s="53" t="n">
        <f aca="false">(0.15+0.06)*1.05</f>
        <v>0.2205</v>
      </c>
      <c r="O18" s="53" t="n">
        <f aca="false">M18-N18</f>
        <v>171.3195</v>
      </c>
      <c r="P18" s="53" t="n">
        <v>65</v>
      </c>
      <c r="Q18" s="53" t="n">
        <v>78.82</v>
      </c>
      <c r="R18" s="53" t="n">
        <f aca="false">SUM(O18:Q18)</f>
        <v>315.1395</v>
      </c>
      <c r="S18" s="54" t="n">
        <f aca="false">(I18-R18)+S17</f>
        <v>-2709.23598184569</v>
      </c>
      <c r="T18" s="53" t="n">
        <v>47.37</v>
      </c>
      <c r="U18" s="53" t="n">
        <v>88.86</v>
      </c>
      <c r="V18" s="54" t="n">
        <f aca="false">V17-U18</f>
        <v>3543.99</v>
      </c>
      <c r="W18" s="53" t="n">
        <f aca="false">R18+T18+N18+U18</f>
        <v>451.59</v>
      </c>
      <c r="X18" s="53" t="n">
        <f aca="false">IF(L18&lt;0,L18*-1,0)</f>
        <v>9.86312657589508</v>
      </c>
      <c r="Y18" s="53" t="n">
        <f aca="false">W18+X18</f>
        <v>461.453126575895</v>
      </c>
      <c r="Z18" s="57" t="n">
        <v>0</v>
      </c>
      <c r="AA18" s="86" t="n">
        <v>76</v>
      </c>
      <c r="AB18" s="58" t="n">
        <v>50</v>
      </c>
      <c r="AC18" s="59" t="n">
        <f aca="false">AC17+1</f>
        <v>9</v>
      </c>
      <c r="AD18" s="74"/>
      <c r="AE18" s="78"/>
      <c r="AF18" s="78"/>
    </row>
    <row r="19" customFormat="false" ht="11.1" hidden="false" customHeight="true" outlineLevel="0" collapsed="false">
      <c r="A19" s="59" t="n">
        <f aca="false">A18+1</f>
        <v>10</v>
      </c>
      <c r="B19" s="76" t="n">
        <v>6914</v>
      </c>
      <c r="C19" s="54" t="n">
        <v>338231</v>
      </c>
      <c r="D19" s="58" t="n">
        <f aca="false">C19-C18</f>
        <v>-372</v>
      </c>
      <c r="E19" s="54" t="n">
        <f aca="false">C19-152000</f>
        <v>186231</v>
      </c>
      <c r="F19" s="53" t="n">
        <f aca="false">D19/$D$2</f>
        <v>-187.594553706505</v>
      </c>
      <c r="G19" s="53" t="n">
        <v>230.27</v>
      </c>
      <c r="H19" s="55" t="n">
        <v>0</v>
      </c>
      <c r="I19" s="53" t="n">
        <f aca="false">G19+H19</f>
        <v>230.27</v>
      </c>
      <c r="J19" s="77" t="n">
        <f aca="false">IF(L19&gt;0,L19,0)</f>
        <v>47.0654462934948</v>
      </c>
      <c r="K19" s="53" t="n">
        <f aca="false">I19+J19</f>
        <v>277.335446293495</v>
      </c>
      <c r="L19" s="53" t="n">
        <f aca="false">F19-(I19-W19)</f>
        <v>47.0654462934948</v>
      </c>
      <c r="M19" s="53" t="n">
        <v>172.09</v>
      </c>
      <c r="N19" s="53" t="n">
        <f aca="false">(0.15+0.06)*1.05</f>
        <v>0.2205</v>
      </c>
      <c r="O19" s="53" t="n">
        <f aca="false">M19-N19</f>
        <v>171.8695</v>
      </c>
      <c r="P19" s="53" t="n">
        <v>60.77</v>
      </c>
      <c r="Q19" s="53" t="n">
        <v>77.89</v>
      </c>
      <c r="R19" s="53" t="n">
        <f aca="false">SUM(O19:Q19)</f>
        <v>310.5295</v>
      </c>
      <c r="S19" s="54" t="n">
        <f aca="false">(I19-R19)+S18</f>
        <v>-2789.49548184569</v>
      </c>
      <c r="T19" s="53" t="n">
        <v>65.27</v>
      </c>
      <c r="U19" s="53" t="n">
        <v>88.91</v>
      </c>
      <c r="V19" s="54" t="n">
        <f aca="false">V18-U19</f>
        <v>3455.08</v>
      </c>
      <c r="W19" s="53" t="n">
        <f aca="false">R19+T19+N19+U19</f>
        <v>464.93</v>
      </c>
      <c r="X19" s="53" t="n">
        <f aca="false">IF(L19&lt;0,L19*-1,0)</f>
        <v>0</v>
      </c>
      <c r="Y19" s="53" t="n">
        <f aca="false">W19+X19</f>
        <v>464.93</v>
      </c>
      <c r="Z19" s="57" t="n">
        <v>0</v>
      </c>
      <c r="AA19" s="58" t="n">
        <v>76</v>
      </c>
      <c r="AB19" s="58" t="n">
        <v>48</v>
      </c>
      <c r="AC19" s="59" t="n">
        <f aca="false">AC18+1</f>
        <v>10</v>
      </c>
      <c r="AD19" s="74"/>
      <c r="AE19" s="78"/>
      <c r="AF19" s="78"/>
    </row>
    <row r="20" customFormat="false" ht="11.1" hidden="false" customHeight="true" outlineLevel="0" collapsed="false">
      <c r="A20" s="59" t="n">
        <f aca="false">A19+1</f>
        <v>11</v>
      </c>
      <c r="B20" s="76" t="n">
        <v>6913.9</v>
      </c>
      <c r="C20" s="54" t="n">
        <v>337820</v>
      </c>
      <c r="D20" s="58" t="n">
        <f aca="false">C20-C19</f>
        <v>-411</v>
      </c>
      <c r="E20" s="54" t="n">
        <f aca="false">C20-152000</f>
        <v>185820</v>
      </c>
      <c r="F20" s="53" t="n">
        <f aca="false">D20/$D$2</f>
        <v>-207.261724659607</v>
      </c>
      <c r="G20" s="53" t="n">
        <v>205.97</v>
      </c>
      <c r="H20" s="55" t="n">
        <v>0</v>
      </c>
      <c r="I20" s="53" t="n">
        <f aca="false">G20+H20</f>
        <v>205.97</v>
      </c>
      <c r="J20" s="77" t="n">
        <f aca="false">IF(L20&gt;0,L20,0)</f>
        <v>43.5382753403933</v>
      </c>
      <c r="K20" s="53" t="n">
        <f aca="false">I20+J20</f>
        <v>249.508275340393</v>
      </c>
      <c r="L20" s="53" t="n">
        <f aca="false">F20-(I20-W20)</f>
        <v>43.5382753403933</v>
      </c>
      <c r="M20" s="53" t="n">
        <v>172.74</v>
      </c>
      <c r="N20" s="53" t="n">
        <f aca="false">(3.19+5.18)*1.05</f>
        <v>8.7885</v>
      </c>
      <c r="O20" s="53" t="n">
        <f aca="false">M20-N20</f>
        <v>163.9515</v>
      </c>
      <c r="P20" s="53" t="n">
        <v>60.61</v>
      </c>
      <c r="Q20" s="53" t="n">
        <v>76.38</v>
      </c>
      <c r="R20" s="53" t="n">
        <f aca="false">SUM(O20:Q20)</f>
        <v>300.9415</v>
      </c>
      <c r="S20" s="54" t="n">
        <f aca="false">(I20-R20)+S19</f>
        <v>-2884.46698184569</v>
      </c>
      <c r="T20" s="53" t="n">
        <v>58.53</v>
      </c>
      <c r="U20" s="53" t="n">
        <v>88.51</v>
      </c>
      <c r="V20" s="54" t="n">
        <f aca="false">V19-U20</f>
        <v>3366.57</v>
      </c>
      <c r="W20" s="53" t="n">
        <f aca="false">R20+T20+N20+U20</f>
        <v>456.77</v>
      </c>
      <c r="X20" s="53" t="n">
        <f aca="false">IF(L20&lt;0,L20*-1,0)</f>
        <v>0</v>
      </c>
      <c r="Y20" s="53" t="n">
        <f aca="false">W20+X20</f>
        <v>456.77</v>
      </c>
      <c r="Z20" s="57" t="n">
        <v>0</v>
      </c>
      <c r="AA20" s="58" t="n">
        <v>77</v>
      </c>
      <c r="AB20" s="58" t="n">
        <v>47</v>
      </c>
      <c r="AC20" s="59" t="n">
        <f aca="false">AC19+1</f>
        <v>11</v>
      </c>
      <c r="AD20" s="74"/>
      <c r="AE20" s="78"/>
      <c r="AF20" s="78"/>
      <c r="AG20" s="99"/>
      <c r="AH20" s="99"/>
      <c r="AI20" s="99"/>
    </row>
    <row r="21" customFormat="false" ht="11.1" hidden="false" customHeight="true" outlineLevel="0" collapsed="false">
      <c r="A21" s="59" t="n">
        <f aca="false">A20+1</f>
        <v>12</v>
      </c>
      <c r="B21" s="76" t="n">
        <v>6913.71</v>
      </c>
      <c r="C21" s="54" t="n">
        <v>337039</v>
      </c>
      <c r="D21" s="58" t="n">
        <f aca="false">C21-C20</f>
        <v>-781</v>
      </c>
      <c r="E21" s="54" t="n">
        <f aca="false">C21-152000</f>
        <v>185039</v>
      </c>
      <c r="F21" s="53" t="n">
        <f aca="false">D21/$D$2</f>
        <v>-393.847705496722</v>
      </c>
      <c r="G21" s="53" t="n">
        <v>188.79</v>
      </c>
      <c r="H21" s="55" t="n">
        <v>0</v>
      </c>
      <c r="I21" s="53" t="n">
        <f aca="false">G21+H21</f>
        <v>188.79</v>
      </c>
      <c r="J21" s="77" t="n">
        <f aca="false">IF(L21&gt;0,L21,0)</f>
        <v>0</v>
      </c>
      <c r="K21" s="53" t="n">
        <f aca="false">I21+J21</f>
        <v>188.79</v>
      </c>
      <c r="L21" s="53" t="n">
        <f aca="false">F21-(I21-W21)</f>
        <v>-121.887705496722</v>
      </c>
      <c r="M21" s="53" t="n">
        <v>172.48</v>
      </c>
      <c r="N21" s="53" t="n">
        <f aca="false">(10.2+11.58)*1.05</f>
        <v>22.869</v>
      </c>
      <c r="O21" s="53" t="n">
        <f aca="false">M21-N21</f>
        <v>149.611</v>
      </c>
      <c r="P21" s="53" t="n">
        <v>60.59</v>
      </c>
      <c r="Q21" s="53" t="n">
        <v>72.22</v>
      </c>
      <c r="R21" s="53" t="n">
        <f aca="false">SUM(O21:Q21)</f>
        <v>282.421</v>
      </c>
      <c r="S21" s="54" t="n">
        <f aca="false">(I21-R21)+S20</f>
        <v>-2978.09798184569</v>
      </c>
      <c r="T21" s="53" t="n">
        <v>66.84</v>
      </c>
      <c r="U21" s="53" t="n">
        <v>88.62</v>
      </c>
      <c r="V21" s="54" t="n">
        <f aca="false">V20-U21</f>
        <v>3277.95</v>
      </c>
      <c r="W21" s="53" t="n">
        <f aca="false">R21+T21+N21+U21</f>
        <v>460.75</v>
      </c>
      <c r="X21" s="53" t="n">
        <f aca="false">IF(L21&lt;0,L21*-1,0)</f>
        <v>121.887705496722</v>
      </c>
      <c r="Y21" s="53" t="n">
        <f aca="false">W21+X21</f>
        <v>582.637705496722</v>
      </c>
      <c r="Z21" s="57" t="n">
        <v>0</v>
      </c>
      <c r="AA21" s="58" t="n">
        <v>78</v>
      </c>
      <c r="AB21" s="58" t="n">
        <v>45</v>
      </c>
      <c r="AC21" s="59" t="n">
        <f aca="false">AC20+1</f>
        <v>12</v>
      </c>
      <c r="AD21" s="74"/>
      <c r="AE21" s="74"/>
      <c r="AF21" s="78"/>
    </row>
    <row r="22" customFormat="false" ht="11.1" hidden="false" customHeight="true" outlineLevel="0" collapsed="false">
      <c r="A22" s="59" t="n">
        <f aca="false">A21+1</f>
        <v>13</v>
      </c>
      <c r="B22" s="76" t="n">
        <v>6913.56</v>
      </c>
      <c r="C22" s="54" t="n">
        <v>336424</v>
      </c>
      <c r="D22" s="58" t="n">
        <f aca="false">C22-C21</f>
        <v>-615</v>
      </c>
      <c r="E22" s="54" t="n">
        <f aca="false">C22-152000</f>
        <v>184424</v>
      </c>
      <c r="F22" s="53" t="n">
        <f aca="false">D22/$D$2</f>
        <v>-310.136157337368</v>
      </c>
      <c r="G22" s="53" t="n">
        <v>177.6</v>
      </c>
      <c r="H22" s="55" t="n">
        <v>0</v>
      </c>
      <c r="I22" s="53" t="n">
        <f aca="false">G22+H22</f>
        <v>177.6</v>
      </c>
      <c r="J22" s="77" t="n">
        <f aca="false">IF(L22&gt;0,L22,0)</f>
        <v>0</v>
      </c>
      <c r="K22" s="53" t="n">
        <f aca="false">I22+J22</f>
        <v>177.6</v>
      </c>
      <c r="L22" s="53" t="n">
        <f aca="false">F22-(I22-W22)</f>
        <v>-32.6161573373676</v>
      </c>
      <c r="M22" s="53" t="n">
        <v>177.37</v>
      </c>
      <c r="N22" s="53" t="n">
        <f aca="false">(16.27+16.87)*1.05</f>
        <v>34.797</v>
      </c>
      <c r="O22" s="53" t="n">
        <f aca="false">M22-N22</f>
        <v>142.573</v>
      </c>
      <c r="P22" s="53" t="n">
        <v>60.62</v>
      </c>
      <c r="Q22" s="53" t="n">
        <v>67.62</v>
      </c>
      <c r="R22" s="53" t="n">
        <f aca="false">SUM(O22:Q22)</f>
        <v>270.813</v>
      </c>
      <c r="S22" s="54" t="n">
        <f aca="false">(I22-R22)+S21</f>
        <v>-3071.31098184569</v>
      </c>
      <c r="T22" s="53" t="n">
        <v>60.98</v>
      </c>
      <c r="U22" s="53" t="n">
        <v>88.53</v>
      </c>
      <c r="V22" s="54" t="n">
        <f aca="false">V21-U22</f>
        <v>3189.42</v>
      </c>
      <c r="W22" s="53" t="n">
        <f aca="false">R22+T22+N22+U22</f>
        <v>455.12</v>
      </c>
      <c r="X22" s="53" t="n">
        <f aca="false">IF(L22&lt;0,L22*-1,0)</f>
        <v>32.6161573373676</v>
      </c>
      <c r="Y22" s="53" t="n">
        <f aca="false">W22+X22</f>
        <v>487.736157337368</v>
      </c>
      <c r="Z22" s="57" t="n">
        <v>0</v>
      </c>
      <c r="AA22" s="58" t="n">
        <v>80</v>
      </c>
      <c r="AB22" s="58" t="n">
        <v>47</v>
      </c>
      <c r="AC22" s="59" t="n">
        <f aca="false">AC21+1</f>
        <v>13</v>
      </c>
      <c r="AD22" s="74"/>
      <c r="AE22" s="74"/>
      <c r="AF22" s="78"/>
    </row>
    <row r="23" customFormat="false" ht="11.1" hidden="false" customHeight="true" outlineLevel="0" collapsed="false">
      <c r="A23" s="59" t="n">
        <f aca="false">A22+1</f>
        <v>14</v>
      </c>
      <c r="B23" s="76" t="n">
        <v>6913.48</v>
      </c>
      <c r="C23" s="54" t="n">
        <v>336094</v>
      </c>
      <c r="D23" s="58" t="n">
        <f aca="false">C23-C22</f>
        <v>-330</v>
      </c>
      <c r="E23" s="54" t="n">
        <f aca="false">C23-152000</f>
        <v>184094</v>
      </c>
      <c r="F23" s="53" t="n">
        <f aca="false">D23/$D$2</f>
        <v>-166.414523449319</v>
      </c>
      <c r="G23" s="53" t="n">
        <v>162.12</v>
      </c>
      <c r="H23" s="55" t="n">
        <v>0</v>
      </c>
      <c r="I23" s="53" t="n">
        <f aca="false">G23+H23</f>
        <v>162.12</v>
      </c>
      <c r="J23" s="77" t="n">
        <f aca="false">IF(L23&gt;0,L23,0)</f>
        <v>136.115476550681</v>
      </c>
      <c r="K23" s="53" t="n">
        <f aca="false">I23+J23</f>
        <v>298.235476550681</v>
      </c>
      <c r="L23" s="53" t="n">
        <f aca="false">F23-(I23-W23)</f>
        <v>136.115476550681</v>
      </c>
      <c r="M23" s="53" t="n">
        <v>193.95</v>
      </c>
      <c r="N23" s="53" t="n">
        <f aca="false">(15+15.13)*1.05</f>
        <v>31.6365</v>
      </c>
      <c r="O23" s="53" t="n">
        <f aca="false">M23-N23</f>
        <v>162.3135</v>
      </c>
      <c r="P23" s="53" t="n">
        <v>60.82</v>
      </c>
      <c r="Q23" s="53" t="n">
        <v>68.13</v>
      </c>
      <c r="R23" s="53" t="n">
        <f aca="false">SUM(O23:Q23)</f>
        <v>291.2635</v>
      </c>
      <c r="S23" s="54" t="n">
        <f aca="false">(I23-R23)+S22</f>
        <v>-3200.45448184569</v>
      </c>
      <c r="T23" s="53" t="n">
        <v>53.27</v>
      </c>
      <c r="U23" s="53" t="n">
        <v>88.48</v>
      </c>
      <c r="V23" s="54" t="n">
        <f aca="false">V22-U23</f>
        <v>3100.94</v>
      </c>
      <c r="W23" s="53" t="n">
        <f aca="false">R23+T23+N23+U23</f>
        <v>464.65</v>
      </c>
      <c r="X23" s="53" t="n">
        <f aca="false">IF(L23&lt;0,L23*-1,0)</f>
        <v>0</v>
      </c>
      <c r="Y23" s="53" t="n">
        <f aca="false">W23+X23</f>
        <v>464.65</v>
      </c>
      <c r="Z23" s="57" t="n">
        <v>1.48</v>
      </c>
      <c r="AA23" s="86" t="n">
        <v>78</v>
      </c>
      <c r="AB23" s="58" t="n">
        <v>53</v>
      </c>
      <c r="AC23" s="59" t="n">
        <f aca="false">AC22+1</f>
        <v>14</v>
      </c>
      <c r="AD23" s="74"/>
      <c r="AE23" s="74"/>
      <c r="AF23" s="78"/>
    </row>
    <row r="24" customFormat="false" ht="11.1" hidden="false" customHeight="true" outlineLevel="0" collapsed="false">
      <c r="A24" s="59" t="n">
        <f aca="false">A23+1</f>
        <v>15</v>
      </c>
      <c r="B24" s="76" t="n">
        <v>6913.31</v>
      </c>
      <c r="C24" s="54" t="n">
        <v>335395</v>
      </c>
      <c r="D24" s="58" t="n">
        <f aca="false">C24-C23</f>
        <v>-699</v>
      </c>
      <c r="E24" s="54" t="n">
        <f aca="false">C24-152000</f>
        <v>183395</v>
      </c>
      <c r="F24" s="53" t="n">
        <f aca="false">D24/$D$2</f>
        <v>-352.49621785174</v>
      </c>
      <c r="G24" s="53" t="n">
        <v>153.13</v>
      </c>
      <c r="H24" s="55" t="n">
        <v>0</v>
      </c>
      <c r="I24" s="53" t="n">
        <f aca="false">G24+H24</f>
        <v>153.13</v>
      </c>
      <c r="J24" s="77" t="n">
        <f aca="false">IF(L24&gt;0,L24,0)</f>
        <v>0</v>
      </c>
      <c r="K24" s="53" t="n">
        <f aca="false">I24+J24</f>
        <v>153.13</v>
      </c>
      <c r="L24" s="53" t="n">
        <f aca="false">F24-(I24-W24)</f>
        <v>-74.2562178517397</v>
      </c>
      <c r="M24" s="53" t="n">
        <v>169.69</v>
      </c>
      <c r="N24" s="53" t="n">
        <f aca="false">(11.15+11.42)*1.05</f>
        <v>23.6985</v>
      </c>
      <c r="O24" s="53" t="n">
        <f aca="false">M24-N24</f>
        <v>145.9915</v>
      </c>
      <c r="P24" s="53" t="n">
        <v>60.38</v>
      </c>
      <c r="Q24" s="53" t="n">
        <v>69.55</v>
      </c>
      <c r="R24" s="53" t="n">
        <f aca="false">SUM(O24:Q24)</f>
        <v>275.9215</v>
      </c>
      <c r="S24" s="54" t="n">
        <f aca="false">(I24-R24)+S23</f>
        <v>-3323.24598184569</v>
      </c>
      <c r="T24" s="53" t="n">
        <v>43.37</v>
      </c>
      <c r="U24" s="53" t="n">
        <v>88.38</v>
      </c>
      <c r="V24" s="54" t="n">
        <f aca="false">V23-U24</f>
        <v>3012.56</v>
      </c>
      <c r="W24" s="53" t="n">
        <f aca="false">R24+T24+N24+U24</f>
        <v>431.37</v>
      </c>
      <c r="X24" s="53" t="n">
        <f aca="false">IF(L24&lt;0,L24*-1,0)</f>
        <v>74.2562178517397</v>
      </c>
      <c r="Y24" s="53" t="n">
        <f aca="false">W24+X24</f>
        <v>505.62621785174</v>
      </c>
      <c r="Z24" s="57" t="n">
        <v>0</v>
      </c>
      <c r="AA24" s="86" t="n">
        <v>78</v>
      </c>
      <c r="AB24" s="58" t="n">
        <v>46</v>
      </c>
      <c r="AC24" s="59" t="n">
        <f aca="false">AC23+1</f>
        <v>15</v>
      </c>
      <c r="AD24" s="74"/>
      <c r="AE24" s="74"/>
      <c r="AF24" s="78"/>
    </row>
    <row r="25" customFormat="false" ht="11.1" hidden="false" customHeight="true" outlineLevel="0" collapsed="false">
      <c r="A25" s="59" t="n">
        <f aca="false">A24+1</f>
        <v>16</v>
      </c>
      <c r="B25" s="76" t="n">
        <v>6913.17</v>
      </c>
      <c r="C25" s="54" t="n">
        <v>334819</v>
      </c>
      <c r="D25" s="58" t="n">
        <f aca="false">C25-C24</f>
        <v>-576</v>
      </c>
      <c r="E25" s="54" t="n">
        <f aca="false">C25-152000</f>
        <v>182819</v>
      </c>
      <c r="F25" s="53" t="n">
        <f aca="false">D25/$D$2</f>
        <v>-290.468986384266</v>
      </c>
      <c r="G25" s="53" t="n">
        <v>143.2</v>
      </c>
      <c r="H25" s="55" t="n">
        <v>0</v>
      </c>
      <c r="I25" s="53" t="n">
        <f aca="false">G25+H25</f>
        <v>143.2</v>
      </c>
      <c r="J25" s="77" t="n">
        <f aca="false">IF(L25&gt;0,L25,0)</f>
        <v>20.1210136157337</v>
      </c>
      <c r="K25" s="53" t="n">
        <f aca="false">I25+J25</f>
        <v>163.321013615734</v>
      </c>
      <c r="L25" s="53" t="n">
        <f aca="false">F25-(I25-W25)</f>
        <v>20.1210136157337</v>
      </c>
      <c r="M25" s="53" t="n">
        <v>183.26</v>
      </c>
      <c r="N25" s="53" t="n">
        <f aca="false">(14.8+14.64)*1.05</f>
        <v>30.912</v>
      </c>
      <c r="O25" s="53" t="n">
        <f aca="false">M25-N25</f>
        <v>152.348</v>
      </c>
      <c r="P25" s="53" t="n">
        <v>60.16</v>
      </c>
      <c r="Q25" s="53" t="n">
        <v>69.48</v>
      </c>
      <c r="R25" s="53" t="n">
        <f aca="false">SUM(O25:Q25)</f>
        <v>281.988</v>
      </c>
      <c r="S25" s="54" t="n">
        <f aca="false">(I25-R25)+S24</f>
        <v>-3462.03398184569</v>
      </c>
      <c r="T25" s="53" t="n">
        <v>52.45</v>
      </c>
      <c r="U25" s="53" t="n">
        <v>88.44</v>
      </c>
      <c r="V25" s="54" t="n">
        <f aca="false">V24-U25</f>
        <v>2924.12</v>
      </c>
      <c r="W25" s="53" t="n">
        <f aca="false">R25+T25+N25+U25</f>
        <v>453.79</v>
      </c>
      <c r="X25" s="53" t="n">
        <f aca="false">IF(L25&lt;0,L25*-1,0)</f>
        <v>0</v>
      </c>
      <c r="Y25" s="53" t="n">
        <f aca="false">W25+X25</f>
        <v>453.79</v>
      </c>
      <c r="Z25" s="57" t="n">
        <v>0</v>
      </c>
      <c r="AA25" s="86" t="n">
        <v>82</v>
      </c>
      <c r="AB25" s="58" t="n">
        <v>46</v>
      </c>
      <c r="AC25" s="59" t="n">
        <f aca="false">AC24+1</f>
        <v>16</v>
      </c>
      <c r="AD25" s="74"/>
      <c r="AE25" s="74"/>
      <c r="AF25" s="78"/>
    </row>
    <row r="26" customFormat="false" ht="11.1" hidden="false" customHeight="true" outlineLevel="0" collapsed="false">
      <c r="A26" s="59" t="n">
        <f aca="false">A25+1</f>
        <v>17</v>
      </c>
      <c r="B26" s="76" t="n">
        <v>6912.95</v>
      </c>
      <c r="C26" s="54" t="n">
        <v>333918</v>
      </c>
      <c r="D26" s="58" t="n">
        <f aca="false">C26-C25</f>
        <v>-901</v>
      </c>
      <c r="E26" s="54" t="n">
        <f aca="false">C26-152000</f>
        <v>181918</v>
      </c>
      <c r="F26" s="53" t="n">
        <f aca="false">D26/$D$2</f>
        <v>-454.362077660111</v>
      </c>
      <c r="G26" s="53" t="n">
        <v>138.12</v>
      </c>
      <c r="H26" s="55" t="n">
        <v>0</v>
      </c>
      <c r="I26" s="53" t="n">
        <f aca="false">G26+H26</f>
        <v>138.12</v>
      </c>
      <c r="J26" s="77" t="n">
        <f aca="false">IF(L26&gt;0,L26,0)</f>
        <v>0</v>
      </c>
      <c r="K26" s="53" t="n">
        <f aca="false">I26+J26</f>
        <v>138.12</v>
      </c>
      <c r="L26" s="53" t="n">
        <f aca="false">F26-(I26-W26)</f>
        <v>-136.602077660111</v>
      </c>
      <c r="M26" s="53" t="n">
        <v>179.35</v>
      </c>
      <c r="N26" s="53" t="n">
        <f aca="false">(20.08+18.86)*1.05</f>
        <v>40.887</v>
      </c>
      <c r="O26" s="53" t="n">
        <f aca="false">M26-N26</f>
        <v>138.463</v>
      </c>
      <c r="P26" s="53" t="n">
        <v>60.23</v>
      </c>
      <c r="Q26" s="53" t="n">
        <v>69.26</v>
      </c>
      <c r="R26" s="53" t="n">
        <f aca="false">SUM(O26:Q26)</f>
        <v>267.953</v>
      </c>
      <c r="S26" s="54" t="n">
        <f aca="false">(I26-R26)+S25</f>
        <v>-3591.86698184569</v>
      </c>
      <c r="T26" s="53" t="n">
        <v>58.8</v>
      </c>
      <c r="U26" s="53" t="n">
        <v>88.24</v>
      </c>
      <c r="V26" s="54" t="n">
        <f aca="false">V25-U26</f>
        <v>2835.88</v>
      </c>
      <c r="W26" s="53" t="n">
        <f aca="false">R26+T26+N26+U26</f>
        <v>455.88</v>
      </c>
      <c r="X26" s="53" t="n">
        <f aca="false">IF(L26&lt;0,L26*-1,0)</f>
        <v>136.602077660111</v>
      </c>
      <c r="Y26" s="53" t="n">
        <f aca="false">W26+X26</f>
        <v>592.482077660111</v>
      </c>
      <c r="Z26" s="57" t="n">
        <v>0.04</v>
      </c>
      <c r="AA26" s="86" t="n">
        <v>83</v>
      </c>
      <c r="AB26" s="58" t="n">
        <v>53</v>
      </c>
      <c r="AC26" s="59" t="n">
        <f aca="false">AC25+1</f>
        <v>17</v>
      </c>
      <c r="AD26" s="74"/>
      <c r="AE26" s="74"/>
      <c r="AF26" s="78"/>
    </row>
    <row r="27" customFormat="false" ht="11.1" hidden="false" customHeight="true" outlineLevel="0" collapsed="false">
      <c r="A27" s="59" t="n">
        <f aca="false">A26+1</f>
        <v>18</v>
      </c>
      <c r="B27" s="76" t="n">
        <v>6912.84</v>
      </c>
      <c r="C27" s="54" t="n">
        <v>333468</v>
      </c>
      <c r="D27" s="58" t="n">
        <f aca="false">C27-C26</f>
        <v>-450</v>
      </c>
      <c r="E27" s="54" t="n">
        <f aca="false">C27-152000</f>
        <v>181468</v>
      </c>
      <c r="F27" s="53" t="n">
        <f aca="false">D27/$D$2</f>
        <v>-226.928895612708</v>
      </c>
      <c r="G27" s="53" t="n">
        <v>137.73</v>
      </c>
      <c r="H27" s="55" t="n">
        <v>0</v>
      </c>
      <c r="I27" s="53" t="n">
        <f aca="false">G27+H27</f>
        <v>137.73</v>
      </c>
      <c r="J27" s="77" t="n">
        <f aca="false">IF(L27&gt;0,L27,0)</f>
        <v>94.3511043872921</v>
      </c>
      <c r="K27" s="53" t="n">
        <f aca="false">I27+J27</f>
        <v>232.081104387292</v>
      </c>
      <c r="L27" s="53" t="n">
        <f aca="false">F27-(I27-W27)</f>
        <v>94.3511043872921</v>
      </c>
      <c r="M27" s="53" t="n">
        <v>198.08</v>
      </c>
      <c r="N27" s="53" t="n">
        <f aca="false">(18.61+19.53)*1.05</f>
        <v>40.047</v>
      </c>
      <c r="O27" s="53" t="n">
        <f aca="false">M27-N27</f>
        <v>158.033</v>
      </c>
      <c r="P27" s="53" t="n">
        <v>60.14</v>
      </c>
      <c r="Q27" s="53" t="n">
        <v>65.75</v>
      </c>
      <c r="R27" s="53" t="n">
        <f aca="false">SUM(O27:Q27)</f>
        <v>283.923</v>
      </c>
      <c r="S27" s="54" t="n">
        <f aca="false">(I27-R27)+S26</f>
        <v>-3738.05998184569</v>
      </c>
      <c r="T27" s="53" t="n">
        <v>46.85</v>
      </c>
      <c r="U27" s="53" t="n">
        <v>88.19</v>
      </c>
      <c r="V27" s="54" t="n">
        <f aca="false">V26-U27</f>
        <v>2747.69</v>
      </c>
      <c r="W27" s="53" t="n">
        <f aca="false">R27+T27+N27+U27</f>
        <v>459.01</v>
      </c>
      <c r="X27" s="53" t="n">
        <f aca="false">IF(L27&lt;0,L27*-1,0)</f>
        <v>0</v>
      </c>
      <c r="Y27" s="53" t="n">
        <f aca="false">W27+X27</f>
        <v>459.01</v>
      </c>
      <c r="Z27" s="57" t="n">
        <v>0</v>
      </c>
      <c r="AA27" s="86" t="n">
        <v>72</v>
      </c>
      <c r="AB27" s="58" t="n">
        <v>52</v>
      </c>
      <c r="AC27" s="59" t="n">
        <f aca="false">AC26+1</f>
        <v>18</v>
      </c>
      <c r="AD27" s="74"/>
      <c r="AE27" s="74"/>
      <c r="AF27" s="78"/>
    </row>
    <row r="28" customFormat="false" ht="11.1" hidden="false" customHeight="true" outlineLevel="0" collapsed="false">
      <c r="A28" s="59" t="n">
        <f aca="false">A27+1</f>
        <v>19</v>
      </c>
      <c r="B28" s="76" t="n">
        <v>6912.72</v>
      </c>
      <c r="C28" s="88" t="n">
        <v>332980</v>
      </c>
      <c r="D28" s="58" t="n">
        <f aca="false">C28-C27</f>
        <v>-488</v>
      </c>
      <c r="E28" s="54" t="n">
        <f aca="false">C28-152000</f>
        <v>180980</v>
      </c>
      <c r="F28" s="53" t="n">
        <f aca="false">D28/$D$2</f>
        <v>-246.091780131114</v>
      </c>
      <c r="G28" s="53" t="n">
        <v>136.19</v>
      </c>
      <c r="H28" s="55" t="n">
        <v>0</v>
      </c>
      <c r="I28" s="53" t="n">
        <f aca="false">G28+H28</f>
        <v>136.19</v>
      </c>
      <c r="J28" s="77" t="n">
        <f aca="false">IF(L28&gt;0,L28,0)</f>
        <v>47.5982198688855</v>
      </c>
      <c r="K28" s="53" t="n">
        <f aca="false">I28+J28</f>
        <v>183.788219868886</v>
      </c>
      <c r="L28" s="53" t="n">
        <f aca="false">F28-(I28-W28)</f>
        <v>47.5982198688855</v>
      </c>
      <c r="M28" s="53" t="n">
        <v>180.72</v>
      </c>
      <c r="N28" s="53" t="n">
        <f aca="false">(16.76+18.41)*1.05</f>
        <v>36.9285</v>
      </c>
      <c r="O28" s="53" t="n">
        <f aca="false">M28-N28</f>
        <v>143.7915</v>
      </c>
      <c r="P28" s="53" t="n">
        <v>60.23</v>
      </c>
      <c r="Q28" s="53" t="n">
        <v>62.79</v>
      </c>
      <c r="R28" s="53" t="n">
        <f aca="false">SUM(O28:Q28)</f>
        <v>266.8115</v>
      </c>
      <c r="S28" s="54" t="n">
        <f aca="false">(I28-R28)+S27</f>
        <v>-3868.68148184569</v>
      </c>
      <c r="T28" s="53" t="n">
        <v>40.16</v>
      </c>
      <c r="U28" s="53" t="n">
        <v>85.98</v>
      </c>
      <c r="V28" s="54" t="n">
        <f aca="false">V27-U28</f>
        <v>2661.71</v>
      </c>
      <c r="W28" s="53" t="n">
        <f aca="false">R28+T28+N28+U28</f>
        <v>429.88</v>
      </c>
      <c r="X28" s="53" t="n">
        <f aca="false">IF(L28&lt;0,L28*-1,0)</f>
        <v>0</v>
      </c>
      <c r="Y28" s="53" t="n">
        <f aca="false">W28+X28</f>
        <v>429.88</v>
      </c>
      <c r="Z28" s="57" t="n">
        <v>0</v>
      </c>
      <c r="AA28" s="86" t="n">
        <v>74</v>
      </c>
      <c r="AB28" s="58" t="n">
        <v>44</v>
      </c>
      <c r="AC28" s="59" t="n">
        <f aca="false">AC27+1</f>
        <v>19</v>
      </c>
      <c r="AD28" s="74"/>
      <c r="AE28" s="74"/>
      <c r="AF28" s="78"/>
    </row>
    <row r="29" customFormat="false" ht="11.1" hidden="false" customHeight="true" outlineLevel="0" collapsed="false">
      <c r="A29" s="59" t="n">
        <f aca="false">A28+1</f>
        <v>20</v>
      </c>
      <c r="B29" s="76" t="n">
        <v>6912.56</v>
      </c>
      <c r="C29" s="54" t="n">
        <v>332327</v>
      </c>
      <c r="D29" s="58" t="n">
        <f aca="false">C29-C28</f>
        <v>-653</v>
      </c>
      <c r="E29" s="54" t="n">
        <f aca="false">C29-152000</f>
        <v>180327</v>
      </c>
      <c r="F29" s="53" t="n">
        <f aca="false">D29/$D$2</f>
        <v>-329.299041855774</v>
      </c>
      <c r="G29" s="53" t="n">
        <v>127</v>
      </c>
      <c r="H29" s="55" t="n">
        <v>0</v>
      </c>
      <c r="I29" s="53" t="n">
        <f aca="false">G29+H29</f>
        <v>127</v>
      </c>
      <c r="J29" s="77" t="n">
        <f aca="false">IF(L29&gt;0,L29,0)</f>
        <v>0</v>
      </c>
      <c r="K29" s="53" t="n">
        <f aca="false">I29+J29</f>
        <v>127</v>
      </c>
      <c r="L29" s="53" t="n">
        <f aca="false">F29-(I29-W29)</f>
        <v>-21.7490418557741</v>
      </c>
      <c r="M29" s="53" t="n">
        <v>189.05</v>
      </c>
      <c r="N29" s="53" t="n">
        <f aca="false">(18.27+18.4)*1.05</f>
        <v>38.5035</v>
      </c>
      <c r="O29" s="53" t="n">
        <f aca="false">M29-N29</f>
        <v>150.5465</v>
      </c>
      <c r="P29" s="53" t="n">
        <v>60.13</v>
      </c>
      <c r="Q29" s="53" t="n">
        <v>61.6</v>
      </c>
      <c r="R29" s="53" t="n">
        <f aca="false">SUM(O29:Q29)</f>
        <v>272.2765</v>
      </c>
      <c r="S29" s="54" t="n">
        <f aca="false">(I29-R29)+S28</f>
        <v>-4013.95798184569</v>
      </c>
      <c r="T29" s="53" t="n">
        <v>38.63</v>
      </c>
      <c r="U29" s="53" t="n">
        <v>85.14</v>
      </c>
      <c r="V29" s="54" t="n">
        <f aca="false">V28-U29</f>
        <v>2576.57</v>
      </c>
      <c r="W29" s="53" t="n">
        <f aca="false">R29+T29+N29+U29</f>
        <v>434.55</v>
      </c>
      <c r="X29" s="53" t="n">
        <f aca="false">IF(L29&lt;0,L29*-1,0)</f>
        <v>21.7490418557741</v>
      </c>
      <c r="Y29" s="53" t="n">
        <f aca="false">W29+X29</f>
        <v>456.299041855774</v>
      </c>
      <c r="Z29" s="57" t="n">
        <v>0</v>
      </c>
      <c r="AA29" s="86" t="n">
        <v>78</v>
      </c>
      <c r="AB29" s="58" t="n">
        <v>45</v>
      </c>
      <c r="AC29" s="59" t="n">
        <f aca="false">AC28+1</f>
        <v>20</v>
      </c>
      <c r="AD29" s="74"/>
      <c r="AE29" s="74"/>
      <c r="AF29" s="78"/>
    </row>
    <row r="30" customFormat="false" ht="11.1" hidden="false" customHeight="true" outlineLevel="0" collapsed="false">
      <c r="A30" s="59" t="n">
        <f aca="false">A29+1</f>
        <v>21</v>
      </c>
      <c r="B30" s="76" t="n">
        <v>6912.35</v>
      </c>
      <c r="C30" s="54" t="n">
        <v>331471</v>
      </c>
      <c r="D30" s="58" t="n">
        <f aca="false">C30-C29</f>
        <v>-856</v>
      </c>
      <c r="E30" s="54" t="n">
        <f aca="false">C30-152000</f>
        <v>179471</v>
      </c>
      <c r="F30" s="53" t="n">
        <f aca="false">D30/$D$2</f>
        <v>-431.66918809884</v>
      </c>
      <c r="G30" s="53" t="n">
        <v>121.47</v>
      </c>
      <c r="H30" s="55" t="n">
        <v>0</v>
      </c>
      <c r="I30" s="53" t="n">
        <f aca="false">G30+H30</f>
        <v>121.47</v>
      </c>
      <c r="J30" s="77" t="n">
        <f aca="false">IF(L30&gt;0,L30,0)</f>
        <v>0</v>
      </c>
      <c r="K30" s="53" t="n">
        <f aca="false">I30+J30</f>
        <v>121.47</v>
      </c>
      <c r="L30" s="53" t="n">
        <f aca="false">F30-(I30-W30)</f>
        <v>-117.39918809884</v>
      </c>
      <c r="M30" s="53" t="n">
        <v>191.08</v>
      </c>
      <c r="N30" s="53" t="n">
        <f aca="false">(18.42+21.71)*1.05</f>
        <v>42.1365</v>
      </c>
      <c r="O30" s="53" t="n">
        <f aca="false">M30-N30</f>
        <v>148.9435</v>
      </c>
      <c r="P30" s="53" t="n">
        <v>60.15</v>
      </c>
      <c r="Q30" s="53" t="n">
        <v>61.39</v>
      </c>
      <c r="R30" s="53" t="n">
        <f aca="false">SUM(O30:Q30)</f>
        <v>270.4835</v>
      </c>
      <c r="S30" s="54" t="n">
        <f aca="false">(I30-R30)+S29</f>
        <v>-4162.97148184569</v>
      </c>
      <c r="T30" s="53" t="n">
        <v>37.51</v>
      </c>
      <c r="U30" s="53" t="n">
        <v>85.61</v>
      </c>
      <c r="V30" s="54" t="n">
        <f aca="false">V29-U30</f>
        <v>2490.96</v>
      </c>
      <c r="W30" s="53" t="n">
        <f aca="false">R30+T30+N30+U30</f>
        <v>435.74</v>
      </c>
      <c r="X30" s="53" t="n">
        <f aca="false">IF(L30&lt;0,L30*-1,0)</f>
        <v>117.39918809884</v>
      </c>
      <c r="Y30" s="53" t="n">
        <f aca="false">W30+X30</f>
        <v>553.13918809884</v>
      </c>
      <c r="Z30" s="57" t="n">
        <v>0</v>
      </c>
      <c r="AA30" s="58" t="n">
        <v>64</v>
      </c>
      <c r="AB30" s="58" t="n">
        <v>50</v>
      </c>
      <c r="AC30" s="59" t="n">
        <f aca="false">AC29+1</f>
        <v>21</v>
      </c>
      <c r="AD30" s="74"/>
      <c r="AE30" s="74"/>
      <c r="AF30" s="78"/>
    </row>
    <row r="31" customFormat="false" ht="11.1" hidden="false" customHeight="true" outlineLevel="0" collapsed="false">
      <c r="A31" s="59" t="n">
        <f aca="false">A30+1</f>
        <v>22</v>
      </c>
      <c r="B31" s="76" t="n">
        <v>6912.21</v>
      </c>
      <c r="C31" s="54" t="n">
        <v>330900</v>
      </c>
      <c r="D31" s="58" t="n">
        <f aca="false">C31-C30</f>
        <v>-571</v>
      </c>
      <c r="E31" s="54" t="n">
        <f aca="false">C31-152000</f>
        <v>178900</v>
      </c>
      <c r="F31" s="53" t="n">
        <f aca="false">D31/$D$2</f>
        <v>-287.947554210792</v>
      </c>
      <c r="G31" s="53" t="n">
        <v>119.47</v>
      </c>
      <c r="H31" s="55" t="n">
        <v>0</v>
      </c>
      <c r="I31" s="53" t="n">
        <f aca="false">G31+H31</f>
        <v>119.47</v>
      </c>
      <c r="J31" s="77" t="n">
        <f aca="false">IF(L31&gt;0,L31,0)</f>
        <v>36.0424457892082</v>
      </c>
      <c r="K31" s="53" t="n">
        <f aca="false">I31+J31</f>
        <v>155.512445789208</v>
      </c>
      <c r="L31" s="53" t="n">
        <f aca="false">F31-(I31-W31)</f>
        <v>36.0424457892082</v>
      </c>
      <c r="M31" s="53" t="n">
        <v>192.39</v>
      </c>
      <c r="N31" s="53" t="n">
        <f aca="false">(16.58+16.15)*1.05</f>
        <v>34.3665</v>
      </c>
      <c r="O31" s="53" t="n">
        <f aca="false">M31-N31</f>
        <v>158.0235</v>
      </c>
      <c r="P31" s="53" t="n">
        <v>60.07</v>
      </c>
      <c r="Q31" s="53" t="n">
        <v>61.28</v>
      </c>
      <c r="R31" s="53" t="n">
        <f aca="false">SUM(O31:Q31)</f>
        <v>279.3735</v>
      </c>
      <c r="S31" s="54" t="n">
        <f aca="false">(I31-R31)+S30</f>
        <v>-4322.87498184569</v>
      </c>
      <c r="T31" s="53" t="n">
        <v>43.63</v>
      </c>
      <c r="U31" s="53" t="n">
        <v>86.09</v>
      </c>
      <c r="V31" s="54" t="n">
        <f aca="false">V30-U31</f>
        <v>2404.87</v>
      </c>
      <c r="W31" s="53" t="n">
        <f aca="false">R31+T31+N31+U31</f>
        <v>443.46</v>
      </c>
      <c r="X31" s="53" t="n">
        <f aca="false">IF(L31&lt;0,L31*-1,0)</f>
        <v>0</v>
      </c>
      <c r="Y31" s="53" t="n">
        <f aca="false">W31+X31</f>
        <v>443.46</v>
      </c>
      <c r="Z31" s="57" t="n">
        <v>0</v>
      </c>
      <c r="AA31" s="58" t="n">
        <v>68</v>
      </c>
      <c r="AB31" s="58" t="n">
        <v>34</v>
      </c>
      <c r="AC31" s="59" t="n">
        <f aca="false">AC30+1</f>
        <v>22</v>
      </c>
      <c r="AD31" s="74"/>
      <c r="AE31" s="74"/>
      <c r="AF31" s="78"/>
      <c r="AG31" s="99"/>
      <c r="AH31" s="99"/>
      <c r="AI31" s="99"/>
    </row>
    <row r="32" customFormat="false" ht="11.1" hidden="false" customHeight="true" outlineLevel="0" collapsed="false">
      <c r="A32" s="59" t="n">
        <f aca="false">A31+1</f>
        <v>23</v>
      </c>
      <c r="B32" s="76" t="n">
        <v>6912.04</v>
      </c>
      <c r="C32" s="54" t="n">
        <v>330270</v>
      </c>
      <c r="D32" s="58" t="n">
        <f aca="false">C32-C31</f>
        <v>-630</v>
      </c>
      <c r="E32" s="54" t="n">
        <f aca="false">C32-152000</f>
        <v>178270</v>
      </c>
      <c r="F32" s="53" t="n">
        <f aca="false">D32/$D$2</f>
        <v>-317.700453857791</v>
      </c>
      <c r="G32" s="53" t="n">
        <v>95.08</v>
      </c>
      <c r="H32" s="55" t="s">
        <v>89</v>
      </c>
      <c r="I32" s="53" t="n">
        <v>95.1</v>
      </c>
      <c r="J32" s="77" t="n">
        <f aca="false">IF(L32&gt;0,L32,0)</f>
        <v>5.17954614220878</v>
      </c>
      <c r="K32" s="53" t="n">
        <f aca="false">I32+J32</f>
        <v>100.279546142209</v>
      </c>
      <c r="L32" s="53" t="n">
        <f aca="false">F32-(I32-W32)</f>
        <v>5.17954614220878</v>
      </c>
      <c r="M32" s="53" t="n">
        <v>182.07</v>
      </c>
      <c r="N32" s="53" t="n">
        <f aca="false">(15.51+15.63)*1.05</f>
        <v>32.697</v>
      </c>
      <c r="O32" s="53" t="n">
        <f aca="false">M32-N32</f>
        <v>149.373</v>
      </c>
      <c r="P32" s="53" t="n">
        <v>59.98</v>
      </c>
      <c r="Q32" s="53" t="n">
        <v>59</v>
      </c>
      <c r="R32" s="53" t="n">
        <f aca="false">SUM(O32:Q32)</f>
        <v>268.353</v>
      </c>
      <c r="S32" s="54" t="n">
        <f aca="false">(I32-R32)+S31</f>
        <v>-4496.12798184569</v>
      </c>
      <c r="T32" s="53" t="n">
        <v>30.77</v>
      </c>
      <c r="U32" s="53" t="n">
        <v>86.16</v>
      </c>
      <c r="V32" s="54" t="n">
        <f aca="false">V31-U32</f>
        <v>2318.71</v>
      </c>
      <c r="W32" s="53" t="n">
        <f aca="false">R32+T32+N32+U32</f>
        <v>417.98</v>
      </c>
      <c r="X32" s="53" t="n">
        <f aca="false">IF(L32&lt;0,L32*-1,0)</f>
        <v>0</v>
      </c>
      <c r="Y32" s="53" t="n">
        <f aca="false">W32+X32</f>
        <v>417.98</v>
      </c>
      <c r="Z32" s="57" t="n">
        <v>0</v>
      </c>
      <c r="AA32" s="58" t="n">
        <v>72</v>
      </c>
      <c r="AB32" s="86" t="n">
        <v>35</v>
      </c>
      <c r="AC32" s="59" t="n">
        <f aca="false">AC31+1</f>
        <v>23</v>
      </c>
      <c r="AD32" s="74"/>
      <c r="AE32" s="74"/>
      <c r="AF32" s="78"/>
    </row>
    <row r="33" customFormat="false" ht="11.1" hidden="false" customHeight="true" outlineLevel="0" collapsed="false">
      <c r="A33" s="59" t="n">
        <f aca="false">A32+1</f>
        <v>24</v>
      </c>
      <c r="B33" s="76" t="n">
        <v>6911.89</v>
      </c>
      <c r="C33" s="54" t="n">
        <v>329600</v>
      </c>
      <c r="D33" s="58" t="n">
        <f aca="false">C33-C32</f>
        <v>-670</v>
      </c>
      <c r="E33" s="54" t="n">
        <f aca="false">C33-152000</f>
        <v>177600</v>
      </c>
      <c r="F33" s="53" t="n">
        <f aca="false">D33/$D$2</f>
        <v>-337.871911245587</v>
      </c>
      <c r="G33" s="53" t="n">
        <v>84.17</v>
      </c>
      <c r="H33" s="55" t="n">
        <v>0</v>
      </c>
      <c r="I33" s="53" t="n">
        <f aca="false">G33+H33</f>
        <v>84.17</v>
      </c>
      <c r="J33" s="77" t="n">
        <f aca="false">IF(L33&gt;0,L33,0)</f>
        <v>2.16808875441245</v>
      </c>
      <c r="K33" s="53" t="n">
        <f aca="false">I33+J33</f>
        <v>86.3380887544125</v>
      </c>
      <c r="L33" s="53" t="n">
        <f aca="false">F33-(I33-W33)</f>
        <v>2.16808875441245</v>
      </c>
      <c r="M33" s="53" t="n">
        <v>195.07</v>
      </c>
      <c r="N33" s="53" t="n">
        <f aca="false">(15.29+15.54)*1.05</f>
        <v>32.3715</v>
      </c>
      <c r="O33" s="53" t="n">
        <f aca="false">M33-N33</f>
        <v>162.6985</v>
      </c>
      <c r="P33" s="53" t="n">
        <v>59.83</v>
      </c>
      <c r="Q33" s="53" t="n">
        <v>57.84</v>
      </c>
      <c r="R33" s="53" t="n">
        <f aca="false">SUM(O33:Q33)</f>
        <v>280.3685</v>
      </c>
      <c r="S33" s="54" t="n">
        <f aca="false">(I33-R33)+S32</f>
        <v>-4692.32648184569</v>
      </c>
      <c r="T33" s="53" t="n">
        <v>25.21</v>
      </c>
      <c r="U33" s="53" t="n">
        <v>86.26</v>
      </c>
      <c r="V33" s="54" t="n">
        <f aca="false">V32-U33</f>
        <v>2232.45</v>
      </c>
      <c r="W33" s="53" t="n">
        <f aca="false">R33+T33+N33+U33</f>
        <v>424.21</v>
      </c>
      <c r="X33" s="53" t="n">
        <f aca="false">IF(L33&lt;0,L33*-1,0)</f>
        <v>0</v>
      </c>
      <c r="Y33" s="53" t="n">
        <f aca="false">W33+X33</f>
        <v>424.21</v>
      </c>
      <c r="Z33" s="57" t="n">
        <v>0</v>
      </c>
      <c r="AA33" s="58" t="n">
        <v>68</v>
      </c>
      <c r="AB33" s="86" t="n">
        <v>35</v>
      </c>
      <c r="AC33" s="59" t="n">
        <f aca="false">AC32+1</f>
        <v>24</v>
      </c>
      <c r="AD33" s="74"/>
      <c r="AE33" s="74"/>
      <c r="AF33" s="78"/>
    </row>
    <row r="34" customFormat="false" ht="11.1" hidden="false" customHeight="true" outlineLevel="0" collapsed="false">
      <c r="A34" s="59" t="n">
        <f aca="false">A33+1</f>
        <v>25</v>
      </c>
      <c r="B34" s="76" t="n">
        <v>6911.71</v>
      </c>
      <c r="C34" s="54" t="n">
        <v>328871</v>
      </c>
      <c r="D34" s="58" t="n">
        <f aca="false">C34-C33</f>
        <v>-729</v>
      </c>
      <c r="E34" s="54" t="n">
        <f aca="false">C34-152000</f>
        <v>176871</v>
      </c>
      <c r="F34" s="53" t="n">
        <f aca="false">D34/$D$2</f>
        <v>-367.624810892587</v>
      </c>
      <c r="G34" s="53" t="n">
        <v>82.97</v>
      </c>
      <c r="H34" s="55" t="n">
        <v>0</v>
      </c>
      <c r="I34" s="53" t="n">
        <f aca="false">G34+H34</f>
        <v>82.97</v>
      </c>
      <c r="J34" s="77" t="n">
        <f aca="false">IF(L34&gt;0,L34,0)</f>
        <v>0</v>
      </c>
      <c r="K34" s="53" t="n">
        <f aca="false">I34+J34</f>
        <v>82.97</v>
      </c>
      <c r="L34" s="53" t="n">
        <f aca="false">F34-(I34-W34)</f>
        <v>-32.624810892587</v>
      </c>
      <c r="M34" s="53" t="n">
        <v>189.93</v>
      </c>
      <c r="N34" s="53" t="n">
        <f aca="false">(18.87+18.71)*1.05</f>
        <v>39.459</v>
      </c>
      <c r="O34" s="53" t="n">
        <f aca="false">M34-N34</f>
        <v>150.471</v>
      </c>
      <c r="P34" s="53" t="n">
        <v>59.64</v>
      </c>
      <c r="Q34" s="53" t="n">
        <v>55.78</v>
      </c>
      <c r="R34" s="53" t="n">
        <f aca="false">SUM(O34:Q34)</f>
        <v>265.891</v>
      </c>
      <c r="S34" s="54" t="n">
        <f aca="false">(I34-R34)+S33</f>
        <v>-4875.24748184569</v>
      </c>
      <c r="T34" s="53" t="n">
        <v>26.32</v>
      </c>
      <c r="U34" s="53" t="n">
        <v>86.3</v>
      </c>
      <c r="V34" s="54" t="n">
        <f aca="false">V33-U34</f>
        <v>2146.15</v>
      </c>
      <c r="W34" s="53" t="n">
        <f aca="false">R34+T34+N34+U34</f>
        <v>417.97</v>
      </c>
      <c r="X34" s="53" t="n">
        <f aca="false">IF(L34&lt;0,L34*-1,0)</f>
        <v>32.624810892587</v>
      </c>
      <c r="Y34" s="53" t="n">
        <f aca="false">W34+X34</f>
        <v>450.594810892587</v>
      </c>
      <c r="Z34" s="57" t="n">
        <v>0</v>
      </c>
      <c r="AA34" s="58" t="n">
        <v>67</v>
      </c>
      <c r="AB34" s="86" t="n">
        <v>33</v>
      </c>
      <c r="AC34" s="59" t="n">
        <f aca="false">AC33+1</f>
        <v>25</v>
      </c>
      <c r="AD34" s="74"/>
      <c r="AE34" s="74"/>
      <c r="AF34" s="78"/>
    </row>
    <row r="35" customFormat="false" ht="11.1" hidden="false" customHeight="true" outlineLevel="0" collapsed="false">
      <c r="A35" s="59" t="n">
        <f aca="false">A34+1</f>
        <v>26</v>
      </c>
      <c r="B35" s="76" t="n">
        <v>6911.56</v>
      </c>
      <c r="C35" s="54" t="n">
        <v>328264</v>
      </c>
      <c r="D35" s="58" t="n">
        <f aca="false">C35-C34</f>
        <v>-607</v>
      </c>
      <c r="E35" s="54" t="n">
        <f aca="false">C35-152000</f>
        <v>176264</v>
      </c>
      <c r="F35" s="53" t="n">
        <f aca="false">D35/$D$2</f>
        <v>-306.101865859808</v>
      </c>
      <c r="G35" s="53" t="n">
        <v>78.18</v>
      </c>
      <c r="H35" s="55" t="n">
        <v>0</v>
      </c>
      <c r="I35" s="53" t="n">
        <f aca="false">G35+H35</f>
        <v>78.18</v>
      </c>
      <c r="J35" s="77" t="n">
        <f aca="false">IF(L35&gt;0,L35,0)</f>
        <v>33.0781341401916</v>
      </c>
      <c r="K35" s="53" t="n">
        <f aca="false">I35+J35</f>
        <v>111.258134140192</v>
      </c>
      <c r="L35" s="53" t="n">
        <f aca="false">F35-(I35-W35)</f>
        <v>33.0781341401916</v>
      </c>
      <c r="M35" s="53" t="n">
        <v>190.11</v>
      </c>
      <c r="N35" s="53" t="n">
        <f aca="false">(16.85+18.44)*1.05</f>
        <v>37.0545</v>
      </c>
      <c r="O35" s="53" t="n">
        <f aca="false">M35-N35</f>
        <v>153.0555</v>
      </c>
      <c r="P35" s="53" t="n">
        <v>59.94</v>
      </c>
      <c r="Q35" s="53" t="n">
        <v>53.6</v>
      </c>
      <c r="R35" s="53" t="n">
        <f aca="false">SUM(O35:Q35)</f>
        <v>266.5955</v>
      </c>
      <c r="S35" s="54" t="n">
        <f aca="false">(I35-R35)+S34</f>
        <v>-5063.66298184569</v>
      </c>
      <c r="T35" s="53" t="n">
        <v>27.46</v>
      </c>
      <c r="U35" s="53" t="n">
        <v>86.25</v>
      </c>
      <c r="V35" s="54" t="n">
        <f aca="false">V34-U35</f>
        <v>2059.9</v>
      </c>
      <c r="W35" s="53" t="n">
        <f aca="false">R35+T35+N35+U35</f>
        <v>417.36</v>
      </c>
      <c r="X35" s="53" t="n">
        <f aca="false">IF(L35&lt;0,L35*-1,0)</f>
        <v>0</v>
      </c>
      <c r="Y35" s="53" t="n">
        <f aca="false">W35+X35</f>
        <v>417.36</v>
      </c>
      <c r="Z35" s="57" t="n">
        <v>0</v>
      </c>
      <c r="AA35" s="58" t="n">
        <v>73</v>
      </c>
      <c r="AB35" s="58" t="n">
        <v>45</v>
      </c>
      <c r="AC35" s="59" t="n">
        <f aca="false">AC34+1</f>
        <v>26</v>
      </c>
      <c r="AD35" s="74"/>
      <c r="AE35" s="74"/>
      <c r="AF35" s="78"/>
    </row>
    <row r="36" customFormat="false" ht="11.1" hidden="false" customHeight="true" outlineLevel="0" collapsed="false">
      <c r="A36" s="59" t="n">
        <f aca="false">A35+1</f>
        <v>27</v>
      </c>
      <c r="B36" s="76" t="n">
        <v>6911.37</v>
      </c>
      <c r="C36" s="54" t="n">
        <v>327496</v>
      </c>
      <c r="D36" s="58" t="n">
        <f aca="false">C36-C35</f>
        <v>-768</v>
      </c>
      <c r="E36" s="54" t="n">
        <f aca="false">C36-152000</f>
        <v>175496</v>
      </c>
      <c r="F36" s="53" t="n">
        <f aca="false">D36/$D$2</f>
        <v>-387.291981845688</v>
      </c>
      <c r="G36" s="53" t="n">
        <v>80.39</v>
      </c>
      <c r="H36" s="55" t="n">
        <v>0</v>
      </c>
      <c r="I36" s="53" t="n">
        <f aca="false">G36+H36</f>
        <v>80.39</v>
      </c>
      <c r="J36" s="77" t="n">
        <f aca="false">IF(L36&gt;0,L36,0)</f>
        <v>0</v>
      </c>
      <c r="K36" s="53" t="n">
        <f aca="false">I36+J36</f>
        <v>80.39</v>
      </c>
      <c r="L36" s="53" t="n">
        <f aca="false">F36-(I36-W36)</f>
        <v>-50.5719818456883</v>
      </c>
      <c r="M36" s="53" t="n">
        <v>189.35</v>
      </c>
      <c r="N36" s="53" t="n">
        <f aca="false">(16.69+18.42)*1.05</f>
        <v>36.8655</v>
      </c>
      <c r="O36" s="53" t="n">
        <f aca="false">M36-N36</f>
        <v>152.4845</v>
      </c>
      <c r="P36" s="53" t="n">
        <v>59.72</v>
      </c>
      <c r="Q36" s="53" t="n">
        <v>50.56</v>
      </c>
      <c r="R36" s="53" t="n">
        <f aca="false">SUM(O36:Q36)</f>
        <v>262.7645</v>
      </c>
      <c r="S36" s="54" t="n">
        <f aca="false">(I36-R36)+S35</f>
        <v>-5246.03748184569</v>
      </c>
      <c r="T36" s="53" t="n">
        <v>30.95</v>
      </c>
      <c r="U36" s="53" t="n">
        <v>86.53</v>
      </c>
      <c r="V36" s="54" t="n">
        <f aca="false">V35-U36</f>
        <v>1973.37</v>
      </c>
      <c r="W36" s="53" t="n">
        <f aca="false">R36+T36+N36+U36</f>
        <v>417.11</v>
      </c>
      <c r="X36" s="53" t="n">
        <f aca="false">IF(L36&lt;0,L36*-1,0)</f>
        <v>50.5719818456883</v>
      </c>
      <c r="Y36" s="53" t="n">
        <f aca="false">W36+X36</f>
        <v>467.681981845688</v>
      </c>
      <c r="Z36" s="57" t="n">
        <v>0.07</v>
      </c>
      <c r="AA36" s="58" t="n">
        <v>72</v>
      </c>
      <c r="AB36" s="58" t="n">
        <v>46</v>
      </c>
      <c r="AC36" s="59" t="n">
        <f aca="false">AC35+1</f>
        <v>27</v>
      </c>
      <c r="AD36" s="74"/>
      <c r="AE36" s="74"/>
      <c r="AF36" s="78"/>
    </row>
    <row r="37" customFormat="false" ht="11.1" hidden="false" customHeight="true" outlineLevel="0" collapsed="false">
      <c r="A37" s="59" t="n">
        <f aca="false">A36+1</f>
        <v>28</v>
      </c>
      <c r="B37" s="76" t="n">
        <v>6911.25</v>
      </c>
      <c r="C37" s="54" t="n">
        <v>327010</v>
      </c>
      <c r="D37" s="58" t="n">
        <f aca="false">C37-C36</f>
        <v>-486</v>
      </c>
      <c r="E37" s="54" t="n">
        <f aca="false">C37-152000</f>
        <v>175010</v>
      </c>
      <c r="F37" s="53" t="n">
        <f aca="false">D37/$D$2</f>
        <v>-245.083207261725</v>
      </c>
      <c r="G37" s="53" t="n">
        <v>88.47</v>
      </c>
      <c r="H37" s="55" t="n">
        <v>0</v>
      </c>
      <c r="I37" s="53" t="n">
        <f aca="false">G37+H37</f>
        <v>88.47</v>
      </c>
      <c r="J37" s="77" t="n">
        <f aca="false">IF(L37&gt;0,L37,0)</f>
        <v>57.4467927382753</v>
      </c>
      <c r="K37" s="53" t="n">
        <f aca="false">I37+J37</f>
        <v>145.916792738275</v>
      </c>
      <c r="L37" s="53" t="n">
        <f aca="false">F37-(I37-W37)</f>
        <v>57.4467927382753</v>
      </c>
      <c r="M37" s="53" t="n">
        <v>176.65</v>
      </c>
      <c r="N37" s="53" t="n">
        <f aca="false">(16.68+18.41)*1.05</f>
        <v>36.8445</v>
      </c>
      <c r="O37" s="53" t="n">
        <f aca="false">M37-N37</f>
        <v>139.8055</v>
      </c>
      <c r="P37" s="53" t="n">
        <v>59.62</v>
      </c>
      <c r="Q37" s="53" t="n">
        <v>46.78</v>
      </c>
      <c r="R37" s="53" t="n">
        <f aca="false">SUM(O37:Q37)</f>
        <v>246.2055</v>
      </c>
      <c r="S37" s="54" t="n">
        <f aca="false">(I37-R37)+S36</f>
        <v>-5403.77298184569</v>
      </c>
      <c r="T37" s="53" t="n">
        <v>21.52</v>
      </c>
      <c r="U37" s="53" t="n">
        <v>86.43</v>
      </c>
      <c r="V37" s="54" t="n">
        <f aca="false">V36-U37</f>
        <v>1886.94</v>
      </c>
      <c r="W37" s="53" t="n">
        <f aca="false">R37+T37+N37+U37</f>
        <v>391</v>
      </c>
      <c r="X37" s="53" t="n">
        <f aca="false">IF(L37&lt;0,L37*-1,0)</f>
        <v>0</v>
      </c>
      <c r="Y37" s="53" t="n">
        <f aca="false">W37+X37</f>
        <v>391</v>
      </c>
      <c r="Z37" s="57" t="n">
        <v>0.34</v>
      </c>
      <c r="AA37" s="58" t="n">
        <v>64</v>
      </c>
      <c r="AB37" s="58" t="n">
        <v>51</v>
      </c>
      <c r="AC37" s="59" t="n">
        <f aca="false">AC36+1</f>
        <v>28</v>
      </c>
      <c r="AD37" s="74"/>
      <c r="AE37" s="74"/>
      <c r="AF37" s="78"/>
    </row>
    <row r="38" customFormat="false" ht="11.1" hidden="false" customHeight="true" outlineLevel="0" collapsed="false">
      <c r="A38" s="59" t="n">
        <f aca="false">A37+1</f>
        <v>29</v>
      </c>
      <c r="B38" s="76" t="n">
        <v>6911.21</v>
      </c>
      <c r="C38" s="54" t="n">
        <v>326848</v>
      </c>
      <c r="D38" s="58" t="n">
        <f aca="false">C38-C37</f>
        <v>-162</v>
      </c>
      <c r="E38" s="54" t="n">
        <f aca="false">C38-152000</f>
        <v>174848</v>
      </c>
      <c r="F38" s="53" t="n">
        <f aca="false">D38/$D$2</f>
        <v>-81.6944024205749</v>
      </c>
      <c r="G38" s="53" t="n">
        <v>175.09</v>
      </c>
      <c r="H38" s="55" t="n">
        <v>0</v>
      </c>
      <c r="I38" s="53" t="n">
        <f aca="false">G38+H38</f>
        <v>175.09</v>
      </c>
      <c r="J38" s="77" t="n">
        <f aca="false">IF(L38&gt;0,L38,0)</f>
        <v>79.6355975794251</v>
      </c>
      <c r="K38" s="53" t="n">
        <f aca="false">I38+J38</f>
        <v>254.725597579425</v>
      </c>
      <c r="L38" s="53" t="n">
        <f aca="false">F38-(I38-W38)</f>
        <v>79.6355975794251</v>
      </c>
      <c r="M38" s="53" t="n">
        <v>137.69</v>
      </c>
      <c r="N38" s="53" t="n">
        <f aca="false">(10.89+10.24)*1.05</f>
        <v>22.1865</v>
      </c>
      <c r="O38" s="53" t="n">
        <f aca="false">M38-N38</f>
        <v>115.5035</v>
      </c>
      <c r="P38" s="53" t="n">
        <v>59.6</v>
      </c>
      <c r="Q38" s="53" t="n">
        <v>43.7</v>
      </c>
      <c r="R38" s="53" t="n">
        <f aca="false">SUM(O38:Q38)</f>
        <v>218.8035</v>
      </c>
      <c r="S38" s="54" t="n">
        <f aca="false">(I38-R38)+S37</f>
        <v>-5447.48648184569</v>
      </c>
      <c r="T38" s="53" t="n">
        <v>8.44</v>
      </c>
      <c r="U38" s="53" t="n">
        <v>86.99</v>
      </c>
      <c r="V38" s="54" t="n">
        <f aca="false">V37-U38</f>
        <v>1799.95</v>
      </c>
      <c r="W38" s="53" t="n">
        <f aca="false">R38+T38+N38+U38</f>
        <v>336.42</v>
      </c>
      <c r="X38" s="53" t="n">
        <f aca="false">IF(L38&lt;0,L38*-1,0)</f>
        <v>0</v>
      </c>
      <c r="Y38" s="53" t="n">
        <f aca="false">W38+X38</f>
        <v>336.42</v>
      </c>
      <c r="Z38" s="57" t="n">
        <v>0.22</v>
      </c>
      <c r="AA38" s="86" t="n">
        <v>61</v>
      </c>
      <c r="AB38" s="58" t="n">
        <v>44</v>
      </c>
      <c r="AC38" s="59" t="n">
        <f aca="false">AC37+1</f>
        <v>29</v>
      </c>
      <c r="AD38" s="74"/>
      <c r="AE38" s="78"/>
      <c r="AF38" s="78"/>
    </row>
    <row r="39" customFormat="false" ht="11.1" hidden="false" customHeight="true" outlineLevel="0" collapsed="false">
      <c r="A39" s="59" t="n">
        <v>30</v>
      </c>
      <c r="B39" s="76" t="n">
        <v>6911.18</v>
      </c>
      <c r="C39" s="54" t="n">
        <v>326728</v>
      </c>
      <c r="D39" s="58" t="n">
        <f aca="false">C39-C38</f>
        <v>-120</v>
      </c>
      <c r="E39" s="54" t="n">
        <f aca="false">C39-152000</f>
        <v>174728</v>
      </c>
      <c r="F39" s="53" t="n">
        <f aca="false">D39/$D$2</f>
        <v>-60.5143721633888</v>
      </c>
      <c r="G39" s="53" t="n">
        <v>210.95</v>
      </c>
      <c r="H39" s="55" t="n">
        <v>0</v>
      </c>
      <c r="I39" s="53" t="n">
        <f aca="false">G39+H39</f>
        <v>210.95</v>
      </c>
      <c r="J39" s="77" t="n">
        <f aca="false">IF(L39&gt;0,L39,0)</f>
        <v>37.3356278366112</v>
      </c>
      <c r="K39" s="53" t="n">
        <f aca="false">I39+J39</f>
        <v>248.285627836611</v>
      </c>
      <c r="L39" s="53" t="n">
        <f aca="false">F39-(I39-W39)</f>
        <v>37.3356278366112</v>
      </c>
      <c r="M39" s="53" t="n">
        <v>121.91</v>
      </c>
      <c r="N39" s="53" t="n">
        <f aca="false">(1.76+1.41)*1.05</f>
        <v>3.3285</v>
      </c>
      <c r="O39" s="53" t="n">
        <f aca="false">M39-N39</f>
        <v>118.5815</v>
      </c>
      <c r="P39" s="53" t="n">
        <v>59.46</v>
      </c>
      <c r="Q39" s="53" t="n">
        <v>40.81</v>
      </c>
      <c r="R39" s="53" t="n">
        <f aca="false">SUM(O39:Q39)</f>
        <v>218.8515</v>
      </c>
      <c r="S39" s="54" t="n">
        <f aca="false">(I39-R39)+S38</f>
        <v>-5455.38798184569</v>
      </c>
      <c r="T39" s="53" t="n">
        <f aca="false">(AD39-AD38)/$D$2</f>
        <v>0</v>
      </c>
      <c r="U39" s="53" t="n">
        <v>86.62</v>
      </c>
      <c r="V39" s="54" t="n">
        <f aca="false">V38-U39</f>
        <v>1713.33</v>
      </c>
      <c r="W39" s="53" t="n">
        <f aca="false">R39+T39+N39+U39</f>
        <v>308.8</v>
      </c>
      <c r="X39" s="53" t="n">
        <f aca="false">IF(L39&lt;0,L39*-1,0)</f>
        <v>0</v>
      </c>
      <c r="Y39" s="53" t="n">
        <f aca="false">W39+X39</f>
        <v>308.8</v>
      </c>
      <c r="Z39" s="57" t="n">
        <v>0</v>
      </c>
      <c r="AA39" s="86" t="n">
        <v>64</v>
      </c>
      <c r="AB39" s="58" t="n">
        <v>33</v>
      </c>
      <c r="AC39" s="59" t="n">
        <v>30</v>
      </c>
      <c r="AD39" s="74"/>
      <c r="AE39" s="78"/>
      <c r="AF39" s="78"/>
    </row>
    <row r="40" customFormat="false" ht="3" hidden="false" customHeight="true" outlineLevel="0" collapsed="false">
      <c r="A40" s="79"/>
      <c r="B40" s="79"/>
      <c r="C40" s="81"/>
      <c r="D40" s="79"/>
      <c r="E40" s="81"/>
      <c r="F40" s="79"/>
      <c r="G40" s="79"/>
      <c r="H40" s="82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81"/>
      <c r="T40" s="79"/>
      <c r="U40" s="79"/>
      <c r="V40" s="79"/>
      <c r="W40" s="79"/>
      <c r="X40" s="79"/>
      <c r="Y40" s="79"/>
      <c r="Z40" s="83"/>
      <c r="AA40" s="84" t="n">
        <v>73</v>
      </c>
      <c r="AB40" s="84"/>
      <c r="AC40" s="85"/>
      <c r="AD40" s="74"/>
      <c r="AE40" s="74"/>
      <c r="AF40" s="75"/>
    </row>
    <row r="41" customFormat="false" ht="11.1" hidden="false" customHeight="true" outlineLevel="0" collapsed="false">
      <c r="A41" s="53" t="s">
        <v>45</v>
      </c>
      <c r="B41" s="53"/>
      <c r="C41" s="54"/>
      <c r="D41" s="54"/>
      <c r="E41" s="54"/>
      <c r="F41" s="54" t="n">
        <f aca="false">SUM(F10:F39)</f>
        <v>-9046.89863842663</v>
      </c>
      <c r="G41" s="54" t="n">
        <f aca="false">SUM(G10:G39)</f>
        <v>4840.84</v>
      </c>
      <c r="H41" s="54" t="n">
        <f aca="false">SUM(H10:H39)</f>
        <v>0</v>
      </c>
      <c r="I41" s="54" t="n">
        <f aca="false">SUM(I10:I39)</f>
        <v>4840.86</v>
      </c>
      <c r="J41" s="54" t="n">
        <f aca="false">SUM(J10:J39)</f>
        <v>1124.83150277358</v>
      </c>
      <c r="K41" s="54" t="n">
        <f aca="false">SUM(K10:K39)</f>
        <v>5965.69150277358</v>
      </c>
      <c r="L41" s="54" t="n">
        <f aca="false">SUM(L10:L39)</f>
        <v>258.601361573374</v>
      </c>
      <c r="M41" s="54" t="n">
        <f aca="false">SUM(M10:M39)</f>
        <v>5761.16</v>
      </c>
      <c r="N41" s="54" t="n">
        <f aca="false">SUM(N10:N39)</f>
        <v>935.655</v>
      </c>
      <c r="O41" s="54" t="n">
        <f aca="false">SUM(O10:O39)</f>
        <v>4825.505</v>
      </c>
      <c r="P41" s="54" t="n">
        <f aca="false">SUM(P10:P39)</f>
        <v>1969.76</v>
      </c>
      <c r="Q41" s="54" t="n">
        <f aca="false">SUM(Q10:Q39)</f>
        <v>2013.74</v>
      </c>
      <c r="R41" s="54" t="n">
        <f aca="false">SUM(R10:R39)</f>
        <v>8809.005</v>
      </c>
      <c r="S41" s="54" t="n">
        <f aca="false">S39-S7</f>
        <v>-3968.145</v>
      </c>
      <c r="T41" s="54" t="n">
        <f aca="false">SUM(T10:T39)</f>
        <v>1784.69</v>
      </c>
      <c r="U41" s="54" t="n">
        <f aca="false">SUM(U10:U39)</f>
        <v>2617.01</v>
      </c>
      <c r="V41" s="54"/>
      <c r="W41" s="54" t="n">
        <f aca="false">SUM(W10:W39)</f>
        <v>14146.36</v>
      </c>
      <c r="X41" s="54" t="n">
        <f aca="false">SUM(X10:X39)</f>
        <v>866.230141200201</v>
      </c>
      <c r="Y41" s="54" t="n">
        <f aca="false">SUM(Y10:Y39)</f>
        <v>15012.5901412002</v>
      </c>
      <c r="Z41" s="57" t="n">
        <f aca="false">SUM(Z10:Z39)</f>
        <v>3.07</v>
      </c>
      <c r="AA41" s="58" t="n">
        <f aca="false">AVERAGE(AA10:AA39)</f>
        <v>76.4666666666667</v>
      </c>
      <c r="AB41" s="58" t="n">
        <f aca="false">AVERAGE(AB10:AB39)</f>
        <v>48</v>
      </c>
      <c r="AC41" s="59"/>
      <c r="AD41" s="74"/>
      <c r="AE41" s="74"/>
      <c r="AF41" s="75"/>
    </row>
    <row r="42" customFormat="false" ht="11.1" hidden="false" customHeight="true" outlineLevel="0" collapsed="false">
      <c r="A42" s="53" t="s">
        <v>46</v>
      </c>
      <c r="B42" s="53"/>
      <c r="C42" s="54"/>
      <c r="D42" s="54" t="n">
        <f aca="false">SUM(D10:D39)</f>
        <v>-17940</v>
      </c>
      <c r="E42" s="54"/>
      <c r="F42" s="54" t="n">
        <f aca="false">F41*$D$2</f>
        <v>-17940</v>
      </c>
      <c r="G42" s="54" t="n">
        <f aca="false">G41*$D$2</f>
        <v>9599.38572</v>
      </c>
      <c r="H42" s="54" t="n">
        <f aca="false">H41*$D$2</f>
        <v>0</v>
      </c>
      <c r="I42" s="54" t="n">
        <f aca="false">I41*$D$2</f>
        <v>9599.42538</v>
      </c>
      <c r="J42" s="54" t="n">
        <f aca="false">J41*$D$2</f>
        <v>2230.54087</v>
      </c>
      <c r="K42" s="54" t="n">
        <f aca="false">K41*$D$2</f>
        <v>11829.96625</v>
      </c>
      <c r="L42" s="54" t="n">
        <f aca="false">L41*$D$2</f>
        <v>512.806500000001</v>
      </c>
      <c r="M42" s="54" t="n">
        <f aca="false">M41*$D$2</f>
        <v>11424.38028</v>
      </c>
      <c r="N42" s="54" t="n">
        <f aca="false">N41*$D$2</f>
        <v>1855.403865</v>
      </c>
      <c r="O42" s="54" t="n">
        <f aca="false">O41*$D$2</f>
        <v>9568.976415</v>
      </c>
      <c r="P42" s="54" t="n">
        <f aca="false">P41*$D$2</f>
        <v>3906.03408</v>
      </c>
      <c r="Q42" s="54" t="n">
        <f aca="false">Q41*$D$2</f>
        <v>3993.24642</v>
      </c>
      <c r="R42" s="54" t="n">
        <f aca="false">R41*$D$2</f>
        <v>17468.256915</v>
      </c>
      <c r="S42" s="54" t="n">
        <f aca="false">S41*$D$2</f>
        <v>-7868.831535</v>
      </c>
      <c r="T42" s="54" t="n">
        <f aca="false">T41*$D$2</f>
        <v>3539.04027</v>
      </c>
      <c r="U42" s="54" t="n">
        <f aca="false">U41*$D$2</f>
        <v>5189.53083</v>
      </c>
      <c r="V42" s="54" t="n">
        <f aca="false">V41*$D$2</f>
        <v>0</v>
      </c>
      <c r="W42" s="54" t="n">
        <f aca="false">W41*$D$2</f>
        <v>28052.23188</v>
      </c>
      <c r="X42" s="54" t="n">
        <f aca="false">X41*$D$2</f>
        <v>1717.73437</v>
      </c>
      <c r="Y42" s="54" t="n">
        <f aca="false">Y41*$D$2</f>
        <v>29769.96625</v>
      </c>
      <c r="Z42" s="57"/>
      <c r="AA42" s="58" t="n">
        <f aca="false">MAX(AA10:AA39)</f>
        <v>92</v>
      </c>
      <c r="AB42" s="58" t="n">
        <f aca="false">MAX(AB10:AB39)</f>
        <v>60</v>
      </c>
      <c r="AC42" s="59" t="s">
        <v>47</v>
      </c>
      <c r="AD42" s="74"/>
      <c r="AE42" s="74"/>
      <c r="AF42" s="75"/>
    </row>
    <row r="43" customFormat="false" ht="3" hidden="false" customHeight="true" outlineLevel="0" collapsed="false">
      <c r="A43" s="79"/>
      <c r="B43" s="79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79"/>
      <c r="W43" s="81"/>
      <c r="X43" s="81"/>
      <c r="Y43" s="81"/>
      <c r="Z43" s="57"/>
      <c r="AA43" s="58"/>
      <c r="AB43" s="58"/>
      <c r="AC43" s="59"/>
      <c r="AD43" s="74"/>
      <c r="AE43" s="74"/>
      <c r="AF43" s="75"/>
    </row>
    <row r="44" customFormat="false" ht="11.1" hidden="false" customHeight="true" outlineLevel="0" collapsed="false">
      <c r="A44" s="53" t="s">
        <v>48</v>
      </c>
      <c r="B44" s="53"/>
      <c r="C44" s="54"/>
      <c r="D44" s="54"/>
      <c r="E44" s="54"/>
      <c r="F44" s="54" t="n">
        <f aca="false">F7+F41</f>
        <v>8719.11245587494</v>
      </c>
      <c r="G44" s="54" t="n">
        <f aca="false">G7+G41</f>
        <v>186652.2</v>
      </c>
      <c r="H44" s="54" t="n">
        <f aca="false">H7+H41</f>
        <v>12482.96</v>
      </c>
      <c r="I44" s="54" t="n">
        <f aca="false">I7+I41</f>
        <v>199008.56</v>
      </c>
      <c r="J44" s="54" t="n">
        <f aca="false">J7+J41</f>
        <v>51745.191190116</v>
      </c>
      <c r="K44" s="54" t="n">
        <f aca="false">K7+K41</f>
        <v>250753.751190116</v>
      </c>
      <c r="L44" s="54" t="n">
        <f aca="false">L7+L41</f>
        <v>49939.3915733737</v>
      </c>
      <c r="M44" s="54" t="n">
        <f aca="false">M7+M41</f>
        <v>36423.76</v>
      </c>
      <c r="N44" s="54" t="n">
        <f aca="false">N7+N41</f>
        <v>5157.88354633888</v>
      </c>
      <c r="O44" s="54" t="n">
        <f aca="false">O7+O41</f>
        <v>31261.8024536611</v>
      </c>
      <c r="P44" s="54" t="n">
        <f aca="false">P7+P41</f>
        <v>17834.8</v>
      </c>
      <c r="Q44" s="54" t="n">
        <f aca="false">Q7+Q41</f>
        <v>11424.66</v>
      </c>
      <c r="R44" s="54" t="n">
        <f aca="false">R7+R41</f>
        <v>60521.2624536611</v>
      </c>
      <c r="S44" s="54" t="n">
        <f aca="false">S39</f>
        <v>-5455.38798184569</v>
      </c>
      <c r="T44" s="54" t="n">
        <f aca="false">T7+T41</f>
        <v>16467.1634140192</v>
      </c>
      <c r="U44" s="54" t="n">
        <f aca="false">U7+U41</f>
        <v>158086.02</v>
      </c>
      <c r="V44" s="54"/>
      <c r="W44" s="54" t="n">
        <f aca="false">W7+W41</f>
        <v>240228.839117499</v>
      </c>
      <c r="X44" s="54" t="n">
        <f aca="false">X7+X41</f>
        <v>1805.79961674231</v>
      </c>
      <c r="Y44" s="54" t="n">
        <f aca="false">Y7+Y41</f>
        <v>242034.638734241</v>
      </c>
      <c r="Z44" s="57"/>
      <c r="AA44" s="58" t="n">
        <f aca="false">MIN(AA10:AA39)</f>
        <v>61</v>
      </c>
      <c r="AB44" s="58" t="n">
        <f aca="false">MIN(AB10:AB39)</f>
        <v>33</v>
      </c>
      <c r="AC44" s="59" t="s">
        <v>49</v>
      </c>
      <c r="AD44" s="74"/>
      <c r="AE44" s="74"/>
      <c r="AF44" s="7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F44*$D$2</f>
        <v>17290</v>
      </c>
      <c r="G45" s="54" t="n">
        <f aca="false">G44*$D$2</f>
        <v>370131.3126</v>
      </c>
      <c r="H45" s="54" t="n">
        <f aca="false">H44*$D$2</f>
        <v>24753.70968</v>
      </c>
      <c r="I45" s="54" t="n">
        <f aca="false">I44*$D$2</f>
        <v>394633.97448</v>
      </c>
      <c r="J45" s="54" t="n">
        <f aca="false">J44*$D$2</f>
        <v>102610.71413</v>
      </c>
      <c r="K45" s="54" t="n">
        <f aca="false">K44*$D$2</f>
        <v>497244.68861</v>
      </c>
      <c r="L45" s="54" t="n">
        <f aca="false">L44*$D$2</f>
        <v>99029.81349</v>
      </c>
      <c r="M45" s="54" t="n">
        <f aca="false">M44*$D$2</f>
        <v>72228.31608</v>
      </c>
      <c r="N45" s="54" t="n">
        <f aca="false">N44*$D$2</f>
        <v>10228.08307239</v>
      </c>
      <c r="O45" s="54" t="n">
        <f aca="false">O44*$D$2</f>
        <v>61992.15426561</v>
      </c>
      <c r="P45" s="54" t="n">
        <f aca="false">P44*$D$2</f>
        <v>35366.4084</v>
      </c>
      <c r="Q45" s="54" t="n">
        <f aca="false">Q44*$D$2</f>
        <v>22655.10078</v>
      </c>
      <c r="R45" s="54" t="n">
        <f aca="false">R44*$D$2</f>
        <v>120013.66344561</v>
      </c>
      <c r="S45" s="54" t="n">
        <f aca="false">S44*$D$2</f>
        <v>-10818.034368</v>
      </c>
      <c r="T45" s="54" t="n">
        <f aca="false">T44*$D$2</f>
        <v>32654.38505</v>
      </c>
      <c r="U45" s="54" t="n">
        <f aca="false">U44*$D$2</f>
        <v>313484.57766</v>
      </c>
      <c r="V45" s="54" t="n">
        <f aca="false">V44*$D$2</f>
        <v>0</v>
      </c>
      <c r="W45" s="54" t="n">
        <f aca="false">W44*$D$2</f>
        <v>476373.78797</v>
      </c>
      <c r="X45" s="54" t="n">
        <f aca="false">X44*$D$2</f>
        <v>3580.90064</v>
      </c>
      <c r="Y45" s="54" t="n">
        <f aca="false">Y44*$D$2</f>
        <v>479954.68861</v>
      </c>
      <c r="Z45" s="57"/>
      <c r="AA45" s="58"/>
      <c r="AB45" s="58"/>
      <c r="AC45" s="59"/>
      <c r="AD45" s="74"/>
      <c r="AE45" s="74"/>
      <c r="AF45" s="75"/>
    </row>
    <row r="46" customFormat="false" ht="3" hidden="false" customHeight="true" outlineLevel="0" collapsed="false">
      <c r="A46" s="79"/>
      <c r="B46" s="79"/>
      <c r="C46" s="81"/>
      <c r="D46" s="81"/>
      <c r="E46" s="81"/>
      <c r="F46" s="81"/>
      <c r="G46" s="81"/>
      <c r="H46" s="84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3"/>
      <c r="AA46" s="58"/>
      <c r="AB46" s="58"/>
      <c r="AC46" s="59"/>
      <c r="AD46" s="74"/>
      <c r="AE46" s="74"/>
      <c r="AF46" s="75"/>
    </row>
    <row r="47" customFormat="false" ht="11.1" hidden="false" customHeight="true" outlineLevel="0" collapsed="false">
      <c r="A47" s="53" t="s">
        <v>51</v>
      </c>
      <c r="B47" s="53"/>
      <c r="C47" s="54"/>
      <c r="D47" s="54"/>
      <c r="E47" s="54"/>
      <c r="F47" s="54" t="n">
        <f aca="false">F8+F41</f>
        <v>30340.3933434191</v>
      </c>
      <c r="G47" s="54" t="n">
        <f aca="false">G8+G41</f>
        <v>202441.142592032</v>
      </c>
      <c r="H47" s="58" t="n">
        <f aca="false">H8+H41</f>
        <v>14867.77</v>
      </c>
      <c r="I47" s="54" t="n">
        <f aca="false">I8+I41</f>
        <v>217182.212592032</v>
      </c>
      <c r="J47" s="54" t="n">
        <f aca="false">J8+J41</f>
        <v>64089.2728542612</v>
      </c>
      <c r="K47" s="54" t="n">
        <f aca="false">K8+K41</f>
        <v>281271.485446293</v>
      </c>
      <c r="L47" s="54" t="n">
        <f aca="false">L8+L41</f>
        <v>62046.4098688855</v>
      </c>
      <c r="M47" s="54" t="n">
        <f aca="false">M8+M41</f>
        <v>37326.21</v>
      </c>
      <c r="N47" s="54" t="n">
        <f aca="false">N8+N41</f>
        <v>5173.51354633888</v>
      </c>
      <c r="O47" s="54" t="n">
        <f aca="false">O8+O41</f>
        <v>31944.1224536611</v>
      </c>
      <c r="P47" s="54" t="n">
        <f aca="false">P8+P41</f>
        <v>20409.1</v>
      </c>
      <c r="Q47" s="54" t="n">
        <f aca="false">Q8+Q41</f>
        <v>11424.66</v>
      </c>
      <c r="R47" s="54" t="n">
        <f aca="false">R8+R41</f>
        <v>63858.3824536611</v>
      </c>
      <c r="S47" s="54"/>
      <c r="T47" s="54" t="n">
        <f aca="false">T8+T41</f>
        <v>16467.1634140192</v>
      </c>
      <c r="U47" s="54" t="n">
        <f aca="false">U8+U41</f>
        <v>163268.66</v>
      </c>
      <c r="V47" s="54" t="n">
        <f aca="false">V39</f>
        <v>1713.33</v>
      </c>
      <c r="W47" s="54" t="n">
        <f aca="false">W8+W41</f>
        <v>248888.229117499</v>
      </c>
      <c r="X47" s="54" t="n">
        <f aca="false">X8+X41</f>
        <v>2042.86298537569</v>
      </c>
      <c r="Y47" s="54" t="n">
        <f aca="false">Y8+Y41</f>
        <v>250931.092102874</v>
      </c>
      <c r="Z47" s="77" t="n">
        <f aca="false">Z8+Z41</f>
        <v>23.32</v>
      </c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52</v>
      </c>
      <c r="B48" s="53"/>
      <c r="C48" s="54"/>
      <c r="D48" s="54" t="n">
        <f aca="false">D8+D42</f>
        <v>60165</v>
      </c>
      <c r="E48" s="54" t="n">
        <f aca="false">E30</f>
        <v>179471</v>
      </c>
      <c r="F48" s="54" t="n">
        <f aca="false">F47*$D$2</f>
        <v>60165</v>
      </c>
      <c r="G48" s="54" t="n">
        <f aca="false">G47*$D$2</f>
        <v>401440.78576</v>
      </c>
      <c r="H48" s="58" t="n">
        <f aca="false">H47*$D$2</f>
        <v>29482.78791</v>
      </c>
      <c r="I48" s="54" t="n">
        <f aca="false">I47*$D$2</f>
        <v>430672.32757</v>
      </c>
      <c r="J48" s="54" t="n">
        <f aca="false">J47*$D$2</f>
        <v>127089.02807</v>
      </c>
      <c r="K48" s="54" t="n">
        <f aca="false">K47*$D$2</f>
        <v>557761.35564</v>
      </c>
      <c r="L48" s="54" t="n">
        <f aca="false">L47*$D$2</f>
        <v>123038.03077</v>
      </c>
      <c r="M48" s="54" t="n">
        <f aca="false">M47*$D$2</f>
        <v>74017.87443</v>
      </c>
      <c r="N48" s="54" t="n">
        <f aca="false">N47*$D$2</f>
        <v>10259.07736239</v>
      </c>
      <c r="O48" s="54" t="n">
        <f aca="false">O47*$D$2</f>
        <v>63345.19482561</v>
      </c>
      <c r="P48" s="54" t="n">
        <f aca="false">P47*$D$2</f>
        <v>40471.2453</v>
      </c>
      <c r="Q48" s="54" t="n">
        <f aca="false">Q47*$D$2</f>
        <v>22655.10078</v>
      </c>
      <c r="R48" s="54" t="n">
        <f aca="false">R47*$D$2</f>
        <v>126631.17240561</v>
      </c>
      <c r="S48" s="54" t="n">
        <f aca="false">S47*$D$2</f>
        <v>0</v>
      </c>
      <c r="T48" s="54" t="n">
        <f aca="false">T47*$D$2</f>
        <v>32654.38505</v>
      </c>
      <c r="U48" s="54" t="n">
        <f aca="false">U47*$D$2</f>
        <v>323761.75278</v>
      </c>
      <c r="V48" s="54" t="n">
        <f aca="false">V47*$D$2</f>
        <v>3397.53339000001</v>
      </c>
      <c r="W48" s="54" t="n">
        <f aca="false">W47*$D$2</f>
        <v>493545.35834</v>
      </c>
      <c r="X48" s="54" t="n">
        <f aca="false">X47*$D$2</f>
        <v>4050.9973</v>
      </c>
      <c r="Y48" s="54" t="n">
        <f aca="false">Y47*$D$2</f>
        <v>497596.35564</v>
      </c>
      <c r="Z48" s="57"/>
      <c r="AA48" s="58"/>
      <c r="AB48" s="58"/>
      <c r="AC48" s="59"/>
      <c r="AD48" s="74"/>
      <c r="AE48" s="74"/>
      <c r="AF48" s="75"/>
    </row>
    <row r="49" customFormat="false" ht="3" hidden="false" customHeight="true" outlineLevel="0" collapsed="false">
      <c r="A49" s="79"/>
      <c r="B49" s="79"/>
      <c r="C49" s="81"/>
      <c r="D49" s="79"/>
      <c r="E49" s="81"/>
      <c r="F49" s="79"/>
      <c r="G49" s="79"/>
      <c r="H49" s="82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81"/>
      <c r="T49" s="79"/>
      <c r="U49" s="79"/>
      <c r="V49" s="81"/>
      <c r="W49" s="79"/>
      <c r="X49" s="79"/>
      <c r="Y49" s="79"/>
      <c r="Z49" s="57"/>
      <c r="AA49" s="58"/>
      <c r="AB49" s="58"/>
      <c r="AC49" s="59"/>
      <c r="AD49" s="74"/>
      <c r="AE49" s="74"/>
      <c r="AF49" s="75"/>
    </row>
    <row r="50" customFormat="false" ht="11.1" hidden="false" customHeight="true" outlineLevel="0" collapsed="false">
      <c r="A50" s="101" t="str">
        <f aca="false">"OCT /12"</f>
        <v>OCT /12</v>
      </c>
      <c r="B50" s="89"/>
      <c r="C50" s="54"/>
      <c r="D50" s="53"/>
      <c r="E50" s="54"/>
      <c r="F50" s="53"/>
      <c r="G50" s="53"/>
      <c r="H50" s="55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4"/>
      <c r="T50" s="53"/>
      <c r="U50" s="53"/>
      <c r="V50" s="54"/>
      <c r="W50" s="53"/>
      <c r="X50" s="53"/>
      <c r="Y50" s="53"/>
      <c r="Z50" s="57"/>
      <c r="AA50" s="58"/>
      <c r="AB50" s="58"/>
      <c r="AC50" s="59"/>
      <c r="AD50" s="60"/>
      <c r="AE50" s="60"/>
    </row>
    <row r="51" customFormat="false" ht="11.1" hidden="false" customHeight="true" outlineLevel="0" collapsed="false">
      <c r="A51" s="53"/>
      <c r="B51" s="76" t="n">
        <v>6910.9</v>
      </c>
      <c r="C51" s="54" t="n">
        <v>325598</v>
      </c>
      <c r="D51" s="86"/>
      <c r="E51" s="54" t="n">
        <f aca="false">C51-152000</f>
        <v>173598</v>
      </c>
      <c r="F51" s="53"/>
      <c r="G51" s="53"/>
      <c r="H51" s="86"/>
      <c r="I51" s="55"/>
      <c r="J51" s="53"/>
      <c r="K51" s="43"/>
      <c r="L51" s="53"/>
      <c r="M51" s="53"/>
      <c r="N51" s="53"/>
      <c r="O51" s="53"/>
      <c r="P51" s="53"/>
      <c r="Q51" s="53"/>
      <c r="R51" s="53"/>
      <c r="S51" s="54"/>
      <c r="T51" s="86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86" t="str">
        <f aca="false">"10/12/95 thru10/12/95"</f>
        <v>10/12/95 thru10/12/95</v>
      </c>
      <c r="B52" s="86"/>
      <c r="C52" s="54"/>
      <c r="D52" s="54"/>
      <c r="E52" s="54"/>
      <c r="F52" s="86"/>
      <c r="G52" s="86"/>
      <c r="H52" s="55"/>
      <c r="I52" s="86"/>
      <c r="J52" s="86"/>
      <c r="K52" s="86"/>
      <c r="L52" s="86"/>
      <c r="M52" s="77"/>
      <c r="N52" s="77"/>
      <c r="O52" s="77"/>
      <c r="P52" s="86"/>
      <c r="Q52" s="86"/>
      <c r="R52" s="86"/>
      <c r="S52" s="54"/>
      <c r="T52" s="86"/>
      <c r="V52" s="54"/>
      <c r="W52" s="86"/>
      <c r="X52" s="86"/>
      <c r="Y52" s="86"/>
      <c r="Z52" s="57"/>
      <c r="AA52" s="58"/>
      <c r="AB52" s="58"/>
      <c r="AC52" s="59"/>
      <c r="AD52" s="90"/>
      <c r="AE52" s="90"/>
    </row>
    <row r="53" customFormat="false" ht="11.1" hidden="false" customHeight="true" outlineLevel="0" collapsed="false">
      <c r="A53" s="86"/>
      <c r="B53" s="57" t="n">
        <f aca="false">B51-B23</f>
        <v>-2.57999999999993</v>
      </c>
      <c r="C53" s="54"/>
      <c r="D53" s="54" t="n">
        <f aca="false">C51-C23</f>
        <v>-10496</v>
      </c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86"/>
      <c r="Q53" s="86"/>
      <c r="R53" s="86"/>
      <c r="S53" s="54"/>
      <c r="T53" s="86"/>
      <c r="V53" s="54"/>
      <c r="W53" s="86"/>
      <c r="X53" s="86"/>
      <c r="Y53" s="86"/>
      <c r="Z53" s="57"/>
      <c r="AA53" s="58"/>
      <c r="AB53" s="58"/>
      <c r="AC53" s="59"/>
      <c r="AD53" s="90"/>
      <c r="AE53" s="90"/>
    </row>
    <row r="54" customFormat="false" ht="11.1" hidden="false" customHeight="true" outlineLevel="0" collapsed="false">
      <c r="A54" s="86"/>
      <c r="B54" s="86"/>
      <c r="C54" s="54"/>
      <c r="D54" s="86"/>
      <c r="E54" s="54"/>
      <c r="F54" s="86"/>
      <c r="G54" s="91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/>
      <c r="V54" s="54"/>
      <c r="W54" s="86"/>
      <c r="X54" s="86"/>
      <c r="Y54" s="86"/>
      <c r="Z54" s="57"/>
      <c r="AA54" s="58"/>
      <c r="AB54" s="58"/>
      <c r="AC54" s="59"/>
      <c r="AD54" s="90"/>
      <c r="AE54" s="90"/>
    </row>
  </sheetData>
  <mergeCells count="3">
    <mergeCell ref="K2:T2"/>
    <mergeCell ref="M4:O4"/>
    <mergeCell ref="AG5:AH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2" min="10" style="46" width="7.66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7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90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54</v>
      </c>
      <c r="Q4" s="63" t="s">
        <v>15</v>
      </c>
      <c r="R4" s="63" t="s">
        <v>12</v>
      </c>
      <c r="S4" s="64" t="s">
        <v>14</v>
      </c>
      <c r="T4" s="63" t="s">
        <v>16</v>
      </c>
      <c r="U4" s="63" t="s">
        <v>17</v>
      </c>
      <c r="V4" s="64" t="s">
        <v>18</v>
      </c>
      <c r="W4" s="63" t="s">
        <v>10</v>
      </c>
      <c r="X4" s="63" t="s">
        <v>11</v>
      </c>
      <c r="Y4" s="63" t="s">
        <v>12</v>
      </c>
      <c r="Z4" s="66" t="s">
        <v>19</v>
      </c>
      <c r="AA4" s="67" t="s">
        <v>20</v>
      </c>
      <c r="AB4" s="67" t="s">
        <v>21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91</v>
      </c>
      <c r="B5" s="63" t="s">
        <v>23</v>
      </c>
      <c r="C5" s="64" t="s">
        <v>5</v>
      </c>
      <c r="D5" s="63" t="s">
        <v>24</v>
      </c>
      <c r="E5" s="64" t="s">
        <v>25</v>
      </c>
      <c r="F5" s="63" t="s">
        <v>26</v>
      </c>
      <c r="G5" s="63" t="s">
        <v>27</v>
      </c>
      <c r="H5" s="65" t="s">
        <v>28</v>
      </c>
      <c r="I5" s="63" t="s">
        <v>29</v>
      </c>
      <c r="J5" s="63" t="s">
        <v>29</v>
      </c>
      <c r="K5" s="63" t="s">
        <v>29</v>
      </c>
      <c r="L5" s="63" t="s">
        <v>30</v>
      </c>
      <c r="M5" s="63" t="s">
        <v>31</v>
      </c>
      <c r="N5" s="63" t="s">
        <v>32</v>
      </c>
      <c r="O5" s="63" t="s">
        <v>56</v>
      </c>
      <c r="P5" s="63" t="s">
        <v>57</v>
      </c>
      <c r="Q5" s="63" t="s">
        <v>35</v>
      </c>
      <c r="R5" s="63" t="s">
        <v>14</v>
      </c>
      <c r="S5" s="64" t="s">
        <v>36</v>
      </c>
      <c r="T5" s="63" t="s">
        <v>37</v>
      </c>
      <c r="U5" s="63" t="s">
        <v>38</v>
      </c>
      <c r="V5" s="64" t="s">
        <v>39</v>
      </c>
      <c r="W5" s="63" t="s">
        <v>40</v>
      </c>
      <c r="X5" s="63" t="s">
        <v>40</v>
      </c>
      <c r="Y5" s="63" t="s">
        <v>40</v>
      </c>
      <c r="Z5" s="69"/>
      <c r="AA5" s="67" t="s">
        <v>41</v>
      </c>
      <c r="AB5" s="67" t="s">
        <v>41</v>
      </c>
      <c r="AC5" s="70" t="s">
        <v>91</v>
      </c>
      <c r="AD5" s="60"/>
      <c r="AE5" s="60"/>
      <c r="AG5" s="100"/>
      <c r="AH5" s="10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/>
      <c r="AE6" s="74"/>
      <c r="AF6" s="75"/>
      <c r="AG6" s="100"/>
      <c r="AH6" s="100"/>
    </row>
    <row r="7" customFormat="false" ht="11.1" hidden="false" customHeight="true" outlineLevel="0" collapsed="false">
      <c r="A7" s="53" t="s">
        <v>42</v>
      </c>
      <c r="B7" s="53"/>
      <c r="C7" s="54"/>
      <c r="D7" s="54"/>
      <c r="E7" s="54"/>
      <c r="F7" s="54" t="n">
        <f aca="false" t="array" ref="F7:Y7">SEP!$F$44:$Y$44</f>
        <v>8719.11245587494</v>
      </c>
      <c r="G7" s="54" t="n">
        <v>186652.2</v>
      </c>
      <c r="H7" s="54" t="n">
        <v>12482.96</v>
      </c>
      <c r="I7" s="54" t="n">
        <v>199008.56</v>
      </c>
      <c r="J7" s="54" t="n">
        <v>51745.191190116</v>
      </c>
      <c r="K7" s="54" t="n">
        <v>250753.751190116</v>
      </c>
      <c r="L7" s="54" t="n">
        <v>49939.3915733737</v>
      </c>
      <c r="M7" s="54" t="n">
        <v>36423.76</v>
      </c>
      <c r="N7" s="54" t="n">
        <v>5157.88354633888</v>
      </c>
      <c r="O7" s="54" t="n">
        <v>31261.8024536611</v>
      </c>
      <c r="P7" s="54" t="n">
        <v>17834.8</v>
      </c>
      <c r="Q7" s="54" t="n">
        <v>11424.66</v>
      </c>
      <c r="R7" s="54" t="n">
        <v>60521.2624536611</v>
      </c>
      <c r="S7" s="54" t="n">
        <v>-5455.38798184569</v>
      </c>
      <c r="T7" s="54" t="n">
        <v>16467.1634140192</v>
      </c>
      <c r="U7" s="54" t="n">
        <v>158086.02</v>
      </c>
      <c r="V7" s="54" t="n">
        <v>0</v>
      </c>
      <c r="W7" s="54" t="n">
        <v>240228.839117499</v>
      </c>
      <c r="X7" s="54" t="n">
        <v>1805.79961674231</v>
      </c>
      <c r="Y7" s="54" t="n">
        <v>242034.638734241</v>
      </c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43</v>
      </c>
      <c r="B8" s="76" t="n">
        <f aca="false" t="array" ref="B8:C8">SEP!$B$39:$C$39</f>
        <v>6911.18</v>
      </c>
      <c r="C8" s="54" t="n">
        <v>326728</v>
      </c>
      <c r="D8" s="54" t="n">
        <f aca="false" t="array" ref="D8:E8">SEP!$D$48:$E$48</f>
        <v>60165</v>
      </c>
      <c r="E8" s="54" t="n">
        <v>179471</v>
      </c>
      <c r="F8" s="54" t="n">
        <f aca="false" t="array" ref="F8:Z8">SEP!$F$47:$Z$47</f>
        <v>30340.3933434191</v>
      </c>
      <c r="G8" s="54" t="n">
        <v>202441.142592032</v>
      </c>
      <c r="H8" s="58" t="n">
        <v>14867.77</v>
      </c>
      <c r="I8" s="54" t="n">
        <v>217182.212592032</v>
      </c>
      <c r="J8" s="54" t="n">
        <v>64089.2728542612</v>
      </c>
      <c r="K8" s="54" t="n">
        <v>281271.485446293</v>
      </c>
      <c r="L8" s="54" t="n">
        <v>62046.4098688855</v>
      </c>
      <c r="M8" s="54" t="n">
        <v>37326.21</v>
      </c>
      <c r="N8" s="54" t="n">
        <v>5173.51354633888</v>
      </c>
      <c r="O8" s="54" t="n">
        <v>31944.1224536611</v>
      </c>
      <c r="P8" s="54" t="n">
        <v>20409.1</v>
      </c>
      <c r="Q8" s="54" t="n">
        <v>11424.66</v>
      </c>
      <c r="R8" s="54" t="n">
        <v>63858.3824536611</v>
      </c>
      <c r="S8" s="54" t="n">
        <v>0</v>
      </c>
      <c r="T8" s="54" t="n">
        <v>16467.1634140192</v>
      </c>
      <c r="U8" s="54" t="n">
        <v>163268.66</v>
      </c>
      <c r="V8" s="54" t="n">
        <v>1713.33</v>
      </c>
      <c r="W8" s="54" t="n">
        <v>248888.229117499</v>
      </c>
      <c r="X8" s="54" t="n">
        <v>2042.86298537569</v>
      </c>
      <c r="Y8" s="54" t="n">
        <v>250931.092102874</v>
      </c>
      <c r="Z8" s="77" t="n">
        <v>23.32</v>
      </c>
      <c r="AA8" s="58"/>
      <c r="AB8" s="58"/>
      <c r="AC8" s="59"/>
      <c r="AD8" s="74"/>
      <c r="AE8" s="74"/>
      <c r="AF8" s="75"/>
      <c r="AG8" s="46"/>
      <c r="AH8" s="46"/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6911.13</v>
      </c>
      <c r="C10" s="54" t="n">
        <v>326524</v>
      </c>
      <c r="D10" s="58" t="n">
        <f aca="false">C10-C8</f>
        <v>-204</v>
      </c>
      <c r="E10" s="54" t="n">
        <f aca="false">C10-152000</f>
        <v>174524</v>
      </c>
      <c r="F10" s="53" t="n">
        <f aca="false">D10/$D$2</f>
        <v>-102.874432677761</v>
      </c>
      <c r="G10" s="53" t="n">
        <v>164.86</v>
      </c>
      <c r="H10" s="55" t="n">
        <v>0</v>
      </c>
      <c r="I10" s="53" t="n">
        <f aca="false">G10+H10</f>
        <v>164.86</v>
      </c>
      <c r="J10" s="77" t="n">
        <f aca="false">IF(L10&gt;0,L10,0)</f>
        <v>23.085567322239</v>
      </c>
      <c r="K10" s="53" t="n">
        <f aca="false">I10+J10</f>
        <v>187.945567322239</v>
      </c>
      <c r="L10" s="53" t="n">
        <f aca="false">F10-(I10-W10)</f>
        <v>23.085567322239</v>
      </c>
      <c r="M10" s="53" t="n">
        <v>105.28</v>
      </c>
      <c r="N10" s="53" t="n">
        <v>0</v>
      </c>
      <c r="O10" s="53" t="n">
        <f aca="false">M10-N10</f>
        <v>105.28</v>
      </c>
      <c r="P10" s="53" t="n">
        <v>59.41</v>
      </c>
      <c r="Q10" s="53" t="n">
        <v>39.58</v>
      </c>
      <c r="R10" s="53" t="n">
        <f aca="false">SUM(O10:Q10)</f>
        <v>204.27</v>
      </c>
      <c r="S10" s="54" t="n">
        <f aca="false">(I10-R10)+S7</f>
        <v>-5494.79798184569</v>
      </c>
      <c r="T10" s="53" t="n">
        <f aca="false">(AD10-AD8)/$D$2</f>
        <v>0</v>
      </c>
      <c r="U10" s="53" t="n">
        <v>86.55</v>
      </c>
      <c r="V10" s="54" t="n">
        <f aca="false">V8-U10</f>
        <v>1626.78</v>
      </c>
      <c r="W10" s="53" t="n">
        <f aca="false">R10+T10+N10+U10</f>
        <v>290.82</v>
      </c>
      <c r="X10" s="53" t="n">
        <f aca="false">IF(L10&lt;0,L10*-1,0)</f>
        <v>0</v>
      </c>
      <c r="Y10" s="53" t="n">
        <f aca="false">W10+X10</f>
        <v>290.82</v>
      </c>
      <c r="Z10" s="57" t="n">
        <v>0</v>
      </c>
      <c r="AA10" s="58" t="n">
        <v>65</v>
      </c>
      <c r="AB10" s="58" t="n">
        <v>33</v>
      </c>
      <c r="AC10" s="59" t="n">
        <v>1</v>
      </c>
      <c r="AD10" s="74"/>
      <c r="AE10" s="78"/>
      <c r="AF10" s="78"/>
    </row>
    <row r="11" customFormat="false" ht="11.1" hidden="false" customHeight="true" outlineLevel="0" collapsed="false">
      <c r="A11" s="59" t="n">
        <f aca="false">A10+1</f>
        <v>2</v>
      </c>
      <c r="B11" s="76" t="n">
        <v>6911.08</v>
      </c>
      <c r="C11" s="54" t="n">
        <v>326323</v>
      </c>
      <c r="D11" s="58" t="n">
        <f aca="false">C11-C10</f>
        <v>-201</v>
      </c>
      <c r="E11" s="54" t="n">
        <f aca="false">C11-152000</f>
        <v>174323</v>
      </c>
      <c r="F11" s="53" t="n">
        <f aca="false">D11/$D$2</f>
        <v>-101.361573373676</v>
      </c>
      <c r="G11" s="53" t="n">
        <v>138.68</v>
      </c>
      <c r="H11" s="55" t="n">
        <v>0</v>
      </c>
      <c r="I11" s="53" t="n">
        <f aca="false">G11+H11</f>
        <v>138.68</v>
      </c>
      <c r="J11" s="77" t="n">
        <f aca="false">IF(L11&gt;0,L11,0)</f>
        <v>27.9984266263237</v>
      </c>
      <c r="K11" s="53" t="n">
        <f aca="false">I11+J11</f>
        <v>166.678426626324</v>
      </c>
      <c r="L11" s="53" t="n">
        <f aca="false">F11-(I11-W11)</f>
        <v>27.9984266263237</v>
      </c>
      <c r="M11" s="53" t="n">
        <v>105.27</v>
      </c>
      <c r="N11" s="53" t="n">
        <v>0</v>
      </c>
      <c r="O11" s="53" t="n">
        <f aca="false">M11-N11</f>
        <v>105.27</v>
      </c>
      <c r="P11" s="53" t="n">
        <v>65.11</v>
      </c>
      <c r="Q11" s="53" t="n">
        <v>37.94</v>
      </c>
      <c r="R11" s="53" t="n">
        <f aca="false">SUM(O11:Q11)</f>
        <v>208.32</v>
      </c>
      <c r="S11" s="54" t="n">
        <f aca="false">(I11-R11)+S10</f>
        <v>-5564.43798184569</v>
      </c>
      <c r="T11" s="53" t="n">
        <f aca="false">(AD11-AD10)/$D$2</f>
        <v>0</v>
      </c>
      <c r="U11" s="53" t="n">
        <v>59.72</v>
      </c>
      <c r="V11" s="54" t="n">
        <f aca="false">V10-U11</f>
        <v>1567.06</v>
      </c>
      <c r="W11" s="53" t="n">
        <f aca="false">R11+T11+N11+U11</f>
        <v>268.04</v>
      </c>
      <c r="X11" s="53" t="n">
        <f aca="false">IF(L11&lt;0,L11*-1,0)</f>
        <v>0</v>
      </c>
      <c r="Y11" s="53" t="n">
        <f aca="false">W11+X11</f>
        <v>268.04</v>
      </c>
      <c r="Z11" s="57" t="n">
        <v>0</v>
      </c>
      <c r="AA11" s="58" t="n">
        <v>66</v>
      </c>
      <c r="AB11" s="58" t="n">
        <v>36</v>
      </c>
      <c r="AC11" s="59" t="n">
        <f aca="false">AC10+1</f>
        <v>2</v>
      </c>
      <c r="AD11" s="74"/>
      <c r="AE11" s="78"/>
      <c r="AF11" s="78"/>
    </row>
    <row r="12" customFormat="false" ht="11.1" hidden="false" customHeight="true" outlineLevel="0" collapsed="false">
      <c r="A12" s="59" t="n">
        <f aca="false">A11+1</f>
        <v>3</v>
      </c>
      <c r="B12" s="76" t="n">
        <v>6911.02</v>
      </c>
      <c r="C12" s="54" t="n">
        <v>326080</v>
      </c>
      <c r="D12" s="58" t="n">
        <f aca="false">C12-C11</f>
        <v>-243</v>
      </c>
      <c r="E12" s="54" t="n">
        <f aca="false">C12-152000</f>
        <v>174080</v>
      </c>
      <c r="F12" s="53" t="n">
        <f aca="false">D12/$D$2</f>
        <v>-122.541603630862</v>
      </c>
      <c r="G12" s="53" t="n">
        <v>125.23</v>
      </c>
      <c r="H12" s="55" t="n">
        <v>0</v>
      </c>
      <c r="I12" s="53" t="n">
        <f aca="false">G12+H12</f>
        <v>125.23</v>
      </c>
      <c r="J12" s="77" t="n">
        <f aca="false">IF(L12&gt;0,L12,0)</f>
        <v>0</v>
      </c>
      <c r="K12" s="53" t="n">
        <f aca="false">I12+J12</f>
        <v>125.23</v>
      </c>
      <c r="L12" s="53" t="n">
        <f aca="false">F12-(I12-W12)</f>
        <v>-4.23160363086234</v>
      </c>
      <c r="M12" s="53" t="n">
        <v>105.23</v>
      </c>
      <c r="N12" s="53" t="n">
        <f aca="false">(2.37+2.2)*1.05</f>
        <v>4.7985</v>
      </c>
      <c r="O12" s="53" t="n">
        <f aca="false">M12-N12</f>
        <v>100.4315</v>
      </c>
      <c r="P12" s="53" t="n">
        <v>59.07</v>
      </c>
      <c r="Q12" s="53" t="n">
        <v>36.76</v>
      </c>
      <c r="R12" s="53" t="n">
        <f aca="false">SUM(O12:Q12)</f>
        <v>196.2615</v>
      </c>
      <c r="S12" s="54" t="n">
        <f aca="false">(I12-R12)+S11</f>
        <v>-5635.46948184569</v>
      </c>
      <c r="T12" s="53" t="n">
        <f aca="false">(AD12-AD11)/$D$2</f>
        <v>0</v>
      </c>
      <c r="U12" s="53" t="n">
        <v>42.48</v>
      </c>
      <c r="V12" s="54" t="n">
        <f aca="false">V11-U12</f>
        <v>1524.58</v>
      </c>
      <c r="W12" s="53" t="n">
        <f aca="false">R12+T12+N12+U12</f>
        <v>243.54</v>
      </c>
      <c r="X12" s="53" t="n">
        <f aca="false">IF(L12&lt;0,L12*-1,0)</f>
        <v>4.23160363086234</v>
      </c>
      <c r="Y12" s="53" t="n">
        <f aca="false">W12+X12</f>
        <v>247.771603630862</v>
      </c>
      <c r="Z12" s="57" t="n">
        <v>0</v>
      </c>
      <c r="AA12" s="58" t="n">
        <v>68</v>
      </c>
      <c r="AB12" s="58" t="n">
        <v>38</v>
      </c>
      <c r="AC12" s="59" t="n">
        <f aca="false">AC11+1</f>
        <v>3</v>
      </c>
      <c r="AD12" s="74"/>
      <c r="AE12" s="78"/>
      <c r="AF12" s="78"/>
    </row>
    <row r="13" customFormat="false" ht="11.1" hidden="false" customHeight="true" outlineLevel="0" collapsed="false">
      <c r="A13" s="59" t="n">
        <f aca="false">A12+1</f>
        <v>4</v>
      </c>
      <c r="B13" s="76" t="n">
        <v>6910.93</v>
      </c>
      <c r="C13" s="54" t="n">
        <v>325719</v>
      </c>
      <c r="D13" s="58" t="n">
        <f aca="false">C13-C12</f>
        <v>-361</v>
      </c>
      <c r="E13" s="54" t="n">
        <f aca="false">C13-152000</f>
        <v>173719</v>
      </c>
      <c r="F13" s="53" t="n">
        <f aca="false">D13/$D$2</f>
        <v>-182.047402924861</v>
      </c>
      <c r="G13" s="53" t="n">
        <v>113</v>
      </c>
      <c r="H13" s="55" t="n">
        <v>0</v>
      </c>
      <c r="I13" s="53" t="n">
        <f aca="false">G13+H13</f>
        <v>113</v>
      </c>
      <c r="J13" s="77" t="n">
        <f aca="false">IF(L13&gt;0,L13,0)</f>
        <v>0</v>
      </c>
      <c r="K13" s="53" t="n">
        <f aca="false">I13+J13</f>
        <v>113</v>
      </c>
      <c r="L13" s="53" t="n">
        <f aca="false">F13-(I13-W13)</f>
        <v>-62.5974029248613</v>
      </c>
      <c r="M13" s="53" t="n">
        <v>98.69</v>
      </c>
      <c r="N13" s="53" t="n">
        <f aca="false">(4.34+4.36)*1.05</f>
        <v>9.135</v>
      </c>
      <c r="O13" s="53" t="n">
        <f aca="false">M13-N13</f>
        <v>89.555</v>
      </c>
      <c r="P13" s="53" t="n">
        <v>59.51</v>
      </c>
      <c r="Q13" s="53" t="n">
        <v>34.13</v>
      </c>
      <c r="R13" s="53" t="n">
        <f aca="false">SUM(O13:Q13)</f>
        <v>183.195</v>
      </c>
      <c r="S13" s="54" t="n">
        <f aca="false">(I13-R13)+S12</f>
        <v>-5705.66448184569</v>
      </c>
      <c r="T13" s="53" t="n">
        <f aca="false">(AD13-AD12)/$D$2</f>
        <v>0</v>
      </c>
      <c r="U13" s="53" t="n">
        <v>40.12</v>
      </c>
      <c r="V13" s="54" t="n">
        <f aca="false">V12-U13</f>
        <v>1484.46</v>
      </c>
      <c r="W13" s="53" t="n">
        <f aca="false">R13+T13+N13+U13</f>
        <v>232.45</v>
      </c>
      <c r="X13" s="53" t="n">
        <f aca="false">IF(L13&lt;0,L13*-1,0)</f>
        <v>62.5974029248613</v>
      </c>
      <c r="Y13" s="53" t="n">
        <f aca="false">W13+X13</f>
        <v>295.047402924861</v>
      </c>
      <c r="Z13" s="57" t="n">
        <v>0</v>
      </c>
      <c r="AA13" s="58" t="n">
        <v>49</v>
      </c>
      <c r="AB13" s="58" t="n">
        <v>44</v>
      </c>
      <c r="AC13" s="59" t="n">
        <f aca="false">AC12+1</f>
        <v>4</v>
      </c>
      <c r="AD13" s="74"/>
      <c r="AE13" s="78"/>
      <c r="AF13" s="78"/>
    </row>
    <row r="14" customFormat="false" ht="11.1" hidden="false" customHeight="true" outlineLevel="0" collapsed="false">
      <c r="A14" s="59" t="n">
        <f aca="false">A13+1</f>
        <v>5</v>
      </c>
      <c r="B14" s="76" t="n">
        <v>6910.85</v>
      </c>
      <c r="C14" s="54" t="n">
        <v>325397</v>
      </c>
      <c r="D14" s="58" t="n">
        <f aca="false">C14-C13</f>
        <v>-322</v>
      </c>
      <c r="E14" s="54" t="n">
        <f aca="false">C14-152000</f>
        <v>173397</v>
      </c>
      <c r="F14" s="53" t="n">
        <f aca="false">D14/$D$2</f>
        <v>-162.38023197176</v>
      </c>
      <c r="G14" s="53" t="n">
        <v>106.12</v>
      </c>
      <c r="H14" s="55" t="n">
        <v>0</v>
      </c>
      <c r="I14" s="53" t="n">
        <f aca="false">G14+H14</f>
        <v>106.12</v>
      </c>
      <c r="J14" s="77" t="n">
        <f aca="false">IF(L14&gt;0,L14,0)</f>
        <v>0</v>
      </c>
      <c r="K14" s="53" t="n">
        <f aca="false">I14+J14</f>
        <v>106.12</v>
      </c>
      <c r="L14" s="53" t="n">
        <f aca="false">F14-(I14-W14)</f>
        <v>-26.8102319717599</v>
      </c>
      <c r="M14" s="53" t="n">
        <v>96.6</v>
      </c>
      <c r="N14" s="53" t="n">
        <f aca="false">(6.53+6.23)*1.05</f>
        <v>13.398</v>
      </c>
      <c r="O14" s="53" t="n">
        <f aca="false">M14-N14</f>
        <v>83.202</v>
      </c>
      <c r="P14" s="53" t="n">
        <v>59.74</v>
      </c>
      <c r="Q14" s="53" t="n">
        <v>31.58</v>
      </c>
      <c r="R14" s="53" t="n">
        <f aca="false">SUM(O14:Q14)</f>
        <v>174.522</v>
      </c>
      <c r="S14" s="54" t="n">
        <f aca="false">(I14-R14)+S13</f>
        <v>-5774.06648184569</v>
      </c>
      <c r="T14" s="53" t="n">
        <v>11.43</v>
      </c>
      <c r="U14" s="53" t="n">
        <v>42.34</v>
      </c>
      <c r="V14" s="54" t="n">
        <f aca="false">V13-U14</f>
        <v>1442.12</v>
      </c>
      <c r="W14" s="53" t="n">
        <f aca="false">R14+T14+N14+U14</f>
        <v>241.69</v>
      </c>
      <c r="X14" s="53" t="n">
        <f aca="false">IF(L14&lt;0,L14*-1,0)</f>
        <v>26.8102319717599</v>
      </c>
      <c r="Y14" s="53" t="n">
        <f aca="false">W14+X14</f>
        <v>268.50023197176</v>
      </c>
      <c r="Z14" s="57" t="n">
        <v>0</v>
      </c>
      <c r="AA14" s="58" t="n">
        <v>53</v>
      </c>
      <c r="AB14" s="58" t="n">
        <v>32</v>
      </c>
      <c r="AC14" s="59" t="n">
        <f aca="false">AC13+1</f>
        <v>5</v>
      </c>
      <c r="AD14" s="74"/>
      <c r="AE14" s="78"/>
      <c r="AF14" s="78"/>
    </row>
    <row r="15" customFormat="false" ht="11.1" hidden="false" customHeight="true" outlineLevel="0" collapsed="false">
      <c r="A15" s="59" t="n">
        <f aca="false">A14+1</f>
        <v>6</v>
      </c>
      <c r="B15" s="76" t="n">
        <v>6910.79</v>
      </c>
      <c r="C15" s="54" t="n">
        <v>325156</v>
      </c>
      <c r="D15" s="58" t="n">
        <f aca="false">C15-C14</f>
        <v>-241</v>
      </c>
      <c r="E15" s="54" t="n">
        <f aca="false">C15-152000</f>
        <v>173156</v>
      </c>
      <c r="F15" s="53" t="n">
        <f aca="false">D15/$D$2</f>
        <v>-121.533030761473</v>
      </c>
      <c r="G15" s="53" t="n">
        <v>99.47</v>
      </c>
      <c r="H15" s="55" t="n">
        <v>0</v>
      </c>
      <c r="I15" s="53" t="n">
        <f aca="false">G15+H15</f>
        <v>99.47</v>
      </c>
      <c r="J15" s="77" t="n">
        <f aca="false">IF(L15&gt;0,L15,0)</f>
        <v>20.3269692385275</v>
      </c>
      <c r="K15" s="53" t="n">
        <f aca="false">I15+J15</f>
        <v>119.796969238528</v>
      </c>
      <c r="L15" s="53" t="n">
        <f aca="false">F15-(I15-W15)</f>
        <v>20.3269692385275</v>
      </c>
      <c r="M15" s="53" t="n">
        <v>104.45</v>
      </c>
      <c r="N15" s="53" t="n">
        <f aca="false">(5.44+5.79)*1.05</f>
        <v>11.7915</v>
      </c>
      <c r="O15" s="53" t="n">
        <f aca="false">M15-N15</f>
        <v>92.6585</v>
      </c>
      <c r="P15" s="53" t="n">
        <v>53.28</v>
      </c>
      <c r="Q15" s="53" t="n">
        <v>29.2</v>
      </c>
      <c r="R15" s="53" t="n">
        <f aca="false">SUM(O15:Q15)</f>
        <v>175.1385</v>
      </c>
      <c r="S15" s="54" t="n">
        <f aca="false">(I15-R15)+S14</f>
        <v>-5849.73498184569</v>
      </c>
      <c r="T15" s="53" t="n">
        <v>0</v>
      </c>
      <c r="U15" s="53" t="n">
        <v>54.4</v>
      </c>
      <c r="V15" s="54" t="n">
        <f aca="false">V14-U15</f>
        <v>1387.72</v>
      </c>
      <c r="W15" s="53" t="n">
        <f aca="false">R15+T15+N15+U15</f>
        <v>241.33</v>
      </c>
      <c r="X15" s="53" t="n">
        <f aca="false">IF(L15&lt;0,L15*-1,0)</f>
        <v>0</v>
      </c>
      <c r="Y15" s="53" t="n">
        <f aca="false">W15+X15</f>
        <v>241.33</v>
      </c>
      <c r="Z15" s="57" t="n">
        <v>0</v>
      </c>
      <c r="AA15" s="58" t="n">
        <v>64</v>
      </c>
      <c r="AB15" s="58" t="n">
        <v>28</v>
      </c>
      <c r="AC15" s="59" t="n">
        <f aca="false">AC14+1</f>
        <v>6</v>
      </c>
      <c r="AD15" s="74"/>
      <c r="AE15" s="78"/>
      <c r="AF15" s="78"/>
    </row>
    <row r="16" customFormat="false" ht="11.1" hidden="false" customHeight="true" outlineLevel="0" collapsed="false">
      <c r="A16" s="59" t="n">
        <f aca="false">A15+1</f>
        <v>7</v>
      </c>
      <c r="B16" s="76" t="n">
        <v>6910.69</v>
      </c>
      <c r="C16" s="54" t="n">
        <v>324755</v>
      </c>
      <c r="D16" s="58" t="n">
        <f aca="false">C16-C15</f>
        <v>-401</v>
      </c>
      <c r="E16" s="54" t="n">
        <f aca="false">C16-152000</f>
        <v>172755</v>
      </c>
      <c r="F16" s="53" t="n">
        <f aca="false">D16/$D$2</f>
        <v>-202.218860312658</v>
      </c>
      <c r="G16" s="53" t="n">
        <v>94.44</v>
      </c>
      <c r="H16" s="55" t="n">
        <v>0</v>
      </c>
      <c r="I16" s="53" t="n">
        <f aca="false">G16+H16</f>
        <v>94.44</v>
      </c>
      <c r="J16" s="77" t="n">
        <f aca="false">IF(L16&gt;0,L16,0)</f>
        <v>0</v>
      </c>
      <c r="K16" s="53" t="n">
        <f aca="false">I16+J16</f>
        <v>94.44</v>
      </c>
      <c r="L16" s="53" t="n">
        <f aca="false">F16-(I16-W16)</f>
        <v>-62.9088603126576</v>
      </c>
      <c r="M16" s="53" t="n">
        <v>101.22</v>
      </c>
      <c r="N16" s="53" t="n">
        <f aca="false">(6.97+7.88)*1.05</f>
        <v>15.5925</v>
      </c>
      <c r="O16" s="53" t="n">
        <f aca="false">M16-N16</f>
        <v>85.6275</v>
      </c>
      <c r="P16" s="53" t="n">
        <v>49.9</v>
      </c>
      <c r="Q16" s="53" t="n">
        <v>28.27</v>
      </c>
      <c r="R16" s="53" t="n">
        <f aca="false">SUM(O16:Q16)</f>
        <v>163.7975</v>
      </c>
      <c r="S16" s="54" t="n">
        <f aca="false">(I16-R16)+S15</f>
        <v>-5919.09248184569</v>
      </c>
      <c r="T16" s="53" t="n">
        <v>0</v>
      </c>
      <c r="U16" s="53" t="n">
        <v>54.36</v>
      </c>
      <c r="V16" s="54" t="n">
        <f aca="false">V15-U16</f>
        <v>1333.36</v>
      </c>
      <c r="W16" s="53" t="n">
        <f aca="false">R16+T16+N16+U16</f>
        <v>233.75</v>
      </c>
      <c r="X16" s="53" t="n">
        <f aca="false">IF(L16&lt;0,L16*-1,0)</f>
        <v>62.9088603126576</v>
      </c>
      <c r="Y16" s="53" t="n">
        <f aca="false">W16+X16</f>
        <v>296.658860312658</v>
      </c>
      <c r="Z16" s="57" t="n">
        <v>0</v>
      </c>
      <c r="AA16" s="58" t="n">
        <v>68</v>
      </c>
      <c r="AB16" s="58" t="n">
        <v>36</v>
      </c>
      <c r="AC16" s="59" t="n">
        <f aca="false">AC15+1</f>
        <v>7</v>
      </c>
      <c r="AD16" s="74"/>
      <c r="AE16" s="78"/>
      <c r="AF16" s="78"/>
    </row>
    <row r="17" customFormat="false" ht="11.1" hidden="false" customHeight="true" outlineLevel="0" collapsed="false">
      <c r="A17" s="59" t="n">
        <f aca="false">A16+1</f>
        <v>8</v>
      </c>
      <c r="B17" s="76" t="n">
        <v>6910.6</v>
      </c>
      <c r="C17" s="54" t="n">
        <v>324394</v>
      </c>
      <c r="D17" s="58" t="n">
        <f aca="false">C17-C16</f>
        <v>-361</v>
      </c>
      <c r="E17" s="54" t="n">
        <f aca="false">C17-152000</f>
        <v>172394</v>
      </c>
      <c r="F17" s="53" t="n">
        <f aca="false">D17/$D$2</f>
        <v>-182.047402924861</v>
      </c>
      <c r="G17" s="53" t="n">
        <v>92.68</v>
      </c>
      <c r="H17" s="55" t="n">
        <v>0</v>
      </c>
      <c r="I17" s="53" t="n">
        <f aca="false">G17+H17</f>
        <v>92.68</v>
      </c>
      <c r="J17" s="77" t="n">
        <f aca="false">IF(L17&gt;0,L17,0)</f>
        <v>0</v>
      </c>
      <c r="K17" s="53" t="n">
        <f aca="false">I17+J17</f>
        <v>92.68</v>
      </c>
      <c r="L17" s="53" t="n">
        <f aca="false">F17-(I17-W17)</f>
        <v>-42.7874029248613</v>
      </c>
      <c r="M17" s="53" t="n">
        <v>99.69</v>
      </c>
      <c r="N17" s="53" t="n">
        <f aca="false">(6.98+7.26)*1.05</f>
        <v>14.952</v>
      </c>
      <c r="O17" s="53" t="n">
        <f aca="false">M17-N17</f>
        <v>84.738</v>
      </c>
      <c r="P17" s="53" t="n">
        <v>49.83</v>
      </c>
      <c r="Q17" s="53" t="n">
        <v>28.22</v>
      </c>
      <c r="R17" s="53" t="n">
        <f aca="false">SUM(O17:Q17)</f>
        <v>162.788</v>
      </c>
      <c r="S17" s="54" t="n">
        <f aca="false">(I17-R17)+S16</f>
        <v>-5989.20048184569</v>
      </c>
      <c r="T17" s="53" t="n">
        <f aca="false">(AD17-AD16)/$D$2</f>
        <v>0</v>
      </c>
      <c r="U17" s="53" t="n">
        <v>54.2</v>
      </c>
      <c r="V17" s="54" t="n">
        <f aca="false">V16-U17</f>
        <v>1279.16</v>
      </c>
      <c r="W17" s="53" t="n">
        <f aca="false">R17+T17+N17+U17</f>
        <v>231.94</v>
      </c>
      <c r="X17" s="53" t="n">
        <f aca="false">IF(L17&lt;0,L17*-1,0)</f>
        <v>42.7874029248613</v>
      </c>
      <c r="Y17" s="53" t="n">
        <f aca="false">W17+X17</f>
        <v>274.727402924861</v>
      </c>
      <c r="Z17" s="57" t="n">
        <v>0</v>
      </c>
      <c r="AA17" s="58" t="n">
        <v>67</v>
      </c>
      <c r="AB17" s="58" t="n">
        <v>34</v>
      </c>
      <c r="AC17" s="59" t="n">
        <f aca="false">AC16+1</f>
        <v>8</v>
      </c>
      <c r="AD17" s="74"/>
      <c r="AE17" s="78"/>
      <c r="AF17" s="78"/>
    </row>
    <row r="18" customFormat="false" ht="11.1" hidden="false" customHeight="true" outlineLevel="0" collapsed="false">
      <c r="A18" s="59" t="n">
        <f aca="false">A17+1</f>
        <v>9</v>
      </c>
      <c r="B18" s="76" t="n">
        <v>6910.53</v>
      </c>
      <c r="C18" s="54" t="n">
        <v>324112</v>
      </c>
      <c r="D18" s="58" t="n">
        <f aca="false">C18-C17</f>
        <v>-282</v>
      </c>
      <c r="E18" s="54" t="n">
        <f aca="false">C18-152000</f>
        <v>172112</v>
      </c>
      <c r="F18" s="53" t="n">
        <f aca="false">D18/$D$2</f>
        <v>-142.208774583964</v>
      </c>
      <c r="G18" s="53" t="n">
        <v>90.02</v>
      </c>
      <c r="H18" s="55" t="n">
        <v>0</v>
      </c>
      <c r="I18" s="53" t="n">
        <f aca="false">G18+H18</f>
        <v>90.02</v>
      </c>
      <c r="J18" s="77" t="n">
        <f aca="false">IF(L18&gt;0,L18,0)</f>
        <v>0</v>
      </c>
      <c r="K18" s="53" t="n">
        <f aca="false">I18+J18</f>
        <v>90.02</v>
      </c>
      <c r="L18" s="53" t="n">
        <f aca="false">F18-(I18-W18)</f>
        <v>-1.66877458396365</v>
      </c>
      <c r="M18" s="53" t="n">
        <v>98.78</v>
      </c>
      <c r="N18" s="53" t="n">
        <f aca="false">(4.79+3.78)*1.05</f>
        <v>8.9985</v>
      </c>
      <c r="O18" s="53" t="n">
        <f aca="false">M18-N18</f>
        <v>89.7815</v>
      </c>
      <c r="P18" s="53" t="n">
        <v>49.7</v>
      </c>
      <c r="Q18" s="53" t="n">
        <v>27.88</v>
      </c>
      <c r="R18" s="53" t="n">
        <f aca="false">SUM(O18:Q18)</f>
        <v>167.3615</v>
      </c>
      <c r="S18" s="54" t="n">
        <f aca="false">(I18-R18)+S17</f>
        <v>-6066.54198184569</v>
      </c>
      <c r="T18" s="53" t="n">
        <f aca="false">(AD18-AD17)/$D$2</f>
        <v>0</v>
      </c>
      <c r="U18" s="53" t="n">
        <v>54.2</v>
      </c>
      <c r="V18" s="54" t="n">
        <f aca="false">V17-U18</f>
        <v>1224.96</v>
      </c>
      <c r="W18" s="53" t="n">
        <f aca="false">R18+T18+N18+U18</f>
        <v>230.56</v>
      </c>
      <c r="X18" s="53" t="n">
        <f aca="false">IF(L18&lt;0,L18*-1,0)</f>
        <v>1.66877458396365</v>
      </c>
      <c r="Y18" s="53" t="n">
        <f aca="false">W18+X18</f>
        <v>232.228774583964</v>
      </c>
      <c r="Z18" s="57" t="n">
        <v>0</v>
      </c>
      <c r="AA18" s="86" t="n">
        <v>68</v>
      </c>
      <c r="AB18" s="58" t="n">
        <v>36</v>
      </c>
      <c r="AC18" s="59" t="n">
        <f aca="false">AC17+1</f>
        <v>9</v>
      </c>
      <c r="AD18" s="74"/>
      <c r="AE18" s="78"/>
      <c r="AF18" s="78"/>
    </row>
    <row r="19" customFormat="false" ht="11.1" hidden="false" customHeight="true" outlineLevel="0" collapsed="false">
      <c r="A19" s="59" t="n">
        <f aca="false">A18+1</f>
        <v>10</v>
      </c>
      <c r="B19" s="76" t="n">
        <v>6910.47</v>
      </c>
      <c r="C19" s="54" t="n">
        <v>323873</v>
      </c>
      <c r="D19" s="58" t="n">
        <f aca="false">C19-C18</f>
        <v>-239</v>
      </c>
      <c r="E19" s="54" t="n">
        <f aca="false">C19-152000</f>
        <v>171873</v>
      </c>
      <c r="F19" s="53" t="n">
        <f aca="false">D19/$D$2</f>
        <v>-120.524457892083</v>
      </c>
      <c r="G19" s="53" t="n">
        <v>87.26</v>
      </c>
      <c r="H19" s="55" t="n">
        <v>0</v>
      </c>
      <c r="I19" s="53" t="n">
        <f aca="false">G19+H19</f>
        <v>87.26</v>
      </c>
      <c r="J19" s="77" t="n">
        <f aca="false">IF(L19&gt;0,L19,0)</f>
        <v>16.4155421079173</v>
      </c>
      <c r="K19" s="53" t="n">
        <f aca="false">I19+J19</f>
        <v>103.675542107917</v>
      </c>
      <c r="L19" s="53" t="n">
        <f aca="false">F19-(I19-W19)</f>
        <v>16.4155421079173</v>
      </c>
      <c r="M19" s="53" t="n">
        <v>92.51</v>
      </c>
      <c r="N19" s="53" t="n">
        <f aca="false">(5.03+4.35)*1.05</f>
        <v>9.849</v>
      </c>
      <c r="O19" s="53" t="n">
        <f aca="false">M19-N19</f>
        <v>82.661</v>
      </c>
      <c r="P19" s="53" t="n">
        <v>49.62</v>
      </c>
      <c r="Q19" s="53" t="n">
        <v>27.79</v>
      </c>
      <c r="R19" s="53" t="n">
        <f aca="false">SUM(O19:Q19)</f>
        <v>160.071</v>
      </c>
      <c r="S19" s="54" t="n">
        <f aca="false">(I19-R19)+S18</f>
        <v>-6139.35298184569</v>
      </c>
      <c r="T19" s="53" t="n">
        <f aca="false">(AD19-AD18)/$D$2</f>
        <v>0</v>
      </c>
      <c r="U19" s="53" t="n">
        <v>54.28</v>
      </c>
      <c r="V19" s="54" t="n">
        <f aca="false">V18-U19</f>
        <v>1170.68</v>
      </c>
      <c r="W19" s="53" t="n">
        <f aca="false">R19+T19+N19+U19</f>
        <v>224.2</v>
      </c>
      <c r="X19" s="53" t="n">
        <f aca="false">IF(L19&lt;0,L19*-1,0)</f>
        <v>0</v>
      </c>
      <c r="Y19" s="53" t="n">
        <f aca="false">W19+X19</f>
        <v>224.2</v>
      </c>
      <c r="Z19" s="57" t="n">
        <v>0</v>
      </c>
      <c r="AA19" s="58" t="n">
        <v>72</v>
      </c>
      <c r="AB19" s="58" t="n">
        <v>38</v>
      </c>
      <c r="AC19" s="59" t="n">
        <f aca="false">AC18+1</f>
        <v>10</v>
      </c>
      <c r="AD19" s="74"/>
      <c r="AE19" s="78"/>
      <c r="AF19" s="78"/>
    </row>
    <row r="20" customFormat="false" ht="11.1" hidden="false" customHeight="true" outlineLevel="0" collapsed="false">
      <c r="A20" s="59" t="n">
        <f aca="false">A19+1</f>
        <v>11</v>
      </c>
      <c r="B20" s="76" t="n">
        <v>6910.37</v>
      </c>
      <c r="C20" s="54" t="n">
        <v>323471</v>
      </c>
      <c r="D20" s="58" t="n">
        <f aca="false">C20-C19</f>
        <v>-402</v>
      </c>
      <c r="E20" s="54" t="n">
        <f aca="false">C20-152000</f>
        <v>171471</v>
      </c>
      <c r="F20" s="53" t="n">
        <f aca="false">D20/$D$2</f>
        <v>-202.723146747352</v>
      </c>
      <c r="G20" s="53" t="n">
        <v>83.87</v>
      </c>
      <c r="H20" s="55" t="n">
        <v>0</v>
      </c>
      <c r="I20" s="53" t="n">
        <f aca="false">G20+H20</f>
        <v>83.87</v>
      </c>
      <c r="J20" s="77" t="n">
        <f aca="false">IF(L20&gt;0,L20,0)</f>
        <v>0</v>
      </c>
      <c r="K20" s="53" t="n">
        <f aca="false">I20+J20</f>
        <v>83.87</v>
      </c>
      <c r="L20" s="53" t="n">
        <f aca="false">F20-(I20-W20)</f>
        <v>-38.9731467473525</v>
      </c>
      <c r="M20" s="53" t="n">
        <v>115.91</v>
      </c>
      <c r="N20" s="53" t="n">
        <f aca="false">(11.88+11.5)*1.05</f>
        <v>24.549</v>
      </c>
      <c r="O20" s="53" t="n">
        <f aca="false">M20-N20</f>
        <v>91.361</v>
      </c>
      <c r="P20" s="53" t="n">
        <v>49.65</v>
      </c>
      <c r="Q20" s="53" t="n">
        <v>27.77</v>
      </c>
      <c r="R20" s="53" t="n">
        <f aca="false">SUM(O20:Q20)</f>
        <v>168.781</v>
      </c>
      <c r="S20" s="54" t="n">
        <f aca="false">(I20-R20)+S19</f>
        <v>-6224.26398184569</v>
      </c>
      <c r="T20" s="53" t="n">
        <f aca="false">(AD20-AD19)/$D$2</f>
        <v>0</v>
      </c>
      <c r="U20" s="53" t="n">
        <v>54.29</v>
      </c>
      <c r="V20" s="54" t="n">
        <f aca="false">V19-U20</f>
        <v>1116.39</v>
      </c>
      <c r="W20" s="53" t="n">
        <f aca="false">R20+T20+N20+U20</f>
        <v>247.62</v>
      </c>
      <c r="X20" s="53" t="n">
        <f aca="false">IF(L20&lt;0,L20*-1,0)</f>
        <v>38.9731467473525</v>
      </c>
      <c r="Y20" s="53" t="n">
        <f aca="false">W20+X20</f>
        <v>286.593146747352</v>
      </c>
      <c r="Z20" s="57" t="n">
        <v>0</v>
      </c>
      <c r="AA20" s="58" t="n">
        <v>77</v>
      </c>
      <c r="AB20" s="58" t="n">
        <v>45</v>
      </c>
      <c r="AC20" s="59" t="n">
        <f aca="false">AC19+1</f>
        <v>11</v>
      </c>
      <c r="AD20" s="74"/>
      <c r="AE20" s="78"/>
      <c r="AF20" s="78"/>
      <c r="AG20" s="99"/>
      <c r="AH20" s="99"/>
      <c r="AI20" s="99"/>
    </row>
    <row r="21" customFormat="false" ht="11.1" hidden="false" customHeight="true" outlineLevel="0" collapsed="false">
      <c r="A21" s="59" t="n">
        <f aca="false">A20+1</f>
        <v>12</v>
      </c>
      <c r="B21" s="76" t="n">
        <v>6910.27</v>
      </c>
      <c r="C21" s="54" t="n">
        <v>323070</v>
      </c>
      <c r="D21" s="58" t="n">
        <f aca="false">C21-C20</f>
        <v>-401</v>
      </c>
      <c r="E21" s="54" t="n">
        <f aca="false">C21-152000</f>
        <v>171070</v>
      </c>
      <c r="F21" s="53" t="n">
        <f aca="false">D21/$D$2</f>
        <v>-202.218860312658</v>
      </c>
      <c r="G21" s="53" t="n">
        <v>81.94</v>
      </c>
      <c r="H21" s="55" t="n">
        <v>0</v>
      </c>
      <c r="I21" s="53" t="n">
        <f aca="false">G21+H21</f>
        <v>81.94</v>
      </c>
      <c r="J21" s="77" t="n">
        <f aca="false">IF(L21&gt;0,L21,0)</f>
        <v>0</v>
      </c>
      <c r="K21" s="53" t="n">
        <f aca="false">I21+J21</f>
        <v>81.94</v>
      </c>
      <c r="L21" s="53" t="n">
        <f aca="false">F21-(I21-W21)</f>
        <v>-18.5688603126576</v>
      </c>
      <c r="M21" s="53" t="n">
        <v>134.04</v>
      </c>
      <c r="N21" s="53" t="n">
        <f aca="false">(20.61+20.53)*1.05</f>
        <v>43.197</v>
      </c>
      <c r="O21" s="53" t="n">
        <f aca="false">M21-N21</f>
        <v>90.843</v>
      </c>
      <c r="P21" s="53" t="n">
        <v>49.58</v>
      </c>
      <c r="Q21" s="53" t="n">
        <v>27.77</v>
      </c>
      <c r="R21" s="53" t="n">
        <f aca="false">SUM(O21:Q21)</f>
        <v>168.193</v>
      </c>
      <c r="S21" s="54" t="n">
        <f aca="false">(I21-R21)+S20</f>
        <v>-6310.51698184569</v>
      </c>
      <c r="T21" s="53" t="n">
        <f aca="false">(AD21-AD20)/$D$2</f>
        <v>0</v>
      </c>
      <c r="U21" s="53" t="n">
        <v>54.2</v>
      </c>
      <c r="V21" s="54" t="n">
        <f aca="false">V20-U21</f>
        <v>1062.19</v>
      </c>
      <c r="W21" s="53" t="n">
        <f aca="false">R21+T21+N21+U21</f>
        <v>265.59</v>
      </c>
      <c r="X21" s="53" t="n">
        <f aca="false">IF(L21&lt;0,L21*-1,0)</f>
        <v>18.5688603126576</v>
      </c>
      <c r="Y21" s="53" t="n">
        <f aca="false">W21+X21</f>
        <v>284.158860312658</v>
      </c>
      <c r="Z21" s="57" t="n">
        <v>0</v>
      </c>
      <c r="AA21" s="58" t="n">
        <v>74</v>
      </c>
      <c r="AB21" s="58" t="n">
        <v>43</v>
      </c>
      <c r="AC21" s="59" t="n">
        <f aca="false">AC20+1</f>
        <v>12</v>
      </c>
      <c r="AD21" s="74"/>
      <c r="AE21" s="74"/>
      <c r="AF21" s="78"/>
    </row>
    <row r="22" customFormat="false" ht="11.1" hidden="false" customHeight="true" outlineLevel="0" collapsed="false">
      <c r="A22" s="59" t="n">
        <f aca="false">A21+1</f>
        <v>13</v>
      </c>
      <c r="B22" s="76" t="n">
        <v>6910.18</v>
      </c>
      <c r="C22" s="54" t="n">
        <v>322709</v>
      </c>
      <c r="D22" s="58" t="n">
        <f aca="false">C22-C21</f>
        <v>-361</v>
      </c>
      <c r="E22" s="54" t="n">
        <f aca="false">C22-152000</f>
        <v>170709</v>
      </c>
      <c r="F22" s="53" t="n">
        <f aca="false">D22/$D$2</f>
        <v>-182.047402924861</v>
      </c>
      <c r="G22" s="53" t="n">
        <v>80.57</v>
      </c>
      <c r="H22" s="55" t="n">
        <v>0</v>
      </c>
      <c r="I22" s="53" t="n">
        <f aca="false">G22+H22</f>
        <v>80.57</v>
      </c>
      <c r="J22" s="77" t="n">
        <f aca="false">IF(L22&gt;0,L22,0)</f>
        <v>2.93259707513872</v>
      </c>
      <c r="K22" s="53" t="n">
        <f aca="false">I22+J22</f>
        <v>83.5025970751387</v>
      </c>
      <c r="L22" s="53" t="n">
        <f aca="false">F22-(I22-W22)</f>
        <v>2.93259707513872</v>
      </c>
      <c r="M22" s="53" t="n">
        <v>133.6</v>
      </c>
      <c r="N22" s="53" t="n">
        <f aca="false">(20.05+19.96)*1.05</f>
        <v>42.0105</v>
      </c>
      <c r="O22" s="53" t="n">
        <f aca="false">M22-N22</f>
        <v>91.5895</v>
      </c>
      <c r="P22" s="53" t="n">
        <v>49.49</v>
      </c>
      <c r="Q22" s="53" t="n">
        <v>27.79</v>
      </c>
      <c r="R22" s="53" t="n">
        <f aca="false">SUM(O22:Q22)</f>
        <v>168.8695</v>
      </c>
      <c r="S22" s="54" t="n">
        <f aca="false">(I22-R22)+S21</f>
        <v>-6398.81648184569</v>
      </c>
      <c r="T22" s="53" t="n">
        <f aca="false">(AD22-AD21)/$D$2</f>
        <v>0</v>
      </c>
      <c r="U22" s="53" t="n">
        <v>54.67</v>
      </c>
      <c r="V22" s="54" t="n">
        <f aca="false">V21-U22</f>
        <v>1007.52</v>
      </c>
      <c r="W22" s="53" t="n">
        <f aca="false">R22+T22+N22+U22</f>
        <v>265.55</v>
      </c>
      <c r="X22" s="53" t="n">
        <f aca="false">IF(L22&lt;0,L22*-1,0)</f>
        <v>0</v>
      </c>
      <c r="Y22" s="53" t="n">
        <f aca="false">W22+X22</f>
        <v>265.55</v>
      </c>
      <c r="Z22" s="57" t="n">
        <v>0</v>
      </c>
      <c r="AA22" s="58" t="n">
        <v>66</v>
      </c>
      <c r="AB22" s="58" t="n">
        <v>39</v>
      </c>
      <c r="AC22" s="59" t="n">
        <f aca="false">AC21+1</f>
        <v>13</v>
      </c>
      <c r="AD22" s="74"/>
      <c r="AE22" s="74"/>
      <c r="AF22" s="78"/>
    </row>
    <row r="23" customFormat="false" ht="11.1" hidden="false" customHeight="true" outlineLevel="0" collapsed="false">
      <c r="A23" s="59" t="n">
        <f aca="false">A22+1</f>
        <v>14</v>
      </c>
      <c r="B23" s="76" t="n">
        <v>6910.1</v>
      </c>
      <c r="C23" s="54" t="n">
        <v>322388</v>
      </c>
      <c r="D23" s="58" t="n">
        <f aca="false">C23-C22</f>
        <v>-321</v>
      </c>
      <c r="E23" s="54" t="n">
        <f aca="false">C23-152000</f>
        <v>170388</v>
      </c>
      <c r="F23" s="53" t="n">
        <f aca="false">D23/$D$2</f>
        <v>-161.875945537065</v>
      </c>
      <c r="G23" s="53" t="n">
        <v>77.13</v>
      </c>
      <c r="H23" s="55" t="n">
        <v>0</v>
      </c>
      <c r="I23" s="53" t="n">
        <f aca="false">G23+H23</f>
        <v>77.13</v>
      </c>
      <c r="J23" s="77" t="n">
        <f aca="false">IF(L23&gt;0,L23,0)</f>
        <v>0</v>
      </c>
      <c r="K23" s="53" t="n">
        <f aca="false">I23+J23</f>
        <v>77.13</v>
      </c>
      <c r="L23" s="53" t="n">
        <f aca="false">F23-(I23-W23)</f>
        <v>-1.08594553706504</v>
      </c>
      <c r="M23" s="53" t="n">
        <v>105.78</v>
      </c>
      <c r="N23" s="53" t="n">
        <f aca="false">(7.65+7.5)*1.05</f>
        <v>15.9075</v>
      </c>
      <c r="O23" s="53" t="n">
        <f aca="false">M23-N23</f>
        <v>89.8725</v>
      </c>
      <c r="P23" s="53" t="n">
        <v>49.55</v>
      </c>
      <c r="Q23" s="53" t="n">
        <v>27.96</v>
      </c>
      <c r="R23" s="53" t="n">
        <f aca="false">SUM(O23:Q23)</f>
        <v>167.3825</v>
      </c>
      <c r="S23" s="54" t="n">
        <f aca="false">(I23-R23)+S22</f>
        <v>-6489.06898184569</v>
      </c>
      <c r="T23" s="53" t="n">
        <f aca="false">(AD23-AD22)/$D$2</f>
        <v>0</v>
      </c>
      <c r="U23" s="53" t="n">
        <v>54.63</v>
      </c>
      <c r="V23" s="54" t="n">
        <f aca="false">V22-U23</f>
        <v>952.890000000003</v>
      </c>
      <c r="W23" s="53" t="n">
        <f aca="false">R23+T23+N23+U23</f>
        <v>237.92</v>
      </c>
      <c r="X23" s="53" t="n">
        <f aca="false">IF(L23&lt;0,L23*-1,0)</f>
        <v>1.08594553706504</v>
      </c>
      <c r="Y23" s="53" t="n">
        <f aca="false">W23+X23</f>
        <v>239.005945537065</v>
      </c>
      <c r="Z23" s="57" t="n">
        <v>0</v>
      </c>
      <c r="AA23" s="86" t="n">
        <v>74</v>
      </c>
      <c r="AB23" s="58" t="n">
        <v>38</v>
      </c>
      <c r="AC23" s="59" t="n">
        <f aca="false">AC22+1</f>
        <v>14</v>
      </c>
      <c r="AD23" s="74"/>
      <c r="AE23" s="74"/>
      <c r="AF23" s="78"/>
    </row>
    <row r="24" customFormat="false" ht="11.1" hidden="false" customHeight="true" outlineLevel="0" collapsed="false">
      <c r="A24" s="59" t="n">
        <f aca="false">A23+1</f>
        <v>15</v>
      </c>
      <c r="B24" s="76" t="n">
        <v>6910</v>
      </c>
      <c r="C24" s="54" t="n">
        <v>321986</v>
      </c>
      <c r="D24" s="58" t="n">
        <f aca="false">C24-C23</f>
        <v>-402</v>
      </c>
      <c r="E24" s="54" t="n">
        <f aca="false">C24-152000</f>
        <v>169986</v>
      </c>
      <c r="F24" s="53" t="n">
        <f aca="false">D24/$D$2</f>
        <v>-202.723146747352</v>
      </c>
      <c r="G24" s="53" t="n">
        <v>74.5</v>
      </c>
      <c r="H24" s="55" t="n">
        <v>0</v>
      </c>
      <c r="I24" s="53" t="n">
        <v>92</v>
      </c>
      <c r="J24" s="77" t="n">
        <f aca="false">IF(L24&gt;0,L24,0)</f>
        <v>0</v>
      </c>
      <c r="K24" s="53" t="n">
        <f aca="false">I24+J24</f>
        <v>92</v>
      </c>
      <c r="L24" s="53" t="n">
        <f aca="false">F24-(I24-W24)</f>
        <v>-71.1431467473525</v>
      </c>
      <c r="M24" s="53" t="n">
        <v>91.58</v>
      </c>
      <c r="N24" s="53" t="n">
        <f aca="false">(0.48+0.06)*1.05</f>
        <v>0.567</v>
      </c>
      <c r="O24" s="53" t="n">
        <f aca="false">M24-N24</f>
        <v>91.013</v>
      </c>
      <c r="P24" s="53" t="n">
        <v>49.41</v>
      </c>
      <c r="Q24" s="53" t="n">
        <v>27.88</v>
      </c>
      <c r="R24" s="53" t="n">
        <f aca="false">SUM(O24:Q24)</f>
        <v>168.303</v>
      </c>
      <c r="S24" s="54" t="n">
        <f aca="false">(I24-R24)+S23</f>
        <v>-6565.37198184569</v>
      </c>
      <c r="T24" s="53" t="n">
        <f aca="false">(AD24-AD23)/$D$2</f>
        <v>0</v>
      </c>
      <c r="U24" s="53" t="n">
        <v>54.71</v>
      </c>
      <c r="V24" s="54" t="n">
        <f aca="false">V23-U24</f>
        <v>898.180000000003</v>
      </c>
      <c r="W24" s="53" t="n">
        <f aca="false">R24+T24+N24+U24</f>
        <v>223.58</v>
      </c>
      <c r="X24" s="53" t="n">
        <f aca="false">IF(L24&lt;0,L24*-1,0)</f>
        <v>71.1431467473525</v>
      </c>
      <c r="Y24" s="53" t="n">
        <f aca="false">W24+X24</f>
        <v>294.723146747352</v>
      </c>
      <c r="Z24" s="57" t="n">
        <v>0</v>
      </c>
      <c r="AA24" s="86" t="n">
        <v>74</v>
      </c>
      <c r="AB24" s="58" t="n">
        <v>38</v>
      </c>
      <c r="AC24" s="59" t="n">
        <f aca="false">AC23+1</f>
        <v>15</v>
      </c>
      <c r="AD24" s="74"/>
      <c r="AE24" s="74"/>
      <c r="AF24" s="78"/>
    </row>
    <row r="25" customFormat="false" ht="11.1" hidden="false" customHeight="true" outlineLevel="0" collapsed="false">
      <c r="A25" s="59" t="n">
        <f aca="false">A24+1</f>
        <v>16</v>
      </c>
      <c r="B25" s="76" t="n">
        <v>6909.93</v>
      </c>
      <c r="C25" s="54" t="n">
        <v>321708</v>
      </c>
      <c r="D25" s="58" t="n">
        <f aca="false">C25-C24</f>
        <v>-278</v>
      </c>
      <c r="E25" s="54" t="n">
        <f aca="false">C25-152000</f>
        <v>169708</v>
      </c>
      <c r="F25" s="53" t="n">
        <f aca="false">D25/$D$2</f>
        <v>-140.191628845184</v>
      </c>
      <c r="G25" s="53" t="n">
        <v>72.42</v>
      </c>
      <c r="H25" s="55" t="n">
        <v>0</v>
      </c>
      <c r="I25" s="53" t="n">
        <f aca="false">G25+H25</f>
        <v>72.42</v>
      </c>
      <c r="J25" s="77" t="n">
        <f aca="false">IF(L25&gt;0,L25,0)</f>
        <v>5.16837115481596</v>
      </c>
      <c r="K25" s="53" t="n">
        <f aca="false">I25+J25</f>
        <v>77.588371154816</v>
      </c>
      <c r="L25" s="53" t="n">
        <f aca="false">F25-(I25-W25)</f>
        <v>5.16837115481596</v>
      </c>
      <c r="M25" s="53" t="n">
        <v>89.59</v>
      </c>
      <c r="N25" s="53" t="n">
        <f aca="false">(1.27+0.54)*1.05</f>
        <v>1.9005</v>
      </c>
      <c r="O25" s="53" t="n">
        <f aca="false">M25-N25</f>
        <v>87.6895</v>
      </c>
      <c r="P25" s="53" t="n">
        <v>46.39</v>
      </c>
      <c r="Q25" s="53" t="n">
        <v>26.85</v>
      </c>
      <c r="R25" s="53" t="n">
        <f aca="false">SUM(O25:Q25)</f>
        <v>160.9295</v>
      </c>
      <c r="S25" s="54" t="n">
        <f aca="false">(I25-R25)+S24</f>
        <v>-6653.88148184569</v>
      </c>
      <c r="T25" s="53" t="n">
        <f aca="false">(AD25-AD24)/$D$2</f>
        <v>0</v>
      </c>
      <c r="U25" s="53" t="n">
        <v>54.95</v>
      </c>
      <c r="V25" s="54" t="n">
        <f aca="false">V24-U25</f>
        <v>843.230000000003</v>
      </c>
      <c r="W25" s="53" t="n">
        <f aca="false">R25+T25+N25+U25</f>
        <v>217.78</v>
      </c>
      <c r="X25" s="53" t="n">
        <f aca="false">IF(L25&lt;0,L25*-1,0)</f>
        <v>0</v>
      </c>
      <c r="Y25" s="53" t="n">
        <f aca="false">W25+X25</f>
        <v>217.78</v>
      </c>
      <c r="Z25" s="57" t="n">
        <v>0</v>
      </c>
      <c r="AA25" s="86" t="n">
        <v>69</v>
      </c>
      <c r="AB25" s="58" t="n">
        <v>40</v>
      </c>
      <c r="AC25" s="59" t="n">
        <f aca="false">AC24+1</f>
        <v>16</v>
      </c>
      <c r="AD25" s="74"/>
      <c r="AE25" s="74"/>
      <c r="AF25" s="78"/>
    </row>
    <row r="26" customFormat="false" ht="11.1" hidden="false" customHeight="true" outlineLevel="0" collapsed="false">
      <c r="A26" s="59" t="n">
        <f aca="false">A25+1</f>
        <v>17</v>
      </c>
      <c r="B26" s="76" t="n">
        <v>6909.77</v>
      </c>
      <c r="C26" s="54" t="n">
        <v>321070</v>
      </c>
      <c r="D26" s="58" t="n">
        <f aca="false">C26-C25</f>
        <v>-638</v>
      </c>
      <c r="E26" s="54" t="n">
        <f aca="false">C26-152000</f>
        <v>169070</v>
      </c>
      <c r="F26" s="53" t="n">
        <f aca="false">D26/$D$2</f>
        <v>-321.73474533535</v>
      </c>
      <c r="G26" s="53" t="n">
        <v>72.98</v>
      </c>
      <c r="H26" s="55" t="n">
        <v>0</v>
      </c>
      <c r="I26" s="53" t="n">
        <f aca="false">G26+H26</f>
        <v>72.98</v>
      </c>
      <c r="J26" s="77" t="n">
        <f aca="false">IF(L26&gt;0,L26,0)</f>
        <v>0</v>
      </c>
      <c r="K26" s="53" t="n">
        <f aca="false">I26+J26</f>
        <v>72.98</v>
      </c>
      <c r="L26" s="53" t="n">
        <f aca="false">F26-(I26-W26)</f>
        <v>-23.9647453353505</v>
      </c>
      <c r="M26" s="53" t="n">
        <v>94.84</v>
      </c>
      <c r="N26" s="53" t="n">
        <f aca="false">(4.05+4.12)*1.05</f>
        <v>8.5785</v>
      </c>
      <c r="O26" s="53" t="n">
        <f aca="false">M26-N26</f>
        <v>86.2615</v>
      </c>
      <c r="P26" s="53" t="n">
        <v>196.78</v>
      </c>
      <c r="Q26" s="53" t="n">
        <v>24.62</v>
      </c>
      <c r="R26" s="53" t="n">
        <f aca="false">SUM(O26:Q26)</f>
        <v>307.6615</v>
      </c>
      <c r="S26" s="54" t="n">
        <f aca="false">(I26-R26)+S25</f>
        <v>-6888.56298184569</v>
      </c>
      <c r="T26" s="53" t="n">
        <f aca="false">(AD26-AD25)/$D$2</f>
        <v>0</v>
      </c>
      <c r="U26" s="53" t="n">
        <v>54.51</v>
      </c>
      <c r="V26" s="54" t="n">
        <f aca="false">V25-U26</f>
        <v>788.720000000003</v>
      </c>
      <c r="W26" s="53" t="n">
        <f aca="false">R26+T26+N26+U26</f>
        <v>370.75</v>
      </c>
      <c r="X26" s="53" t="n">
        <f aca="false">IF(L26&lt;0,L26*-1,0)</f>
        <v>23.9647453353505</v>
      </c>
      <c r="Y26" s="53" t="n">
        <f aca="false">W26+X26</f>
        <v>394.71474533535</v>
      </c>
      <c r="Z26" s="57" t="n">
        <v>0</v>
      </c>
      <c r="AA26" s="86" t="n">
        <v>72</v>
      </c>
      <c r="AB26" s="58" t="n">
        <v>42</v>
      </c>
      <c r="AC26" s="59" t="n">
        <f aca="false">AC25+1</f>
        <v>17</v>
      </c>
      <c r="AD26" s="74"/>
      <c r="AE26" s="74"/>
      <c r="AF26" s="78"/>
    </row>
    <row r="27" customFormat="false" ht="11.1" hidden="false" customHeight="true" outlineLevel="0" collapsed="false">
      <c r="A27" s="59" t="n">
        <f aca="false">A26+1</f>
        <v>18</v>
      </c>
      <c r="B27" s="76" t="n">
        <v>6909.56</v>
      </c>
      <c r="C27" s="54" t="n">
        <v>320235</v>
      </c>
      <c r="D27" s="58" t="n">
        <f aca="false">C27-C26</f>
        <v>-835</v>
      </c>
      <c r="E27" s="54" t="n">
        <f aca="false">C27-152000</f>
        <v>168235</v>
      </c>
      <c r="F27" s="53" t="n">
        <f aca="false">D27/$D$2</f>
        <v>-421.079172970247</v>
      </c>
      <c r="G27" s="53" t="n">
        <v>70.93</v>
      </c>
      <c r="H27" s="55" t="n">
        <v>0</v>
      </c>
      <c r="I27" s="53" t="n">
        <f aca="false">G27+H27</f>
        <v>70.93</v>
      </c>
      <c r="J27" s="77" t="n">
        <f aca="false">IF(L27&gt;0,L27,0)</f>
        <v>0</v>
      </c>
      <c r="K27" s="53" t="n">
        <f aca="false">I27+J27</f>
        <v>70.93</v>
      </c>
      <c r="L27" s="53" t="n">
        <f aca="false">F27-(I27-W27)</f>
        <v>-7.48917297024713</v>
      </c>
      <c r="M27" s="53" t="n">
        <v>110.97</v>
      </c>
      <c r="N27" s="53" t="n">
        <f aca="false">(13.44+13.28)*1.05</f>
        <v>28.056</v>
      </c>
      <c r="O27" s="53" t="n">
        <f aca="false">M27-N27</f>
        <v>82.914</v>
      </c>
      <c r="P27" s="53" t="n">
        <v>295.7</v>
      </c>
      <c r="Q27" s="53" t="n">
        <v>23.43</v>
      </c>
      <c r="R27" s="53" t="n">
        <f aca="false">SUM(O27:Q27)</f>
        <v>402.044</v>
      </c>
      <c r="S27" s="54" t="n">
        <f aca="false">(I27-R27)+S26</f>
        <v>-7219.67698184569</v>
      </c>
      <c r="T27" s="53" t="n">
        <f aca="false">(AD27-AD26)/$D$2</f>
        <v>0</v>
      </c>
      <c r="U27" s="53" t="n">
        <v>54.42</v>
      </c>
      <c r="V27" s="54" t="n">
        <f aca="false">V26-U27</f>
        <v>734.300000000003</v>
      </c>
      <c r="W27" s="53" t="n">
        <f aca="false">R27+T27+N27+U27</f>
        <v>484.52</v>
      </c>
      <c r="X27" s="53" t="n">
        <f aca="false">IF(L27&lt;0,L27*-1,0)</f>
        <v>7.48917297024713</v>
      </c>
      <c r="Y27" s="53" t="n">
        <f aca="false">W27+X27</f>
        <v>492.009172970247</v>
      </c>
      <c r="Z27" s="57" t="n">
        <v>0</v>
      </c>
      <c r="AA27" s="86" t="n">
        <v>72</v>
      </c>
      <c r="AB27" s="58" t="n">
        <v>40</v>
      </c>
      <c r="AC27" s="59" t="n">
        <f aca="false">AC26+1</f>
        <v>18</v>
      </c>
      <c r="AD27" s="74"/>
      <c r="AE27" s="74"/>
      <c r="AF27" s="78"/>
    </row>
    <row r="28" customFormat="false" ht="11.1" hidden="false" customHeight="true" outlineLevel="0" collapsed="false">
      <c r="A28" s="59" t="n">
        <f aca="false">A27+1</f>
        <v>19</v>
      </c>
      <c r="B28" s="76" t="n">
        <v>6909.33</v>
      </c>
      <c r="C28" s="88" t="n">
        <v>319319</v>
      </c>
      <c r="D28" s="58" t="n">
        <f aca="false">C28-C27</f>
        <v>-916</v>
      </c>
      <c r="E28" s="54" t="n">
        <f aca="false">C28-152000</f>
        <v>167319</v>
      </c>
      <c r="F28" s="53" t="n">
        <f aca="false">D28/$D$2</f>
        <v>-461.926374180535</v>
      </c>
      <c r="G28" s="53" t="n">
        <v>68.04</v>
      </c>
      <c r="H28" s="55" t="n">
        <v>0</v>
      </c>
      <c r="I28" s="53" t="n">
        <f aca="false">G28+H28</f>
        <v>68.04</v>
      </c>
      <c r="J28" s="77" t="n">
        <f aca="false">IF(L28&gt;0,L28,0)</f>
        <v>0</v>
      </c>
      <c r="K28" s="53" t="n">
        <f aca="false">I28+J28</f>
        <v>68.04</v>
      </c>
      <c r="L28" s="53" t="n">
        <f aca="false">F28-(I28-W28)</f>
        <v>-41.6163741805346</v>
      </c>
      <c r="M28" s="53" t="n">
        <v>115.73</v>
      </c>
      <c r="N28" s="53" t="n">
        <f aca="false">(19.24+19.18)*1.05</f>
        <v>40.341</v>
      </c>
      <c r="O28" s="53" t="n">
        <f aca="false">M28-N28</f>
        <v>75.389</v>
      </c>
      <c r="P28" s="53" t="n">
        <v>295.02</v>
      </c>
      <c r="Q28" s="53" t="n">
        <v>23.4</v>
      </c>
      <c r="R28" s="53" t="n">
        <f aca="false">SUM(O28:Q28)</f>
        <v>393.809</v>
      </c>
      <c r="S28" s="54" t="n">
        <f aca="false">(I28-R28)+S27</f>
        <v>-7545.44598184569</v>
      </c>
      <c r="T28" s="53" t="n">
        <f aca="false">(AD28-AD27)/$D$2</f>
        <v>0</v>
      </c>
      <c r="U28" s="53" t="n">
        <v>54.2</v>
      </c>
      <c r="V28" s="54" t="n">
        <f aca="false">V27-U28</f>
        <v>680.100000000003</v>
      </c>
      <c r="W28" s="53" t="n">
        <f aca="false">R28+T28+N28+U28</f>
        <v>488.35</v>
      </c>
      <c r="X28" s="53" t="n">
        <f aca="false">IF(L28&lt;0,L28*-1,0)</f>
        <v>41.6163741805346</v>
      </c>
      <c r="Y28" s="53" t="n">
        <f aca="false">W28+X28</f>
        <v>529.966374180535</v>
      </c>
      <c r="Z28" s="57" t="n">
        <v>0</v>
      </c>
      <c r="AA28" s="86" t="n">
        <v>66</v>
      </c>
      <c r="AB28" s="58" t="n">
        <v>42</v>
      </c>
      <c r="AC28" s="59" t="n">
        <f aca="false">AC27+1</f>
        <v>19</v>
      </c>
      <c r="AD28" s="74"/>
      <c r="AE28" s="74"/>
      <c r="AF28" s="78"/>
    </row>
    <row r="29" customFormat="false" ht="11.1" hidden="false" customHeight="true" outlineLevel="0" collapsed="false">
      <c r="A29" s="59" t="n">
        <f aca="false">A28+1</f>
        <v>20</v>
      </c>
      <c r="B29" s="76" t="n">
        <v>6909.11</v>
      </c>
      <c r="C29" s="54" t="n">
        <v>318442</v>
      </c>
      <c r="D29" s="58" t="n">
        <f aca="false">C29-C28</f>
        <v>-877</v>
      </c>
      <c r="E29" s="54" t="n">
        <f aca="false">C29-152000</f>
        <v>166442</v>
      </c>
      <c r="F29" s="53" t="n">
        <f aca="false">D29/$D$2</f>
        <v>-442.259203227433</v>
      </c>
      <c r="G29" s="53" t="n">
        <v>67.06</v>
      </c>
      <c r="H29" s="55" t="n">
        <v>0</v>
      </c>
      <c r="I29" s="53" t="n">
        <f aca="false">G29+H29</f>
        <v>67.06</v>
      </c>
      <c r="J29" s="77" t="n">
        <f aca="false">IF(L29&gt;0,L29,0)</f>
        <v>0</v>
      </c>
      <c r="K29" s="53" t="n">
        <f aca="false">I29+J29</f>
        <v>67.06</v>
      </c>
      <c r="L29" s="53" t="n">
        <f aca="false">F29-(I29-W29)</f>
        <v>-27.3992032274332</v>
      </c>
      <c r="M29" s="53" t="n">
        <v>110.24</v>
      </c>
      <c r="N29" s="53" t="n">
        <f aca="false">(14.55+14.8)*1.05</f>
        <v>30.8175</v>
      </c>
      <c r="O29" s="53" t="n">
        <f aca="false">M29-N29</f>
        <v>79.4225</v>
      </c>
      <c r="P29" s="53" t="n">
        <v>294.32</v>
      </c>
      <c r="Q29" s="53" t="n">
        <v>23.16</v>
      </c>
      <c r="R29" s="53" t="n">
        <f aca="false">SUM(O29:Q29)</f>
        <v>396.9025</v>
      </c>
      <c r="S29" s="54" t="n">
        <f aca="false">(I29-R29)+S28</f>
        <v>-7875.28848184569</v>
      </c>
      <c r="T29" s="53" t="n">
        <f aca="false">(AD29-AD28)/$D$2</f>
        <v>0</v>
      </c>
      <c r="U29" s="53" t="n">
        <v>54.2</v>
      </c>
      <c r="V29" s="54" t="n">
        <f aca="false">V28-U29</f>
        <v>625.900000000003</v>
      </c>
      <c r="W29" s="53" t="n">
        <f aca="false">R29+T29+N29+U29</f>
        <v>481.92</v>
      </c>
      <c r="X29" s="53" t="n">
        <f aca="false">IF(L29&lt;0,L29*-1,0)</f>
        <v>27.3992032274332</v>
      </c>
      <c r="Y29" s="53" t="n">
        <f aca="false">W29+X29</f>
        <v>509.319203227433</v>
      </c>
      <c r="Z29" s="57" t="n">
        <v>0</v>
      </c>
      <c r="AA29" s="86" t="n">
        <v>67</v>
      </c>
      <c r="AB29" s="58" t="n">
        <v>31</v>
      </c>
      <c r="AC29" s="59" t="n">
        <f aca="false">AC28+1</f>
        <v>20</v>
      </c>
      <c r="AD29" s="74"/>
      <c r="AE29" s="74"/>
      <c r="AF29" s="78"/>
    </row>
    <row r="30" customFormat="false" ht="11.1" hidden="false" customHeight="true" outlineLevel="0" collapsed="false">
      <c r="A30" s="59" t="n">
        <f aca="false">A29+1</f>
        <v>21</v>
      </c>
      <c r="B30" s="76" t="n">
        <v>6908.89</v>
      </c>
      <c r="C30" s="54" t="n">
        <v>317571</v>
      </c>
      <c r="D30" s="58" t="n">
        <f aca="false">C30-C29</f>
        <v>-871</v>
      </c>
      <c r="E30" s="54" t="n">
        <f aca="false">C30-152000</f>
        <v>165571</v>
      </c>
      <c r="F30" s="53" t="n">
        <f aca="false">D30/$D$2</f>
        <v>-439.233484619264</v>
      </c>
      <c r="G30" s="53" t="n">
        <v>62.42</v>
      </c>
      <c r="H30" s="55" t="n">
        <v>0</v>
      </c>
      <c r="I30" s="53" t="n">
        <f aca="false">G30+H30</f>
        <v>62.42</v>
      </c>
      <c r="J30" s="77" t="n">
        <f aca="false">IF(L30&gt;0,L30,0)</f>
        <v>0</v>
      </c>
      <c r="K30" s="53" t="n">
        <f aca="false">I30+J30</f>
        <v>62.42</v>
      </c>
      <c r="L30" s="53" t="n">
        <f aca="false">F30-(I30-W30)</f>
        <v>-39.6634846192637</v>
      </c>
      <c r="M30" s="53" t="n">
        <v>90.74</v>
      </c>
      <c r="N30" s="53" t="n">
        <f aca="false">(4.48+4.59)*1.05</f>
        <v>9.5235</v>
      </c>
      <c r="O30" s="53" t="n">
        <f aca="false">M30-N30</f>
        <v>81.2165</v>
      </c>
      <c r="P30" s="53" t="n">
        <v>294.04</v>
      </c>
      <c r="Q30" s="53" t="n">
        <v>23.01</v>
      </c>
      <c r="R30" s="53" t="n">
        <f aca="false">SUM(O30:Q30)</f>
        <v>398.2665</v>
      </c>
      <c r="S30" s="54" t="n">
        <f aca="false">(I30-R30)+S29</f>
        <v>-8211.13498184569</v>
      </c>
      <c r="T30" s="53" t="n">
        <f aca="false">(AD30-AD29)/$D$2</f>
        <v>0</v>
      </c>
      <c r="U30" s="53" t="n">
        <v>54.2</v>
      </c>
      <c r="V30" s="54" t="n">
        <f aca="false">V29-U30</f>
        <v>571.700000000003</v>
      </c>
      <c r="W30" s="53" t="n">
        <f aca="false">R30+T30+N30+U30</f>
        <v>461.99</v>
      </c>
      <c r="X30" s="53" t="n">
        <f aca="false">IF(L30&lt;0,L30*-1,0)</f>
        <v>39.6634846192637</v>
      </c>
      <c r="Y30" s="53" t="n">
        <f aca="false">W30+X30</f>
        <v>501.653484619264</v>
      </c>
      <c r="Z30" s="57" t="n">
        <v>0</v>
      </c>
      <c r="AA30" s="58" t="n">
        <v>67</v>
      </c>
      <c r="AB30" s="58" t="n">
        <v>35</v>
      </c>
      <c r="AC30" s="59" t="n">
        <f aca="false">AC29+1</f>
        <v>21</v>
      </c>
      <c r="AD30" s="74"/>
      <c r="AE30" s="74"/>
      <c r="AF30" s="78"/>
    </row>
    <row r="31" customFormat="false" ht="11.1" hidden="false" customHeight="true" outlineLevel="0" collapsed="false">
      <c r="A31" s="59" t="n">
        <f aca="false">A30+1</f>
        <v>22</v>
      </c>
      <c r="B31" s="76" t="n">
        <v>6908.67</v>
      </c>
      <c r="C31" s="54" t="n">
        <v>316702</v>
      </c>
      <c r="D31" s="58" t="n">
        <f aca="false">C31-C30</f>
        <v>-869</v>
      </c>
      <c r="E31" s="54" t="n">
        <f aca="false">C31-152000</f>
        <v>164702</v>
      </c>
      <c r="F31" s="53" t="n">
        <f aca="false">D31/$D$2</f>
        <v>-438.224911749874</v>
      </c>
      <c r="G31" s="53" t="n">
        <v>64.66</v>
      </c>
      <c r="H31" s="55" t="n">
        <v>0</v>
      </c>
      <c r="I31" s="53" t="n">
        <f aca="false">G31+H31</f>
        <v>64.66</v>
      </c>
      <c r="J31" s="77" t="n">
        <f aca="false">IF(L31&gt;0,L31,0)</f>
        <v>0</v>
      </c>
      <c r="K31" s="53" t="n">
        <f aca="false">I31+J31</f>
        <v>64.66</v>
      </c>
      <c r="L31" s="53" t="n">
        <f aca="false">F31-(I31-W31)</f>
        <v>-39.3349117498739</v>
      </c>
      <c r="M31" s="53" t="n">
        <v>91.07</v>
      </c>
      <c r="N31" s="53" t="n">
        <v>0</v>
      </c>
      <c r="O31" s="53" t="n">
        <f aca="false">M31-N31</f>
        <v>91.07</v>
      </c>
      <c r="P31" s="53" t="n">
        <v>295.35</v>
      </c>
      <c r="Q31" s="53" t="n">
        <v>22.93</v>
      </c>
      <c r="R31" s="53" t="n">
        <f aca="false">SUM(O31:Q31)</f>
        <v>409.35</v>
      </c>
      <c r="S31" s="54" t="n">
        <f aca="false">(I31-R31)+S30</f>
        <v>-8555.82498184569</v>
      </c>
      <c r="T31" s="53" t="n">
        <f aca="false">(AD31-AD30)/$D$2</f>
        <v>0</v>
      </c>
      <c r="U31" s="53" t="n">
        <v>54.2</v>
      </c>
      <c r="V31" s="54" t="n">
        <f aca="false">V30-U31</f>
        <v>517.500000000003</v>
      </c>
      <c r="W31" s="53" t="n">
        <f aca="false">R31+T31+N31+U31</f>
        <v>463.55</v>
      </c>
      <c r="X31" s="53" t="n">
        <f aca="false">IF(L31&lt;0,L31*-1,0)</f>
        <v>39.3349117498739</v>
      </c>
      <c r="Y31" s="53" t="n">
        <f aca="false">W31+X31</f>
        <v>502.884911749874</v>
      </c>
      <c r="Z31" s="57" t="n">
        <v>0</v>
      </c>
      <c r="AA31" s="58" t="n">
        <v>40</v>
      </c>
      <c r="AB31" s="58" t="n">
        <v>34</v>
      </c>
      <c r="AC31" s="59" t="n">
        <f aca="false">AC30+1</f>
        <v>22</v>
      </c>
      <c r="AD31" s="74"/>
      <c r="AE31" s="74"/>
      <c r="AF31" s="78"/>
      <c r="AG31" s="99"/>
      <c r="AH31" s="99"/>
      <c r="AI31" s="99"/>
    </row>
    <row r="32" customFormat="false" ht="11.1" hidden="false" customHeight="true" outlineLevel="0" collapsed="false">
      <c r="A32" s="59" t="n">
        <f aca="false">A31+1</f>
        <v>23</v>
      </c>
      <c r="B32" s="76" t="n">
        <v>6808.45</v>
      </c>
      <c r="C32" s="54" t="n">
        <v>315834</v>
      </c>
      <c r="D32" s="58" t="n">
        <f aca="false">C32-C31</f>
        <v>-868</v>
      </c>
      <c r="E32" s="54" t="n">
        <f aca="false">C32-152000</f>
        <v>163834</v>
      </c>
      <c r="F32" s="53" t="n">
        <f aca="false">D32/$D$2</f>
        <v>-437.720625315179</v>
      </c>
      <c r="G32" s="53" t="n">
        <v>65.21</v>
      </c>
      <c r="H32" s="55" t="n">
        <v>0</v>
      </c>
      <c r="I32" s="53" t="n">
        <f aca="false">G32+H32</f>
        <v>65.21</v>
      </c>
      <c r="J32" s="77" t="n">
        <f aca="false">IF(L32&gt;0,L32,0)</f>
        <v>0</v>
      </c>
      <c r="K32" s="53" t="n">
        <f aca="false">I32+J32</f>
        <v>65.21</v>
      </c>
      <c r="L32" s="53" t="n">
        <f aca="false">F32-(I32-W32)</f>
        <v>-35.410625315179</v>
      </c>
      <c r="M32" s="53" t="n">
        <v>94.84</v>
      </c>
      <c r="N32" s="53" t="n">
        <v>0</v>
      </c>
      <c r="O32" s="53" t="n">
        <f aca="false">M32-N32</f>
        <v>94.84</v>
      </c>
      <c r="P32" s="53" t="n">
        <v>295.44</v>
      </c>
      <c r="Q32" s="53" t="n">
        <v>22.1</v>
      </c>
      <c r="R32" s="53" t="n">
        <f aca="false">SUM(O32:Q32)</f>
        <v>412.38</v>
      </c>
      <c r="S32" s="54" t="n">
        <f aca="false">(I32-R32)+S31</f>
        <v>-8902.99498184569</v>
      </c>
      <c r="T32" s="53" t="n">
        <f aca="false">(AD32-AD31)/$D$2</f>
        <v>0</v>
      </c>
      <c r="U32" s="53" t="n">
        <v>55.14</v>
      </c>
      <c r="V32" s="54" t="n">
        <f aca="false">V31-U32</f>
        <v>462.360000000003</v>
      </c>
      <c r="W32" s="53" t="n">
        <f aca="false">R32+T32+N32+U32</f>
        <v>467.52</v>
      </c>
      <c r="X32" s="53" t="n">
        <f aca="false">IF(L32&lt;0,L32*-1,0)</f>
        <v>35.410625315179</v>
      </c>
      <c r="Y32" s="53" t="n">
        <f aca="false">W32+X32</f>
        <v>502.930625315179</v>
      </c>
      <c r="Z32" s="57" t="n">
        <v>0</v>
      </c>
      <c r="AA32" s="58" t="n">
        <v>50</v>
      </c>
      <c r="AB32" s="86" t="n">
        <v>20</v>
      </c>
      <c r="AC32" s="59" t="n">
        <f aca="false">AC31+1</f>
        <v>23</v>
      </c>
      <c r="AD32" s="74"/>
      <c r="AE32" s="74"/>
      <c r="AF32" s="78"/>
    </row>
    <row r="33" customFormat="false" ht="11.1" hidden="false" customHeight="true" outlineLevel="0" collapsed="false">
      <c r="A33" s="59" t="n">
        <f aca="false">A32+1</f>
        <v>24</v>
      </c>
      <c r="B33" s="76" t="n">
        <v>6908.22</v>
      </c>
      <c r="C33" s="54" t="n">
        <v>314926</v>
      </c>
      <c r="D33" s="58" t="n">
        <f aca="false">C33-C32</f>
        <v>-908</v>
      </c>
      <c r="E33" s="54" t="n">
        <f aca="false">C33-152000</f>
        <v>162926</v>
      </c>
      <c r="F33" s="53" t="n">
        <f aca="false">D33/$D$2</f>
        <v>-457.892082702975</v>
      </c>
      <c r="G33" s="53" t="n">
        <v>62.7</v>
      </c>
      <c r="H33" s="55" t="n">
        <v>0</v>
      </c>
      <c r="I33" s="53" t="n">
        <f aca="false">G33+H33</f>
        <v>62.7</v>
      </c>
      <c r="J33" s="77" t="n">
        <f aca="false">IF(L33&gt;0,L33,0)</f>
        <v>0</v>
      </c>
      <c r="K33" s="53" t="n">
        <f aca="false">I33+J33</f>
        <v>62.7</v>
      </c>
      <c r="L33" s="53" t="n">
        <f aca="false">F33-(I33-W33)</f>
        <v>-37.6820827029753</v>
      </c>
      <c r="M33" s="53" t="n">
        <v>111.1</v>
      </c>
      <c r="N33" s="53" t="n">
        <f aca="false">(11.57+10.94)*1.05</f>
        <v>23.6355</v>
      </c>
      <c r="O33" s="53" t="n">
        <f aca="false">M33-N33</f>
        <v>87.4645</v>
      </c>
      <c r="P33" s="53" t="n">
        <v>294.54</v>
      </c>
      <c r="Q33" s="53" t="n">
        <v>21.27</v>
      </c>
      <c r="R33" s="53" t="n">
        <f aca="false">SUM(O33:Q33)</f>
        <v>403.2745</v>
      </c>
      <c r="S33" s="54" t="n">
        <f aca="false">(I33-R33)+S32</f>
        <v>-9243.56948184569</v>
      </c>
      <c r="T33" s="53" t="n">
        <f aca="false">(AD33-AD32)/$D$2</f>
        <v>0</v>
      </c>
      <c r="U33" s="53" t="n">
        <v>56</v>
      </c>
      <c r="V33" s="54" t="n">
        <f aca="false">V32-U33</f>
        <v>406.360000000003</v>
      </c>
      <c r="W33" s="53" t="n">
        <f aca="false">R33+T33+N33+U33</f>
        <v>482.91</v>
      </c>
      <c r="X33" s="53" t="n">
        <f aca="false">IF(L33&lt;0,L33*-1,0)</f>
        <v>37.6820827029753</v>
      </c>
      <c r="Y33" s="53" t="n">
        <f aca="false">W33+X33</f>
        <v>520.592082702975</v>
      </c>
      <c r="Z33" s="57" t="n">
        <v>0</v>
      </c>
      <c r="AA33" s="58" t="n">
        <v>59</v>
      </c>
      <c r="AB33" s="86" t="n">
        <v>31</v>
      </c>
      <c r="AC33" s="59" t="n">
        <f aca="false">AC32+1</f>
        <v>24</v>
      </c>
      <c r="AD33" s="74"/>
      <c r="AE33" s="74"/>
      <c r="AF33" s="78"/>
    </row>
    <row r="34" customFormat="false" ht="11.1" hidden="false" customHeight="true" outlineLevel="0" collapsed="false">
      <c r="A34" s="59" t="n">
        <v>25</v>
      </c>
      <c r="B34" s="76" t="n">
        <v>6908.09</v>
      </c>
      <c r="C34" s="54" t="n">
        <v>314411</v>
      </c>
      <c r="D34" s="58" t="n">
        <f aca="false">C34-C33</f>
        <v>-515</v>
      </c>
      <c r="E34" s="54" t="n">
        <f aca="false">C34-152000</f>
        <v>162411</v>
      </c>
      <c r="F34" s="53" t="n">
        <f aca="false">D34/$D$2</f>
        <v>-259.707513867877</v>
      </c>
      <c r="G34" s="53" t="n">
        <v>64.18</v>
      </c>
      <c r="H34" s="55" t="n">
        <v>0</v>
      </c>
      <c r="I34" s="53" t="n">
        <f aca="false">G34+H34</f>
        <v>64.18</v>
      </c>
      <c r="J34" s="77" t="n">
        <f aca="false">IF(L34&gt;0,L34,0)</f>
        <v>0</v>
      </c>
      <c r="K34" s="53" t="n">
        <f aca="false">I34+J34</f>
        <v>64.18</v>
      </c>
      <c r="L34" s="53" t="n">
        <f aca="false">F34-(I34-W34)</f>
        <v>-39.467513867877</v>
      </c>
      <c r="M34" s="53" t="n">
        <v>89.28</v>
      </c>
      <c r="N34" s="53" t="n">
        <f aca="false">(17.96+17.83)*1.05</f>
        <v>37.5795</v>
      </c>
      <c r="O34" s="53" t="n">
        <f aca="false">M34-N34</f>
        <v>51.7005</v>
      </c>
      <c r="P34" s="53" t="n">
        <v>116.62</v>
      </c>
      <c r="Q34" s="53" t="n">
        <v>21.52</v>
      </c>
      <c r="R34" s="53" t="n">
        <f aca="false">SUM(O34:Q34)</f>
        <v>189.8405</v>
      </c>
      <c r="S34" s="54" t="n">
        <f aca="false">(I34-R34)+S33</f>
        <v>-9369.22998184569</v>
      </c>
      <c r="T34" s="53" t="n">
        <f aca="false">(AD34-AD33)/$D$2</f>
        <v>0</v>
      </c>
      <c r="U34" s="53" t="n">
        <v>57</v>
      </c>
      <c r="V34" s="54" t="n">
        <f aca="false">V33-U34</f>
        <v>349.360000000003</v>
      </c>
      <c r="W34" s="53" t="n">
        <f aca="false">R34+T34+N34+U34</f>
        <v>284.42</v>
      </c>
      <c r="X34" s="53" t="n">
        <f aca="false">IF(L34&lt;0,L34*-1,0)</f>
        <v>39.467513867877</v>
      </c>
      <c r="Y34" s="53" t="n">
        <f aca="false">W34+X34</f>
        <v>323.887513867877</v>
      </c>
      <c r="Z34" s="57" t="n">
        <v>0</v>
      </c>
      <c r="AA34" s="58" t="n">
        <v>59</v>
      </c>
      <c r="AB34" s="86" t="n">
        <v>29</v>
      </c>
      <c r="AC34" s="59" t="n">
        <v>25</v>
      </c>
      <c r="AD34" s="74"/>
      <c r="AE34" s="74"/>
      <c r="AF34" s="78"/>
    </row>
    <row r="35" customFormat="false" ht="11.1" hidden="false" customHeight="true" outlineLevel="0" collapsed="false">
      <c r="A35" s="59" t="n">
        <v>26</v>
      </c>
      <c r="B35" s="76" t="n">
        <v>6908.03</v>
      </c>
      <c r="C35" s="54" t="n">
        <v>314174</v>
      </c>
      <c r="D35" s="58" t="n">
        <f aca="false">C35-C34</f>
        <v>-237</v>
      </c>
      <c r="E35" s="54" t="n">
        <f aca="false">C35-152000</f>
        <v>162174</v>
      </c>
      <c r="F35" s="53" t="n">
        <f aca="false">D35/$D$2</f>
        <v>-119.515885022693</v>
      </c>
      <c r="G35" s="53" t="n">
        <v>63.39</v>
      </c>
      <c r="H35" s="55" t="n">
        <v>0</v>
      </c>
      <c r="I35" s="53" t="n">
        <f aca="false">G35+H35</f>
        <v>63.39</v>
      </c>
      <c r="J35" s="77" t="n">
        <f aca="false">IF(L35&gt;0,L35,0)</f>
        <v>0</v>
      </c>
      <c r="K35" s="53" t="n">
        <f aca="false">I35+J35</f>
        <v>63.39</v>
      </c>
      <c r="L35" s="53" t="n">
        <f aca="false">F35-(I35-W35)</f>
        <v>-30.9558850226929</v>
      </c>
      <c r="M35" s="53" t="n">
        <v>74.65</v>
      </c>
      <c r="N35" s="53" t="n">
        <f aca="false">(21.05+20.68)*1.05</f>
        <v>43.8165</v>
      </c>
      <c r="O35" s="53" t="n">
        <f aca="false">M35-N35</f>
        <v>30.8335</v>
      </c>
      <c r="P35" s="53" t="n">
        <v>0</v>
      </c>
      <c r="Q35" s="53" t="n">
        <v>20.3</v>
      </c>
      <c r="R35" s="53" t="n">
        <f aca="false">SUM(O35:Q35)</f>
        <v>51.1335</v>
      </c>
      <c r="S35" s="54" t="n">
        <f aca="false">(I35-R35)+S34</f>
        <v>-9356.97348184569</v>
      </c>
      <c r="T35" s="53" t="n">
        <f aca="false">(AD35-AD34)/$D$2</f>
        <v>0</v>
      </c>
      <c r="U35" s="53" t="n">
        <v>57</v>
      </c>
      <c r="V35" s="54" t="n">
        <f aca="false">V34-U35</f>
        <v>292.360000000003</v>
      </c>
      <c r="W35" s="53" t="n">
        <f aca="false">R35+T35+N35+U35</f>
        <v>151.95</v>
      </c>
      <c r="X35" s="53" t="n">
        <f aca="false">IF(L35&lt;0,L35*-1,0)</f>
        <v>30.9558850226929</v>
      </c>
      <c r="Y35" s="53" t="n">
        <f aca="false">W35+X35</f>
        <v>182.905885022693</v>
      </c>
      <c r="Z35" s="57" t="n">
        <v>0</v>
      </c>
      <c r="AA35" s="58" t="n">
        <v>64</v>
      </c>
      <c r="AB35" s="86" t="n">
        <v>29</v>
      </c>
      <c r="AC35" s="59" t="n">
        <v>26</v>
      </c>
      <c r="AD35" s="74"/>
      <c r="AE35" s="74"/>
      <c r="AF35" s="78"/>
    </row>
    <row r="36" customFormat="false" ht="11.1" hidden="false" customHeight="true" outlineLevel="0" collapsed="false">
      <c r="A36" s="59" t="n">
        <v>27</v>
      </c>
      <c r="B36" s="76" t="n">
        <v>6907.98</v>
      </c>
      <c r="C36" s="54" t="n">
        <v>313978</v>
      </c>
      <c r="D36" s="58" t="n">
        <f aca="false">C36-C35</f>
        <v>-196</v>
      </c>
      <c r="E36" s="54" t="n">
        <f aca="false">C36-152000</f>
        <v>161978</v>
      </c>
      <c r="F36" s="53" t="n">
        <f aca="false">D36/$D$2</f>
        <v>-98.8401412002017</v>
      </c>
      <c r="G36" s="53" t="n">
        <v>65.27</v>
      </c>
      <c r="H36" s="55" t="n">
        <v>0</v>
      </c>
      <c r="I36" s="53" t="n">
        <f aca="false">G36+H36</f>
        <v>65.27</v>
      </c>
      <c r="J36" s="77" t="n">
        <f aca="false">IF(L36&gt;0,L36,0)</f>
        <v>0</v>
      </c>
      <c r="K36" s="53" t="n">
        <f aca="false">I36+J36</f>
        <v>65.27</v>
      </c>
      <c r="L36" s="53" t="n">
        <f aca="false">F36-(I36-W36)</f>
        <v>-22.5401412002017</v>
      </c>
      <c r="M36" s="53" t="n">
        <v>65.26</v>
      </c>
      <c r="N36" s="53" t="n">
        <f aca="false">(20.94+20.62)*1.05</f>
        <v>43.638</v>
      </c>
      <c r="O36" s="53" t="n">
        <f aca="false">M36-N36</f>
        <v>21.622</v>
      </c>
      <c r="P36" s="53" t="n">
        <v>0</v>
      </c>
      <c r="Q36" s="53" t="n">
        <v>19.31</v>
      </c>
      <c r="R36" s="53" t="n">
        <f aca="false">SUM(O36:Q36)</f>
        <v>40.932</v>
      </c>
      <c r="S36" s="54" t="n">
        <f aca="false">(I36-R36)+S35</f>
        <v>-9332.63548184569</v>
      </c>
      <c r="T36" s="53" t="n">
        <f aca="false">(AD36-AD35)/$D$2</f>
        <v>0</v>
      </c>
      <c r="U36" s="53" t="n">
        <v>57</v>
      </c>
      <c r="V36" s="54" t="n">
        <f aca="false">V35-U36</f>
        <v>235.360000000003</v>
      </c>
      <c r="W36" s="53" t="n">
        <f aca="false">R36+T36+N36+U36</f>
        <v>141.57</v>
      </c>
      <c r="X36" s="53" t="n">
        <f aca="false">IF(L36&lt;0,L36*-1,0)</f>
        <v>22.5401412002017</v>
      </c>
      <c r="Y36" s="53" t="n">
        <f aca="false">W36+X36</f>
        <v>164.110141200202</v>
      </c>
      <c r="Z36" s="57" t="n">
        <v>0</v>
      </c>
      <c r="AA36" s="58" t="n">
        <v>63</v>
      </c>
      <c r="AB36" s="86" t="n">
        <v>34</v>
      </c>
      <c r="AC36" s="59" t="n">
        <v>27</v>
      </c>
      <c r="AD36" s="74"/>
      <c r="AE36" s="74"/>
      <c r="AF36" s="78"/>
    </row>
    <row r="37" customFormat="false" ht="11.1" hidden="false" customHeight="true" outlineLevel="0" collapsed="false">
      <c r="A37" s="59" t="n">
        <v>28</v>
      </c>
      <c r="B37" s="76" t="n">
        <v>6707.96</v>
      </c>
      <c r="C37" s="54" t="n">
        <v>313899</v>
      </c>
      <c r="D37" s="58" t="n">
        <f aca="false">C37-C36</f>
        <v>-79</v>
      </c>
      <c r="E37" s="54" t="n">
        <f aca="false">C37-152000</f>
        <v>161899</v>
      </c>
      <c r="F37" s="53" t="n">
        <f aca="false">D37/$D$2</f>
        <v>-39.8386283408976</v>
      </c>
      <c r="G37" s="53" t="n">
        <v>64.28</v>
      </c>
      <c r="H37" s="55" t="n">
        <v>0</v>
      </c>
      <c r="I37" s="53" t="n">
        <f aca="false">G37+H37</f>
        <v>64.28</v>
      </c>
      <c r="J37" s="77" t="n">
        <f aca="false">IF(L37&gt;0,L37,0)</f>
        <v>17.6513716591024</v>
      </c>
      <c r="K37" s="53" t="n">
        <f aca="false">I37+J37</f>
        <v>81.9313716591024</v>
      </c>
      <c r="L37" s="53" t="n">
        <f aca="false">F37-(I37-W37)</f>
        <v>17.6513716591024</v>
      </c>
      <c r="M37" s="53" t="n">
        <v>48.83</v>
      </c>
      <c r="N37" s="53" t="n">
        <f aca="false">(9.45+9.82)*1.05</f>
        <v>20.2335</v>
      </c>
      <c r="O37" s="53" t="n">
        <f aca="false">M37-N37</f>
        <v>28.5965</v>
      </c>
      <c r="P37" s="53" t="n">
        <v>0</v>
      </c>
      <c r="Q37" s="53" t="n">
        <v>15.94</v>
      </c>
      <c r="R37" s="53" t="n">
        <f aca="false">SUM(O37:Q37)</f>
        <v>44.5365</v>
      </c>
      <c r="S37" s="54" t="n">
        <f aca="false">(I37-R37)+S36</f>
        <v>-9312.89198184569</v>
      </c>
      <c r="T37" s="53" t="n">
        <f aca="false">(AD37-AD36)/$D$2</f>
        <v>0</v>
      </c>
      <c r="U37" s="53" t="n">
        <v>57</v>
      </c>
      <c r="V37" s="54" t="n">
        <f aca="false">V36-U37</f>
        <v>178.360000000003</v>
      </c>
      <c r="W37" s="53" t="n">
        <f aca="false">R37+T37+N37+U37</f>
        <v>121.77</v>
      </c>
      <c r="X37" s="53" t="n">
        <f aca="false">IF(L37&lt;0,L37*-1,0)</f>
        <v>0</v>
      </c>
      <c r="Y37" s="53" t="n">
        <f aca="false">W37+X37</f>
        <v>121.77</v>
      </c>
      <c r="Z37" s="57" t="n">
        <v>0</v>
      </c>
      <c r="AA37" s="58" t="n">
        <v>66</v>
      </c>
      <c r="AB37" s="86" t="n">
        <v>37</v>
      </c>
      <c r="AC37" s="59" t="n">
        <v>28</v>
      </c>
      <c r="AD37" s="74"/>
      <c r="AE37" s="74"/>
      <c r="AF37" s="78"/>
    </row>
    <row r="38" customFormat="false" ht="11.1" hidden="false" customHeight="true" outlineLevel="0" collapsed="false">
      <c r="A38" s="59" t="n">
        <v>29</v>
      </c>
      <c r="B38" s="76" t="n">
        <v>6907.95</v>
      </c>
      <c r="C38" s="54" t="n">
        <v>313861</v>
      </c>
      <c r="D38" s="58" t="n">
        <f aca="false">C38-C37</f>
        <v>-38</v>
      </c>
      <c r="E38" s="54" t="n">
        <f aca="false">C38-152000</f>
        <v>161861</v>
      </c>
      <c r="F38" s="53" t="n">
        <f aca="false">D38/$D$2</f>
        <v>-19.1628845184065</v>
      </c>
      <c r="G38" s="53" t="n">
        <v>63.56</v>
      </c>
      <c r="H38" s="55" t="n">
        <v>0</v>
      </c>
      <c r="I38" s="53" t="n">
        <f aca="false">G38+H38</f>
        <v>63.56</v>
      </c>
      <c r="J38" s="77" t="n">
        <f aca="false">IF(L38&gt;0,L38,0)</f>
        <v>28.0471154815936</v>
      </c>
      <c r="K38" s="53" t="n">
        <f aca="false">I38+J38</f>
        <v>91.6071154815936</v>
      </c>
      <c r="L38" s="53" t="n">
        <f aca="false">F38-(I38-W38)</f>
        <v>28.0471154815936</v>
      </c>
      <c r="M38" s="53" t="n">
        <v>34.9</v>
      </c>
      <c r="N38" s="53" t="n">
        <f aca="false">(1.61+1.07)*1.05</f>
        <v>2.814</v>
      </c>
      <c r="O38" s="53" t="n">
        <f aca="false">M38-N38</f>
        <v>32.086</v>
      </c>
      <c r="P38" s="53" t="n">
        <v>0</v>
      </c>
      <c r="Q38" s="53" t="n">
        <v>18.87</v>
      </c>
      <c r="R38" s="53" t="n">
        <f aca="false">SUM(O38:Q38)</f>
        <v>50.956</v>
      </c>
      <c r="S38" s="54" t="n">
        <f aca="false">(I38-R38)+S37</f>
        <v>-9300.28798184569</v>
      </c>
      <c r="T38" s="53" t="n">
        <f aca="false">(AD38-AD37)/$D$2</f>
        <v>0</v>
      </c>
      <c r="U38" s="53" t="n">
        <v>57</v>
      </c>
      <c r="V38" s="54" t="n">
        <f aca="false">V37-U38</f>
        <v>121.360000000003</v>
      </c>
      <c r="W38" s="53" t="n">
        <f aca="false">R38+T38+N38+U38</f>
        <v>110.77</v>
      </c>
      <c r="X38" s="53" t="n">
        <f aca="false">IF(L38&lt;0,L38*-1,0)</f>
        <v>0</v>
      </c>
      <c r="Y38" s="53" t="n">
        <f aca="false">W38+X38</f>
        <v>110.77</v>
      </c>
      <c r="Z38" s="57" t="n">
        <v>0</v>
      </c>
      <c r="AA38" s="58" t="n">
        <v>67</v>
      </c>
      <c r="AB38" s="86" t="n">
        <v>41</v>
      </c>
      <c r="AC38" s="59" t="n">
        <v>29</v>
      </c>
      <c r="AD38" s="74"/>
      <c r="AE38" s="74"/>
      <c r="AF38" s="78"/>
    </row>
    <row r="39" customFormat="false" ht="11.1" hidden="false" customHeight="true" outlineLevel="0" collapsed="false">
      <c r="A39" s="59" t="n">
        <v>30</v>
      </c>
      <c r="B39" s="76" t="n">
        <v>6907.91</v>
      </c>
      <c r="C39" s="54" t="n">
        <v>313704</v>
      </c>
      <c r="D39" s="58" t="n">
        <f aca="false">C39-C38</f>
        <v>-157</v>
      </c>
      <c r="E39" s="54" t="n">
        <f aca="false">C39-152000</f>
        <v>161704</v>
      </c>
      <c r="F39" s="53" t="n">
        <f aca="false">D39/$D$2</f>
        <v>-79.1729702471004</v>
      </c>
      <c r="G39" s="53" t="n">
        <v>63.73</v>
      </c>
      <c r="H39" s="55" t="n">
        <v>0</v>
      </c>
      <c r="I39" s="53" t="n">
        <f aca="false">G39+H39</f>
        <v>63.73</v>
      </c>
      <c r="J39" s="77" t="n">
        <f aca="false">IF(L39&gt;0,L39,0)</f>
        <v>0</v>
      </c>
      <c r="K39" s="53" t="n">
        <f aca="false">I39+J39</f>
        <v>63.73</v>
      </c>
      <c r="L39" s="53" t="n">
        <f aca="false">F39-(I39-W39)</f>
        <v>-33.1029702471004</v>
      </c>
      <c r="M39" s="53" t="n">
        <v>33.12</v>
      </c>
      <c r="N39" s="53" t="n">
        <f aca="false">(2.93+2.56)*1.05</f>
        <v>5.7645</v>
      </c>
      <c r="O39" s="53" t="n">
        <f aca="false">M39-N39</f>
        <v>27.3555</v>
      </c>
      <c r="P39" s="53" t="n">
        <v>0</v>
      </c>
      <c r="Q39" s="53" t="n">
        <v>18.84</v>
      </c>
      <c r="R39" s="53" t="n">
        <f aca="false">SUM(O39:Q39)</f>
        <v>46.1955</v>
      </c>
      <c r="S39" s="54" t="n">
        <f aca="false">(I39-R39)+S38</f>
        <v>-9282.75348184569</v>
      </c>
      <c r="T39" s="53" t="n">
        <f aca="false">(AD39-AD38)/$D$2</f>
        <v>0</v>
      </c>
      <c r="U39" s="53" t="n">
        <v>57.84</v>
      </c>
      <c r="V39" s="54" t="n">
        <f aca="false">V38-U39</f>
        <v>63.5200000000026</v>
      </c>
      <c r="W39" s="53" t="n">
        <f aca="false">R39+T39+N39+U39</f>
        <v>109.8</v>
      </c>
      <c r="X39" s="53" t="n">
        <f aca="false">IF(L39&lt;0,L39*-1,0)</f>
        <v>33.1029702471004</v>
      </c>
      <c r="Y39" s="53" t="n">
        <f aca="false">W39+X39</f>
        <v>142.9029702471</v>
      </c>
      <c r="Z39" s="57" t="n">
        <v>0</v>
      </c>
      <c r="AA39" s="58" t="n">
        <v>65</v>
      </c>
      <c r="AB39" s="86" t="n">
        <v>38</v>
      </c>
      <c r="AC39" s="59" t="n">
        <v>30</v>
      </c>
      <c r="AD39" s="74"/>
      <c r="AE39" s="74"/>
      <c r="AF39" s="78"/>
    </row>
    <row r="40" customFormat="false" ht="11.1" hidden="false" customHeight="true" outlineLevel="0" collapsed="false">
      <c r="A40" s="59" t="n">
        <v>31</v>
      </c>
      <c r="B40" s="76" t="n">
        <v>6907.88</v>
      </c>
      <c r="C40" s="54" t="n">
        <v>313585</v>
      </c>
      <c r="D40" s="58" t="n">
        <f aca="false">C40-C39</f>
        <v>-119</v>
      </c>
      <c r="E40" s="54" t="n">
        <f aca="false">C40-152000</f>
        <v>161585</v>
      </c>
      <c r="F40" s="53" t="n">
        <f aca="false">D40/$D$2</f>
        <v>-60.0100857286939</v>
      </c>
      <c r="G40" s="53" t="n">
        <v>63.88</v>
      </c>
      <c r="H40" s="55" t="n">
        <v>0</v>
      </c>
      <c r="I40" s="53" t="n">
        <f aca="false">G40+H40</f>
        <v>63.88</v>
      </c>
      <c r="J40" s="77" t="n">
        <f aca="false">IF(L40&gt;0,L40,0)</f>
        <v>0</v>
      </c>
      <c r="K40" s="53" t="n">
        <f aca="false">I40+J40</f>
        <v>63.88</v>
      </c>
      <c r="L40" s="53" t="n">
        <f aca="false">F40-(I40-W40)</f>
        <v>-15.2000857286939</v>
      </c>
      <c r="M40" s="53" t="n">
        <v>32.06</v>
      </c>
      <c r="N40" s="53" t="n">
        <v>0</v>
      </c>
      <c r="O40" s="53" t="n">
        <f aca="false">M40-N40</f>
        <v>32.06</v>
      </c>
      <c r="P40" s="53" t="n">
        <v>0</v>
      </c>
      <c r="Q40" s="53" t="n">
        <v>18.83</v>
      </c>
      <c r="R40" s="53" t="n">
        <f aca="false">SUM(O40:Q40)</f>
        <v>50.89</v>
      </c>
      <c r="S40" s="54" t="n">
        <f aca="false">(I40-R40)+S39</f>
        <v>-9269.76348184569</v>
      </c>
      <c r="T40" s="53" t="n">
        <f aca="false">(AD40-AD39)/$D$2</f>
        <v>0</v>
      </c>
      <c r="U40" s="53" t="n">
        <v>57.8</v>
      </c>
      <c r="V40" s="54" t="n">
        <f aca="false">V39-U40</f>
        <v>5.72000000000263</v>
      </c>
      <c r="W40" s="53" t="n">
        <f aca="false">R40+T40+N40+U40</f>
        <v>108.69</v>
      </c>
      <c r="X40" s="53" t="n">
        <f aca="false">IF(L40&lt;0,L40*-1,0)</f>
        <v>15.2000857286939</v>
      </c>
      <c r="Y40" s="53" t="n">
        <f aca="false">W40+X40</f>
        <v>123.890085728694</v>
      </c>
      <c r="Z40" s="57" t="n">
        <v>0.18</v>
      </c>
      <c r="AA40" s="58" t="n">
        <v>61</v>
      </c>
      <c r="AB40" s="86" t="n">
        <v>37</v>
      </c>
      <c r="AC40" s="59" t="n">
        <v>31</v>
      </c>
      <c r="AD40" s="74"/>
      <c r="AE40" s="74"/>
      <c r="AF40" s="78"/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-6627.83661119516</v>
      </c>
      <c r="G42" s="54" t="n">
        <f aca="false">SUM(G10:G40)</f>
        <v>2564.48</v>
      </c>
      <c r="H42" s="54" t="n">
        <f aca="false">SUM(H10:H40)</f>
        <v>0</v>
      </c>
      <c r="I42" s="54" t="n">
        <f aca="false">SUM(I10:I40)</f>
        <v>2581.98</v>
      </c>
      <c r="J42" s="54" t="n">
        <f aca="false">SUM(J10:J40)</f>
        <v>141.625960665658</v>
      </c>
      <c r="K42" s="54" t="n">
        <f aca="false">SUM(K10:K40)</f>
        <v>2723.60596066566</v>
      </c>
      <c r="L42" s="54" t="n">
        <f aca="false">SUM(L10:L40)</f>
        <v>-582.976611195159</v>
      </c>
      <c r="M42" s="54" t="n">
        <f aca="false">SUM(M11:M40)</f>
        <v>2770.57</v>
      </c>
      <c r="N42" s="54" t="n">
        <f aca="false">SUM(N10:N40)</f>
        <v>511.4445</v>
      </c>
      <c r="O42" s="54" t="n">
        <f aca="false">SUM(O10:O40)</f>
        <v>2364.4055</v>
      </c>
      <c r="P42" s="54" t="n">
        <f aca="false">SUM(P10:P40)</f>
        <v>3227.05</v>
      </c>
      <c r="Q42" s="54" t="n">
        <f aca="false">SUM(Q10:Q40)</f>
        <v>804.9</v>
      </c>
      <c r="R42" s="54" t="n">
        <f aca="false">SUM(R10:R40)</f>
        <v>6396.3555</v>
      </c>
      <c r="S42" s="54" t="n">
        <f aca="false">S40-S7</f>
        <v>-3814.3755</v>
      </c>
      <c r="T42" s="54" t="n">
        <f aca="false">SUM(T10:T40)</f>
        <v>11.43</v>
      </c>
      <c r="U42" s="54" t="n">
        <f aca="false">SUM(U10:U40)</f>
        <v>1707.61</v>
      </c>
      <c r="V42" s="54"/>
      <c r="W42" s="54" t="n">
        <f aca="false">SUM(W10:W40)</f>
        <v>8626.84</v>
      </c>
      <c r="X42" s="54" t="n">
        <f aca="false">SUM(X10:X40)</f>
        <v>724.602571860817</v>
      </c>
      <c r="Y42" s="54" t="n">
        <f aca="false">SUM(Y10:Y40)</f>
        <v>9351.44257186082</v>
      </c>
      <c r="Z42" s="57" t="n">
        <f aca="false">SUM(Z10:Z40)</f>
        <v>0.18</v>
      </c>
      <c r="AA42" s="58" t="n">
        <f aca="false">AVERAGE(AA10:AA40)</f>
        <v>64.9032258064516</v>
      </c>
      <c r="AB42" s="58" t="n">
        <f aca="false">AVERAGE(AB10:AB40)</f>
        <v>36.0645161290323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-13143</v>
      </c>
      <c r="E43" s="54"/>
      <c r="F43" s="54" t="n">
        <f aca="false">F42*$D$2</f>
        <v>-13143</v>
      </c>
      <c r="G43" s="54" t="n">
        <f aca="false">G42*$D$2</f>
        <v>5085.36384</v>
      </c>
      <c r="H43" s="54" t="n">
        <f aca="false">H42*$D$2</f>
        <v>0</v>
      </c>
      <c r="I43" s="54" t="n">
        <f aca="false">I42*$D$2</f>
        <v>5120.06634</v>
      </c>
      <c r="J43" s="54" t="n">
        <f aca="false">J42*$D$2</f>
        <v>280.84428</v>
      </c>
      <c r="K43" s="54" t="n">
        <f aca="false">K42*$D$2</f>
        <v>5400.91062</v>
      </c>
      <c r="L43" s="54" t="n">
        <f aca="false">L42*$D$2</f>
        <v>-1156.04262</v>
      </c>
      <c r="M43" s="54" t="n">
        <f aca="false">M42*$D$2</f>
        <v>5494.04031</v>
      </c>
      <c r="N43" s="54" t="n">
        <f aca="false">N42*$D$2</f>
        <v>1014.1944435</v>
      </c>
      <c r="O43" s="54" t="n">
        <f aca="false">O42*$D$2</f>
        <v>4688.6161065</v>
      </c>
      <c r="P43" s="54" t="n">
        <f aca="false">P42*$D$2</f>
        <v>6399.24015</v>
      </c>
      <c r="Q43" s="54" t="n">
        <f aca="false">Q42*$D$2</f>
        <v>1596.1167</v>
      </c>
      <c r="R43" s="54" t="n">
        <f aca="false">R42*$D$2</f>
        <v>12683.9729565</v>
      </c>
      <c r="S43" s="54" t="n">
        <f aca="false">S42*$D$2</f>
        <v>-7563.9066165</v>
      </c>
      <c r="T43" s="54" t="n">
        <f aca="false">T42*$D$2</f>
        <v>22.66569</v>
      </c>
      <c r="U43" s="54" t="n">
        <f aca="false">U42*$D$2</f>
        <v>3386.19063</v>
      </c>
      <c r="V43" s="54" t="n">
        <f aca="false">V42*$D$2</f>
        <v>0</v>
      </c>
      <c r="W43" s="54" t="n">
        <f aca="false">W42*$D$2</f>
        <v>17107.02372</v>
      </c>
      <c r="X43" s="54" t="n">
        <f aca="false">X42*$D$2</f>
        <v>1436.8869</v>
      </c>
      <c r="Y43" s="54" t="n">
        <f aca="false">Y42*$D$2</f>
        <v>18543.91062</v>
      </c>
      <c r="Z43" s="57"/>
      <c r="AA43" s="58" t="n">
        <f aca="false">MAX(AA10:AA40)</f>
        <v>77</v>
      </c>
      <c r="AB43" s="58" t="n">
        <f aca="false">MAX(AB10:AB40)</f>
        <v>45</v>
      </c>
      <c r="AC43" s="59" t="s">
        <v>47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 t="n">
        <f aca="false">F7+F42</f>
        <v>2091.27584467978</v>
      </c>
      <c r="G45" s="54" t="n">
        <f aca="false">G7+G42</f>
        <v>189216.68</v>
      </c>
      <c r="H45" s="54" t="n">
        <f aca="false">H7+H42</f>
        <v>12482.96</v>
      </c>
      <c r="I45" s="54" t="n">
        <f aca="false">I7+I42</f>
        <v>201590.54</v>
      </c>
      <c r="J45" s="54" t="n">
        <f aca="false">J7+J42</f>
        <v>51886.8171507816</v>
      </c>
      <c r="K45" s="54" t="n">
        <f aca="false">K7+K42</f>
        <v>253477.357150782</v>
      </c>
      <c r="L45" s="54" t="n">
        <f aca="false">L7+L42</f>
        <v>49356.4149621785</v>
      </c>
      <c r="M45" s="54" t="n">
        <f aca="false">M7+M42</f>
        <v>39194.33</v>
      </c>
      <c r="N45" s="54" t="n">
        <f aca="false">N7+N42</f>
        <v>5669.32804633888</v>
      </c>
      <c r="O45" s="54" t="n">
        <f aca="false">O7+O42</f>
        <v>33626.2079536611</v>
      </c>
      <c r="P45" s="54" t="n">
        <f aca="false">P7+P42</f>
        <v>21061.85</v>
      </c>
      <c r="Q45" s="54" t="n">
        <f aca="false">Q7+Q42</f>
        <v>12229.56</v>
      </c>
      <c r="R45" s="54" t="n">
        <f aca="false">R7+R42</f>
        <v>66917.6179536611</v>
      </c>
      <c r="S45" s="54" t="n">
        <f aca="false">S40</f>
        <v>-9269.76348184569</v>
      </c>
      <c r="T45" s="54" t="n">
        <f aca="false">T7+T42</f>
        <v>16478.5934140192</v>
      </c>
      <c r="U45" s="54" t="n">
        <f aca="false">U7+U42</f>
        <v>159793.63</v>
      </c>
      <c r="V45" s="54"/>
      <c r="W45" s="54" t="n">
        <f aca="false">W7+W42</f>
        <v>248855.679117499</v>
      </c>
      <c r="X45" s="54" t="n">
        <f aca="false">X7+X42</f>
        <v>2530.40218860313</v>
      </c>
      <c r="Y45" s="54" t="n">
        <f aca="false">Y7+Y42</f>
        <v>251386.081306102</v>
      </c>
      <c r="Z45" s="57"/>
      <c r="AA45" s="58" t="n">
        <f aca="false">MIN(AA10:AA40)</f>
        <v>40</v>
      </c>
      <c r="AB45" s="58" t="n">
        <f aca="false">MIN(AB10:AB40)</f>
        <v>20</v>
      </c>
      <c r="AC45" s="59" t="s">
        <v>49</v>
      </c>
      <c r="AD45" s="74"/>
      <c r="AE45" s="74"/>
      <c r="AF45" s="75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 t="n">
        <f aca="false">F45*$D$2</f>
        <v>4147</v>
      </c>
      <c r="G46" s="54" t="n">
        <f aca="false">G45*$D$2</f>
        <v>375216.67644</v>
      </c>
      <c r="H46" s="54" t="n">
        <f aca="false">H45*$D$2</f>
        <v>24753.70968</v>
      </c>
      <c r="I46" s="54" t="n">
        <f aca="false">I45*$D$2</f>
        <v>399754.04082</v>
      </c>
      <c r="J46" s="54" t="n">
        <f aca="false">J45*$D$2</f>
        <v>102891.55841</v>
      </c>
      <c r="K46" s="54" t="n">
        <f aca="false">K45*$D$2</f>
        <v>502645.59923</v>
      </c>
      <c r="L46" s="54" t="n">
        <f aca="false">L45*$D$2</f>
        <v>97873.77087</v>
      </c>
      <c r="M46" s="54" t="n">
        <f aca="false">M45*$D$2</f>
        <v>77722.35639</v>
      </c>
      <c r="N46" s="54" t="n">
        <f aca="false">N45*$D$2</f>
        <v>11242.27751589</v>
      </c>
      <c r="O46" s="54" t="n">
        <f aca="false">O45*$D$2</f>
        <v>66680.77037211</v>
      </c>
      <c r="P46" s="54" t="n">
        <f aca="false">P45*$D$2</f>
        <v>41765.64855</v>
      </c>
      <c r="Q46" s="54" t="n">
        <f aca="false">Q45*$D$2</f>
        <v>24251.21748</v>
      </c>
      <c r="R46" s="54" t="n">
        <f aca="false">R45*$D$2</f>
        <v>132697.63640211</v>
      </c>
      <c r="S46" s="54" t="n">
        <f aca="false">S45*$D$2</f>
        <v>-18381.9409845</v>
      </c>
      <c r="T46" s="54" t="n">
        <f aca="false">T45*$D$2</f>
        <v>32677.05074</v>
      </c>
      <c r="U46" s="54" t="n">
        <f aca="false">U45*$D$2</f>
        <v>316870.76829</v>
      </c>
      <c r="V46" s="54" t="n">
        <f aca="false">V45*$D$2</f>
        <v>0</v>
      </c>
      <c r="W46" s="54" t="n">
        <f aca="false">W45*$D$2</f>
        <v>493480.81169</v>
      </c>
      <c r="X46" s="54" t="n">
        <f aca="false">X45*$D$2</f>
        <v>5017.78754</v>
      </c>
      <c r="Y46" s="54" t="n">
        <f aca="false">Y45*$D$2</f>
        <v>498498.59923</v>
      </c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23712.5567322239</v>
      </c>
      <c r="G48" s="54" t="n">
        <f aca="false">G8+G42</f>
        <v>205005.622592032</v>
      </c>
      <c r="H48" s="58" t="n">
        <f aca="false">H8+H42</f>
        <v>14867.77</v>
      </c>
      <c r="I48" s="54" t="n">
        <f aca="false">I8+I42</f>
        <v>219764.192592032</v>
      </c>
      <c r="J48" s="54" t="n">
        <f aca="false">J8+J42</f>
        <v>64230.8988149269</v>
      </c>
      <c r="K48" s="54" t="n">
        <f aca="false">K8+K42</f>
        <v>283995.091406959</v>
      </c>
      <c r="L48" s="54" t="n">
        <f aca="false">L8+L42</f>
        <v>61463.4332576904</v>
      </c>
      <c r="M48" s="54" t="n">
        <f aca="false">M8+M42</f>
        <v>40096.78</v>
      </c>
      <c r="N48" s="54" t="n">
        <f aca="false">N8+N42</f>
        <v>5684.95804633888</v>
      </c>
      <c r="O48" s="54" t="n">
        <f aca="false">O8+O42</f>
        <v>34308.5279536611</v>
      </c>
      <c r="P48" s="54" t="n">
        <f aca="false">P8+P42</f>
        <v>23636.15</v>
      </c>
      <c r="Q48" s="54" t="n">
        <f aca="false">Q8+Q42</f>
        <v>12229.56</v>
      </c>
      <c r="R48" s="54" t="n">
        <f aca="false">R8+R42</f>
        <v>70254.7379536611</v>
      </c>
      <c r="S48" s="54"/>
      <c r="T48" s="54" t="n">
        <f aca="false">T8+T42</f>
        <v>16478.5934140192</v>
      </c>
      <c r="U48" s="54" t="n">
        <f aca="false">U8+U42</f>
        <v>164976.27</v>
      </c>
      <c r="V48" s="54" t="n">
        <f aca="false">V40</f>
        <v>5.72000000000263</v>
      </c>
      <c r="W48" s="54" t="n">
        <f aca="false">W8+W42</f>
        <v>257515.069117499</v>
      </c>
      <c r="X48" s="54" t="n">
        <f aca="false">X8+X42</f>
        <v>2767.46555723651</v>
      </c>
      <c r="Y48" s="54" t="n">
        <f aca="false">Y8+Y42</f>
        <v>260282.534674735</v>
      </c>
      <c r="Z48" s="77" t="n">
        <f aca="false">Z8+Z42</f>
        <v>23.5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47022</v>
      </c>
      <c r="E49" s="54" t="n">
        <f aca="false">E40</f>
        <v>161585</v>
      </c>
      <c r="F49" s="54" t="n">
        <f aca="false">F48*$D$2</f>
        <v>47022</v>
      </c>
      <c r="G49" s="54" t="n">
        <f aca="false">G48*$D$2</f>
        <v>406526.1496</v>
      </c>
      <c r="H49" s="58" t="n">
        <f aca="false">H48*$D$2</f>
        <v>29482.78791</v>
      </c>
      <c r="I49" s="54" t="n">
        <f aca="false">I48*$D$2</f>
        <v>435792.39391</v>
      </c>
      <c r="J49" s="54" t="n">
        <f aca="false">J48*$D$2</f>
        <v>127369.87235</v>
      </c>
      <c r="K49" s="54" t="n">
        <f aca="false">K48*$D$2</f>
        <v>563162.26626</v>
      </c>
      <c r="L49" s="54" t="n">
        <f aca="false">L48*$D$2</f>
        <v>121881.98815</v>
      </c>
      <c r="M49" s="54" t="n">
        <f aca="false">M48*$D$2</f>
        <v>79511.91474</v>
      </c>
      <c r="N49" s="54" t="n">
        <f aca="false">N48*$D$2</f>
        <v>11273.27180589</v>
      </c>
      <c r="O49" s="54" t="n">
        <f aca="false">O48*$D$2</f>
        <v>68033.81093211</v>
      </c>
      <c r="P49" s="54" t="n">
        <f aca="false">P48*$D$2</f>
        <v>46870.48545</v>
      </c>
      <c r="Q49" s="54" t="n">
        <f aca="false">Q48*$D$2</f>
        <v>24251.21748</v>
      </c>
      <c r="R49" s="54" t="n">
        <f aca="false">R48*$D$2</f>
        <v>139315.14536211</v>
      </c>
      <c r="S49" s="54" t="n">
        <f aca="false">S48*$D$2</f>
        <v>0</v>
      </c>
      <c r="T49" s="54" t="n">
        <f aca="false">T48*$D$2</f>
        <v>32677.05074</v>
      </c>
      <c r="U49" s="54" t="n">
        <f aca="false">U48*$D$2</f>
        <v>327147.94341</v>
      </c>
      <c r="V49" s="54" t="n">
        <f aca="false">V48*$D$2</f>
        <v>11.3427600000052</v>
      </c>
      <c r="W49" s="54" t="n">
        <f aca="false">W48*$D$2</f>
        <v>510652.38206</v>
      </c>
      <c r="X49" s="54" t="n">
        <f aca="false">X48*$D$2</f>
        <v>5487.8842</v>
      </c>
      <c r="Y49" s="54" t="n">
        <f aca="false">Y48*$D$2</f>
        <v>516140.26626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101" t="str">
        <f aca="false">"SEP /8"</f>
        <v>SEP /8</v>
      </c>
      <c r="B51" s="89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6900.33</v>
      </c>
      <c r="C52" s="54" t="n">
        <v>284801</v>
      </c>
      <c r="D52" s="86"/>
      <c r="E52" s="54" t="n">
        <f aca="false">C52-152000</f>
        <v>132801</v>
      </c>
      <c r="F52" s="53"/>
      <c r="G52" s="53"/>
      <c r="H52" s="86"/>
      <c r="I52" s="55"/>
      <c r="J52" s="53"/>
      <c r="K52" s="43"/>
      <c r="L52" s="53"/>
      <c r="M52" s="53"/>
      <c r="N52" s="53"/>
      <c r="O52" s="46"/>
      <c r="S52" s="54"/>
      <c r="T52" s="103" t="n">
        <v>31053</v>
      </c>
      <c r="U52" s="46" t="str">
        <f aca="false">"= FS metered "</f>
        <v>= FS metered </v>
      </c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"8/11/94 thru 9/8/94"</f>
        <v>8/11/94 thru 9/8/94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53" t="s">
        <v>92</v>
      </c>
      <c r="Q53" s="53"/>
      <c r="R53" s="54" t="n">
        <v>3155</v>
      </c>
      <c r="S53" s="54"/>
      <c r="T53" s="104" t="n">
        <f aca="false">T52/T49</f>
        <v>0.950299959659089</v>
      </c>
      <c r="U53" s="46" t="str">
        <f aca="false">"= FS Delivery Efficiency"</f>
        <v>= FS Delivery Efficiency</v>
      </c>
      <c r="V53" s="54"/>
      <c r="W53" s="86"/>
      <c r="X53" s="86"/>
      <c r="Y53" s="86"/>
      <c r="Z53" s="57"/>
      <c r="AA53" s="58"/>
      <c r="AB53" s="58"/>
      <c r="AC53" s="59"/>
      <c r="AD53" s="90"/>
      <c r="AE53" s="90"/>
    </row>
    <row r="54" customFormat="false" ht="11.1" hidden="false" customHeight="true" outlineLevel="0" collapsed="false">
      <c r="A54" s="86"/>
      <c r="B54" s="57" t="n">
        <f aca="false">B52-B17</f>
        <v>-10.2700000000004</v>
      </c>
      <c r="C54" s="54"/>
      <c r="D54" s="54" t="n">
        <f aca="false">C52-C17</f>
        <v>-39593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 t="s">
        <v>93</v>
      </c>
      <c r="Q54" s="86"/>
      <c r="R54" s="103" t="n">
        <v>1043</v>
      </c>
      <c r="S54" s="54"/>
      <c r="T54" s="86"/>
      <c r="V54" s="54"/>
      <c r="W54" s="86"/>
      <c r="X54" s="86"/>
      <c r="Y54" s="86"/>
      <c r="Z54" s="57"/>
      <c r="AA54" s="58"/>
      <c r="AB54" s="58"/>
      <c r="AC54" s="59"/>
      <c r="AD54" s="90"/>
      <c r="AE54" s="90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1"/>
      <c r="H55" s="55"/>
      <c r="I55" s="86"/>
      <c r="J55" s="86"/>
      <c r="K55" s="86"/>
      <c r="L55" s="86"/>
      <c r="M55" s="77"/>
      <c r="N55" s="77"/>
      <c r="O55" s="77"/>
      <c r="P55" s="86" t="s">
        <v>94</v>
      </c>
      <c r="Q55" s="86"/>
      <c r="R55" s="54" t="n">
        <f aca="false">R49-(R53+R54)</f>
        <v>135117.14536211</v>
      </c>
      <c r="S55" s="54"/>
      <c r="T55" s="86"/>
      <c r="V55" s="54"/>
      <c r="W55" s="86"/>
      <c r="X55" s="86"/>
      <c r="Y55" s="86"/>
      <c r="Z55" s="57"/>
      <c r="AA55" s="58"/>
      <c r="AB55" s="58"/>
      <c r="AC55" s="59"/>
      <c r="AD55" s="90"/>
      <c r="AE55" s="90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2004-12-01T08:44:02Z</dcterms:created>
  <dc:creator>JOHN PORTER</dc:creator>
  <dc:description/>
  <dc:language>en-US</dc:language>
  <cp:lastModifiedBy>La Von Millard</cp:lastModifiedBy>
  <cp:lastPrinted>2003-03-12T12:42:55Z</cp:lastPrinted>
  <dcterms:modified xsi:type="dcterms:W3CDTF">2014-03-26T13:59:14Z</dcterms:modified>
  <cp:revision>0</cp:revision>
  <dc:subject>MCPHEE IN/OUT FLOW</dc:subject>
  <dc:title>RIVER</dc:title>
</cp:coreProperties>
</file>