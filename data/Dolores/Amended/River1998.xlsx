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APR!$A$1:$AC$55</definedName>
    <definedName function="false" hidden="false" localSheetId="9" name="_xlnm.Print_Area" vbProcedure="false">AUG!$A$1:$AC$57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JUN!$A$1:$AC$55</definedName>
    <definedName function="false" hidden="false" localSheetId="4" name="_xlnm.Print_Area" vbProcedure="false">MAR!$A$1:$AC$55</definedName>
    <definedName function="false" hidden="false" localSheetId="6" name="_xlnm.Print_Area" vbProcedure="false">MAY!$A$1:$AC$55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23" authorId="0">
      <text>
        <r>
          <rPr>
            <sz val="8"/>
            <color rgb="FF000000"/>
            <rFont val="Tahoma"/>
            <family val="0"/>
          </rPr>
          <t xml:space="preserve">Whenever the Lost Canyon gage drops below 1.00 we enter a 0</t>
        </r>
      </text>
    </comment>
    <comment ref="S51" authorId="0">
      <text>
        <r>
          <rPr>
            <sz val="8"/>
            <color rgb="FF000000"/>
            <rFont val="Tahoma"/>
            <family val="0"/>
          </rPr>
          <t xml:space="preserve">This cell accounts for non MVIC diversion. Use prior years diversion for Cortez = 1557 &amp; MWC = 340  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51" authorId="0">
      <text>
        <r>
          <rPr>
            <b val="true"/>
            <sz val="8"/>
            <color rgb="FF000000"/>
            <rFont val="Tahoma"/>
            <family val="0"/>
          </rPr>
          <t xml:space="preserve">John Porter:
mvihydro.xlw spreadsheet calculated the amount of non-project water needed each mo of year to satisfy Class 6 land.  Aug needs 138.5 cfs per day.  There were 4 days inflow was less than 138.5</t>
        </r>
      </text>
    </comment>
    <comment ref="K52" authorId="0">
      <text>
        <r>
          <rPr>
            <b val="true"/>
            <sz val="8"/>
            <color rgb="FF000000"/>
            <rFont val="Tahoma"/>
            <family val="0"/>
          </rPr>
          <t xml:space="preserve">John Porter:
This cell added the inflow for the 4 days that DOLDOLCO was less than 138.5 cfs</t>
        </r>
      </text>
    </comment>
    <comment ref="K53" authorId="0">
      <text>
        <r>
          <rPr>
            <b val="true"/>
            <sz val="8"/>
            <color rgb="FF000000"/>
            <rFont val="Tahoma"/>
            <family val="0"/>
          </rPr>
          <t xml:space="preserve">John Porter:
This calculates the amt of Pr water denied MVI because of not enough flow DolDolCo inflow to satisfy the Class 6 land</t>
        </r>
      </text>
    </comment>
  </commentList>
</comments>
</file>

<file path=xl/sharedStrings.xml><?xml version="1.0" encoding="utf-8"?>
<sst xmlns="http://schemas.openxmlformats.org/spreadsheetml/2006/main" count="866" uniqueCount="114">
  <si>
    <t xml:space="preserve">MC  PHEE  RESERVOIR  IN/OUT  FLOW  TABULATION</t>
  </si>
  <si>
    <t xml:space="preserve">AF/cfs  CONVERT FACTOR</t>
  </si>
  <si>
    <t xml:space="preserve">NOVEMBER  "97"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</si>
  <si>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</si>
  <si>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</si>
  <si>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</si>
  <si>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</si>
  <si>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</si>
  <si>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</si>
  <si>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</si>
  <si>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</si>
  <si>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</si>
  <si>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</si>
  <si>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</si>
  <si>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</si>
  <si>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</si>
  <si>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</si>
  <si>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</si>
  <si>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</si>
  <si>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</si>
  <si>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</si>
  <si>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</si>
  <si>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</si>
  <si>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</si>
  <si>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</si>
  <si>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</si>
  <si>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</si>
  <si>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</si>
  <si>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</si>
  <si>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</si>
  <si>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</si>
  <si>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</si>
  <si>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</si>
  <si>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UTE F&amp;R</t>
  </si>
  <si>
    <t xml:space="preserve">MVI,CTZ</t>
  </si>
  <si>
    <t xml:space="preserve">PINE</t>
  </si>
  <si>
    <t xml:space="preserve">LATERAL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</si>
  <si>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</si>
  <si>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</si>
  <si>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</si>
  <si>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</si>
  <si>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</si>
  <si>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</si>
  <si>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</si>
  <si>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</si>
  <si>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</si>
  <si>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</si>
  <si>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</si>
  <si>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</si>
  <si>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</si>
  <si>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</si>
  <si>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</si>
  <si>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</si>
  <si>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"97"</t>
  </si>
  <si>
    <t xml:space="preserve">"DEC"</t>
  </si>
  <si>
    <t xml:space="preserve">JANUARY  "98"</t>
  </si>
  <si>
    <t xml:space="preserve">"JAN"</t>
  </si>
  <si>
    <t xml:space="preserve">FEBRUARY  "98"</t>
  </si>
  <si>
    <t xml:space="preserve">FEB</t>
  </si>
  <si>
    <t xml:space="preserve">Max active capacity</t>
  </si>
  <si>
    <t xml:space="preserve">Below capacity</t>
  </si>
  <si>
    <t xml:space="preserve">Season low</t>
  </si>
  <si>
    <t xml:space="preserve">MARCH  "98"</t>
  </si>
  <si>
    <t xml:space="preserve">MAR</t>
  </si>
  <si>
    <t xml:space="preserve">APRIL  "98"</t>
  </si>
  <si>
    <t xml:space="preserve">"APR"</t>
  </si>
  <si>
    <t xml:space="preserve">MVI/CTZ/MWC</t>
  </si>
  <si>
    <t xml:space="preserve">DIVER</t>
  </si>
  <si>
    <t xml:space="preserve">Avg</t>
  </si>
  <si>
    <t xml:space="preserve"> </t>
  </si>
  <si>
    <t xml:space="preserve">hi</t>
  </si>
  <si>
    <t xml:space="preserve">lo</t>
  </si>
  <si>
    <t xml:space="preserve">MAY  "98"</t>
  </si>
  <si>
    <t xml:space="preserve">"MAY"</t>
  </si>
  <si>
    <t xml:space="preserve">May 1996 use</t>
  </si>
  <si>
    <t xml:space="preserve">97 decrease</t>
  </si>
  <si>
    <t xml:space="preserve">Total</t>
  </si>
  <si>
    <t xml:space="preserve">JUNE  "98"</t>
  </si>
  <si>
    <t xml:space="preserve">"JUN"</t>
  </si>
  <si>
    <t xml:space="preserve">RUNOFF APR - JUN / 30 yr avg</t>
  </si>
  <si>
    <t xml:space="preserve">Non spill</t>
  </si>
  <si>
    <t xml:space="preserve">RUNOFF APR - JUN / percent</t>
  </si>
  <si>
    <t xml:space="preserve">Add to MVI call</t>
  </si>
  <si>
    <t xml:space="preserve">Ctz/MW</t>
  </si>
  <si>
    <t xml:space="preserve">RUNOFF MAR - JUN / 30 yr avg</t>
  </si>
  <si>
    <t xml:space="preserve">Totten</t>
  </si>
  <si>
    <t xml:space="preserve">RUNOFF MAR - JUN / runoff</t>
  </si>
  <si>
    <t xml:space="preserve">Grhog</t>
  </si>
  <si>
    <t xml:space="preserve">RUNOFF MAR - JUN / percent</t>
  </si>
  <si>
    <t xml:space="preserve">cfs</t>
  </si>
  <si>
    <t xml:space="preserve">JULY  "98"</t>
  </si>
  <si>
    <t xml:space="preserve">"JUL"</t>
  </si>
  <si>
    <t xml:space="preserve">MVI non-project water 6/30 = </t>
  </si>
  <si>
    <t xml:space="preserve">30 yr average</t>
  </si>
  <si>
    <t xml:space="preserve">1996 Runoff  =</t>
  </si>
  <si>
    <t xml:space="preserve">AUGUST  "98"</t>
  </si>
  <si>
    <t xml:space="preserve">"AUG"</t>
  </si>
  <si>
    <t xml:space="preserve">FS limit</t>
  </si>
  <si>
    <t xml:space="preserve">AF left</t>
  </si>
  <si>
    <t xml:space="preserve">Res for underuse</t>
  </si>
  <si>
    <t xml:space="preserve">Bal for wtr bnk / AF</t>
  </si>
  <si>
    <t xml:space="preserve">Bal for wtr bnk / cfs</t>
  </si>
  <si>
    <t xml:space="preserve">Days left @</t>
  </si>
  <si>
    <t xml:space="preserve">SEPTEMBER  "98"</t>
  </si>
  <si>
    <t xml:space="preserve">"SEP"</t>
  </si>
  <si>
    <t xml:space="preserve">EDS</t>
  </si>
  <si>
    <t xml:space="preserve">Avg inflow</t>
  </si>
  <si>
    <t xml:space="preserve">Avg MVI Div</t>
  </si>
  <si>
    <t xml:space="preserve">Avg Pr wtr</t>
  </si>
  <si>
    <t xml:space="preserve">OCTOBER  "98"</t>
  </si>
  <si>
    <t xml:space="preserve">"OCT"</t>
  </si>
  <si>
    <t xml:space="preserve">Ctz &amp; Ute Div</t>
  </si>
  <si>
    <t xml:space="preserve">MWC Div</t>
  </si>
  <si>
    <t xml:space="preserve">MVIC Div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</si>
</sst>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##0.0"/>
    <numFmt numFmtId="167" formatCode="0.0"/>
    <numFmt numFmtId="168" formatCode="0.00"/>
    <numFmt numFmtId="169" formatCode="0"/>
    <numFmt numFmtId="170" formatCode="#,##0.0"/>
    <numFmt numFmtId="171" formatCode="0.0000"/>
    <numFmt numFmtId="172" formatCode="0.000"/>
    <numFmt numFmtId="173" formatCode="#,##0.00"/>
    <numFmt numFmtId="174" formatCode="[$-409]d\-mmm"/>
    <numFmt numFmtId="175" formatCode="0%"/>
    <numFmt numFmtId="176" formatCode="[$-409]mmm\-yy"/>
    <numFmt numFmtId="177" formatCode="#,##0.00000"/>
    <numFmt numFmtId="178" formatCode="#,##0.0000"/>
    <numFmt numFmtId="179" formatCode="[$-409]m/d/yyyy"/>
    <numFmt numFmtId="180" formatCode="0.00%"/>
  </numFmts>
  <fonts count="19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8"/>
      <name val="Arial"/>
      <family val="0"/>
    </font>
    <font>
      <sz val="8"/>
      <color rgb="FF000000"/>
      <name val="LinePrinter"/>
      <family val="0"/>
    </font>
    <font>
      <b val="true"/>
      <sz val="12"/>
      <name val="Arial Narrow"/>
      <family val="0"/>
    </font>
    <font>
      <sz val="4"/>
      <color rgb="FF000000"/>
      <name val="LinePrinter"/>
      <family val="0"/>
    </font>
    <font>
      <sz val="7"/>
      <name val="Arial Narrow"/>
      <family val="2"/>
    </font>
    <font>
      <b val="true"/>
      <sz val="8"/>
      <name val="Arial Narrow"/>
      <family val="0"/>
    </font>
    <font>
      <sz val="8"/>
      <color rgb="FF000000"/>
      <name val="Tahoma"/>
      <family val="0"/>
    </font>
    <font>
      <b val="true"/>
      <sz val="8"/>
      <color rgb="FF000000"/>
      <name val="Tahoma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medium">
        <color rgb="FFEEEEEC"/>
      </top>
      <bottom style="medium">
        <color rgb="FFEEEEEC"/>
      </bottom>
      <diagonal/>
    </border>
    <border diagonalUp="false" diagonalDown="false">
      <left/>
      <right/>
      <top style="medium">
        <color rgb="FFEEEEEC"/>
      </top>
      <bottom style="medium">
        <color rgb="FFEEEEEC"/>
      </bottom>
      <diagonal/>
    </border>
    <border diagonalUp="false" diagonalDown="false">
      <left/>
      <right style="medium">
        <color rgb="FFEEEEEC"/>
      </right>
      <top style="medium">
        <color rgb="FFEEEEEC"/>
      </top>
      <bottom style="medium">
        <color rgb="FFEEEEEC"/>
      </bottom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 style="medium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/>
      <right/>
      <top/>
      <bottom style="double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22320</xdr:colOff>
      <xdr:row>29</xdr:row>
      <xdr:rowOff>28440</xdr:rowOff>
    </xdr:to>
    <xdr:sp>
      <xdr:nvSpPr>
        <xdr:cNvPr id="0" name="Text 1"/>
        <xdr:cNvSpPr/>
      </xdr:nvSpPr>
      <xdr:spPr>
        <a:xfrm>
          <a:off x="2889360" y="3920400"/>
          <a:ext cx="52884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b="0" lang="en-US" sz="800" spc="-1" strike="noStrike">
              <a:solidFill>
                <a:srgbClr val="000000"/>
              </a:solidFill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129240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10217520" y="1299240"/>
          <a:ext cx="4964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8000" rIns="0" tIns="18000" bIns="0" anchor="t">
          <a:noAutofit/>
        </a:bodyPr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solidFill>
                <a:srgbClr val="000000"/>
              </a:solidFill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2" name="Rectangle 1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3" name="Rectangle 3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4" name="Rectangle 4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5" name="Rectangle 6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6" name="Rectangle 8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124200</xdr:rowOff>
    </xdr:from>
    <xdr:to>
      <xdr:col>13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636912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8" name="Rectangle 11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720</xdr:colOff>
      <xdr:row>28</xdr:row>
      <xdr:rowOff>141120</xdr:rowOff>
    </xdr:to>
    <xdr:sp>
      <xdr:nvSpPr>
        <xdr:cNvPr id="9" name="Rectangle 12"/>
        <xdr:cNvSpPr/>
      </xdr:nvSpPr>
      <xdr:spPr>
        <a:xfrm>
          <a:off x="6369120" y="3920400"/>
          <a:ext cx="6044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720</xdr:colOff>
      <xdr:row>28</xdr:row>
      <xdr:rowOff>141120</xdr:rowOff>
    </xdr:to>
    <xdr:sp>
      <xdr:nvSpPr>
        <xdr:cNvPr id="10" name="Rectangle 13"/>
        <xdr:cNvSpPr/>
      </xdr:nvSpPr>
      <xdr:spPr>
        <a:xfrm>
          <a:off x="6369120" y="3920400"/>
          <a:ext cx="6044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5" min="13" style="3" width="7.49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1.9835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7"/>
      <c r="R2" s="7"/>
      <c r="S2" s="8"/>
      <c r="T2" s="7"/>
      <c r="U2" s="7"/>
      <c r="V2" s="8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6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7" t="s">
        <v>3</v>
      </c>
      <c r="B4" s="17" t="s">
        <v>4</v>
      </c>
      <c r="C4" s="18" t="s">
        <v>4</v>
      </c>
      <c r="D4" s="17" t="s">
        <v>5</v>
      </c>
      <c r="E4" s="18" t="s">
        <v>6</v>
      </c>
      <c r="F4" s="17" t="s">
        <v>7</v>
      </c>
      <c r="G4" s="17" t="s">
        <v>8</v>
      </c>
      <c r="H4" s="19" t="s">
        <v>9</v>
      </c>
      <c r="I4" s="17" t="s">
        <v>10</v>
      </c>
      <c r="J4" s="17" t="s">
        <v>11</v>
      </c>
      <c r="K4" s="17" t="s">
        <v>12</v>
      </c>
      <c r="L4" s="17" t="s">
        <v>11</v>
      </c>
      <c r="M4" s="20" t="s">
        <v>13</v>
      </c>
      <c r="N4" s="20"/>
      <c r="O4" s="20"/>
      <c r="P4" s="17" t="s">
        <v>14</v>
      </c>
      <c r="Q4" s="17" t="s">
        <v>15</v>
      </c>
      <c r="R4" s="17" t="s">
        <v>12</v>
      </c>
      <c r="S4" s="18" t="s">
        <v>16</v>
      </c>
      <c r="T4" s="17" t="s">
        <v>17</v>
      </c>
      <c r="U4" s="17" t="s">
        <v>18</v>
      </c>
      <c r="V4" s="18" t="s">
        <v>19</v>
      </c>
      <c r="W4" s="17" t="s">
        <v>10</v>
      </c>
      <c r="X4" s="17" t="s">
        <v>11</v>
      </c>
      <c r="Y4" s="17" t="s">
        <v>12</v>
      </c>
      <c r="Z4" s="21" t="s">
        <v>20</v>
      </c>
      <c r="AA4" s="22" t="s">
        <v>21</v>
      </c>
      <c r="AB4" s="22" t="s">
        <v>22</v>
      </c>
      <c r="AC4" s="22" t="s">
        <v>3</v>
      </c>
      <c r="AD4" s="14"/>
      <c r="AE4" s="14"/>
    </row>
    <row r="5" customFormat="false" ht="11.1" hidden="false" customHeight="true" outlineLevel="0" collapsed="false">
      <c r="A5" s="23" t="s">
        <v>23</v>
      </c>
      <c r="B5" s="17" t="s">
        <v>24</v>
      </c>
      <c r="C5" s="18" t="s">
        <v>5</v>
      </c>
      <c r="D5" s="17" t="s">
        <v>25</v>
      </c>
      <c r="E5" s="18" t="s">
        <v>26</v>
      </c>
      <c r="F5" s="17" t="s">
        <v>27</v>
      </c>
      <c r="G5" s="17" t="s">
        <v>28</v>
      </c>
      <c r="H5" s="19" t="s">
        <v>29</v>
      </c>
      <c r="I5" s="17" t="s">
        <v>30</v>
      </c>
      <c r="J5" s="17" t="s">
        <v>30</v>
      </c>
      <c r="K5" s="17" t="s">
        <v>30</v>
      </c>
      <c r="L5" s="17" t="s">
        <v>31</v>
      </c>
      <c r="M5" s="17" t="s">
        <v>32</v>
      </c>
      <c r="N5" s="17" t="s">
        <v>33</v>
      </c>
      <c r="O5" s="24" t="s">
        <v>34</v>
      </c>
      <c r="P5" s="17" t="s">
        <v>35</v>
      </c>
      <c r="Q5" s="17" t="s">
        <v>36</v>
      </c>
      <c r="R5" s="17" t="s">
        <v>16</v>
      </c>
      <c r="S5" s="18" t="s">
        <v>37</v>
      </c>
      <c r="T5" s="17" t="s">
        <v>38</v>
      </c>
      <c r="U5" s="17" t="s">
        <v>39</v>
      </c>
      <c r="V5" s="18" t="s">
        <v>40</v>
      </c>
      <c r="W5" s="17" t="s">
        <v>41</v>
      </c>
      <c r="X5" s="17" t="s">
        <v>41</v>
      </c>
      <c r="Y5" s="17" t="s">
        <v>41</v>
      </c>
      <c r="Z5" s="25"/>
      <c r="AA5" s="22" t="s">
        <v>42</v>
      </c>
      <c r="AB5" s="22" t="s">
        <v>42</v>
      </c>
      <c r="AC5" s="26" t="s">
        <v>23</v>
      </c>
      <c r="AD5" s="14"/>
      <c r="AE5" s="14"/>
    </row>
    <row r="6" customFormat="false" ht="11.1" hidden="false" customHeight="true" outlineLevel="0" collapsed="false">
      <c r="A6" s="27"/>
      <c r="B6" s="27"/>
      <c r="C6" s="28"/>
      <c r="D6" s="27"/>
      <c r="E6" s="28"/>
      <c r="F6" s="27"/>
      <c r="G6" s="27"/>
      <c r="H6" s="29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  <c r="T6" s="27"/>
      <c r="U6" s="27"/>
      <c r="V6" s="30"/>
      <c r="W6" s="27"/>
      <c r="X6" s="27"/>
      <c r="Y6" s="27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31" t="n">
        <f aca="false">V6/D2</f>
        <v>0</v>
      </c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44</v>
      </c>
      <c r="B8" s="32" t="n">
        <v>6912.85</v>
      </c>
      <c r="C8" s="8" t="n">
        <v>333510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 t="n">
        <v>6148</v>
      </c>
      <c r="W8" s="8"/>
      <c r="X8" s="8"/>
      <c r="Y8" s="8"/>
      <c r="Z8" s="33"/>
      <c r="AA8" s="12"/>
      <c r="AB8" s="12"/>
      <c r="AC8" s="13"/>
      <c r="AD8" s="34" t="n">
        <v>13149</v>
      </c>
      <c r="AE8" s="14" t="n">
        <v>17902</v>
      </c>
    </row>
    <row r="9" customFormat="false" ht="3" hidden="false" customHeight="true" outlineLevel="0" collapsed="false">
      <c r="A9" s="35"/>
      <c r="B9" s="36"/>
      <c r="C9" s="37"/>
      <c r="D9" s="35"/>
      <c r="E9" s="37"/>
      <c r="F9" s="35"/>
      <c r="G9" s="35"/>
      <c r="H9" s="38"/>
      <c r="I9" s="35"/>
      <c r="J9" s="35"/>
      <c r="K9" s="35"/>
      <c r="L9" s="35"/>
      <c r="M9" s="35"/>
      <c r="N9" s="35"/>
      <c r="O9" s="35"/>
      <c r="P9" s="35"/>
      <c r="Q9" s="35"/>
      <c r="R9" s="35"/>
      <c r="S9" s="37"/>
      <c r="T9" s="35"/>
      <c r="U9" s="35"/>
      <c r="V9" s="37"/>
      <c r="W9" s="35"/>
      <c r="X9" s="35"/>
      <c r="Y9" s="35"/>
      <c r="Z9" s="39"/>
      <c r="AA9" s="40"/>
      <c r="AB9" s="40"/>
      <c r="AC9" s="41"/>
      <c r="AD9" s="14"/>
      <c r="AE9" s="14"/>
    </row>
    <row r="10" customFormat="false" ht="11.1" hidden="false" customHeight="true" outlineLevel="0" collapsed="false">
      <c r="A10" s="13" t="n">
        <v>1</v>
      </c>
      <c r="B10" s="32" t="n">
        <v>6912.85</v>
      </c>
      <c r="C10" s="8" t="n">
        <v>333510</v>
      </c>
      <c r="D10" s="12" t="n">
        <f aca="false">C10-C8</f>
        <v>0</v>
      </c>
      <c r="E10" s="8" t="n">
        <f aca="false">C10-152000</f>
        <v>181510</v>
      </c>
      <c r="F10" s="7" t="n">
        <f aca="false">D10/$D$2</f>
        <v>0</v>
      </c>
      <c r="G10" s="7" t="n">
        <v>166</v>
      </c>
      <c r="H10" s="9" t="n">
        <v>6</v>
      </c>
      <c r="I10" s="7" t="n">
        <f aca="false">G10+H10</f>
        <v>172</v>
      </c>
      <c r="J10" s="33" t="n">
        <f aca="false">IF(L10&gt;0,L10,0)</f>
        <v>0</v>
      </c>
      <c r="K10" s="7" t="n">
        <f aca="false">I10+J10</f>
        <v>172</v>
      </c>
      <c r="L10" s="7" t="n">
        <f aca="false">F10-(I10-W10)</f>
        <v>-62</v>
      </c>
      <c r="M10" s="7" t="n">
        <v>47</v>
      </c>
      <c r="N10" s="7" t="n">
        <v>0</v>
      </c>
      <c r="O10" s="7" t="n">
        <f aca="false">M10-N10</f>
        <v>47</v>
      </c>
      <c r="P10" s="7" t="n">
        <v>0</v>
      </c>
      <c r="Q10" s="7" t="n">
        <v>11</v>
      </c>
      <c r="R10" s="7" t="n">
        <f aca="false">SUM(O10:Q10)</f>
        <v>58</v>
      </c>
      <c r="S10" s="8"/>
      <c r="T10" s="7" t="n">
        <v>0</v>
      </c>
      <c r="U10" s="7" t="n">
        <v>52</v>
      </c>
      <c r="V10" s="8" t="n">
        <f aca="false">(V7+V8)-U10</f>
        <v>6096</v>
      </c>
      <c r="W10" s="7" t="n">
        <f aca="false">N10+R10+T10+U10</f>
        <v>110</v>
      </c>
      <c r="X10" s="7" t="n">
        <f aca="false">IF(L10&lt;0,L10*-1,0)</f>
        <v>62</v>
      </c>
      <c r="Y10" s="7" t="n">
        <f aca="false">W10+X10</f>
        <v>172</v>
      </c>
      <c r="Z10" s="11" t="n">
        <v>0</v>
      </c>
      <c r="AA10" s="12" t="n">
        <v>52</v>
      </c>
      <c r="AB10" s="12" t="n">
        <v>34</v>
      </c>
      <c r="AC10" s="13" t="n">
        <v>1</v>
      </c>
      <c r="AD10" s="12" t="n">
        <v>13243</v>
      </c>
      <c r="AE10" s="12"/>
      <c r="AF10" s="0" t="n">
        <v>7883</v>
      </c>
    </row>
    <row r="11" customFormat="false" ht="11.1" hidden="false" customHeight="true" outlineLevel="0" collapsed="false">
      <c r="A11" s="13" t="n">
        <f aca="false">A10+1</f>
        <v>2</v>
      </c>
      <c r="B11" s="42" t="n">
        <v>6912.85</v>
      </c>
      <c r="C11" s="8" t="n">
        <v>333510</v>
      </c>
      <c r="D11" s="12" t="n">
        <f aca="false">C11-C10</f>
        <v>0</v>
      </c>
      <c r="E11" s="8" t="n">
        <f aca="false">C11-152000</f>
        <v>181510</v>
      </c>
      <c r="F11" s="7" t="n">
        <f aca="false">D11/$D$2</f>
        <v>0</v>
      </c>
      <c r="G11" s="7" t="n">
        <v>145</v>
      </c>
      <c r="H11" s="9" t="n">
        <v>4.9</v>
      </c>
      <c r="I11" s="7" t="n">
        <f aca="false">G11+H11</f>
        <v>149.9</v>
      </c>
      <c r="J11" s="33" t="n">
        <f aca="false">IF(L11&gt;0,L11,0)</f>
        <v>0</v>
      </c>
      <c r="K11" s="7" t="n">
        <f aca="false">I11+J11</f>
        <v>149.9</v>
      </c>
      <c r="L11" s="7" t="n">
        <f aca="false">F11-(I11-W11)</f>
        <v>-37.9</v>
      </c>
      <c r="M11" s="7" t="n">
        <v>49</v>
      </c>
      <c r="N11" s="7" t="n">
        <v>0</v>
      </c>
      <c r="O11" s="7" t="n">
        <f aca="false">M11-N11</f>
        <v>49</v>
      </c>
      <c r="P11" s="7" t="n">
        <v>0</v>
      </c>
      <c r="Q11" s="7" t="n">
        <v>11</v>
      </c>
      <c r="R11" s="7" t="n">
        <f aca="false">SUM(O11:Q11)</f>
        <v>60</v>
      </c>
      <c r="S11" s="8"/>
      <c r="T11" s="7" t="n">
        <v>0</v>
      </c>
      <c r="U11" s="7" t="n">
        <v>52</v>
      </c>
      <c r="V11" s="8" t="n">
        <f aca="false">V10-U11</f>
        <v>6044</v>
      </c>
      <c r="W11" s="7" t="n">
        <f aca="false">N11+R11+T11+U11</f>
        <v>112</v>
      </c>
      <c r="X11" s="7" t="n">
        <f aca="false">IF(L11&lt;0,L11*-1,0)</f>
        <v>37.9</v>
      </c>
      <c r="Y11" s="7" t="n">
        <f aca="false">W11+X11</f>
        <v>149.9</v>
      </c>
      <c r="Z11" s="11" t="n">
        <v>0</v>
      </c>
      <c r="AA11" s="12" t="n">
        <v>53</v>
      </c>
      <c r="AB11" s="12" t="n">
        <v>23</v>
      </c>
      <c r="AC11" s="13" t="n">
        <f aca="false">AC10+1</f>
        <v>2</v>
      </c>
      <c r="AD11" s="12" t="n">
        <v>13333</v>
      </c>
      <c r="AE11" s="12" t="n">
        <v>62</v>
      </c>
    </row>
    <row r="12" customFormat="false" ht="11.1" hidden="false" customHeight="true" outlineLevel="0" collapsed="false">
      <c r="A12" s="13" t="n">
        <f aca="false">A11+1</f>
        <v>3</v>
      </c>
      <c r="B12" s="32" t="n">
        <v>6912.85</v>
      </c>
      <c r="C12" s="8" t="n">
        <v>333510</v>
      </c>
      <c r="D12" s="12" t="n">
        <f aca="false">C12-C11</f>
        <v>0</v>
      </c>
      <c r="E12" s="8" t="n">
        <f aca="false">C12-152000</f>
        <v>181510</v>
      </c>
      <c r="F12" s="7" t="n">
        <f aca="false">D12/$D$2</f>
        <v>0</v>
      </c>
      <c r="G12" s="7" t="n">
        <v>136</v>
      </c>
      <c r="H12" s="9" t="n">
        <v>4.5</v>
      </c>
      <c r="I12" s="7" t="n">
        <f aca="false">G12+H12</f>
        <v>140.5</v>
      </c>
      <c r="J12" s="33" t="n">
        <f aca="false">IF(L12&gt;0,L12,0)</f>
        <v>0</v>
      </c>
      <c r="K12" s="7" t="n">
        <f aca="false">I12+J12</f>
        <v>140.5</v>
      </c>
      <c r="L12" s="7" t="n">
        <f aca="false">F12-(I12-W12)</f>
        <v>-6.5</v>
      </c>
      <c r="M12" s="7" t="n">
        <v>71</v>
      </c>
      <c r="N12" s="7" t="n">
        <f aca="false">(11+11)*1.05</f>
        <v>23.1</v>
      </c>
      <c r="O12" s="7" t="n">
        <f aca="false">M12-N12</f>
        <v>47.9</v>
      </c>
      <c r="P12" s="7" t="n">
        <v>0</v>
      </c>
      <c r="Q12" s="7" t="n">
        <v>11</v>
      </c>
      <c r="R12" s="7" t="n">
        <f aca="false">SUM(O12:Q12)</f>
        <v>58.9</v>
      </c>
      <c r="S12" s="8"/>
      <c r="T12" s="7" t="n">
        <v>0</v>
      </c>
      <c r="U12" s="7" t="n">
        <v>52</v>
      </c>
      <c r="V12" s="8" t="n">
        <f aca="false">V11-U12</f>
        <v>5992</v>
      </c>
      <c r="W12" s="7" t="n">
        <f aca="false">N12+R12+T12+U12</f>
        <v>134</v>
      </c>
      <c r="X12" s="7" t="n">
        <f aca="false">IF(L12&lt;0,L12*-1,0)</f>
        <v>6.5</v>
      </c>
      <c r="Y12" s="7" t="n">
        <f aca="false">W12+X12</f>
        <v>140.5</v>
      </c>
      <c r="Z12" s="11" t="n">
        <v>0</v>
      </c>
      <c r="AA12" s="12" t="n">
        <v>57</v>
      </c>
      <c r="AB12" s="12" t="n">
        <v>24</v>
      </c>
      <c r="AC12" s="13" t="n">
        <f aca="false">AC11+1</f>
        <v>3</v>
      </c>
      <c r="AD12" s="12" t="n">
        <v>13456</v>
      </c>
      <c r="AE12" s="12" t="n">
        <v>159</v>
      </c>
    </row>
    <row r="13" customFormat="false" ht="11.1" hidden="false" customHeight="true" outlineLevel="0" collapsed="false">
      <c r="A13" s="13" t="n">
        <f aca="false">A12+1</f>
        <v>4</v>
      </c>
      <c r="B13" s="32" t="n">
        <v>6912.86</v>
      </c>
      <c r="C13" s="8" t="n">
        <v>333550</v>
      </c>
      <c r="D13" s="12" t="n">
        <f aca="false">C13-C12</f>
        <v>40</v>
      </c>
      <c r="E13" s="8" t="n">
        <f aca="false">C13-152000</f>
        <v>181550</v>
      </c>
      <c r="F13" s="7" t="n">
        <f aca="false">D13/$D$2</f>
        <v>20.1663725737333</v>
      </c>
      <c r="G13" s="7" t="n">
        <v>146</v>
      </c>
      <c r="H13" s="9" t="n">
        <v>5.2</v>
      </c>
      <c r="I13" s="7" t="n">
        <f aca="false">G13+H13</f>
        <v>151.2</v>
      </c>
      <c r="J13" s="33" t="n">
        <f aca="false">IF(L13&gt;0,L13,0)</f>
        <v>16.9663725737333</v>
      </c>
      <c r="K13" s="7" t="n">
        <f aca="false">I13+J13</f>
        <v>168.166372573733</v>
      </c>
      <c r="L13" s="7" t="n">
        <f aca="false">F13-(I13-W13)</f>
        <v>16.9663725737333</v>
      </c>
      <c r="M13" s="7" t="n">
        <v>85</v>
      </c>
      <c r="N13" s="7" t="n">
        <f aca="false">(19+20)*1.05</f>
        <v>40.95</v>
      </c>
      <c r="O13" s="7" t="n">
        <f aca="false">M13-N13</f>
        <v>44.05</v>
      </c>
      <c r="P13" s="7" t="n">
        <v>0</v>
      </c>
      <c r="Q13" s="7" t="n">
        <v>11</v>
      </c>
      <c r="R13" s="7" t="n">
        <f aca="false">SUM(O13:Q13)</f>
        <v>55.05</v>
      </c>
      <c r="S13" s="8"/>
      <c r="T13" s="7" t="n">
        <v>0</v>
      </c>
      <c r="U13" s="7" t="n">
        <v>52</v>
      </c>
      <c r="V13" s="8" t="n">
        <f aca="false">V12-U13</f>
        <v>5940</v>
      </c>
      <c r="W13" s="7" t="n">
        <f aca="false">N13+R13+T13+U13</f>
        <v>148</v>
      </c>
      <c r="X13" s="7" t="n">
        <f aca="false">IF(L13&lt;0,L13*-1,0)</f>
        <v>0</v>
      </c>
      <c r="Y13" s="7" t="n">
        <f aca="false">W13+X13</f>
        <v>148</v>
      </c>
      <c r="Z13" s="11" t="n">
        <v>0</v>
      </c>
      <c r="AA13" s="12" t="n">
        <v>64</v>
      </c>
      <c r="AB13" s="12" t="n">
        <v>28</v>
      </c>
      <c r="AC13" s="13" t="n">
        <f aca="false">AC12+1</f>
        <v>4</v>
      </c>
      <c r="AD13" s="12" t="n">
        <v>13563</v>
      </c>
      <c r="AE13" s="12" t="n">
        <v>263</v>
      </c>
    </row>
    <row r="14" customFormat="false" ht="11.1" hidden="false" customHeight="true" outlineLevel="0" collapsed="false">
      <c r="A14" s="13" t="n">
        <f aca="false">A13+1</f>
        <v>5</v>
      </c>
      <c r="B14" s="32" t="n">
        <v>6912.86</v>
      </c>
      <c r="C14" s="8" t="n">
        <v>333550</v>
      </c>
      <c r="D14" s="12" t="n">
        <f aca="false">C14-C13</f>
        <v>0</v>
      </c>
      <c r="E14" s="8" t="n">
        <f aca="false">C14-152000</f>
        <v>181550</v>
      </c>
      <c r="F14" s="7" t="n">
        <f aca="false">D14/$D$2</f>
        <v>0</v>
      </c>
      <c r="G14" s="7" t="n">
        <v>139</v>
      </c>
      <c r="H14" s="9" t="n">
        <v>5.1</v>
      </c>
      <c r="I14" s="7" t="n">
        <f aca="false">G14+H14</f>
        <v>144.1</v>
      </c>
      <c r="J14" s="33" t="n">
        <f aca="false">IF(L14&gt;0,L14,0)</f>
        <v>0</v>
      </c>
      <c r="K14" s="7" t="n">
        <f aca="false">I14+J14</f>
        <v>144.1</v>
      </c>
      <c r="L14" s="7" t="n">
        <f aca="false">F14-(I14-W14)</f>
        <v>-1.09999999999999</v>
      </c>
      <c r="M14" s="7" t="n">
        <v>80</v>
      </c>
      <c r="N14" s="7" t="n">
        <f aca="false">(21+22)*1.05</f>
        <v>45.15</v>
      </c>
      <c r="O14" s="7" t="n">
        <f aca="false">M14-N14</f>
        <v>34.85</v>
      </c>
      <c r="P14" s="7" t="n">
        <v>0</v>
      </c>
      <c r="Q14" s="7" t="n">
        <v>11</v>
      </c>
      <c r="R14" s="7" t="n">
        <f aca="false">SUM(O14:Q14)</f>
        <v>45.85</v>
      </c>
      <c r="S14" s="8"/>
      <c r="T14" s="7" t="n">
        <v>0</v>
      </c>
      <c r="U14" s="7" t="n">
        <v>52</v>
      </c>
      <c r="V14" s="8" t="n">
        <f aca="false">V13-U14</f>
        <v>5888</v>
      </c>
      <c r="W14" s="7" t="n">
        <f aca="false">N14+R14+T14+U14</f>
        <v>143</v>
      </c>
      <c r="X14" s="7" t="n">
        <f aca="false">IF(L14&lt;0,L14*-1,0)</f>
        <v>1.09999999999999</v>
      </c>
      <c r="Y14" s="7" t="n">
        <f aca="false">W14+X14</f>
        <v>144.1</v>
      </c>
      <c r="Z14" s="11" t="n">
        <v>0</v>
      </c>
      <c r="AA14" s="12" t="n">
        <v>65</v>
      </c>
      <c r="AB14" s="12" t="n">
        <v>33</v>
      </c>
      <c r="AC14" s="13" t="n">
        <f aca="false">AC13+1</f>
        <v>5</v>
      </c>
      <c r="AD14" s="12" t="n">
        <v>13678</v>
      </c>
      <c r="AE14" s="12" t="n">
        <v>367</v>
      </c>
    </row>
    <row r="15" customFormat="false" ht="11.1" hidden="false" customHeight="true" outlineLevel="0" collapsed="false">
      <c r="A15" s="13" t="n">
        <f aca="false">A14+1</f>
        <v>6</v>
      </c>
      <c r="B15" s="32" t="n">
        <v>6912.86</v>
      </c>
      <c r="C15" s="8" t="n">
        <v>333550</v>
      </c>
      <c r="D15" s="12" t="n">
        <f aca="false">C15-C14</f>
        <v>0</v>
      </c>
      <c r="E15" s="8" t="n">
        <f aca="false">C15-152000</f>
        <v>181550</v>
      </c>
      <c r="F15" s="7" t="n">
        <f aca="false">D15/$D$2</f>
        <v>0</v>
      </c>
      <c r="G15" s="7" t="n">
        <v>137</v>
      </c>
      <c r="H15" s="9" t="n">
        <v>4.8</v>
      </c>
      <c r="I15" s="7" t="n">
        <f aca="false">G15+H15</f>
        <v>141.8</v>
      </c>
      <c r="J15" s="33" t="n">
        <f aca="false">IF(L15&gt;0,L15,0)</f>
        <v>0</v>
      </c>
      <c r="K15" s="7" t="n">
        <f aca="false">I15+J15</f>
        <v>141.8</v>
      </c>
      <c r="L15" s="7" t="n">
        <f aca="false">F15-(I15-W15)</f>
        <v>-12.8</v>
      </c>
      <c r="M15" s="7" t="n">
        <v>66</v>
      </c>
      <c r="N15" s="7" t="n">
        <f aca="false">(17+17)*1.05</f>
        <v>35.7</v>
      </c>
      <c r="O15" s="7" t="n">
        <f aca="false">M15-N15</f>
        <v>30.3</v>
      </c>
      <c r="P15" s="7" t="n">
        <v>0</v>
      </c>
      <c r="Q15" s="7" t="n">
        <v>11</v>
      </c>
      <c r="R15" s="7" t="n">
        <f aca="false">SUM(O15:Q15)</f>
        <v>41.3</v>
      </c>
      <c r="S15" s="8"/>
      <c r="T15" s="7" t="n">
        <v>0</v>
      </c>
      <c r="U15" s="7" t="n">
        <v>52</v>
      </c>
      <c r="V15" s="8" t="n">
        <f aca="false">V14-U15</f>
        <v>5836</v>
      </c>
      <c r="W15" s="7" t="n">
        <f aca="false">N15+R15+T15+U15</f>
        <v>129</v>
      </c>
      <c r="X15" s="7" t="n">
        <f aca="false">IF(L15&lt;0,L15*-1,0)</f>
        <v>12.8</v>
      </c>
      <c r="Y15" s="7" t="n">
        <f aca="false">W15+X15</f>
        <v>141.8</v>
      </c>
      <c r="Z15" s="11" t="n">
        <v>0</v>
      </c>
      <c r="AA15" s="12" t="n">
        <v>67</v>
      </c>
      <c r="AB15" s="12" t="n">
        <v>33</v>
      </c>
      <c r="AC15" s="13" t="n">
        <f aca="false">AC14+1</f>
        <v>6</v>
      </c>
      <c r="AD15" s="12" t="n">
        <v>13812</v>
      </c>
      <c r="AE15" s="12" t="n">
        <v>469</v>
      </c>
    </row>
    <row r="16" customFormat="false" ht="11.1" hidden="false" customHeight="true" outlineLevel="0" collapsed="false">
      <c r="A16" s="13" t="n">
        <f aca="false">A15+1</f>
        <v>7</v>
      </c>
      <c r="B16" s="32" t="n">
        <v>6912.87</v>
      </c>
      <c r="C16" s="8" t="n">
        <v>333591</v>
      </c>
      <c r="D16" s="12" t="n">
        <f aca="false">C16-C15</f>
        <v>41</v>
      </c>
      <c r="E16" s="8" t="n">
        <f aca="false">C16-152000</f>
        <v>181591</v>
      </c>
      <c r="F16" s="7" t="n">
        <f aca="false">D16/$D$2</f>
        <v>20.6705318880766</v>
      </c>
      <c r="G16" s="7" t="n">
        <v>134</v>
      </c>
      <c r="H16" s="9" t="n">
        <v>4.5</v>
      </c>
      <c r="I16" s="7" t="n">
        <f aca="false">G16+H16</f>
        <v>138.5</v>
      </c>
      <c r="J16" s="33" t="n">
        <f aca="false">IF(L16&gt;0,L16,0)</f>
        <v>0</v>
      </c>
      <c r="K16" s="7" t="n">
        <f aca="false">I16+J16</f>
        <v>138.5</v>
      </c>
      <c r="L16" s="7" t="n">
        <f aca="false">F16-(I16-W16)</f>
        <v>-7.82946811192337</v>
      </c>
      <c r="M16" s="7" t="n">
        <v>47</v>
      </c>
      <c r="N16" s="7" t="n">
        <f aca="false">(7.8+8)*1.05</f>
        <v>16.59</v>
      </c>
      <c r="O16" s="7" t="n">
        <f aca="false">M16-N16</f>
        <v>30.41</v>
      </c>
      <c r="P16" s="7" t="n">
        <v>0</v>
      </c>
      <c r="Q16" s="7" t="n">
        <v>11</v>
      </c>
      <c r="R16" s="7" t="n">
        <f aca="false">SUM(O16:Q16)</f>
        <v>41.41</v>
      </c>
      <c r="S16" s="8"/>
      <c r="T16" s="7" t="n">
        <v>0</v>
      </c>
      <c r="U16" s="7" t="n">
        <v>52</v>
      </c>
      <c r="V16" s="8" t="n">
        <f aca="false">V15-U16</f>
        <v>5784</v>
      </c>
      <c r="W16" s="7" t="n">
        <f aca="false">N16+R16+T16+U16</f>
        <v>110</v>
      </c>
      <c r="X16" s="7" t="n">
        <f aca="false">IF(L16&lt;0,L16*-1,0)</f>
        <v>7.82946811192337</v>
      </c>
      <c r="Y16" s="7" t="n">
        <f aca="false">W16+X16</f>
        <v>117.829468111923</v>
      </c>
      <c r="Z16" s="11" t="n">
        <v>0</v>
      </c>
      <c r="AA16" s="12" t="n">
        <v>62</v>
      </c>
      <c r="AB16" s="12" t="n">
        <v>33</v>
      </c>
      <c r="AC16" s="13" t="n">
        <f aca="false">AC15+1</f>
        <v>7</v>
      </c>
      <c r="AD16" s="12" t="n">
        <v>13968</v>
      </c>
      <c r="AE16" s="12" t="n">
        <v>587</v>
      </c>
    </row>
    <row r="17" customFormat="false" ht="11.1" hidden="false" customHeight="true" outlineLevel="0" collapsed="false">
      <c r="A17" s="13" t="n">
        <f aca="false">A16+1</f>
        <v>8</v>
      </c>
      <c r="B17" s="32" t="n">
        <v>6912.88</v>
      </c>
      <c r="C17" s="8" t="n">
        <v>333632</v>
      </c>
      <c r="D17" s="12" t="n">
        <f aca="false">C17-C16</f>
        <v>41</v>
      </c>
      <c r="E17" s="8" t="n">
        <f aca="false">C17-152000</f>
        <v>181632</v>
      </c>
      <c r="F17" s="7" t="n">
        <f aca="false">D17/$D$2</f>
        <v>20.6705318880766</v>
      </c>
      <c r="G17" s="7" t="n">
        <v>132</v>
      </c>
      <c r="H17" s="9" t="n">
        <v>4.4</v>
      </c>
      <c r="I17" s="7" t="n">
        <f aca="false">G17+H17</f>
        <v>136.4</v>
      </c>
      <c r="J17" s="33" t="n">
        <f aca="false">IF(L17&gt;0,L17,0)</f>
        <v>0</v>
      </c>
      <c r="K17" s="7" t="n">
        <f aca="false">I17+J17</f>
        <v>136.4</v>
      </c>
      <c r="L17" s="7" t="n">
        <f aca="false">F17-(I17-W17)</f>
        <v>-20.7294681119234</v>
      </c>
      <c r="M17" s="7" t="n">
        <v>32</v>
      </c>
      <c r="N17" s="7" t="n">
        <v>0</v>
      </c>
      <c r="O17" s="7" t="n">
        <f aca="false">M17-N17</f>
        <v>32</v>
      </c>
      <c r="P17" s="7" t="n">
        <v>0</v>
      </c>
      <c r="Q17" s="7" t="n">
        <v>11</v>
      </c>
      <c r="R17" s="7" t="n">
        <f aca="false">SUM(O17:Q17)</f>
        <v>43</v>
      </c>
      <c r="S17" s="8"/>
      <c r="T17" s="7" t="n">
        <v>0</v>
      </c>
      <c r="U17" s="7" t="n">
        <v>52</v>
      </c>
      <c r="V17" s="8" t="n">
        <f aca="false">V16-U17</f>
        <v>5732</v>
      </c>
      <c r="W17" s="7" t="n">
        <f aca="false">N17+R17+T17+U17</f>
        <v>95</v>
      </c>
      <c r="X17" s="7" t="n">
        <f aca="false">IF(L17&lt;0,L17*-1,0)</f>
        <v>20.7294681119234</v>
      </c>
      <c r="Y17" s="7" t="n">
        <f aca="false">W17+X17</f>
        <v>115.729468111923</v>
      </c>
      <c r="Z17" s="11" t="n">
        <v>0</v>
      </c>
      <c r="AA17" s="12" t="n">
        <v>58</v>
      </c>
      <c r="AB17" s="12" t="n">
        <v>33</v>
      </c>
      <c r="AC17" s="13" t="n">
        <f aca="false">AC16+1</f>
        <v>8</v>
      </c>
      <c r="AD17" s="12" t="n">
        <v>14117</v>
      </c>
      <c r="AE17" s="12" t="n">
        <v>707</v>
      </c>
    </row>
    <row r="18" customFormat="false" ht="11.1" hidden="false" customHeight="true" outlineLevel="0" collapsed="false">
      <c r="A18" s="13" t="n">
        <f aca="false">A17+1</f>
        <v>9</v>
      </c>
      <c r="B18" s="32" t="n">
        <v>6912.93</v>
      </c>
      <c r="C18" s="8" t="n">
        <v>333836</v>
      </c>
      <c r="D18" s="12" t="n">
        <f aca="false">C18-C17</f>
        <v>204</v>
      </c>
      <c r="E18" s="8" t="n">
        <f aca="false">C18-152000</f>
        <v>181836</v>
      </c>
      <c r="F18" s="7" t="n">
        <f aca="false">D18/$D$2</f>
        <v>102.84850012604</v>
      </c>
      <c r="G18" s="7" t="n">
        <v>148</v>
      </c>
      <c r="H18" s="9" t="n">
        <v>5.4</v>
      </c>
      <c r="I18" s="7" t="n">
        <f aca="false">G18+H18</f>
        <v>153.4</v>
      </c>
      <c r="J18" s="33" t="n">
        <f aca="false">IF(L18&gt;0,L18,0)</f>
        <v>45.4485001260398</v>
      </c>
      <c r="K18" s="7" t="n">
        <f aca="false">I18+J18</f>
        <v>198.84850012604</v>
      </c>
      <c r="L18" s="7" t="n">
        <f aca="false">F18-(I18-W18)</f>
        <v>45.4485001260398</v>
      </c>
      <c r="M18" s="7" t="n">
        <v>33</v>
      </c>
      <c r="N18" s="7" t="n">
        <v>0</v>
      </c>
      <c r="O18" s="7" t="n">
        <f aca="false">M18-N18</f>
        <v>33</v>
      </c>
      <c r="P18" s="7" t="n">
        <v>0</v>
      </c>
      <c r="Q18" s="7" t="n">
        <v>11</v>
      </c>
      <c r="R18" s="7" t="n">
        <f aca="false">SUM(O18:Q18)</f>
        <v>44</v>
      </c>
      <c r="S18" s="8"/>
      <c r="T18" s="7" t="n">
        <v>0</v>
      </c>
      <c r="U18" s="7" t="n">
        <v>52</v>
      </c>
      <c r="V18" s="8" t="n">
        <f aca="false">V17-U18</f>
        <v>5680</v>
      </c>
      <c r="W18" s="7" t="n">
        <f aca="false">N18+R18+T18+U18</f>
        <v>96</v>
      </c>
      <c r="X18" s="7" t="n">
        <f aca="false">IF(L18&lt;0,L18*-1,0)</f>
        <v>0</v>
      </c>
      <c r="Y18" s="7" t="n">
        <f aca="false">W18+X18</f>
        <v>96</v>
      </c>
      <c r="Z18" s="11" t="n">
        <v>0.43</v>
      </c>
      <c r="AA18" s="43" t="n">
        <v>42</v>
      </c>
      <c r="AB18" s="12" t="n">
        <v>30</v>
      </c>
      <c r="AC18" s="13" t="n">
        <f aca="false">AC17+1</f>
        <v>9</v>
      </c>
      <c r="AD18" s="12" t="n">
        <v>14264</v>
      </c>
      <c r="AE18" s="12" t="n">
        <v>826</v>
      </c>
    </row>
    <row r="19" customFormat="false" ht="11.1" hidden="false" customHeight="true" outlineLevel="0" collapsed="false">
      <c r="A19" s="13" t="n">
        <f aca="false">A18+1</f>
        <v>10</v>
      </c>
      <c r="B19" s="32" t="n">
        <v>6912.96</v>
      </c>
      <c r="C19" s="8" t="n">
        <v>333958</v>
      </c>
      <c r="D19" s="12" t="n">
        <f aca="false">C19-C18</f>
        <v>122</v>
      </c>
      <c r="E19" s="8" t="n">
        <f aca="false">C19-152000</f>
        <v>181958</v>
      </c>
      <c r="F19" s="7" t="n">
        <f aca="false">D19/$D$2</f>
        <v>61.5074363498866</v>
      </c>
      <c r="G19" s="7" t="n">
        <v>139</v>
      </c>
      <c r="H19" s="9" t="n">
        <v>5.3</v>
      </c>
      <c r="I19" s="7" t="n">
        <f aca="false">G19+H19</f>
        <v>144.3</v>
      </c>
      <c r="J19" s="33" t="n">
        <f aca="false">IF(L19&gt;0,L19,0)</f>
        <v>3.20743634988655</v>
      </c>
      <c r="K19" s="7" t="n">
        <f aca="false">I19+J19</f>
        <v>147.507436349887</v>
      </c>
      <c r="L19" s="7" t="n">
        <f aca="false">F19-(I19-W19)</f>
        <v>3.20743634988655</v>
      </c>
      <c r="M19" s="7" t="n">
        <v>23</v>
      </c>
      <c r="N19" s="7" t="n">
        <f aca="false">(14+14)*1.05</f>
        <v>29.4</v>
      </c>
      <c r="O19" s="7" t="n">
        <f aca="false">M19-N19</f>
        <v>-6.4</v>
      </c>
      <c r="P19" s="7" t="n">
        <v>0</v>
      </c>
      <c r="Q19" s="7" t="n">
        <v>11</v>
      </c>
      <c r="R19" s="7" t="n">
        <f aca="false">SUM(O19:Q19)</f>
        <v>4.6</v>
      </c>
      <c r="S19" s="8"/>
      <c r="T19" s="7" t="n">
        <v>0</v>
      </c>
      <c r="U19" s="7" t="n">
        <v>52</v>
      </c>
      <c r="V19" s="8" t="n">
        <f aca="false">V18-U19</f>
        <v>5628</v>
      </c>
      <c r="W19" s="7" t="n">
        <f aca="false">N19+R19+T19+U19</f>
        <v>86</v>
      </c>
      <c r="X19" s="7" t="n">
        <f aca="false">IF(L19&lt;0,L19*-1,0)</f>
        <v>0</v>
      </c>
      <c r="Y19" s="7" t="n">
        <f aca="false">W19+X19</f>
        <v>86</v>
      </c>
      <c r="Z19" s="11" t="n">
        <v>0</v>
      </c>
      <c r="AA19" s="12" t="n">
        <v>42</v>
      </c>
      <c r="AB19" s="12" t="n">
        <v>25</v>
      </c>
      <c r="AC19" s="13" t="n">
        <f aca="false">AC18+1</f>
        <v>10</v>
      </c>
      <c r="AD19" s="12" t="n">
        <v>14413</v>
      </c>
      <c r="AE19" s="12" t="n">
        <v>964</v>
      </c>
    </row>
    <row r="20" customFormat="false" ht="11.1" hidden="false" customHeight="true" outlineLevel="0" collapsed="false">
      <c r="A20" s="13" t="n">
        <f aca="false">A19+1</f>
        <v>11</v>
      </c>
      <c r="B20" s="32" t="n">
        <v>6913</v>
      </c>
      <c r="C20" s="8" t="n">
        <v>334121</v>
      </c>
      <c r="D20" s="12" t="n">
        <f aca="false">C20-C19</f>
        <v>163</v>
      </c>
      <c r="E20" s="8" t="n">
        <f aca="false">C20-152000</f>
        <v>182121</v>
      </c>
      <c r="F20" s="7" t="n">
        <f aca="false">D20/$D$2</f>
        <v>82.1779682379632</v>
      </c>
      <c r="G20" s="7" t="n">
        <v>142</v>
      </c>
      <c r="H20" s="9" t="n">
        <v>5.9</v>
      </c>
      <c r="I20" s="7" t="n">
        <f aca="false">G20+H20</f>
        <v>147.9</v>
      </c>
      <c r="J20" s="33" t="n">
        <f aca="false">IF(L20&gt;0,L20,0)</f>
        <v>12.2779682379632</v>
      </c>
      <c r="K20" s="7" t="n">
        <f aca="false">I20+J20</f>
        <v>160.177968237963</v>
      </c>
      <c r="L20" s="7" t="n">
        <f aca="false">F20-(I20-W20)</f>
        <v>12.2779682379632</v>
      </c>
      <c r="M20" s="7" t="n">
        <v>19</v>
      </c>
      <c r="N20" s="7" t="n">
        <f aca="false">(23+23)*1.05</f>
        <v>48.3</v>
      </c>
      <c r="O20" s="7" t="n">
        <f aca="false">M20-N20</f>
        <v>-29.3</v>
      </c>
      <c r="P20" s="7" t="n">
        <v>0</v>
      </c>
      <c r="Q20" s="7" t="n">
        <v>11</v>
      </c>
      <c r="R20" s="7" t="n">
        <f aca="false">SUM(O20:Q20)</f>
        <v>-18.3</v>
      </c>
      <c r="S20" s="8"/>
      <c r="T20" s="7" t="n">
        <v>0</v>
      </c>
      <c r="U20" s="7" t="n">
        <v>48</v>
      </c>
      <c r="V20" s="8" t="n">
        <f aca="false">V19-U20</f>
        <v>5580</v>
      </c>
      <c r="W20" s="7" t="n">
        <f aca="false">N20+R20+T20+U20</f>
        <v>78</v>
      </c>
      <c r="X20" s="7" t="n">
        <f aca="false">IF(L20&lt;0,L20*-1,0)</f>
        <v>0</v>
      </c>
      <c r="Y20" s="7" t="n">
        <f aca="false">W20+X20</f>
        <v>78</v>
      </c>
      <c r="Z20" s="11" t="n">
        <v>0.48</v>
      </c>
      <c r="AA20" s="12" t="n">
        <v>49</v>
      </c>
      <c r="AB20" s="12" t="n">
        <v>36</v>
      </c>
      <c r="AC20" s="13" t="n">
        <f aca="false">AC19+1</f>
        <v>11</v>
      </c>
      <c r="AD20" s="12" t="n">
        <v>14571</v>
      </c>
      <c r="AE20" s="12" t="n">
        <v>1065</v>
      </c>
    </row>
    <row r="21" customFormat="false" ht="11.1" hidden="false" customHeight="true" outlineLevel="0" collapsed="false">
      <c r="A21" s="13" t="n">
        <f aca="false">A20+1</f>
        <v>12</v>
      </c>
      <c r="B21" s="32" t="n">
        <v>6913.06</v>
      </c>
      <c r="C21" s="8" t="n">
        <v>334368</v>
      </c>
      <c r="D21" s="12" t="n">
        <f aca="false">C21-C20</f>
        <v>247</v>
      </c>
      <c r="E21" s="8" t="n">
        <f aca="false">C21-152000</f>
        <v>182368</v>
      </c>
      <c r="F21" s="7" t="n">
        <f aca="false">D21/$D$2</f>
        <v>124.527350642803</v>
      </c>
      <c r="G21" s="7" t="n">
        <v>149</v>
      </c>
      <c r="H21" s="9" t="n">
        <v>5.8</v>
      </c>
      <c r="I21" s="7" t="n">
        <f aca="false">G21+H21</f>
        <v>154.8</v>
      </c>
      <c r="J21" s="33" t="n">
        <f aca="false">IF(L21&gt;0,L21,0)</f>
        <v>39.7273506428031</v>
      </c>
      <c r="K21" s="7" t="n">
        <f aca="false">I21+J21</f>
        <v>194.527350642803</v>
      </c>
      <c r="L21" s="7" t="n">
        <f aca="false">F21-(I21-W21)</f>
        <v>39.7273506428031</v>
      </c>
      <c r="M21" s="7" t="n">
        <v>19</v>
      </c>
      <c r="N21" s="7" t="n">
        <f aca="false">(8.6+8.6)*1.05</f>
        <v>18.06</v>
      </c>
      <c r="O21" s="7" t="n">
        <f aca="false">M21-N21</f>
        <v>0.940000000000001</v>
      </c>
      <c r="P21" s="7" t="n">
        <v>0</v>
      </c>
      <c r="Q21" s="7" t="n">
        <v>11</v>
      </c>
      <c r="R21" s="7" t="n">
        <f aca="false">SUM(O21:Q21)</f>
        <v>11.94</v>
      </c>
      <c r="S21" s="8"/>
      <c r="T21" s="7" t="n">
        <v>0</v>
      </c>
      <c r="U21" s="7" t="n">
        <v>40</v>
      </c>
      <c r="V21" s="8" t="n">
        <f aca="false">V20-U21</f>
        <v>5540</v>
      </c>
      <c r="W21" s="7" t="n">
        <f aca="false">N21+R21+T21+U21</f>
        <v>70</v>
      </c>
      <c r="X21" s="7" t="n">
        <f aca="false">IF(L21&lt;0,L21*-1,0)</f>
        <v>0</v>
      </c>
      <c r="Y21" s="7" t="n">
        <f aca="false">W21+X21</f>
        <v>70</v>
      </c>
      <c r="Z21" s="11" t="n">
        <v>0.01</v>
      </c>
      <c r="AA21" s="12" t="n">
        <v>44</v>
      </c>
      <c r="AB21" s="12" t="n">
        <v>27</v>
      </c>
      <c r="AC21" s="13" t="n">
        <f aca="false">AC20+1</f>
        <v>12</v>
      </c>
      <c r="AD21" s="12" t="n">
        <v>14696</v>
      </c>
      <c r="AE21" s="12" t="n">
        <v>1185</v>
      </c>
    </row>
    <row r="22" customFormat="false" ht="11.1" hidden="false" customHeight="true" outlineLevel="0" collapsed="false">
      <c r="A22" s="13" t="n">
        <f aca="false">A21+1</f>
        <v>13</v>
      </c>
      <c r="B22" s="32" t="n">
        <v>6913.08</v>
      </c>
      <c r="C22" s="8" t="n">
        <v>334450</v>
      </c>
      <c r="D22" s="12" t="n">
        <f aca="false">C22-C21</f>
        <v>82</v>
      </c>
      <c r="E22" s="8" t="n">
        <f aca="false">C22-152000</f>
        <v>182450</v>
      </c>
      <c r="F22" s="7" t="n">
        <f aca="false">D22/$D$2</f>
        <v>41.3410637761533</v>
      </c>
      <c r="G22" s="7" t="n">
        <v>144</v>
      </c>
      <c r="H22" s="9" t="n">
        <v>5.9</v>
      </c>
      <c r="I22" s="7" t="n">
        <f aca="false">G22+H22</f>
        <v>149.9</v>
      </c>
      <c r="J22" s="33" t="n">
        <f aca="false">IF(L22&gt;0,L22,0)</f>
        <v>0</v>
      </c>
      <c r="K22" s="7" t="n">
        <f aca="false">I22+J22</f>
        <v>149.9</v>
      </c>
      <c r="L22" s="7" t="n">
        <f aca="false">F22-(I22-W22)</f>
        <v>-38.5589362238467</v>
      </c>
      <c r="M22" s="7" t="n">
        <v>19</v>
      </c>
      <c r="N22" s="7" t="n">
        <v>0</v>
      </c>
      <c r="O22" s="7" t="n">
        <f aca="false">M22-N22</f>
        <v>19</v>
      </c>
      <c r="P22" s="7" t="n">
        <v>0</v>
      </c>
      <c r="Q22" s="7" t="n">
        <v>11</v>
      </c>
      <c r="R22" s="7" t="n">
        <f aca="false">SUM(O22:Q22)</f>
        <v>30</v>
      </c>
      <c r="S22" s="8"/>
      <c r="T22" s="7" t="n">
        <v>0</v>
      </c>
      <c r="U22" s="7" t="n">
        <v>40</v>
      </c>
      <c r="V22" s="8" t="n">
        <f aca="false">V21-U22</f>
        <v>5500</v>
      </c>
      <c r="W22" s="7" t="n">
        <f aca="false">N22+R22+T22+U22</f>
        <v>70</v>
      </c>
      <c r="X22" s="7" t="n">
        <f aca="false">IF(L22&lt;0,L22*-1,0)</f>
        <v>38.5589362238467</v>
      </c>
      <c r="Y22" s="7" t="n">
        <f aca="false">W22+X22</f>
        <v>108.558936223847</v>
      </c>
      <c r="Z22" s="11" t="n">
        <v>0</v>
      </c>
      <c r="AA22" s="12" t="n">
        <v>40</v>
      </c>
      <c r="AB22" s="12" t="n">
        <v>28</v>
      </c>
      <c r="AC22" s="13" t="n">
        <f aca="false">AC21+1</f>
        <v>13</v>
      </c>
      <c r="AD22" s="12" t="n">
        <v>14771</v>
      </c>
      <c r="AE22" s="12" t="n">
        <v>1299</v>
      </c>
    </row>
    <row r="23" customFormat="false" ht="11.1" hidden="false" customHeight="true" outlineLevel="0" collapsed="false">
      <c r="A23" s="13" t="n">
        <f aca="false">A22+1</f>
        <v>14</v>
      </c>
      <c r="B23" s="32" t="n">
        <v>6913.1</v>
      </c>
      <c r="C23" s="8" t="n">
        <v>334532</v>
      </c>
      <c r="D23" s="12" t="n">
        <f aca="false">C23-C22</f>
        <v>82</v>
      </c>
      <c r="E23" s="8" t="n">
        <f aca="false">C23-152000</f>
        <v>182532</v>
      </c>
      <c r="F23" s="7" t="n">
        <f aca="false">D23/$D$2</f>
        <v>41.3410637761533</v>
      </c>
      <c r="G23" s="7" t="n">
        <v>134</v>
      </c>
      <c r="H23" s="9" t="n">
        <v>5.3</v>
      </c>
      <c r="I23" s="7" t="n">
        <f aca="false">G23+H23</f>
        <v>139.3</v>
      </c>
      <c r="J23" s="33" t="n">
        <f aca="false">IF(L23&gt;0,L23,0)</f>
        <v>0</v>
      </c>
      <c r="K23" s="7" t="n">
        <f aca="false">I23+J23</f>
        <v>139.3</v>
      </c>
      <c r="L23" s="7" t="n">
        <f aca="false">F23-(I23-W23)</f>
        <v>-45.4389362238468</v>
      </c>
      <c r="M23" s="7" t="n">
        <v>9.32</v>
      </c>
      <c r="N23" s="7" t="n">
        <v>0</v>
      </c>
      <c r="O23" s="7" t="n">
        <f aca="false">M23-N23</f>
        <v>9.32</v>
      </c>
      <c r="P23" s="7" t="n">
        <v>0</v>
      </c>
      <c r="Q23" s="7" t="n">
        <v>3.2</v>
      </c>
      <c r="R23" s="7" t="n">
        <f aca="false">SUM(O23:Q23)</f>
        <v>12.52</v>
      </c>
      <c r="S23" s="8"/>
      <c r="T23" s="7" t="n">
        <v>0</v>
      </c>
      <c r="U23" s="7" t="n">
        <v>40</v>
      </c>
      <c r="V23" s="8" t="n">
        <f aca="false">V22-U23</f>
        <v>5460</v>
      </c>
      <c r="W23" s="7" t="n">
        <f aca="false">N23+R23+T23+U23</f>
        <v>52.52</v>
      </c>
      <c r="X23" s="7" t="n">
        <f aca="false">IF(L23&lt;0,L23*-1,0)</f>
        <v>45.4389362238468</v>
      </c>
      <c r="Y23" s="7" t="n">
        <f aca="false">W23+X23</f>
        <v>97.9589362238468</v>
      </c>
      <c r="Z23" s="11" t="n">
        <v>0</v>
      </c>
      <c r="AA23" s="43" t="n">
        <v>36</v>
      </c>
      <c r="AB23" s="12" t="n">
        <v>30</v>
      </c>
      <c r="AC23" s="13" t="n">
        <f aca="false">AC22+1</f>
        <v>14</v>
      </c>
      <c r="AD23" s="12" t="n">
        <v>14842</v>
      </c>
      <c r="AE23" s="12" t="n">
        <v>1407</v>
      </c>
    </row>
    <row r="24" customFormat="false" ht="11.1" hidden="false" customHeight="true" outlineLevel="0" collapsed="false">
      <c r="A24" s="13" t="n">
        <f aca="false">A23+1</f>
        <v>15</v>
      </c>
      <c r="B24" s="32" t="n">
        <v>6913.11</v>
      </c>
      <c r="C24" s="8" t="n">
        <v>334573</v>
      </c>
      <c r="D24" s="12" t="n">
        <f aca="false">C24-C23</f>
        <v>41</v>
      </c>
      <c r="E24" s="8" t="n">
        <f aca="false">C24-152000</f>
        <v>182573</v>
      </c>
      <c r="F24" s="7" t="n">
        <f aca="false">D24/$D$2</f>
        <v>20.6705318880766</v>
      </c>
      <c r="G24" s="7" t="n">
        <v>102</v>
      </c>
      <c r="H24" s="9" t="n">
        <v>3.7</v>
      </c>
      <c r="I24" s="7" t="n">
        <f aca="false">G24</f>
        <v>102</v>
      </c>
      <c r="J24" s="33" t="n">
        <f aca="false">IF(L24&gt;0,L24,0)</f>
        <v>0</v>
      </c>
      <c r="K24" s="7" t="n">
        <f aca="false">I24+J24</f>
        <v>102</v>
      </c>
      <c r="L24" s="7" t="n">
        <f aca="false">F24-(I24-W24)</f>
        <v>-36.1594681119234</v>
      </c>
      <c r="M24" s="7" t="n">
        <v>5.17</v>
      </c>
      <c r="N24" s="7" t="n">
        <v>0</v>
      </c>
      <c r="O24" s="7" t="n">
        <f aca="false">M24-N24</f>
        <v>5.17</v>
      </c>
      <c r="P24" s="7" t="n">
        <v>0</v>
      </c>
      <c r="Q24" s="7" t="n">
        <v>0</v>
      </c>
      <c r="R24" s="7" t="n">
        <f aca="false">SUM(O24:Q24)</f>
        <v>5.17</v>
      </c>
      <c r="S24" s="8"/>
      <c r="T24" s="7" t="n">
        <v>0</v>
      </c>
      <c r="U24" s="7" t="n">
        <v>40</v>
      </c>
      <c r="V24" s="8" t="n">
        <f aca="false">V23-U24</f>
        <v>5420</v>
      </c>
      <c r="W24" s="7" t="n">
        <f aca="false">N24+R24+T24+U24</f>
        <v>45.17</v>
      </c>
      <c r="X24" s="7" t="n">
        <f aca="false">IF(L24&lt;0,L24*-1,0)</f>
        <v>36.1594681119234</v>
      </c>
      <c r="Y24" s="7" t="n">
        <f aca="false">W24+X24</f>
        <v>81.3294681119234</v>
      </c>
      <c r="Z24" s="11" t="n">
        <v>0</v>
      </c>
      <c r="AA24" s="43" t="n">
        <v>40</v>
      </c>
      <c r="AB24" s="12" t="n">
        <v>12</v>
      </c>
      <c r="AC24" s="13" t="n">
        <f aca="false">AC23+1</f>
        <v>15</v>
      </c>
      <c r="AD24" s="12" t="n">
        <v>14927</v>
      </c>
      <c r="AE24" s="12" t="n">
        <v>1516</v>
      </c>
    </row>
    <row r="25" customFormat="false" ht="11.1" hidden="false" customHeight="true" outlineLevel="0" collapsed="false">
      <c r="A25" s="13" t="n">
        <f aca="false">A24+1</f>
        <v>16</v>
      </c>
      <c r="B25" s="32" t="n">
        <v>6913.13</v>
      </c>
      <c r="C25" s="8" t="n">
        <v>334655</v>
      </c>
      <c r="D25" s="12" t="n">
        <f aca="false">C25-C24</f>
        <v>82</v>
      </c>
      <c r="E25" s="8" t="n">
        <f aca="false">C25-152000</f>
        <v>182655</v>
      </c>
      <c r="F25" s="7" t="n">
        <f aca="false">D25/$D$2</f>
        <v>41.3410637761533</v>
      </c>
      <c r="G25" s="7" t="n">
        <v>63</v>
      </c>
      <c r="H25" s="9" t="n">
        <v>3.5</v>
      </c>
      <c r="I25" s="7" t="n">
        <f aca="false">G25+H25</f>
        <v>66.5</v>
      </c>
      <c r="J25" s="33" t="n">
        <f aca="false">IF(L25&gt;0,L25,0)</f>
        <v>19.6010637761533</v>
      </c>
      <c r="K25" s="7" t="n">
        <f aca="false">I25+J25</f>
        <v>86.1010637761533</v>
      </c>
      <c r="L25" s="7" t="n">
        <f aca="false">F25-(I25-W25)</f>
        <v>19.6010637761533</v>
      </c>
      <c r="M25" s="7" t="n">
        <v>4.76</v>
      </c>
      <c r="N25" s="7" t="n">
        <v>0</v>
      </c>
      <c r="O25" s="7" t="n">
        <f aca="false">M25-N25</f>
        <v>4.76</v>
      </c>
      <c r="P25" s="7" t="n">
        <v>0</v>
      </c>
      <c r="Q25" s="7" t="n">
        <v>0</v>
      </c>
      <c r="R25" s="7" t="n">
        <f aca="false">SUM(O25:Q25)</f>
        <v>4.76</v>
      </c>
      <c r="S25" s="8"/>
      <c r="T25" s="7" t="n">
        <v>0</v>
      </c>
      <c r="U25" s="7" t="n">
        <v>40</v>
      </c>
      <c r="V25" s="8" t="n">
        <f aca="false">V24-U25</f>
        <v>5380</v>
      </c>
      <c r="W25" s="7" t="n">
        <f aca="false">N25+R25+T25+U25</f>
        <v>44.76</v>
      </c>
      <c r="X25" s="7" t="n">
        <f aca="false">IF(L25&lt;0,L25*-1,0)</f>
        <v>0</v>
      </c>
      <c r="Y25" s="7" t="n">
        <f aca="false">W25+X25</f>
        <v>44.76</v>
      </c>
      <c r="Z25" s="11" t="n">
        <v>0</v>
      </c>
      <c r="AA25" s="43" t="n">
        <v>40</v>
      </c>
      <c r="AB25" s="12" t="n">
        <v>14</v>
      </c>
      <c r="AC25" s="13" t="n">
        <f aca="false">AC24+1</f>
        <v>16</v>
      </c>
      <c r="AD25" s="12" t="n">
        <v>15009</v>
      </c>
      <c r="AE25" s="12" t="n">
        <v>1615</v>
      </c>
    </row>
    <row r="26" customFormat="false" ht="11.1" hidden="false" customHeight="true" outlineLevel="0" collapsed="false">
      <c r="A26" s="13" t="n">
        <f aca="false">A25+1</f>
        <v>17</v>
      </c>
      <c r="B26" s="32" t="n">
        <v>6913.14</v>
      </c>
      <c r="C26" s="8" t="n">
        <v>334697</v>
      </c>
      <c r="D26" s="12" t="n">
        <f aca="false">C26-C25</f>
        <v>42</v>
      </c>
      <c r="E26" s="8" t="n">
        <f aca="false">C26-152000</f>
        <v>182697</v>
      </c>
      <c r="F26" s="7" t="n">
        <f aca="false">D26/$D$2</f>
        <v>21.17469120242</v>
      </c>
      <c r="G26" s="7" t="n">
        <v>95</v>
      </c>
      <c r="H26" s="9" t="n">
        <v>3.8</v>
      </c>
      <c r="I26" s="7" t="n">
        <f aca="false">G26+H26</f>
        <v>98.8</v>
      </c>
      <c r="J26" s="33" t="n">
        <f aca="false">IF(L26&gt;0,L26,0)</f>
        <v>0</v>
      </c>
      <c r="K26" s="7" t="n">
        <f aca="false">I26+J26</f>
        <v>98.8</v>
      </c>
      <c r="L26" s="7" t="n">
        <f aca="false">F26-(I26-W26)</f>
        <v>-33.42530879758</v>
      </c>
      <c r="M26" s="7" t="n">
        <v>4.2</v>
      </c>
      <c r="N26" s="7" t="n">
        <v>0</v>
      </c>
      <c r="O26" s="7" t="n">
        <f aca="false">M26-N26</f>
        <v>4.2</v>
      </c>
      <c r="P26" s="7" t="n">
        <v>0</v>
      </c>
      <c r="Q26" s="7" t="n">
        <v>0</v>
      </c>
      <c r="R26" s="7" t="n">
        <f aca="false">SUM(O26:Q26)</f>
        <v>4.2</v>
      </c>
      <c r="S26" s="8"/>
      <c r="T26" s="7" t="n">
        <v>0</v>
      </c>
      <c r="U26" s="7" t="n">
        <v>40</v>
      </c>
      <c r="V26" s="8" t="n">
        <f aca="false">V25-U26</f>
        <v>5340</v>
      </c>
      <c r="W26" s="7" t="n">
        <f aca="false">N26+R26+T26+U26</f>
        <v>44.2</v>
      </c>
      <c r="X26" s="7" t="n">
        <f aca="false">IF(L26&lt;0,L26*-1,0)</f>
        <v>33.42530879758</v>
      </c>
      <c r="Y26" s="7" t="n">
        <f aca="false">W26+X26</f>
        <v>77.62530879758</v>
      </c>
      <c r="Z26" s="11" t="n">
        <v>0</v>
      </c>
      <c r="AA26" s="43" t="n">
        <v>43</v>
      </c>
      <c r="AB26" s="12" t="n">
        <v>16</v>
      </c>
      <c r="AC26" s="13" t="n">
        <f aca="false">AC25+1</f>
        <v>17</v>
      </c>
      <c r="AD26" s="12" t="n">
        <v>15112</v>
      </c>
      <c r="AE26" s="12" t="n">
        <v>1714</v>
      </c>
    </row>
    <row r="27" customFormat="false" ht="11.1" hidden="false" customHeight="true" outlineLevel="0" collapsed="false">
      <c r="A27" s="13" t="n">
        <f aca="false">A26+1</f>
        <v>18</v>
      </c>
      <c r="B27" s="32" t="n">
        <v>6913.16</v>
      </c>
      <c r="C27" s="8" t="n">
        <v>334779</v>
      </c>
      <c r="D27" s="12" t="n">
        <f aca="false">C27-C26</f>
        <v>82</v>
      </c>
      <c r="E27" s="8" t="n">
        <f aca="false">C27-152000</f>
        <v>182779</v>
      </c>
      <c r="F27" s="7" t="n">
        <f aca="false">D27/$D$2</f>
        <v>41.3410637761533</v>
      </c>
      <c r="G27" s="7" t="n">
        <v>110</v>
      </c>
      <c r="H27" s="9" t="n">
        <v>4</v>
      </c>
      <c r="I27" s="7" t="n">
        <f aca="false">G27+H27</f>
        <v>114</v>
      </c>
      <c r="J27" s="33" t="n">
        <f aca="false">IF(L27&gt;0,L27,0)</f>
        <v>0</v>
      </c>
      <c r="K27" s="7" t="n">
        <f aca="false">I27+J27</f>
        <v>114</v>
      </c>
      <c r="L27" s="7" t="n">
        <f aca="false">F27-(I27-W27)</f>
        <v>-29.6589362238467</v>
      </c>
      <c r="M27" s="7" t="n">
        <v>3</v>
      </c>
      <c r="N27" s="7" t="n">
        <v>0</v>
      </c>
      <c r="O27" s="7" t="n">
        <f aca="false">M27-N27</f>
        <v>3</v>
      </c>
      <c r="P27" s="7" t="n">
        <v>0</v>
      </c>
      <c r="Q27" s="7" t="n">
        <v>0</v>
      </c>
      <c r="R27" s="7" t="n">
        <f aca="false">SUM(O27:Q27)</f>
        <v>3</v>
      </c>
      <c r="S27" s="8"/>
      <c r="T27" s="7" t="n">
        <v>0</v>
      </c>
      <c r="U27" s="7" t="n">
        <v>40</v>
      </c>
      <c r="V27" s="8" t="n">
        <f aca="false">V26-U27</f>
        <v>5300</v>
      </c>
      <c r="W27" s="7" t="n">
        <f aca="false">N27+R27+T27+U27</f>
        <v>43</v>
      </c>
      <c r="X27" s="7" t="n">
        <f aca="false">IF(L27&lt;0,L27*-1,0)</f>
        <v>29.6589362238467</v>
      </c>
      <c r="Y27" s="7" t="n">
        <f aca="false">W27+X27</f>
        <v>72.6589362238467</v>
      </c>
      <c r="Z27" s="11" t="n">
        <v>0</v>
      </c>
      <c r="AA27" s="43" t="n">
        <v>45</v>
      </c>
      <c r="AB27" s="12" t="n">
        <v>16</v>
      </c>
      <c r="AC27" s="13" t="n">
        <f aca="false">AC26+1</f>
        <v>18</v>
      </c>
      <c r="AD27" s="12" t="n">
        <v>15213</v>
      </c>
      <c r="AE27" s="12" t="n">
        <v>1812</v>
      </c>
    </row>
    <row r="28" customFormat="false" ht="11.1" hidden="false" customHeight="true" outlineLevel="0" collapsed="false">
      <c r="A28" s="13" t="n">
        <f aca="false">A27+1</f>
        <v>19</v>
      </c>
      <c r="B28" s="32" t="n">
        <v>6913.2</v>
      </c>
      <c r="C28" s="8" t="n">
        <v>334943</v>
      </c>
      <c r="D28" s="12" t="n">
        <f aca="false">C28-C27</f>
        <v>164</v>
      </c>
      <c r="E28" s="8" t="n">
        <f aca="false">C28-152000</f>
        <v>182943</v>
      </c>
      <c r="F28" s="7" t="n">
        <f aca="false">D28/$D$2</f>
        <v>82.6821275523065</v>
      </c>
      <c r="G28" s="7" t="n">
        <v>120</v>
      </c>
      <c r="H28" s="9" t="n">
        <v>4.1</v>
      </c>
      <c r="I28" s="7" t="n">
        <f aca="false">G28+H28</f>
        <v>124.1</v>
      </c>
      <c r="J28" s="33" t="n">
        <f aca="false">IF(L28&gt;0,L28,0)</f>
        <v>1.26212755230654</v>
      </c>
      <c r="K28" s="7" t="n">
        <f aca="false">I28+J28</f>
        <v>125.362127552307</v>
      </c>
      <c r="L28" s="7" t="n">
        <f aca="false">F28-(I28-W28)</f>
        <v>1.26212755230654</v>
      </c>
      <c r="M28" s="7" t="n">
        <v>2.68</v>
      </c>
      <c r="N28" s="7" t="n">
        <v>0</v>
      </c>
      <c r="O28" s="7" t="n">
        <f aca="false">M28-N28</f>
        <v>2.68</v>
      </c>
      <c r="P28" s="7" t="n">
        <v>0</v>
      </c>
      <c r="Q28" s="7" t="n">
        <v>0</v>
      </c>
      <c r="R28" s="7" t="n">
        <f aca="false">SUM(O28:Q28)</f>
        <v>2.68</v>
      </c>
      <c r="S28" s="8"/>
      <c r="T28" s="7" t="n">
        <v>0</v>
      </c>
      <c r="U28" s="7" t="n">
        <v>40</v>
      </c>
      <c r="V28" s="8" t="n">
        <f aca="false">V27-U28</f>
        <v>5260</v>
      </c>
      <c r="W28" s="7" t="n">
        <f aca="false">N28+R28+T28+U28</f>
        <v>42.68</v>
      </c>
      <c r="X28" s="7" t="n">
        <f aca="false">IF(L28&lt;0,L28*-1,0)</f>
        <v>0</v>
      </c>
      <c r="Y28" s="7" t="n">
        <f aca="false">W28+X28</f>
        <v>42.68</v>
      </c>
      <c r="Z28" s="11" t="n">
        <v>0</v>
      </c>
      <c r="AA28" s="43" t="n">
        <v>53</v>
      </c>
      <c r="AB28" s="12" t="n">
        <v>24</v>
      </c>
      <c r="AC28" s="13" t="n">
        <f aca="false">AC27+1</f>
        <v>19</v>
      </c>
      <c r="AD28" s="12" t="n">
        <v>15295</v>
      </c>
      <c r="AE28" s="12" t="n">
        <v>1909</v>
      </c>
    </row>
    <row r="29" customFormat="false" ht="11.1" hidden="false" customHeight="true" outlineLevel="0" collapsed="false">
      <c r="A29" s="13" t="n">
        <f aca="false">A28+1</f>
        <v>20</v>
      </c>
      <c r="B29" s="32" t="n">
        <v>6913.26</v>
      </c>
      <c r="C29" s="8" t="n">
        <v>335190</v>
      </c>
      <c r="D29" s="12" t="n">
        <f aca="false">C29-C28</f>
        <v>247</v>
      </c>
      <c r="E29" s="8" t="n">
        <f aca="false">C29-152000</f>
        <v>183190</v>
      </c>
      <c r="F29" s="7" t="n">
        <f aca="false">D29/$D$2</f>
        <v>124.527350642803</v>
      </c>
      <c r="G29" s="7" t="n">
        <v>115</v>
      </c>
      <c r="H29" s="9" t="n">
        <v>4</v>
      </c>
      <c r="I29" s="7" t="n">
        <f aca="false">G29+H29</f>
        <v>119</v>
      </c>
      <c r="J29" s="33" t="n">
        <f aca="false">IF(L29&gt;0,L29,0)</f>
        <v>48.1973506428031</v>
      </c>
      <c r="K29" s="7" t="n">
        <f aca="false">I29+J29</f>
        <v>167.197350642803</v>
      </c>
      <c r="L29" s="7" t="n">
        <f aca="false">F29-(I29-W29)</f>
        <v>48.1973506428031</v>
      </c>
      <c r="M29" s="7" t="n">
        <v>2.67</v>
      </c>
      <c r="N29" s="7" t="n">
        <v>0</v>
      </c>
      <c r="O29" s="7" t="n">
        <f aca="false">M29-N29</f>
        <v>2.67</v>
      </c>
      <c r="P29" s="7" t="n">
        <v>0</v>
      </c>
      <c r="Q29" s="7" t="n">
        <v>0</v>
      </c>
      <c r="R29" s="7" t="n">
        <f aca="false">SUM(O29:Q29)</f>
        <v>2.67</v>
      </c>
      <c r="S29" s="8"/>
      <c r="T29" s="7" t="n">
        <v>0</v>
      </c>
      <c r="U29" s="7" t="n">
        <v>40</v>
      </c>
      <c r="V29" s="8" t="n">
        <f aca="false">V28-U29</f>
        <v>5220</v>
      </c>
      <c r="W29" s="7" t="n">
        <f aca="false">N29+R29+T29+U29</f>
        <v>42.67</v>
      </c>
      <c r="X29" s="7" t="n">
        <f aca="false">IF(L29&lt;0,L29*-1,0)</f>
        <v>0</v>
      </c>
      <c r="Y29" s="7" t="n">
        <f aca="false">W29+X29</f>
        <v>42.67</v>
      </c>
      <c r="Z29" s="11" t="n">
        <v>0</v>
      </c>
      <c r="AA29" s="43" t="n">
        <v>59</v>
      </c>
      <c r="AB29" s="12" t="n">
        <v>30</v>
      </c>
      <c r="AC29" s="13" t="n">
        <f aca="false">AC28+1</f>
        <v>20</v>
      </c>
      <c r="AD29" s="12" t="n">
        <v>15367</v>
      </c>
      <c r="AE29" s="12" t="n">
        <v>2006</v>
      </c>
    </row>
    <row r="30" customFormat="false" ht="11.1" hidden="false" customHeight="true" outlineLevel="0" collapsed="false">
      <c r="A30" s="13" t="n">
        <f aca="false">A29+1</f>
        <v>21</v>
      </c>
      <c r="B30" s="32" t="n">
        <v>6913.28</v>
      </c>
      <c r="C30" s="8" t="n">
        <v>335272</v>
      </c>
      <c r="D30" s="12" t="n">
        <f aca="false">C30-C29</f>
        <v>82</v>
      </c>
      <c r="E30" s="8" t="n">
        <f aca="false">C30-152000</f>
        <v>183272</v>
      </c>
      <c r="F30" s="7" t="n">
        <f aca="false">D30/$D$2</f>
        <v>41.3410637761533</v>
      </c>
      <c r="G30" s="7" t="n">
        <v>105</v>
      </c>
      <c r="H30" s="9" t="n">
        <v>4</v>
      </c>
      <c r="I30" s="7" t="n">
        <f aca="false">G30+H30</f>
        <v>109</v>
      </c>
      <c r="J30" s="33" t="n">
        <f aca="false">IF(L30&gt;0,L30,0)</f>
        <v>0</v>
      </c>
      <c r="K30" s="7" t="n">
        <f aca="false">I30+J30</f>
        <v>109</v>
      </c>
      <c r="L30" s="7" t="n">
        <f aca="false">F30-(I30-W30)</f>
        <v>-25.1689362238467</v>
      </c>
      <c r="M30" s="7" t="n">
        <v>2.49</v>
      </c>
      <c r="N30" s="7" t="n">
        <v>0</v>
      </c>
      <c r="O30" s="7" t="n">
        <f aca="false">M30-N30</f>
        <v>2.49</v>
      </c>
      <c r="P30" s="7" t="n">
        <v>0</v>
      </c>
      <c r="Q30" s="7" t="n">
        <v>0</v>
      </c>
      <c r="R30" s="7" t="n">
        <f aca="false">SUM(O30:Q30)</f>
        <v>2.49</v>
      </c>
      <c r="S30" s="8"/>
      <c r="T30" s="7" t="n">
        <v>0</v>
      </c>
      <c r="U30" s="7" t="n">
        <v>40</v>
      </c>
      <c r="V30" s="8" t="n">
        <f aca="false">V29-U30</f>
        <v>5180</v>
      </c>
      <c r="W30" s="7" t="n">
        <f aca="false">N30+R30+T30+U30</f>
        <v>42.49</v>
      </c>
      <c r="X30" s="7" t="n">
        <f aca="false">IF(L30&lt;0,L30*-1,0)</f>
        <v>25.1689362238467</v>
      </c>
      <c r="Y30" s="7" t="n">
        <f aca="false">W30+X30</f>
        <v>67.6589362238467</v>
      </c>
      <c r="Z30" s="11" t="n">
        <v>0</v>
      </c>
      <c r="AA30" s="12" t="n">
        <v>48</v>
      </c>
      <c r="AB30" s="12" t="n">
        <v>19</v>
      </c>
      <c r="AC30" s="13" t="n">
        <f aca="false">AC29+1</f>
        <v>21</v>
      </c>
      <c r="AD30" s="12" t="n">
        <v>15445</v>
      </c>
      <c r="AE30" s="12" t="n">
        <v>2106</v>
      </c>
      <c r="AF30" s="0" t="n">
        <v>273.4</v>
      </c>
    </row>
    <row r="31" customFormat="false" ht="11.1" hidden="false" customHeight="true" outlineLevel="0" collapsed="false">
      <c r="A31" s="13" t="n">
        <f aca="false">A30+1</f>
        <v>22</v>
      </c>
      <c r="B31" s="32" t="n">
        <v>6913.3</v>
      </c>
      <c r="C31" s="8" t="n">
        <v>335354</v>
      </c>
      <c r="D31" s="12" t="n">
        <f aca="false">C31-C30</f>
        <v>82</v>
      </c>
      <c r="E31" s="8" t="n">
        <f aca="false">C31-152000</f>
        <v>183354</v>
      </c>
      <c r="F31" s="7" t="n">
        <f aca="false">D31/$D$2</f>
        <v>41.3410637761533</v>
      </c>
      <c r="G31" s="7" t="n">
        <v>103</v>
      </c>
      <c r="H31" s="9" t="n">
        <v>3.8</v>
      </c>
      <c r="I31" s="7" t="n">
        <f aca="false">G31+H31</f>
        <v>106.8</v>
      </c>
      <c r="J31" s="33" t="n">
        <f aca="false">IF(L31&gt;0,L31,0)</f>
        <v>0</v>
      </c>
      <c r="K31" s="7" t="n">
        <f aca="false">I31+J31</f>
        <v>106.8</v>
      </c>
      <c r="L31" s="7" t="n">
        <f aca="false">F31-(I31-W31)</f>
        <v>-22.9789362238467</v>
      </c>
      <c r="M31" s="7" t="n">
        <v>2.49</v>
      </c>
      <c r="N31" s="7" t="n">
        <v>0</v>
      </c>
      <c r="O31" s="7" t="n">
        <f aca="false">M31-N31</f>
        <v>2.49</v>
      </c>
      <c r="P31" s="7" t="n">
        <v>0</v>
      </c>
      <c r="Q31" s="7" t="n">
        <v>0</v>
      </c>
      <c r="R31" s="7" t="n">
        <f aca="false">SUM(O31:Q31)</f>
        <v>2.49</v>
      </c>
      <c r="S31" s="8"/>
      <c r="T31" s="7" t="n">
        <v>0</v>
      </c>
      <c r="U31" s="7" t="n">
        <v>39.99</v>
      </c>
      <c r="V31" s="8" t="n">
        <f aca="false">V30-U31</f>
        <v>5140.01</v>
      </c>
      <c r="W31" s="7" t="n">
        <f aca="false">N31+R31+T31+U31</f>
        <v>42.48</v>
      </c>
      <c r="X31" s="7" t="n">
        <f aca="false">IF(L31&lt;0,L31*-1,0)</f>
        <v>22.9789362238467</v>
      </c>
      <c r="Y31" s="7" t="n">
        <f aca="false">W31+X31</f>
        <v>65.4589362238467</v>
      </c>
      <c r="Z31" s="11" t="n">
        <v>0</v>
      </c>
      <c r="AA31" s="12" t="n">
        <v>51</v>
      </c>
      <c r="AB31" s="12" t="n">
        <v>20</v>
      </c>
      <c r="AC31" s="13" t="n">
        <f aca="false">AC30+1</f>
        <v>22</v>
      </c>
      <c r="AD31" s="12" t="n">
        <v>15524</v>
      </c>
      <c r="AE31" s="12" t="n">
        <v>2203</v>
      </c>
      <c r="AF31" s="0" t="n">
        <v>249.63</v>
      </c>
    </row>
    <row r="32" customFormat="false" ht="11.1" hidden="false" customHeight="true" outlineLevel="0" collapsed="false">
      <c r="A32" s="13" t="n">
        <f aca="false">A31+1</f>
        <v>23</v>
      </c>
      <c r="B32" s="32" t="n">
        <v>6913.31</v>
      </c>
      <c r="C32" s="8" t="n">
        <v>335395</v>
      </c>
      <c r="D32" s="12" t="n">
        <f aca="false">C32-C31</f>
        <v>41</v>
      </c>
      <c r="E32" s="8" t="n">
        <f aca="false">C32-152000</f>
        <v>183395</v>
      </c>
      <c r="F32" s="7" t="n">
        <f aca="false">D32/$D$2</f>
        <v>20.6705318880766</v>
      </c>
      <c r="G32" s="7" t="n">
        <v>95</v>
      </c>
      <c r="H32" s="9" t="n">
        <v>3.7</v>
      </c>
      <c r="I32" s="7" t="n">
        <f aca="false">G32+H32</f>
        <v>98.7</v>
      </c>
      <c r="J32" s="33" t="n">
        <f aca="false">IF(L32&gt;0,L32,0)</f>
        <v>0</v>
      </c>
      <c r="K32" s="7" t="n">
        <f aca="false">I32+J32</f>
        <v>98.7</v>
      </c>
      <c r="L32" s="7" t="n">
        <f aca="false">F32-(I32-W32)</f>
        <v>-35.5394681119234</v>
      </c>
      <c r="M32" s="7" t="n">
        <v>2.49</v>
      </c>
      <c r="N32" s="7" t="n">
        <v>0</v>
      </c>
      <c r="O32" s="7" t="n">
        <f aca="false">M32-N32</f>
        <v>2.49</v>
      </c>
      <c r="P32" s="7" t="n">
        <v>0</v>
      </c>
      <c r="Q32" s="7" t="n">
        <v>0</v>
      </c>
      <c r="R32" s="7" t="n">
        <f aca="false">SUM(O32:Q32)</f>
        <v>2.49</v>
      </c>
      <c r="S32" s="8"/>
      <c r="T32" s="7" t="n">
        <v>0</v>
      </c>
      <c r="U32" s="7" t="n">
        <v>40</v>
      </c>
      <c r="V32" s="8" t="n">
        <f aca="false">V31-U32</f>
        <v>5100.01</v>
      </c>
      <c r="W32" s="7" t="n">
        <f aca="false">N32+R32+T32+U32</f>
        <v>42.49</v>
      </c>
      <c r="X32" s="7" t="n">
        <f aca="false">IF(L32&lt;0,L32*-1,0)</f>
        <v>35.5394681119234</v>
      </c>
      <c r="Y32" s="7" t="n">
        <f aca="false">W32+X32</f>
        <v>78.0294681119234</v>
      </c>
      <c r="Z32" s="11" t="n">
        <v>0</v>
      </c>
      <c r="AA32" s="12" t="n">
        <v>54</v>
      </c>
      <c r="AB32" s="43" t="n">
        <v>21</v>
      </c>
      <c r="AC32" s="13" t="n">
        <f aca="false">AC31+1</f>
        <v>23</v>
      </c>
      <c r="AD32" s="12" t="n">
        <v>15607</v>
      </c>
      <c r="AE32" s="12" t="n">
        <v>2299</v>
      </c>
      <c r="AF32" s="0" t="n">
        <v>243.94</v>
      </c>
    </row>
    <row r="33" customFormat="false" ht="11.1" hidden="false" customHeight="true" outlineLevel="0" collapsed="false">
      <c r="A33" s="13" t="n">
        <f aca="false">A32+1</f>
        <v>24</v>
      </c>
      <c r="B33" s="32" t="n">
        <v>6913.34</v>
      </c>
      <c r="C33" s="8" t="n">
        <v>335518</v>
      </c>
      <c r="D33" s="12" t="n">
        <f aca="false">C33-C32</f>
        <v>123</v>
      </c>
      <c r="E33" s="8" t="n">
        <f aca="false">C33-152000</f>
        <v>183518</v>
      </c>
      <c r="F33" s="7" t="n">
        <f aca="false">D33/$D$2</f>
        <v>62.0115956642299</v>
      </c>
      <c r="G33" s="7" t="n">
        <v>100</v>
      </c>
      <c r="H33" s="9" t="n">
        <v>3.7</v>
      </c>
      <c r="I33" s="7" t="n">
        <f aca="false">G33+H33</f>
        <v>103.7</v>
      </c>
      <c r="J33" s="33" t="n">
        <f aca="false">IF(L33&gt;0,L33,0)</f>
        <v>0.801595664229893</v>
      </c>
      <c r="K33" s="7" t="n">
        <f aca="false">I33+J33</f>
        <v>104.50159566423</v>
      </c>
      <c r="L33" s="7" t="n">
        <f aca="false">F33-(I33-W33)</f>
        <v>0.801595664229893</v>
      </c>
      <c r="M33" s="7" t="n">
        <v>2.49</v>
      </c>
      <c r="N33" s="7" t="n">
        <v>0</v>
      </c>
      <c r="O33" s="7" t="n">
        <f aca="false">M33-N33</f>
        <v>2.49</v>
      </c>
      <c r="P33" s="7" t="n">
        <v>0</v>
      </c>
      <c r="Q33" s="7" t="n">
        <v>0</v>
      </c>
      <c r="R33" s="7" t="n">
        <f aca="false">SUM(O33:Q33)</f>
        <v>2.49</v>
      </c>
      <c r="S33" s="8"/>
      <c r="T33" s="7" t="n">
        <v>0</v>
      </c>
      <c r="U33" s="7" t="n">
        <v>40</v>
      </c>
      <c r="V33" s="8" t="n">
        <f aca="false">V32-U33</f>
        <v>5060.01</v>
      </c>
      <c r="W33" s="7" t="n">
        <f aca="false">N33+R33+T33+U33</f>
        <v>42.49</v>
      </c>
      <c r="X33" s="7" t="n">
        <f aca="false">IF(L33&lt;0,L33*-1,0)</f>
        <v>0</v>
      </c>
      <c r="Y33" s="7" t="n">
        <f aca="false">W33+X33</f>
        <v>42.49</v>
      </c>
      <c r="Z33" s="11" t="n">
        <v>0</v>
      </c>
      <c r="AA33" s="12" t="n">
        <v>59</v>
      </c>
      <c r="AB33" s="43" t="n">
        <v>22</v>
      </c>
      <c r="AC33" s="13" t="n">
        <f aca="false">AC32+1</f>
        <v>24</v>
      </c>
      <c r="AD33" s="12" t="n">
        <v>15666</v>
      </c>
      <c r="AE33" s="12" t="n">
        <v>2395</v>
      </c>
      <c r="AF33" s="0" t="n">
        <v>243.15</v>
      </c>
    </row>
    <row r="34" customFormat="false" ht="11.1" hidden="false" customHeight="true" outlineLevel="0" collapsed="false">
      <c r="A34" s="13" t="n">
        <f aca="false">A33+1</f>
        <v>25</v>
      </c>
      <c r="B34" s="32" t="n">
        <v>6913.36</v>
      </c>
      <c r="C34" s="8" t="n">
        <v>335601</v>
      </c>
      <c r="D34" s="12" t="n">
        <f aca="false">C34-C33</f>
        <v>83</v>
      </c>
      <c r="E34" s="8" t="n">
        <f aca="false">C34-152000</f>
        <v>183601</v>
      </c>
      <c r="F34" s="7" t="n">
        <f aca="false">D34/$D$2</f>
        <v>41.8452230904966</v>
      </c>
      <c r="G34" s="7" t="n">
        <v>108</v>
      </c>
      <c r="H34" s="9" t="n">
        <v>3.7</v>
      </c>
      <c r="I34" s="7" t="n">
        <f aca="false">G34+H34</f>
        <v>111.7</v>
      </c>
      <c r="J34" s="33" t="n">
        <f aca="false">IF(L34&gt;0,L34,0)</f>
        <v>0</v>
      </c>
      <c r="K34" s="7" t="n">
        <f aca="false">I34+J34</f>
        <v>111.7</v>
      </c>
      <c r="L34" s="7" t="n">
        <f aca="false">F34-(I34-W34)</f>
        <v>-26.9747769095034</v>
      </c>
      <c r="M34" s="7" t="n">
        <v>2.88</v>
      </c>
      <c r="N34" s="7" t="n">
        <v>0</v>
      </c>
      <c r="O34" s="7" t="n">
        <f aca="false">M34-N34</f>
        <v>2.88</v>
      </c>
      <c r="P34" s="7" t="n">
        <v>0</v>
      </c>
      <c r="Q34" s="7" t="n">
        <v>0</v>
      </c>
      <c r="R34" s="7" t="n">
        <f aca="false">SUM(O34:Q34)</f>
        <v>2.88</v>
      </c>
      <c r="S34" s="8"/>
      <c r="T34" s="7" t="n">
        <v>0</v>
      </c>
      <c r="U34" s="7" t="n">
        <v>40</v>
      </c>
      <c r="V34" s="8" t="n">
        <f aca="false">V33-U34</f>
        <v>5020.01</v>
      </c>
      <c r="W34" s="7" t="n">
        <f aca="false">N34+R34+T34+U34</f>
        <v>42.88</v>
      </c>
      <c r="X34" s="7" t="n">
        <f aca="false">IF(L34&lt;0,L34*-1,0)</f>
        <v>26.9747769095034</v>
      </c>
      <c r="Y34" s="7" t="n">
        <f aca="false">W34+X34</f>
        <v>69.8547769095034</v>
      </c>
      <c r="Z34" s="11" t="n">
        <v>0</v>
      </c>
      <c r="AA34" s="12" t="n">
        <v>54</v>
      </c>
      <c r="AB34" s="43" t="n">
        <v>36</v>
      </c>
      <c r="AC34" s="13" t="n">
        <f aca="false">AC33+1</f>
        <v>25</v>
      </c>
      <c r="AD34" s="12" t="n">
        <v>15726</v>
      </c>
      <c r="AE34" s="12" t="n">
        <v>2491</v>
      </c>
      <c r="AF34" s="0" t="n">
        <v>242.11</v>
      </c>
    </row>
    <row r="35" customFormat="false" ht="11.1" hidden="false" customHeight="true" outlineLevel="0" collapsed="false">
      <c r="A35" s="13" t="n">
        <f aca="false">A34+1</f>
        <v>26</v>
      </c>
      <c r="B35" s="32" t="n">
        <v>6913.38</v>
      </c>
      <c r="C35" s="8" t="n">
        <v>335683</v>
      </c>
      <c r="D35" s="12" t="n">
        <f aca="false">C35-C34</f>
        <v>82</v>
      </c>
      <c r="E35" s="8" t="n">
        <f aca="false">C35-152000</f>
        <v>183683</v>
      </c>
      <c r="F35" s="7" t="n">
        <f aca="false">D35/$D$2</f>
        <v>41.3410637761533</v>
      </c>
      <c r="G35" s="7" t="n">
        <v>115</v>
      </c>
      <c r="H35" s="9" t="n">
        <v>3.5</v>
      </c>
      <c r="I35" s="7" t="n">
        <f aca="false">G35+H35</f>
        <v>118.5</v>
      </c>
      <c r="J35" s="33" t="n">
        <f aca="false">IF(L35&gt;0,L35,0)</f>
        <v>0</v>
      </c>
      <c r="K35" s="7" t="n">
        <f aca="false">I35+J35</f>
        <v>118.5</v>
      </c>
      <c r="L35" s="7" t="n">
        <f aca="false">F35-(I35-W35)</f>
        <v>-33.1789362238467</v>
      </c>
      <c r="M35" s="7" t="n">
        <v>2.98</v>
      </c>
      <c r="N35" s="7" t="n">
        <v>0</v>
      </c>
      <c r="O35" s="7" t="n">
        <f aca="false">M35-N35</f>
        <v>2.98</v>
      </c>
      <c r="P35" s="7" t="n">
        <v>0</v>
      </c>
      <c r="Q35" s="7" t="n">
        <v>0</v>
      </c>
      <c r="R35" s="7" t="n">
        <f aca="false">SUM(O35:Q35)</f>
        <v>2.98</v>
      </c>
      <c r="S35" s="8"/>
      <c r="T35" s="7" t="n">
        <v>0</v>
      </c>
      <c r="U35" s="7" t="n">
        <v>41</v>
      </c>
      <c r="V35" s="8" t="n">
        <f aca="false">V34-U35</f>
        <v>4979.01</v>
      </c>
      <c r="W35" s="7" t="n">
        <f aca="false">N35+R35+T35+U35</f>
        <v>43.98</v>
      </c>
      <c r="X35" s="7" t="n">
        <f aca="false">IF(L35&lt;0,L35*-1,0)</f>
        <v>33.1789362238467</v>
      </c>
      <c r="Y35" s="7" t="n">
        <f aca="false">W35+X35</f>
        <v>77.1589362238468</v>
      </c>
      <c r="Z35" s="11" t="n">
        <v>0</v>
      </c>
      <c r="AA35" s="12" t="n">
        <v>51</v>
      </c>
      <c r="AB35" s="12" t="n">
        <v>38</v>
      </c>
      <c r="AC35" s="13" t="n">
        <f aca="false">AC34+1</f>
        <v>26</v>
      </c>
      <c r="AD35" s="12" t="n">
        <v>15781</v>
      </c>
      <c r="AE35" s="12" t="n">
        <v>2589</v>
      </c>
      <c r="AF35" s="0" t="n">
        <v>244.72</v>
      </c>
    </row>
    <row r="36" customFormat="false" ht="11.1" hidden="false" customHeight="true" outlineLevel="0" collapsed="false">
      <c r="A36" s="13" t="n">
        <f aca="false">A35+1</f>
        <v>27</v>
      </c>
      <c r="B36" s="32" t="n">
        <v>6913.45</v>
      </c>
      <c r="C36" s="8" t="n">
        <v>335970</v>
      </c>
      <c r="D36" s="12" t="n">
        <f aca="false">C36-C35</f>
        <v>287</v>
      </c>
      <c r="E36" s="8" t="n">
        <f aca="false">C36-152000</f>
        <v>183970</v>
      </c>
      <c r="F36" s="7" t="n">
        <f aca="false">D36/$D$2</f>
        <v>144.693723216536</v>
      </c>
      <c r="G36" s="7" t="n">
        <v>122</v>
      </c>
      <c r="H36" s="9" t="n">
        <v>4.1</v>
      </c>
      <c r="I36" s="7" t="n">
        <f aca="false">G36+H36</f>
        <v>126.1</v>
      </c>
      <c r="J36" s="33" t="n">
        <f aca="false">IF(L36&gt;0,L36,0)</f>
        <v>62.5037232165364</v>
      </c>
      <c r="K36" s="7" t="n">
        <f aca="false">I36+J36</f>
        <v>188.603723216536</v>
      </c>
      <c r="L36" s="7" t="n">
        <f aca="false">F36-(I36-W36)</f>
        <v>62.5037232165364</v>
      </c>
      <c r="M36" s="7" t="n">
        <v>2.91</v>
      </c>
      <c r="N36" s="7" t="n">
        <v>0</v>
      </c>
      <c r="O36" s="7" t="n">
        <f aca="false">M36-N36</f>
        <v>2.91</v>
      </c>
      <c r="P36" s="7" t="n">
        <v>0</v>
      </c>
      <c r="Q36" s="7" t="n">
        <v>0</v>
      </c>
      <c r="R36" s="7" t="n">
        <f aca="false">SUM(O36:Q36)</f>
        <v>2.91</v>
      </c>
      <c r="S36" s="8"/>
      <c r="T36" s="7" t="n">
        <v>0</v>
      </c>
      <c r="U36" s="7" t="n">
        <v>41</v>
      </c>
      <c r="V36" s="8" t="n">
        <f aca="false">V35-U36</f>
        <v>4938.01</v>
      </c>
      <c r="W36" s="7" t="n">
        <f aca="false">N36+R36+T36+U36</f>
        <v>43.91</v>
      </c>
      <c r="X36" s="7" t="n">
        <f aca="false">IF(L36&lt;0,L36*-1,0)</f>
        <v>0</v>
      </c>
      <c r="Y36" s="7" t="n">
        <f aca="false">W36+X36</f>
        <v>43.91</v>
      </c>
      <c r="Z36" s="11" t="n">
        <v>0.15</v>
      </c>
      <c r="AA36" s="12" t="n">
        <v>48</v>
      </c>
      <c r="AB36" s="12" t="n">
        <v>34</v>
      </c>
      <c r="AC36" s="13" t="n">
        <f aca="false">AC35+1</f>
        <v>27</v>
      </c>
      <c r="AD36" s="12" t="n">
        <v>15841</v>
      </c>
      <c r="AE36" s="12" t="n">
        <v>2686</v>
      </c>
      <c r="AF36" s="0" t="n">
        <v>252.4</v>
      </c>
    </row>
    <row r="37" customFormat="false" ht="11.1" hidden="false" customHeight="true" outlineLevel="0" collapsed="false">
      <c r="A37" s="13" t="n">
        <f aca="false">A36+1</f>
        <v>28</v>
      </c>
      <c r="B37" s="32" t="n">
        <v>6913.5</v>
      </c>
      <c r="C37" s="8" t="n">
        <v>336176</v>
      </c>
      <c r="D37" s="12" t="n">
        <f aca="false">C37-C36</f>
        <v>206</v>
      </c>
      <c r="E37" s="8" t="n">
        <f aca="false">C37-152000</f>
        <v>184176</v>
      </c>
      <c r="F37" s="7" t="n">
        <f aca="false">D37/$D$2</f>
        <v>103.856818754727</v>
      </c>
      <c r="G37" s="7" t="n">
        <v>106</v>
      </c>
      <c r="H37" s="9" t="n">
        <v>3.8</v>
      </c>
      <c r="I37" s="7" t="n">
        <f aca="false">G37+H37</f>
        <v>109.8</v>
      </c>
      <c r="J37" s="33" t="n">
        <f aca="false">IF(L37&gt;0,L37,0)</f>
        <v>37.8368187547265</v>
      </c>
      <c r="K37" s="7" t="n">
        <f aca="false">I37+J37</f>
        <v>147.636818754727</v>
      </c>
      <c r="L37" s="7" t="n">
        <f aca="false">F37-(I37-W37)</f>
        <v>37.8368187547265</v>
      </c>
      <c r="M37" s="7" t="n">
        <v>2.78</v>
      </c>
      <c r="N37" s="7" t="n">
        <v>0</v>
      </c>
      <c r="O37" s="7" t="n">
        <f aca="false">M37-N37</f>
        <v>2.78</v>
      </c>
      <c r="P37" s="7" t="n">
        <v>0</v>
      </c>
      <c r="Q37" s="7" t="n">
        <v>0</v>
      </c>
      <c r="R37" s="7" t="n">
        <f aca="false">SUM(O37:Q37)</f>
        <v>2.78</v>
      </c>
      <c r="S37" s="8"/>
      <c r="T37" s="7" t="n">
        <v>0</v>
      </c>
      <c r="U37" s="7" t="n">
        <v>41</v>
      </c>
      <c r="V37" s="8" t="n">
        <f aca="false">V36-U37</f>
        <v>4897.01</v>
      </c>
      <c r="W37" s="7" t="n">
        <f aca="false">N37+R37+T37+U37</f>
        <v>43.78</v>
      </c>
      <c r="X37" s="7" t="n">
        <f aca="false">IF(L37&lt;0,L37*-1,0)</f>
        <v>0</v>
      </c>
      <c r="Y37" s="7" t="n">
        <f aca="false">W37+X37</f>
        <v>43.78</v>
      </c>
      <c r="Z37" s="11" t="n">
        <v>0.02</v>
      </c>
      <c r="AA37" s="12" t="n">
        <v>40</v>
      </c>
      <c r="AB37" s="12" t="n">
        <v>23</v>
      </c>
      <c r="AC37" s="13" t="n">
        <f aca="false">AC36+1</f>
        <v>28</v>
      </c>
      <c r="AD37" s="12" t="n">
        <v>804</v>
      </c>
      <c r="AE37" s="12" t="n">
        <v>2779</v>
      </c>
      <c r="AF37" s="0" t="n">
        <v>254.14</v>
      </c>
    </row>
    <row r="38" customFormat="false" ht="11.1" hidden="false" customHeight="true" outlineLevel="0" collapsed="false">
      <c r="A38" s="13" t="n">
        <f aca="false">A37+1</f>
        <v>29</v>
      </c>
      <c r="B38" s="32" t="n">
        <v>6913.51</v>
      </c>
      <c r="C38" s="8" t="n">
        <v>336217</v>
      </c>
      <c r="D38" s="12" t="n">
        <f aca="false">C38-C37</f>
        <v>41</v>
      </c>
      <c r="E38" s="8" t="n">
        <f aca="false">C38-152000</f>
        <v>184217</v>
      </c>
      <c r="F38" s="7" t="n">
        <f aca="false">D38/$D$2</f>
        <v>20.6705318880766</v>
      </c>
      <c r="G38" s="7" t="n">
        <v>93</v>
      </c>
      <c r="H38" s="9" t="n">
        <v>3.8</v>
      </c>
      <c r="I38" s="7" t="n">
        <f aca="false">G38+H38</f>
        <v>96.8</v>
      </c>
      <c r="J38" s="33" t="n">
        <f aca="false">IF(L38&gt;0,L38,0)</f>
        <v>0</v>
      </c>
      <c r="K38" s="7" t="n">
        <f aca="false">I38+J38</f>
        <v>96.8</v>
      </c>
      <c r="L38" s="7" t="n">
        <f aca="false">F38-(I38-W38)</f>
        <v>-32.3494681119234</v>
      </c>
      <c r="M38" s="7" t="n">
        <v>2.78</v>
      </c>
      <c r="N38" s="7" t="n">
        <v>0</v>
      </c>
      <c r="O38" s="7" t="n">
        <f aca="false">M38-N38</f>
        <v>2.78</v>
      </c>
      <c r="P38" s="7" t="n">
        <v>0</v>
      </c>
      <c r="Q38" s="7" t="n">
        <v>0</v>
      </c>
      <c r="R38" s="7" t="n">
        <f aca="false">SUM(O38:Q38)</f>
        <v>2.78</v>
      </c>
      <c r="S38" s="8"/>
      <c r="T38" s="7" t="n">
        <v>0</v>
      </c>
      <c r="U38" s="7" t="n">
        <v>41</v>
      </c>
      <c r="V38" s="8" t="n">
        <f aca="false">V37-U38</f>
        <v>4856.01</v>
      </c>
      <c r="W38" s="7" t="n">
        <f aca="false">N38+R38+T38+U38</f>
        <v>43.78</v>
      </c>
      <c r="X38" s="7" t="n">
        <f aca="false">IF(L38&lt;0,L38*-1,0)</f>
        <v>32.3494681119234</v>
      </c>
      <c r="Y38" s="7" t="n">
        <f aca="false">W38+X38</f>
        <v>76.1294681119234</v>
      </c>
      <c r="Z38" s="11" t="n">
        <v>0</v>
      </c>
      <c r="AA38" s="43" t="n">
        <v>54</v>
      </c>
      <c r="AB38" s="12" t="n">
        <v>18</v>
      </c>
      <c r="AC38" s="13" t="n">
        <f aca="false">AC37+1</f>
        <v>29</v>
      </c>
      <c r="AD38" s="12" t="n">
        <v>862</v>
      </c>
      <c r="AE38" s="12" t="n">
        <v>2872</v>
      </c>
      <c r="AF38" s="0" t="n">
        <v>256.51</v>
      </c>
    </row>
    <row r="39" customFormat="false" ht="11.1" hidden="false" customHeight="true" outlineLevel="0" collapsed="false">
      <c r="A39" s="13" t="n">
        <v>30</v>
      </c>
      <c r="B39" s="32" t="n">
        <v>6913.55</v>
      </c>
      <c r="C39" s="8" t="n">
        <v>336381</v>
      </c>
      <c r="D39" s="12" t="n">
        <f aca="false">C39-C38</f>
        <v>164</v>
      </c>
      <c r="E39" s="8" t="n">
        <f aca="false">C39-152000</f>
        <v>184381</v>
      </c>
      <c r="F39" s="7" t="n">
        <f aca="false">D39/$D$2</f>
        <v>82.6821275523065</v>
      </c>
      <c r="G39" s="7" t="n">
        <v>98</v>
      </c>
      <c r="H39" s="9" t="n">
        <v>3.8</v>
      </c>
      <c r="I39" s="7" t="n">
        <f aca="false">G39+H39</f>
        <v>101.8</v>
      </c>
      <c r="J39" s="33" t="n">
        <f aca="false">IF(L39&gt;0,L39,0)</f>
        <v>25.0321275523065</v>
      </c>
      <c r="K39" s="7" t="n">
        <f aca="false">I39+J39</f>
        <v>126.832127552307</v>
      </c>
      <c r="L39" s="7" t="n">
        <f aca="false">F39-(I39-W39)</f>
        <v>25.0321275523065</v>
      </c>
      <c r="M39" s="7" t="n">
        <v>3.15</v>
      </c>
      <c r="N39" s="7" t="n">
        <v>0</v>
      </c>
      <c r="O39" s="7" t="n">
        <f aca="false">M39-N39</f>
        <v>3.15</v>
      </c>
      <c r="P39" s="7" t="n">
        <v>0</v>
      </c>
      <c r="Q39" s="7" t="n">
        <v>0</v>
      </c>
      <c r="R39" s="7" t="n">
        <f aca="false">SUM(O39:Q39)</f>
        <v>3.15</v>
      </c>
      <c r="S39" s="8"/>
      <c r="T39" s="7" t="n">
        <v>0</v>
      </c>
      <c r="U39" s="7" t="n">
        <v>41</v>
      </c>
      <c r="V39" s="8" t="n">
        <f aca="false">V38-U39</f>
        <v>4815.01</v>
      </c>
      <c r="W39" s="7" t="n">
        <f aca="false">N39+R39+T39+U39</f>
        <v>44.15</v>
      </c>
      <c r="X39" s="7" t="n">
        <f aca="false">IF(L39&lt;0,L39*-1,0)</f>
        <v>0</v>
      </c>
      <c r="Y39" s="7" t="n">
        <f aca="false">W39+X39</f>
        <v>44.15</v>
      </c>
      <c r="Z39" s="11" t="n">
        <v>0</v>
      </c>
      <c r="AA39" s="43" t="n">
        <v>51</v>
      </c>
      <c r="AB39" s="12" t="n">
        <v>22</v>
      </c>
      <c r="AC39" s="13" t="n">
        <v>30</v>
      </c>
      <c r="AD39" s="12" t="n">
        <v>927</v>
      </c>
      <c r="AE39" s="12" t="n">
        <v>2965</v>
      </c>
      <c r="AF39" s="0" t="n">
        <v>248.45</v>
      </c>
    </row>
    <row r="40" customFormat="false" ht="3" hidden="false" customHeight="true" outlineLevel="0" collapsed="false">
      <c r="A40" s="35"/>
      <c r="B40" s="35"/>
      <c r="C40" s="37"/>
      <c r="D40" s="35"/>
      <c r="E40" s="37"/>
      <c r="F40" s="35"/>
      <c r="G40" s="35"/>
      <c r="H40" s="38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7"/>
      <c r="T40" s="35"/>
      <c r="U40" s="35"/>
      <c r="V40" s="35"/>
      <c r="W40" s="35"/>
      <c r="X40" s="35"/>
      <c r="Y40" s="35"/>
      <c r="Z40" s="39"/>
      <c r="AA40" s="40"/>
      <c r="AB40" s="40"/>
      <c r="AC40" s="41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1447.44139147971</v>
      </c>
      <c r="G41" s="8" t="n">
        <f aca="false">SUM(G10:G39)</f>
        <v>3641</v>
      </c>
      <c r="H41" s="8" t="n">
        <f aca="false">SUM(H10:H39)</f>
        <v>134</v>
      </c>
      <c r="I41" s="8" t="n">
        <f aca="false">SUM(I10:I39)</f>
        <v>3771.3</v>
      </c>
      <c r="J41" s="8" t="n">
        <f aca="false">SUM(J10:J39)</f>
        <v>312.862435089488</v>
      </c>
      <c r="K41" s="8" t="n">
        <f aca="false">SUM(K10:K39)</f>
        <v>4084.16243508949</v>
      </c>
      <c r="L41" s="8" t="n">
        <f aca="false">SUM(L10:L39)</f>
        <v>-195.428608520292</v>
      </c>
      <c r="M41" s="8" t="n">
        <f aca="false">SUM(M10:M39)</f>
        <v>649.24</v>
      </c>
      <c r="N41" s="8" t="n">
        <f aca="false">SUM(N10:N39)</f>
        <v>257.25</v>
      </c>
      <c r="O41" s="8" t="n">
        <f aca="false">SUM(O10:O39)</f>
        <v>391.99</v>
      </c>
      <c r="P41" s="8" t="n">
        <f aca="false">SUM(P10:P39)</f>
        <v>0</v>
      </c>
      <c r="Q41" s="8" t="n">
        <f aca="false">SUM(Q10:Q39)</f>
        <v>146.2</v>
      </c>
      <c r="R41" s="8" t="n">
        <f aca="false">SUM(R10:R39)</f>
        <v>538.19</v>
      </c>
      <c r="S41" s="8"/>
      <c r="T41" s="8" t="n">
        <f aca="false">SUM(T10:T39)</f>
        <v>0</v>
      </c>
      <c r="U41" s="8" t="n">
        <f aca="false">SUM(U10:U39)</f>
        <v>1332.99</v>
      </c>
      <c r="V41" s="8"/>
      <c r="W41" s="8" t="n">
        <f aca="false">SUM(W10:W39)</f>
        <v>2128.43</v>
      </c>
      <c r="X41" s="8" t="n">
        <f aca="false">SUM(X10:X39)</f>
        <v>508.291043609781</v>
      </c>
      <c r="Y41" s="8" t="n">
        <f aca="false">SUM(Y10:Y39)</f>
        <v>2636.72104360978</v>
      </c>
      <c r="Z41" s="11" t="n">
        <f aca="false">SUM(Z10:Z39)</f>
        <v>1.09</v>
      </c>
      <c r="AA41" s="12" t="n">
        <f aca="false">AVERAGE(AA10:AA39)</f>
        <v>50.7</v>
      </c>
      <c r="AB41" s="12" t="n">
        <f aca="false">AVERAGE(AB10:AB39)</f>
        <v>26.0666666666667</v>
      </c>
      <c r="AC41" s="13"/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2871</v>
      </c>
      <c r="E42" s="8"/>
      <c r="F42" s="8" t="n">
        <f aca="false">F41*$D$2</f>
        <v>2871</v>
      </c>
      <c r="G42" s="8" t="n">
        <f aca="false">G41*$D$2</f>
        <v>7221.9235</v>
      </c>
      <c r="H42" s="8" t="n">
        <f aca="false">H41*$D$2</f>
        <v>265.789</v>
      </c>
      <c r="I42" s="8" t="n">
        <f aca="false">I41*$D$2</f>
        <v>7480.37355</v>
      </c>
      <c r="J42" s="8" t="n">
        <f aca="false">J41*$D$2</f>
        <v>620.56264</v>
      </c>
      <c r="K42" s="8" t="n">
        <f aca="false">K41*$D$2</f>
        <v>8100.93619</v>
      </c>
      <c r="L42" s="8" t="n">
        <f aca="false">L41*$D$2</f>
        <v>-387.632645</v>
      </c>
      <c r="M42" s="8" t="n">
        <f aca="false">M41*$D$2</f>
        <v>1287.76754</v>
      </c>
      <c r="N42" s="8" t="n">
        <f aca="false">N41*$D$2</f>
        <v>510.255375</v>
      </c>
      <c r="O42" s="8" t="n">
        <f aca="false">O41*$D$2</f>
        <v>777.512165</v>
      </c>
      <c r="P42" s="8" t="n">
        <f aca="false">P41*$D$2</f>
        <v>0</v>
      </c>
      <c r="Q42" s="8" t="n">
        <f aca="false">Q41*$D$2</f>
        <v>289.9877</v>
      </c>
      <c r="R42" s="8" t="n">
        <f aca="false">R41*$D$2</f>
        <v>1067.499865</v>
      </c>
      <c r="S42" s="8"/>
      <c r="T42" s="8" t="n">
        <f aca="false">T41*$D$2</f>
        <v>0</v>
      </c>
      <c r="U42" s="8" t="n">
        <f aca="false">U41*$D$2</f>
        <v>2643.985665</v>
      </c>
      <c r="V42" s="8"/>
      <c r="W42" s="8" t="n">
        <f aca="false">W41*$D$2</f>
        <v>4221.740905</v>
      </c>
      <c r="X42" s="8" t="n">
        <f aca="false">X41*$D$2</f>
        <v>1008.195285</v>
      </c>
      <c r="Y42" s="8" t="n">
        <f aca="false">Y41*$D$2</f>
        <v>5229.93619</v>
      </c>
      <c r="Z42" s="11"/>
      <c r="AA42" s="12" t="n">
        <f aca="false">MAX(AA10:AA39)</f>
        <v>67</v>
      </c>
      <c r="AB42" s="12" t="n">
        <f aca="false">MAX(AB10:AB39)</f>
        <v>38</v>
      </c>
      <c r="AC42" s="13" t="s">
        <v>47</v>
      </c>
      <c r="AD42" s="14"/>
      <c r="AE42" s="14"/>
    </row>
    <row r="43" customFormat="false" ht="3" hidden="false" customHeight="true" outlineLevel="0" collapsed="false">
      <c r="A43" s="35"/>
      <c r="B43" s="35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5"/>
      <c r="W43" s="37"/>
      <c r="X43" s="37"/>
      <c r="Y43" s="37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1"/>
      <c r="AA44" s="12" t="n">
        <f aca="false">MIN(AA10:AA39)</f>
        <v>36</v>
      </c>
      <c r="AB44" s="12" t="n">
        <f aca="false">MIN(AB10:AB39)</f>
        <v>12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5"/>
      <c r="B46" s="35"/>
      <c r="C46" s="37"/>
      <c r="D46" s="37"/>
      <c r="E46" s="37"/>
      <c r="F46" s="37"/>
      <c r="G46" s="37"/>
      <c r="H46" s="40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9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1447.44139147971</v>
      </c>
      <c r="G47" s="8" t="n">
        <f aca="false">G8+G41</f>
        <v>3641</v>
      </c>
      <c r="H47" s="12" t="n">
        <f aca="false">H8+H41</f>
        <v>134</v>
      </c>
      <c r="I47" s="8" t="n">
        <f aca="false">I8+I41</f>
        <v>3771.3</v>
      </c>
      <c r="J47" s="8" t="n">
        <f aca="false">J8+J41</f>
        <v>312.862435089488</v>
      </c>
      <c r="K47" s="8" t="n">
        <f aca="false">K8+K41</f>
        <v>4084.16243508949</v>
      </c>
      <c r="L47" s="8" t="n">
        <f aca="false">L8+L41</f>
        <v>-195.428608520292</v>
      </c>
      <c r="M47" s="8" t="n">
        <f aca="false">M8+M41</f>
        <v>649.24</v>
      </c>
      <c r="N47" s="8"/>
      <c r="O47" s="8"/>
      <c r="P47" s="8" t="n">
        <f aca="false">P8+P41</f>
        <v>0</v>
      </c>
      <c r="Q47" s="8" t="n">
        <f aca="false">Q8+Q41</f>
        <v>146.2</v>
      </c>
      <c r="R47" s="8" t="n">
        <f aca="false">R8+R41</f>
        <v>538.19</v>
      </c>
      <c r="S47" s="8"/>
      <c r="T47" s="8" t="n">
        <f aca="false">T8+T41</f>
        <v>0</v>
      </c>
      <c r="U47" s="8" t="n">
        <f aca="false">U8+U41</f>
        <v>1332.99</v>
      </c>
      <c r="V47" s="8" t="n">
        <f aca="false">V39</f>
        <v>4815.01</v>
      </c>
      <c r="W47" s="8" t="n">
        <f aca="false">W8+W41</f>
        <v>2128.43</v>
      </c>
      <c r="X47" s="8" t="n">
        <f aca="false">X8+X41</f>
        <v>508.291043609781</v>
      </c>
      <c r="Y47" s="8" t="n">
        <f aca="false">Y8+Y41</f>
        <v>2636.72104360978</v>
      </c>
      <c r="Z47" s="33" t="n">
        <f aca="false">Z8+Z41</f>
        <v>1.09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2871</v>
      </c>
      <c r="E48" s="8" t="n">
        <f aca="false">E39</f>
        <v>184381</v>
      </c>
      <c r="F48" s="8" t="n">
        <f aca="false">F47*$D$2</f>
        <v>2871</v>
      </c>
      <c r="G48" s="8" t="n">
        <f aca="false">G47*$D$2</f>
        <v>7221.9235</v>
      </c>
      <c r="H48" s="12" t="n">
        <f aca="false">H47*$D$2</f>
        <v>265.789</v>
      </c>
      <c r="I48" s="8" t="n">
        <f aca="false">I47*$D$2</f>
        <v>7480.37355</v>
      </c>
      <c r="J48" s="8" t="n">
        <f aca="false">J47*$D$2</f>
        <v>620.56264</v>
      </c>
      <c r="K48" s="8" t="n">
        <f aca="false">K47*$D$2</f>
        <v>8100.93619</v>
      </c>
      <c r="L48" s="8" t="n">
        <f aca="false">L47*$D$2</f>
        <v>-387.632645</v>
      </c>
      <c r="M48" s="8" t="n">
        <f aca="false">M47*$D$2</f>
        <v>1287.76754</v>
      </c>
      <c r="N48" s="8"/>
      <c r="O48" s="8"/>
      <c r="P48" s="8" t="n">
        <f aca="false">P47*$D$2</f>
        <v>0</v>
      </c>
      <c r="Q48" s="8" t="n">
        <f aca="false">Q47*$D$2</f>
        <v>289.9877</v>
      </c>
      <c r="R48" s="8" t="n">
        <f aca="false">R47*$D$2</f>
        <v>1067.499865</v>
      </c>
      <c r="S48" s="8" t="n">
        <f aca="false">S47*$D$2</f>
        <v>0</v>
      </c>
      <c r="T48" s="8" t="n">
        <f aca="false">T47*$D$2</f>
        <v>0</v>
      </c>
      <c r="U48" s="8" t="n">
        <f aca="false">U47*$D$2</f>
        <v>2643.985665</v>
      </c>
      <c r="V48" s="8" t="n">
        <f aca="false">V47*$D$2</f>
        <v>9550.572335</v>
      </c>
      <c r="W48" s="8" t="n">
        <f aca="false">W47*$D$2</f>
        <v>4221.740905</v>
      </c>
      <c r="X48" s="8" t="n">
        <f aca="false">X47*$D$2</f>
        <v>1008.195285</v>
      </c>
      <c r="Y48" s="8" t="n">
        <f aca="false">Y47*$D$2</f>
        <v>5229.93619</v>
      </c>
      <c r="Z48" s="11"/>
      <c r="AA48" s="12"/>
      <c r="AB48" s="12"/>
      <c r="AC48" s="13"/>
      <c r="AD48" s="14"/>
      <c r="AE48" s="14"/>
    </row>
    <row r="49" customFormat="false" ht="11.1" hidden="false" customHeight="true" outlineLevel="0" collapsed="false">
      <c r="A49" s="35"/>
      <c r="B49" s="35"/>
      <c r="C49" s="37"/>
      <c r="D49" s="35"/>
      <c r="E49" s="37"/>
      <c r="F49" s="35"/>
      <c r="G49" s="35"/>
      <c r="H49" s="38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7"/>
      <c r="T49" s="35"/>
      <c r="U49" s="35"/>
      <c r="V49" s="37"/>
      <c r="W49" s="35"/>
      <c r="X49" s="35"/>
      <c r="Y49" s="35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4"/>
      <c r="B50" s="45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32"/>
      <c r="C51" s="8"/>
      <c r="D51" s="43"/>
      <c r="E51" s="8"/>
      <c r="F51" s="7"/>
      <c r="G51" s="7"/>
      <c r="H51" s="43"/>
      <c r="I51" s="9"/>
      <c r="J51" s="7"/>
      <c r="K51" s="46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3"/>
      <c r="C52" s="8"/>
      <c r="D52" s="8"/>
      <c r="E52" s="8"/>
      <c r="F52" s="43"/>
      <c r="G52" s="43"/>
      <c r="H52" s="9"/>
      <c r="I52" s="43"/>
      <c r="J52" s="43"/>
      <c r="K52" s="43"/>
      <c r="L52" s="43"/>
      <c r="M52" s="33"/>
      <c r="N52" s="33"/>
      <c r="O52" s="33"/>
      <c r="P52" s="43"/>
      <c r="Q52" s="43"/>
      <c r="R52" s="43"/>
      <c r="S52" s="8"/>
      <c r="T52" s="43"/>
      <c r="U52" s="43"/>
      <c r="V52" s="8"/>
      <c r="W52" s="43"/>
      <c r="X52" s="43"/>
      <c r="Y52" s="43"/>
      <c r="Z52" s="11"/>
      <c r="AA52" s="12"/>
      <c r="AB52" s="12"/>
      <c r="AC52" s="13"/>
      <c r="AD52" s="47"/>
      <c r="AE52" s="47"/>
    </row>
    <row r="53" customFormat="false" ht="11.1" hidden="false" customHeight="true" outlineLevel="0" collapsed="false">
      <c r="A53" s="43"/>
      <c r="B53" s="11"/>
      <c r="C53" s="8"/>
      <c r="D53" s="8"/>
      <c r="E53" s="8"/>
      <c r="F53" s="43"/>
      <c r="G53" s="43"/>
      <c r="H53" s="9"/>
      <c r="I53" s="43"/>
      <c r="J53" s="43"/>
      <c r="K53" s="43"/>
      <c r="L53" s="43"/>
      <c r="M53" s="33"/>
      <c r="N53" s="33"/>
      <c r="O53" s="33"/>
      <c r="P53" s="43"/>
      <c r="Q53" s="43"/>
      <c r="R53" s="43"/>
      <c r="S53" s="8"/>
      <c r="T53" s="43"/>
      <c r="U53" s="43"/>
      <c r="V53" s="8"/>
      <c r="W53" s="43"/>
      <c r="X53" s="43"/>
      <c r="Y53" s="43"/>
      <c r="Z53" s="11"/>
      <c r="AA53" s="12"/>
      <c r="AB53" s="12"/>
      <c r="AC53" s="13"/>
      <c r="AD53" s="47"/>
      <c r="AE53" s="47"/>
    </row>
    <row r="54" customFormat="false" ht="11.1" hidden="false" customHeight="true" outlineLevel="0" collapsed="false">
      <c r="A54" s="43"/>
      <c r="B54" s="43"/>
      <c r="C54" s="8"/>
      <c r="D54" s="43"/>
      <c r="E54" s="8"/>
      <c r="F54" s="43"/>
      <c r="G54" s="48"/>
      <c r="H54" s="9"/>
      <c r="I54" s="43"/>
      <c r="J54" s="43"/>
      <c r="K54" s="43"/>
      <c r="L54" s="43"/>
      <c r="M54" s="33"/>
      <c r="N54" s="33"/>
      <c r="O54" s="33"/>
      <c r="P54" s="43"/>
      <c r="Q54" s="43"/>
      <c r="R54" s="43"/>
      <c r="S54" s="8"/>
      <c r="T54" s="43"/>
      <c r="U54" s="43"/>
      <c r="V54" s="8"/>
      <c r="W54" s="43"/>
      <c r="X54" s="43"/>
      <c r="Y54" s="43"/>
      <c r="Z54" s="11"/>
      <c r="AA54" s="12"/>
      <c r="AB54" s="12"/>
      <c r="AC54" s="13"/>
      <c r="AD54" s="47"/>
      <c r="AE54" s="47"/>
    </row>
  </sheetData>
  <mergeCells count="1"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6.82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6.66"/>
    <col collapsed="false" customWidth="true" hidden="false" outlineLevel="0" max="20" min="20" style="49" width="5.82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53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54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54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 t="n">
        <v>741</v>
      </c>
      <c r="AE6" s="78" t="n">
        <v>742</v>
      </c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/>
      <c r="G7" s="57"/>
      <c r="H7" s="61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NOV!$B$39:$C$39</f>
        <v>6913.55</v>
      </c>
      <c r="C8" s="57" t="n">
        <v>336381</v>
      </c>
      <c r="D8" s="57" t="n">
        <f aca="false" t="array" ref="D8:E8">NOV!$D$48:$E$48</f>
        <v>2871</v>
      </c>
      <c r="E8" s="57" t="n">
        <v>184381</v>
      </c>
      <c r="F8" s="57" t="n">
        <f aca="false" t="array" ref="F8:Z8">NOV!$F$47:$Z$47</f>
        <v>1447.44139147971</v>
      </c>
      <c r="G8" s="57" t="n">
        <v>3641</v>
      </c>
      <c r="H8" s="61" t="n">
        <v>134</v>
      </c>
      <c r="I8" s="57" t="n">
        <v>3771.3</v>
      </c>
      <c r="J8" s="57" t="n">
        <v>312.862435089488</v>
      </c>
      <c r="K8" s="57" t="n">
        <v>4084.16243508949</v>
      </c>
      <c r="L8" s="57" t="n">
        <v>-195.428608520292</v>
      </c>
      <c r="M8" s="57" t="n">
        <v>649.24</v>
      </c>
      <c r="N8" s="57" t="n">
        <v>0</v>
      </c>
      <c r="O8" s="57" t="n">
        <v>0</v>
      </c>
      <c r="P8" s="57" t="n">
        <v>0</v>
      </c>
      <c r="Q8" s="57" t="n">
        <v>146.2</v>
      </c>
      <c r="R8" s="57" t="n">
        <v>538.19</v>
      </c>
      <c r="S8" s="57" t="n">
        <v>0</v>
      </c>
      <c r="T8" s="57" t="n">
        <v>0</v>
      </c>
      <c r="U8" s="57" t="n">
        <v>1332.99</v>
      </c>
      <c r="V8" s="57" t="n">
        <v>4815.01</v>
      </c>
      <c r="W8" s="57" t="n">
        <v>2128.43</v>
      </c>
      <c r="X8" s="57" t="n">
        <v>508.291043609781</v>
      </c>
      <c r="Y8" s="57" t="n">
        <v>2636.72104360978</v>
      </c>
      <c r="Z8" s="81" t="n">
        <v>1.09</v>
      </c>
      <c r="AA8" s="61"/>
      <c r="AB8" s="61"/>
      <c r="AC8" s="62"/>
      <c r="AD8" s="82" t="n">
        <v>285</v>
      </c>
      <c r="AE8" s="78" t="n">
        <v>251</v>
      </c>
      <c r="AF8" s="82" t="n">
        <v>1207.63</v>
      </c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6913.61</v>
      </c>
      <c r="C10" s="57" t="n">
        <v>336628</v>
      </c>
      <c r="D10" s="61" t="n">
        <f aca="false">C10-C8</f>
        <v>247</v>
      </c>
      <c r="E10" s="57" t="n">
        <f aca="false">C10-152000</f>
        <v>184628</v>
      </c>
      <c r="F10" s="56" t="n">
        <f aca="false">D10/$D$2</f>
        <v>124.527350642803</v>
      </c>
      <c r="G10" s="56" t="n">
        <v>105</v>
      </c>
      <c r="H10" s="58" t="n">
        <v>3.8</v>
      </c>
      <c r="I10" s="56" t="n">
        <f aca="false">G10+H10</f>
        <v>108.8</v>
      </c>
      <c r="J10" s="81" t="n">
        <f aca="false">IF(L10&gt;0,L10,0)</f>
        <v>60.2273506428031</v>
      </c>
      <c r="K10" s="56" t="n">
        <f aca="false">I10+J10</f>
        <v>169.027350642803</v>
      </c>
      <c r="L10" s="56" t="n">
        <f aca="false">F10-(I10-W10)</f>
        <v>60.2273506428031</v>
      </c>
      <c r="M10" s="56" t="n">
        <v>3.5</v>
      </c>
      <c r="N10" s="56" t="n">
        <v>0</v>
      </c>
      <c r="O10" s="56" t="n">
        <f aca="false">M10-N10</f>
        <v>3.5</v>
      </c>
      <c r="P10" s="56" t="n">
        <v>0</v>
      </c>
      <c r="Q10" s="56" t="n">
        <v>0</v>
      </c>
      <c r="R10" s="56" t="n">
        <f aca="false">SUM(O10:Q10)</f>
        <v>3.5</v>
      </c>
      <c r="S10" s="57"/>
      <c r="T10" s="56" t="n">
        <v>0</v>
      </c>
      <c r="U10" s="56" t="n">
        <v>41</v>
      </c>
      <c r="V10" s="57" t="n">
        <f aca="false">V8-U10</f>
        <v>4774.01</v>
      </c>
      <c r="W10" s="56" t="n">
        <f aca="false">R10+T10+N10+U10</f>
        <v>44.5</v>
      </c>
      <c r="X10" s="56" t="n">
        <f aca="false">IF(L10&lt;0,L10*-1,0)</f>
        <v>0</v>
      </c>
      <c r="Y10" s="56" t="n">
        <f aca="false">W10+X10</f>
        <v>44.5</v>
      </c>
      <c r="Z10" s="60" t="n">
        <v>0</v>
      </c>
      <c r="AA10" s="61" t="n">
        <v>45</v>
      </c>
      <c r="AB10" s="61" t="n">
        <v>33</v>
      </c>
      <c r="AC10" s="62" t="n">
        <v>1</v>
      </c>
      <c r="AD10" s="79" t="n">
        <v>303</v>
      </c>
      <c r="AE10" s="82" t="n">
        <v>273</v>
      </c>
      <c r="AF10" s="79" t="n">
        <v>1256.86</v>
      </c>
    </row>
    <row r="11" customFormat="false" ht="11.1" hidden="false" customHeight="true" outlineLevel="0" collapsed="false">
      <c r="A11" s="62" t="n">
        <f aca="false">A10+1</f>
        <v>2</v>
      </c>
      <c r="B11" s="80" t="n">
        <v>6913.63</v>
      </c>
      <c r="C11" s="57" t="n">
        <v>336710</v>
      </c>
      <c r="D11" s="61" t="n">
        <f aca="false">C11-C10</f>
        <v>82</v>
      </c>
      <c r="E11" s="57" t="n">
        <f aca="false">C11-152000</f>
        <v>184710</v>
      </c>
      <c r="F11" s="56" t="n">
        <f aca="false">D11/$D$2</f>
        <v>41.3410637761533</v>
      </c>
      <c r="G11" s="56" t="n">
        <v>104</v>
      </c>
      <c r="H11" s="58" t="n">
        <v>3.8</v>
      </c>
      <c r="I11" s="56" t="n">
        <f aca="false">G11+H11</f>
        <v>107.8</v>
      </c>
      <c r="J11" s="81" t="n">
        <f aca="false">IF(L11&gt;0,L11,0)</f>
        <v>0</v>
      </c>
      <c r="K11" s="56" t="n">
        <f aca="false">I11+J11</f>
        <v>107.8</v>
      </c>
      <c r="L11" s="56" t="n">
        <f aca="false">F11-(I11-W11)</f>
        <v>-22.3589362238467</v>
      </c>
      <c r="M11" s="56" t="n">
        <v>3.1</v>
      </c>
      <c r="N11" s="56" t="n">
        <v>0</v>
      </c>
      <c r="O11" s="56" t="n">
        <f aca="false">M11-N11</f>
        <v>3.1</v>
      </c>
      <c r="P11" s="56" t="n">
        <v>0</v>
      </c>
      <c r="Q11" s="56" t="n">
        <v>0</v>
      </c>
      <c r="R11" s="56" t="n">
        <f aca="false">SUM(O11:Q11)</f>
        <v>3.1</v>
      </c>
      <c r="S11" s="57"/>
      <c r="T11" s="56" t="n">
        <v>0</v>
      </c>
      <c r="U11" s="56" t="n">
        <v>41</v>
      </c>
      <c r="V11" s="57" t="n">
        <f aca="false">V10-U11</f>
        <v>4733.01</v>
      </c>
      <c r="W11" s="56" t="n">
        <f aca="false">R11+T11+N11+U11</f>
        <v>44.1</v>
      </c>
      <c r="X11" s="56" t="n">
        <f aca="false">IF(L11&lt;0,L11*-1,0)</f>
        <v>22.3589362238467</v>
      </c>
      <c r="Y11" s="56" t="n">
        <f aca="false">W11+X11</f>
        <v>66.4589362238467</v>
      </c>
      <c r="Z11" s="60" t="n">
        <v>0</v>
      </c>
      <c r="AA11" s="61" t="n">
        <v>43</v>
      </c>
      <c r="AB11" s="61" t="n">
        <v>21</v>
      </c>
      <c r="AC11" s="62" t="n">
        <f aca="false">AC10+1</f>
        <v>2</v>
      </c>
      <c r="AD11" s="79" t="n">
        <v>306</v>
      </c>
      <c r="AE11" s="82" t="n">
        <v>300</v>
      </c>
      <c r="AF11" s="79" t="n">
        <v>1306.42</v>
      </c>
    </row>
    <row r="12" customFormat="false" ht="11.1" hidden="false" customHeight="true" outlineLevel="0" collapsed="false">
      <c r="A12" s="62" t="n">
        <f aca="false">A11+1</f>
        <v>3</v>
      </c>
      <c r="B12" s="80" t="n">
        <v>6913.65</v>
      </c>
      <c r="C12" s="57" t="n">
        <v>336792</v>
      </c>
      <c r="D12" s="61" t="n">
        <f aca="false">C12-C11</f>
        <v>82</v>
      </c>
      <c r="E12" s="57" t="n">
        <f aca="false">C12-152000</f>
        <v>184792</v>
      </c>
      <c r="F12" s="56" t="n">
        <f aca="false">D12/$D$2</f>
        <v>41.3410637761533</v>
      </c>
      <c r="G12" s="56" t="n">
        <v>103</v>
      </c>
      <c r="H12" s="58" t="n">
        <v>3.7</v>
      </c>
      <c r="I12" s="56" t="n">
        <f aca="false">G12+H12</f>
        <v>106.7</v>
      </c>
      <c r="J12" s="81" t="n">
        <f aca="false">IF(L12&gt;0,L12,0)</f>
        <v>0</v>
      </c>
      <c r="K12" s="56" t="n">
        <f aca="false">I12+J12</f>
        <v>106.7</v>
      </c>
      <c r="L12" s="56" t="n">
        <f aca="false">F12-(I12-W12)</f>
        <v>-21.2789362238467</v>
      </c>
      <c r="M12" s="56" t="n">
        <v>3.08</v>
      </c>
      <c r="N12" s="56" t="n">
        <v>0</v>
      </c>
      <c r="O12" s="56" t="n">
        <f aca="false">M12-N12</f>
        <v>3.08</v>
      </c>
      <c r="P12" s="56" t="n">
        <v>0</v>
      </c>
      <c r="Q12" s="56" t="n">
        <v>0</v>
      </c>
      <c r="R12" s="56" t="n">
        <f aca="false">SUM(O12:Q12)</f>
        <v>3.08</v>
      </c>
      <c r="S12" s="57"/>
      <c r="T12" s="56" t="n">
        <v>0</v>
      </c>
      <c r="U12" s="56" t="n">
        <v>41</v>
      </c>
      <c r="V12" s="57" t="n">
        <f aca="false">V11-U12</f>
        <v>4692.01</v>
      </c>
      <c r="W12" s="56" t="n">
        <f aca="false">R12+T12+N12+U12</f>
        <v>44.08</v>
      </c>
      <c r="X12" s="56" t="n">
        <f aca="false">IF(L12&lt;0,L12*-1,0)</f>
        <v>21.2789362238467</v>
      </c>
      <c r="Y12" s="56" t="n">
        <f aca="false">W12+X12</f>
        <v>65.3589362238467</v>
      </c>
      <c r="Z12" s="60" t="n">
        <v>0</v>
      </c>
      <c r="AA12" s="61" t="n">
        <v>34</v>
      </c>
      <c r="AB12" s="61" t="n">
        <v>22</v>
      </c>
      <c r="AC12" s="62" t="n">
        <f aca="false">AC11+1</f>
        <v>3</v>
      </c>
      <c r="AD12" s="79" t="n">
        <v>316</v>
      </c>
      <c r="AE12" s="82" t="n">
        <v>341</v>
      </c>
      <c r="AF12" s="79" t="n">
        <v>1355.74</v>
      </c>
    </row>
    <row r="13" customFormat="false" ht="11.1" hidden="false" customHeight="true" outlineLevel="0" collapsed="false">
      <c r="A13" s="62" t="n">
        <f aca="false">A12+1</f>
        <v>4</v>
      </c>
      <c r="B13" s="80" t="n">
        <v>6913.66</v>
      </c>
      <c r="C13" s="57" t="n">
        <v>336833</v>
      </c>
      <c r="D13" s="61" t="n">
        <f aca="false">C13-C12</f>
        <v>41</v>
      </c>
      <c r="E13" s="57" t="n">
        <f aca="false">C13-152000</f>
        <v>184833</v>
      </c>
      <c r="F13" s="56" t="n">
        <f aca="false">D13/$D$2</f>
        <v>20.6705318880766</v>
      </c>
      <c r="G13" s="56" t="n">
        <v>82</v>
      </c>
      <c r="H13" s="58" t="n">
        <v>3.2</v>
      </c>
      <c r="I13" s="56" t="n">
        <f aca="false">G13+H13</f>
        <v>85.2</v>
      </c>
      <c r="J13" s="81" t="n">
        <f aca="false">IF(L13&gt;0,L13,0)</f>
        <v>0</v>
      </c>
      <c r="K13" s="56" t="n">
        <f aca="false">I13+J13</f>
        <v>85.2</v>
      </c>
      <c r="L13" s="56" t="n">
        <f aca="false">F13-(I13-W13)</f>
        <v>-20.4494681119234</v>
      </c>
      <c r="M13" s="56" t="n">
        <v>3.08</v>
      </c>
      <c r="N13" s="56" t="n">
        <v>0</v>
      </c>
      <c r="O13" s="56" t="n">
        <f aca="false">M13-N13</f>
        <v>3.08</v>
      </c>
      <c r="P13" s="56" t="n">
        <v>0</v>
      </c>
      <c r="Q13" s="56" t="n">
        <v>0</v>
      </c>
      <c r="R13" s="56" t="n">
        <f aca="false">SUM(O13:Q13)</f>
        <v>3.08</v>
      </c>
      <c r="S13" s="57"/>
      <c r="T13" s="56" t="n">
        <v>0</v>
      </c>
      <c r="U13" s="56" t="n">
        <v>41</v>
      </c>
      <c r="V13" s="57" t="n">
        <f aca="false">V12-U13</f>
        <v>4651.01</v>
      </c>
      <c r="W13" s="56" t="n">
        <f aca="false">R13+T13+N13+U13</f>
        <v>44.08</v>
      </c>
      <c r="X13" s="56" t="n">
        <f aca="false">IF(L13&lt;0,L13*-1,0)</f>
        <v>20.4494681119234</v>
      </c>
      <c r="Y13" s="56" t="n">
        <f aca="false">W13+X13</f>
        <v>64.5294681119234</v>
      </c>
      <c r="Z13" s="60" t="n">
        <v>0</v>
      </c>
      <c r="AA13" s="61" t="n">
        <v>46</v>
      </c>
      <c r="AB13" s="61" t="n">
        <v>12</v>
      </c>
      <c r="AC13" s="62" t="n">
        <f aca="false">AC12+1</f>
        <v>4</v>
      </c>
      <c r="AD13" s="79" t="n">
        <v>316</v>
      </c>
      <c r="AE13" s="82" t="n">
        <v>395</v>
      </c>
      <c r="AF13" s="79" t="n">
        <v>1405.31</v>
      </c>
    </row>
    <row r="14" customFormat="false" ht="11.1" hidden="false" customHeight="true" outlineLevel="0" collapsed="false">
      <c r="A14" s="62" t="n">
        <f aca="false">A13+1</f>
        <v>5</v>
      </c>
      <c r="B14" s="80" t="n">
        <v>6913.66</v>
      </c>
      <c r="C14" s="57" t="n">
        <v>336833</v>
      </c>
      <c r="D14" s="61" t="n">
        <f aca="false">C14-C13</f>
        <v>0</v>
      </c>
      <c r="E14" s="57" t="n">
        <f aca="false">C14-152000</f>
        <v>184833</v>
      </c>
      <c r="F14" s="56" t="n">
        <f aca="false">D14/$D$2</f>
        <v>0</v>
      </c>
      <c r="G14" s="56" t="n">
        <v>98</v>
      </c>
      <c r="H14" s="58" t="n">
        <v>3.2</v>
      </c>
      <c r="I14" s="56" t="n">
        <f aca="false">G14+H14</f>
        <v>101.2</v>
      </c>
      <c r="J14" s="81" t="n">
        <f aca="false">IF(L14&gt;0,L14,0)</f>
        <v>0</v>
      </c>
      <c r="K14" s="56" t="n">
        <f aca="false">I14+J14</f>
        <v>101.2</v>
      </c>
      <c r="L14" s="56" t="n">
        <f aca="false">F14-(I14-W14)</f>
        <v>-57.12</v>
      </c>
      <c r="M14" s="56" t="n">
        <v>3.08</v>
      </c>
      <c r="N14" s="56" t="n">
        <v>0</v>
      </c>
      <c r="O14" s="56" t="n">
        <f aca="false">M14-N14</f>
        <v>3.08</v>
      </c>
      <c r="P14" s="56" t="n">
        <v>0</v>
      </c>
      <c r="Q14" s="56" t="n">
        <v>0</v>
      </c>
      <c r="R14" s="56" t="n">
        <f aca="false">SUM(O14:Q14)</f>
        <v>3.08</v>
      </c>
      <c r="S14" s="57"/>
      <c r="T14" s="56" t="n">
        <v>0</v>
      </c>
      <c r="U14" s="56" t="n">
        <v>41</v>
      </c>
      <c r="V14" s="57" t="n">
        <f aca="false">V13-U14</f>
        <v>4610.01</v>
      </c>
      <c r="W14" s="56" t="n">
        <f aca="false">R14+T14+N14+U14</f>
        <v>44.08</v>
      </c>
      <c r="X14" s="56" t="n">
        <f aca="false">IF(L14&lt;0,L14*-1,0)</f>
        <v>57.12</v>
      </c>
      <c r="Y14" s="56" t="n">
        <f aca="false">W14+X14</f>
        <v>101.2</v>
      </c>
      <c r="Z14" s="60" t="n">
        <v>0</v>
      </c>
      <c r="AA14" s="61" t="n">
        <v>43</v>
      </c>
      <c r="AB14" s="61" t="n">
        <v>12</v>
      </c>
      <c r="AC14" s="62" t="n">
        <f aca="false">AC13+1</f>
        <v>5</v>
      </c>
      <c r="AD14" s="79" t="n">
        <v>316</v>
      </c>
      <c r="AE14" s="82" t="n">
        <v>466</v>
      </c>
      <c r="AF14" s="79" t="n">
        <v>1437.16</v>
      </c>
    </row>
    <row r="15" customFormat="false" ht="11.1" hidden="false" customHeight="true" outlineLevel="0" collapsed="false">
      <c r="A15" s="62" t="n">
        <f aca="false">A14+1</f>
        <v>6</v>
      </c>
      <c r="B15" s="80" t="n">
        <v>6913.68</v>
      </c>
      <c r="C15" s="57" t="n">
        <v>336916</v>
      </c>
      <c r="D15" s="61" t="n">
        <f aca="false">C15-C14</f>
        <v>83</v>
      </c>
      <c r="E15" s="57" t="n">
        <f aca="false">C15-152000</f>
        <v>184916</v>
      </c>
      <c r="F15" s="56" t="n">
        <f aca="false">D15/$D$2</f>
        <v>41.8452230904966</v>
      </c>
      <c r="G15" s="56" t="n">
        <v>95</v>
      </c>
      <c r="H15" s="58" t="n">
        <v>3.2</v>
      </c>
      <c r="I15" s="56" t="n">
        <f aca="false">G15</f>
        <v>95</v>
      </c>
      <c r="J15" s="81" t="n">
        <f aca="false">IF(L15&gt;0,L15,0)</f>
        <v>0</v>
      </c>
      <c r="K15" s="56" t="n">
        <f aca="false">I15+J15</f>
        <v>95</v>
      </c>
      <c r="L15" s="56" t="n">
        <f aca="false">F15-(I15-W15)</f>
        <v>-9.07477690950341</v>
      </c>
      <c r="M15" s="56" t="n">
        <v>3.08</v>
      </c>
      <c r="N15" s="56" t="n">
        <v>0</v>
      </c>
      <c r="O15" s="56" t="n">
        <f aca="false">M15-N15</f>
        <v>3.08</v>
      </c>
      <c r="P15" s="56" t="n">
        <v>0</v>
      </c>
      <c r="Q15" s="56" t="n">
        <v>0</v>
      </c>
      <c r="R15" s="56" t="n">
        <f aca="false">SUM(O15:Q15)</f>
        <v>3.08</v>
      </c>
      <c r="S15" s="57"/>
      <c r="T15" s="56" t="n">
        <v>0</v>
      </c>
      <c r="U15" s="56" t="n">
        <v>41</v>
      </c>
      <c r="V15" s="57" t="n">
        <f aca="false">V14-U15</f>
        <v>4569.01</v>
      </c>
      <c r="W15" s="56" t="n">
        <f aca="false">R15+T15+N15+U15</f>
        <v>44.08</v>
      </c>
      <c r="X15" s="56" t="n">
        <f aca="false">IF(L15&lt;0,L15*-1,0)</f>
        <v>9.07477690950341</v>
      </c>
      <c r="Y15" s="56" t="n">
        <f aca="false">W15+X15</f>
        <v>53.1547769095034</v>
      </c>
      <c r="Z15" s="60" t="n">
        <v>0.11</v>
      </c>
      <c r="AA15" s="61" t="n">
        <v>48</v>
      </c>
      <c r="AB15" s="61" t="n">
        <v>10</v>
      </c>
      <c r="AC15" s="62" t="n">
        <f aca="false">AC14+1</f>
        <v>6</v>
      </c>
      <c r="AD15" s="78" t="n">
        <v>325</v>
      </c>
      <c r="AE15" s="82" t="n">
        <v>538</v>
      </c>
      <c r="AF15" s="79" t="n">
        <v>1467.01</v>
      </c>
    </row>
    <row r="16" customFormat="false" ht="11.1" hidden="false" customHeight="true" outlineLevel="0" collapsed="false">
      <c r="A16" s="62" t="n">
        <f aca="false">A15+1</f>
        <v>7</v>
      </c>
      <c r="B16" s="80" t="n">
        <v>6913.73</v>
      </c>
      <c r="C16" s="57" t="n">
        <v>337121</v>
      </c>
      <c r="D16" s="61" t="n">
        <f aca="false">C16-C15</f>
        <v>205</v>
      </c>
      <c r="E16" s="57" t="n">
        <f aca="false">C16-152000</f>
        <v>185121</v>
      </c>
      <c r="F16" s="56" t="n">
        <f aca="false">D16/$D$2</f>
        <v>103.352659440383</v>
      </c>
      <c r="G16" s="56" t="n">
        <v>100</v>
      </c>
      <c r="H16" s="58" t="n">
        <v>3.2</v>
      </c>
      <c r="I16" s="56" t="n">
        <f aca="false">G16+H16</f>
        <v>103.2</v>
      </c>
      <c r="J16" s="81" t="n">
        <f aca="false">IF(L16&gt;0,L16,0)</f>
        <v>44.2326594403832</v>
      </c>
      <c r="K16" s="56" t="n">
        <f aca="false">I16+J16</f>
        <v>147.432659440383</v>
      </c>
      <c r="L16" s="56" t="n">
        <f aca="false">F16-(I16-W16)</f>
        <v>44.2326594403832</v>
      </c>
      <c r="M16" s="56" t="n">
        <v>3.08</v>
      </c>
      <c r="N16" s="56" t="n">
        <v>0</v>
      </c>
      <c r="O16" s="56" t="n">
        <f aca="false">M16-N16</f>
        <v>3.08</v>
      </c>
      <c r="P16" s="56" t="n">
        <v>0</v>
      </c>
      <c r="Q16" s="56" t="n">
        <v>0</v>
      </c>
      <c r="R16" s="56" t="n">
        <f aca="false">SUM(O16:Q16)</f>
        <v>3.08</v>
      </c>
      <c r="S16" s="57"/>
      <c r="T16" s="56" t="n">
        <v>0</v>
      </c>
      <c r="U16" s="56" t="n">
        <v>41</v>
      </c>
      <c r="V16" s="57" t="n">
        <f aca="false">V15-U16</f>
        <v>4528.01</v>
      </c>
      <c r="W16" s="56" t="n">
        <f aca="false">R16+T16+N16+U16</f>
        <v>44.08</v>
      </c>
      <c r="X16" s="56" t="n">
        <f aca="false">IF(L16&lt;0,L16*-1,0)</f>
        <v>0</v>
      </c>
      <c r="Y16" s="56" t="n">
        <f aca="false">W16+X16</f>
        <v>44.08</v>
      </c>
      <c r="Z16" s="60" t="n">
        <v>0.56</v>
      </c>
      <c r="AA16" s="61" t="n">
        <v>37</v>
      </c>
      <c r="AB16" s="61" t="n">
        <v>28</v>
      </c>
      <c r="AC16" s="62" t="n">
        <f aca="false">AC15+1</f>
        <v>7</v>
      </c>
      <c r="AD16" s="78" t="n">
        <v>342</v>
      </c>
      <c r="AE16" s="82" t="n">
        <v>618</v>
      </c>
      <c r="AF16" s="79" t="n">
        <v>1496.64</v>
      </c>
    </row>
    <row r="17" customFormat="false" ht="11.1" hidden="false" customHeight="true" outlineLevel="0" collapsed="false">
      <c r="A17" s="62" t="n">
        <f aca="false">A16+1</f>
        <v>8</v>
      </c>
      <c r="B17" s="80" t="n">
        <v>6913.78</v>
      </c>
      <c r="C17" s="57" t="n">
        <v>337327</v>
      </c>
      <c r="D17" s="61" t="n">
        <f aca="false">C17-C16</f>
        <v>206</v>
      </c>
      <c r="E17" s="57" t="n">
        <f aca="false">C17-152000</f>
        <v>185327</v>
      </c>
      <c r="F17" s="56" t="n">
        <f aca="false">D17/$D$2</f>
        <v>103.856818754727</v>
      </c>
      <c r="G17" s="56" t="n">
        <v>95</v>
      </c>
      <c r="H17" s="58" t="n">
        <v>3.3</v>
      </c>
      <c r="I17" s="56" t="n">
        <f aca="false">G17+H17</f>
        <v>98.3</v>
      </c>
      <c r="J17" s="81" t="n">
        <f aca="false">IF(L17&gt;0,L17,0)</f>
        <v>49.6368187547265</v>
      </c>
      <c r="K17" s="56" t="n">
        <f aca="false">I17+J17</f>
        <v>147.936818754726</v>
      </c>
      <c r="L17" s="56" t="n">
        <f aca="false">F17-(I17-W17)</f>
        <v>49.6368187547265</v>
      </c>
      <c r="M17" s="56" t="n">
        <v>3.08</v>
      </c>
      <c r="N17" s="56" t="n">
        <v>0</v>
      </c>
      <c r="O17" s="56" t="n">
        <f aca="false">M17-N17</f>
        <v>3.08</v>
      </c>
      <c r="P17" s="56" t="n">
        <v>0</v>
      </c>
      <c r="Q17" s="56" t="n">
        <v>0</v>
      </c>
      <c r="R17" s="56" t="n">
        <f aca="false">SUM(O17:Q17)</f>
        <v>3.08</v>
      </c>
      <c r="S17" s="57"/>
      <c r="T17" s="56" t="n">
        <v>0</v>
      </c>
      <c r="U17" s="56" t="n">
        <v>41</v>
      </c>
      <c r="V17" s="57" t="n">
        <f aca="false">V16-U17</f>
        <v>4487.01</v>
      </c>
      <c r="W17" s="56" t="n">
        <f aca="false">R17+T17+N17+U17</f>
        <v>44.08</v>
      </c>
      <c r="X17" s="56" t="n">
        <f aca="false">IF(L17&lt;0,L17*-1,0)</f>
        <v>0</v>
      </c>
      <c r="Y17" s="56" t="n">
        <f aca="false">W17+X17</f>
        <v>44.08</v>
      </c>
      <c r="Z17" s="60" t="n">
        <v>0.16</v>
      </c>
      <c r="AA17" s="61" t="n">
        <v>35</v>
      </c>
      <c r="AB17" s="61" t="n">
        <v>30</v>
      </c>
      <c r="AC17" s="62" t="n">
        <f aca="false">AC16+1</f>
        <v>8</v>
      </c>
      <c r="AD17" s="78" t="n">
        <v>367</v>
      </c>
      <c r="AE17" s="82" t="n">
        <v>704</v>
      </c>
      <c r="AF17" s="79" t="n">
        <v>1526.51</v>
      </c>
    </row>
    <row r="18" customFormat="false" ht="11.1" hidden="false" customHeight="true" outlineLevel="0" collapsed="false">
      <c r="A18" s="62" t="n">
        <f aca="false">A17+1</f>
        <v>9</v>
      </c>
      <c r="B18" s="80" t="n">
        <v>6913.8</v>
      </c>
      <c r="C18" s="57" t="n">
        <v>337409</v>
      </c>
      <c r="D18" s="61" t="n">
        <f aca="false">C18-C17</f>
        <v>82</v>
      </c>
      <c r="E18" s="57" t="n">
        <f aca="false">C18-152000</f>
        <v>185409</v>
      </c>
      <c r="F18" s="56" t="n">
        <f aca="false">D18/$D$2</f>
        <v>41.3410637761533</v>
      </c>
      <c r="G18" s="56" t="n">
        <v>90</v>
      </c>
      <c r="H18" s="58" t="n">
        <v>3.5</v>
      </c>
      <c r="I18" s="56" t="n">
        <f aca="false">G18+H18</f>
        <v>93.5</v>
      </c>
      <c r="J18" s="81" t="n">
        <f aca="false">IF(L18&gt;0,L18,0)</f>
        <v>0</v>
      </c>
      <c r="K18" s="56" t="n">
        <f aca="false">I18+J18</f>
        <v>93.5</v>
      </c>
      <c r="L18" s="56" t="n">
        <f aca="false">F18-(I18-W18)</f>
        <v>-2.07893622384674</v>
      </c>
      <c r="M18" s="56" t="n">
        <v>3.08</v>
      </c>
      <c r="N18" s="56" t="n">
        <v>0</v>
      </c>
      <c r="O18" s="56" t="n">
        <f aca="false">M18-N18</f>
        <v>3.08</v>
      </c>
      <c r="P18" s="56" t="n">
        <v>0</v>
      </c>
      <c r="Q18" s="56" t="n">
        <v>0</v>
      </c>
      <c r="R18" s="56" t="n">
        <f aca="false">SUM(O18:Q18)</f>
        <v>3.08</v>
      </c>
      <c r="S18" s="57"/>
      <c r="T18" s="56" t="n">
        <v>0</v>
      </c>
      <c r="U18" s="56" t="n">
        <v>47</v>
      </c>
      <c r="V18" s="57" t="n">
        <f aca="false">V17-U18</f>
        <v>4440.01</v>
      </c>
      <c r="W18" s="56" t="n">
        <f aca="false">R18+T18+N18+U18</f>
        <v>50.08</v>
      </c>
      <c r="X18" s="56" t="n">
        <f aca="false">IF(L18&lt;0,L18*-1,0)</f>
        <v>2.07893622384674</v>
      </c>
      <c r="Y18" s="56" t="n">
        <f aca="false">W18+X18</f>
        <v>52.1589362238467</v>
      </c>
      <c r="Z18" s="60" t="n">
        <v>0</v>
      </c>
      <c r="AA18" s="90" t="n">
        <v>37</v>
      </c>
      <c r="AB18" s="61" t="n">
        <v>16</v>
      </c>
      <c r="AC18" s="62" t="n">
        <f aca="false">AC17+1</f>
        <v>9</v>
      </c>
      <c r="AD18" s="78" t="n">
        <v>390</v>
      </c>
      <c r="AE18" s="82" t="n">
        <v>805</v>
      </c>
      <c r="AF18" s="79" t="n">
        <v>1561.24</v>
      </c>
    </row>
    <row r="19" customFormat="false" ht="11.1" hidden="false" customHeight="true" outlineLevel="0" collapsed="false">
      <c r="A19" s="62" t="n">
        <f aca="false">A18+1</f>
        <v>10</v>
      </c>
      <c r="B19" s="80" t="n">
        <v>6913.81</v>
      </c>
      <c r="C19" s="57" t="n">
        <v>337450</v>
      </c>
      <c r="D19" s="61" t="n">
        <f aca="false">C19-C18</f>
        <v>41</v>
      </c>
      <c r="E19" s="57" t="n">
        <f aca="false">C19-152000</f>
        <v>185450</v>
      </c>
      <c r="F19" s="56" t="n">
        <f aca="false">D19/$D$2</f>
        <v>20.6705318880766</v>
      </c>
      <c r="G19" s="56" t="n">
        <v>82</v>
      </c>
      <c r="H19" s="58" t="n">
        <v>3.7</v>
      </c>
      <c r="I19" s="56" t="n">
        <f aca="false">G19+H19</f>
        <v>85.7</v>
      </c>
      <c r="J19" s="81" t="n">
        <f aca="false">IF(L19&gt;0,L19,0)</f>
        <v>0</v>
      </c>
      <c r="K19" s="56" t="n">
        <f aca="false">I19+J19</f>
        <v>85.7</v>
      </c>
      <c r="L19" s="56" t="n">
        <f aca="false">F19-(I19-W19)</f>
        <v>-7.94946811192337</v>
      </c>
      <c r="M19" s="56" t="n">
        <v>3.08</v>
      </c>
      <c r="N19" s="56" t="n">
        <v>0</v>
      </c>
      <c r="O19" s="56" t="n">
        <f aca="false">M19-N19</f>
        <v>3.08</v>
      </c>
      <c r="P19" s="56" t="n">
        <v>0</v>
      </c>
      <c r="Q19" s="56" t="n">
        <v>0</v>
      </c>
      <c r="R19" s="56" t="n">
        <f aca="false">SUM(O19:Q19)</f>
        <v>3.08</v>
      </c>
      <c r="S19" s="57"/>
      <c r="T19" s="56" t="n">
        <v>0</v>
      </c>
      <c r="U19" s="56" t="n">
        <v>54</v>
      </c>
      <c r="V19" s="57" t="n">
        <f aca="false">V18-U19</f>
        <v>4386.01</v>
      </c>
      <c r="W19" s="56" t="n">
        <f aca="false">R19+T19+N19+U19</f>
        <v>57.08</v>
      </c>
      <c r="X19" s="56" t="n">
        <f aca="false">IF(L19&lt;0,L19*-1,0)</f>
        <v>7.94946811192337</v>
      </c>
      <c r="Y19" s="56" t="n">
        <f aca="false">W19+X19</f>
        <v>65.0294681119234</v>
      </c>
      <c r="Z19" s="60" t="n">
        <v>0</v>
      </c>
      <c r="AA19" s="61" t="n">
        <v>25</v>
      </c>
      <c r="AB19" s="61" t="n">
        <v>17</v>
      </c>
      <c r="AC19" s="62" t="n">
        <f aca="false">AC18+1</f>
        <v>10</v>
      </c>
      <c r="AD19" s="78" t="n">
        <v>437</v>
      </c>
      <c r="AE19" s="82" t="n">
        <v>920</v>
      </c>
      <c r="AF19" s="79" t="n">
        <v>1600.39</v>
      </c>
    </row>
    <row r="20" customFormat="false" ht="11.1" hidden="false" customHeight="true" outlineLevel="0" collapsed="false">
      <c r="A20" s="62" t="n">
        <f aca="false">A19+1</f>
        <v>11</v>
      </c>
      <c r="B20" s="80" t="n">
        <v>6913.82</v>
      </c>
      <c r="C20" s="57" t="n">
        <v>337491</v>
      </c>
      <c r="D20" s="61" t="n">
        <f aca="false">C20-C19</f>
        <v>41</v>
      </c>
      <c r="E20" s="57" t="n">
        <f aca="false">C20-152000</f>
        <v>185491</v>
      </c>
      <c r="F20" s="56" t="n">
        <f aca="false">D20/$D$2</f>
        <v>20.6705318880766</v>
      </c>
      <c r="G20" s="56" t="n">
        <v>70</v>
      </c>
      <c r="H20" s="58" t="n">
        <v>3.9</v>
      </c>
      <c r="I20" s="56" t="n">
        <f aca="false">G20+H20</f>
        <v>73.9</v>
      </c>
      <c r="J20" s="81" t="n">
        <f aca="false">IF(L20&gt;0,L20,0)</f>
        <v>3.77053188807663</v>
      </c>
      <c r="K20" s="56" t="n">
        <f aca="false">I20+J20</f>
        <v>77.6705318880766</v>
      </c>
      <c r="L20" s="56" t="n">
        <f aca="false">F20-(I20-W20)</f>
        <v>3.77053188807663</v>
      </c>
      <c r="M20" s="56" t="n">
        <v>3</v>
      </c>
      <c r="N20" s="56" t="n">
        <v>0</v>
      </c>
      <c r="O20" s="56" t="n">
        <f aca="false">M20-N20</f>
        <v>3</v>
      </c>
      <c r="P20" s="56" t="n">
        <v>0</v>
      </c>
      <c r="Q20" s="56" t="n">
        <v>0</v>
      </c>
      <c r="R20" s="56" t="n">
        <f aca="false">SUM(O20:Q20)</f>
        <v>3</v>
      </c>
      <c r="S20" s="57"/>
      <c r="T20" s="56" t="n">
        <v>0</v>
      </c>
      <c r="U20" s="56" t="n">
        <v>54</v>
      </c>
      <c r="V20" s="57" t="n">
        <f aca="false">V19-U20</f>
        <v>4332.01</v>
      </c>
      <c r="W20" s="56" t="n">
        <f aca="false">R20+T20+N20+U20</f>
        <v>57</v>
      </c>
      <c r="X20" s="56" t="n">
        <f aca="false">IF(L20&lt;0,L20*-1,0)</f>
        <v>0</v>
      </c>
      <c r="Y20" s="56" t="n">
        <f aca="false">W20+X20</f>
        <v>57</v>
      </c>
      <c r="Z20" s="60" t="n">
        <v>0</v>
      </c>
      <c r="AA20" s="61" t="n">
        <v>32</v>
      </c>
      <c r="AB20" s="61" t="n">
        <v>12</v>
      </c>
      <c r="AC20" s="62" t="n">
        <f aca="false">AC19+1</f>
        <v>11</v>
      </c>
      <c r="AD20" s="78" t="n">
        <v>498</v>
      </c>
      <c r="AE20" s="82" t="n">
        <v>1048</v>
      </c>
      <c r="AF20" s="79" t="n">
        <v>1642</v>
      </c>
    </row>
    <row r="21" customFormat="false" ht="11.1" hidden="false" customHeight="true" outlineLevel="0" collapsed="false">
      <c r="A21" s="62" t="n">
        <f aca="false">A20+1</f>
        <v>12</v>
      </c>
      <c r="B21" s="80" t="n">
        <v>6913.82</v>
      </c>
      <c r="C21" s="57" t="n">
        <v>337491</v>
      </c>
      <c r="D21" s="61" t="n">
        <f aca="false">C21-C20</f>
        <v>0</v>
      </c>
      <c r="E21" s="57" t="n">
        <f aca="false">C21-152000</f>
        <v>185491</v>
      </c>
      <c r="F21" s="56" t="n">
        <f aca="false">D21/$D$2</f>
        <v>0</v>
      </c>
      <c r="G21" s="56" t="n">
        <v>66</v>
      </c>
      <c r="H21" s="58" t="n">
        <v>4.2</v>
      </c>
      <c r="I21" s="56" t="n">
        <f aca="false">G21+H21</f>
        <v>70.2</v>
      </c>
      <c r="J21" s="81" t="n">
        <f aca="false">IF(L21&gt;0,L21,0)</f>
        <v>0</v>
      </c>
      <c r="K21" s="56" t="n">
        <f aca="false">I21+J21</f>
        <v>70.2</v>
      </c>
      <c r="L21" s="56" t="n">
        <f aca="false">F21-(I21-W21)</f>
        <v>-13.42</v>
      </c>
      <c r="M21" s="56" t="n">
        <v>2.78</v>
      </c>
      <c r="N21" s="56" t="n">
        <v>0</v>
      </c>
      <c r="O21" s="56" t="n">
        <f aca="false">M21-N21</f>
        <v>2.78</v>
      </c>
      <c r="P21" s="56" t="n">
        <v>0</v>
      </c>
      <c r="Q21" s="56" t="n">
        <v>0</v>
      </c>
      <c r="R21" s="56" t="n">
        <f aca="false">SUM(O21:Q21)</f>
        <v>2.78</v>
      </c>
      <c r="S21" s="57"/>
      <c r="T21" s="56" t="n">
        <v>0</v>
      </c>
      <c r="U21" s="56" t="n">
        <v>54</v>
      </c>
      <c r="V21" s="57" t="n">
        <f aca="false">V20-U21</f>
        <v>4278.01</v>
      </c>
      <c r="W21" s="56" t="n">
        <f aca="false">R21+T21+N21+U21</f>
        <v>56.78</v>
      </c>
      <c r="X21" s="56" t="n">
        <f aca="false">IF(L21&lt;0,L21*-1,0)</f>
        <v>13.42</v>
      </c>
      <c r="Y21" s="56" t="n">
        <f aca="false">W21+X21</f>
        <v>70.2</v>
      </c>
      <c r="Z21" s="60" t="n">
        <v>0</v>
      </c>
      <c r="AA21" s="61" t="n">
        <v>44</v>
      </c>
      <c r="AB21" s="61" t="n">
        <v>4</v>
      </c>
      <c r="AC21" s="62" t="n">
        <f aca="false">AC20+1</f>
        <v>12</v>
      </c>
      <c r="AD21" s="78" t="n">
        <v>572</v>
      </c>
      <c r="AE21" s="82" t="n">
        <v>1182</v>
      </c>
      <c r="AF21" s="79" t="n">
        <v>1683.42</v>
      </c>
    </row>
    <row r="22" customFormat="false" ht="11.1" hidden="false" customHeight="true" outlineLevel="0" collapsed="false">
      <c r="A22" s="62" t="n">
        <f aca="false">A21+1</f>
        <v>13</v>
      </c>
      <c r="B22" s="80" t="n">
        <v>6913.83</v>
      </c>
      <c r="C22" s="57" t="n">
        <v>337532</v>
      </c>
      <c r="D22" s="61" t="n">
        <f aca="false">C22-C21</f>
        <v>41</v>
      </c>
      <c r="E22" s="57" t="n">
        <f aca="false">C22-152000</f>
        <v>185532</v>
      </c>
      <c r="F22" s="56" t="n">
        <f aca="false">D22/$D$2</f>
        <v>20.6705318880766</v>
      </c>
      <c r="G22" s="56" t="n">
        <v>80</v>
      </c>
      <c r="H22" s="58" t="n">
        <v>4.4</v>
      </c>
      <c r="I22" s="56" t="n">
        <f aca="false">G22+H22</f>
        <v>84.4</v>
      </c>
      <c r="J22" s="81" t="n">
        <f aca="false">IF(L22&gt;0,L22,0)</f>
        <v>0</v>
      </c>
      <c r="K22" s="56" t="n">
        <f aca="false">I22+J22</f>
        <v>84.4</v>
      </c>
      <c r="L22" s="56" t="n">
        <f aca="false">F22-(I22-W22)</f>
        <v>-5.94946811192337</v>
      </c>
      <c r="M22" s="56" t="n">
        <v>2.78</v>
      </c>
      <c r="N22" s="56" t="n">
        <v>0</v>
      </c>
      <c r="O22" s="56" t="n">
        <f aca="false">M22-N22</f>
        <v>2.78</v>
      </c>
      <c r="P22" s="56" t="n">
        <v>0</v>
      </c>
      <c r="Q22" s="56" t="n">
        <v>0</v>
      </c>
      <c r="R22" s="56" t="n">
        <f aca="false">SUM(O22:Q22)</f>
        <v>2.78</v>
      </c>
      <c r="S22" s="57"/>
      <c r="T22" s="56" t="n">
        <v>0</v>
      </c>
      <c r="U22" s="56" t="n">
        <v>55</v>
      </c>
      <c r="V22" s="57" t="n">
        <f aca="false">V21-U22</f>
        <v>4223.01</v>
      </c>
      <c r="W22" s="56" t="n">
        <f aca="false">R22+T22+N22+U22</f>
        <v>57.78</v>
      </c>
      <c r="X22" s="56" t="n">
        <f aca="false">IF(L22&lt;0,L22*-1,0)</f>
        <v>5.94946811192337</v>
      </c>
      <c r="Y22" s="56" t="n">
        <f aca="false">W22+X22</f>
        <v>63.7294681119234</v>
      </c>
      <c r="Z22" s="60" t="n">
        <v>0</v>
      </c>
      <c r="AA22" s="61" t="n">
        <v>47</v>
      </c>
      <c r="AB22" s="61" t="n">
        <v>7</v>
      </c>
      <c r="AC22" s="62" t="n">
        <f aca="false">AC21+1</f>
        <v>13</v>
      </c>
      <c r="AD22" s="78" t="n">
        <v>716</v>
      </c>
      <c r="AE22" s="82" t="n">
        <v>1339</v>
      </c>
      <c r="AF22" s="79" t="n">
        <v>1725.1</v>
      </c>
    </row>
    <row r="23" customFormat="false" ht="11.1" hidden="false" customHeight="true" outlineLevel="0" collapsed="false">
      <c r="A23" s="62" t="n">
        <f aca="false">A22+1</f>
        <v>14</v>
      </c>
      <c r="B23" s="80" t="n">
        <v>6913.83</v>
      </c>
      <c r="C23" s="57" t="n">
        <v>337532</v>
      </c>
      <c r="D23" s="61" t="n">
        <f aca="false">C23-C22</f>
        <v>0</v>
      </c>
      <c r="E23" s="57" t="n">
        <f aca="false">C23-152000</f>
        <v>185532</v>
      </c>
      <c r="F23" s="56" t="n">
        <f aca="false">D23/$D$2</f>
        <v>0</v>
      </c>
      <c r="G23" s="56" t="n">
        <v>86</v>
      </c>
      <c r="H23" s="58" t="n">
        <v>4.6</v>
      </c>
      <c r="I23" s="56" t="n">
        <f aca="false">G23+H23</f>
        <v>90.6</v>
      </c>
      <c r="J23" s="81" t="n">
        <f aca="false">IF(L23&gt;0,L23,0)</f>
        <v>0</v>
      </c>
      <c r="K23" s="56" t="n">
        <f aca="false">I23+J23</f>
        <v>90.6</v>
      </c>
      <c r="L23" s="56" t="n">
        <f aca="false">F23-(I23-W23)</f>
        <v>-29.57</v>
      </c>
      <c r="M23" s="56" t="n">
        <v>3</v>
      </c>
      <c r="N23" s="56" t="n">
        <v>0</v>
      </c>
      <c r="O23" s="56" t="n">
        <f aca="false">M23-N23</f>
        <v>3</v>
      </c>
      <c r="P23" s="56" t="n">
        <v>0</v>
      </c>
      <c r="Q23" s="56" t="n">
        <v>0</v>
      </c>
      <c r="R23" s="56" t="n">
        <f aca="false">SUM(O23:Q23)</f>
        <v>3</v>
      </c>
      <c r="S23" s="57"/>
      <c r="T23" s="56" t="n">
        <v>0</v>
      </c>
      <c r="U23" s="56" t="n">
        <v>58.03</v>
      </c>
      <c r="V23" s="57" t="n">
        <f aca="false">V22-U23</f>
        <v>4164.98</v>
      </c>
      <c r="W23" s="56" t="n">
        <f aca="false">R23+T23+N23+U23</f>
        <v>61.03</v>
      </c>
      <c r="X23" s="56" t="n">
        <f aca="false">IF(L23&lt;0,L23*-1,0)</f>
        <v>29.57</v>
      </c>
      <c r="Y23" s="56" t="n">
        <f aca="false">W23+X23</f>
        <v>90.6</v>
      </c>
      <c r="Z23" s="60" t="n">
        <v>0</v>
      </c>
      <c r="AA23" s="90" t="n">
        <v>51</v>
      </c>
      <c r="AB23" s="61" t="n">
        <v>9</v>
      </c>
      <c r="AC23" s="62" t="n">
        <f aca="false">AC22+1</f>
        <v>14</v>
      </c>
      <c r="AD23" s="78" t="n">
        <v>901</v>
      </c>
      <c r="AE23" s="82" t="n">
        <v>1500</v>
      </c>
      <c r="AF23" s="79" t="n">
        <v>1766.22</v>
      </c>
    </row>
    <row r="24" customFormat="false" ht="11.1" hidden="false" customHeight="true" outlineLevel="0" collapsed="false">
      <c r="A24" s="62" t="n">
        <f aca="false">A23+1</f>
        <v>15</v>
      </c>
      <c r="B24" s="80" t="n">
        <v>6913.84</v>
      </c>
      <c r="C24" s="57" t="n">
        <v>337573</v>
      </c>
      <c r="D24" s="61" t="n">
        <f aca="false">C24-C23</f>
        <v>41</v>
      </c>
      <c r="E24" s="57" t="n">
        <f aca="false">C24-152000</f>
        <v>185573</v>
      </c>
      <c r="F24" s="56" t="n">
        <f aca="false">D24/$D$2</f>
        <v>20.6705318880766</v>
      </c>
      <c r="G24" s="56" t="n">
        <v>86</v>
      </c>
      <c r="H24" s="58" t="n">
        <v>4.9</v>
      </c>
      <c r="I24" s="56" t="n">
        <f aca="false">G24+H24</f>
        <v>90.9</v>
      </c>
      <c r="J24" s="81" t="n">
        <f aca="false">IF(L24&gt;0,L24,0)</f>
        <v>0</v>
      </c>
      <c r="K24" s="56" t="n">
        <f aca="false">I24+J24</f>
        <v>90.9</v>
      </c>
      <c r="L24" s="56" t="n">
        <f aca="false">F24-(I24-W24)</f>
        <v>-12.8394681119234</v>
      </c>
      <c r="M24" s="56" t="n">
        <v>3.39</v>
      </c>
      <c r="N24" s="56" t="n">
        <v>0</v>
      </c>
      <c r="O24" s="56" t="n">
        <f aca="false">M24-N24</f>
        <v>3.39</v>
      </c>
      <c r="P24" s="56" t="n">
        <v>0</v>
      </c>
      <c r="Q24" s="56" t="n">
        <v>0</v>
      </c>
      <c r="R24" s="56" t="n">
        <f aca="false">SUM(O24:Q24)</f>
        <v>3.39</v>
      </c>
      <c r="S24" s="57"/>
      <c r="T24" s="56" t="n">
        <v>0</v>
      </c>
      <c r="U24" s="56" t="n">
        <v>54</v>
      </c>
      <c r="V24" s="57" t="n">
        <f aca="false">V23-U24</f>
        <v>4110.98</v>
      </c>
      <c r="W24" s="56" t="n">
        <f aca="false">R24+T24+N24+U24</f>
        <v>57.39</v>
      </c>
      <c r="X24" s="56" t="n">
        <f aca="false">IF(L24&lt;0,L24*-1,0)</f>
        <v>12.8394681119234</v>
      </c>
      <c r="Y24" s="56" t="n">
        <f aca="false">W24+X24</f>
        <v>70.2294681119234</v>
      </c>
      <c r="Z24" s="60" t="n">
        <v>0</v>
      </c>
      <c r="AA24" s="90" t="n">
        <v>49</v>
      </c>
      <c r="AB24" s="61" t="n">
        <v>19</v>
      </c>
      <c r="AC24" s="62" t="n">
        <f aca="false">AC23+1</f>
        <v>15</v>
      </c>
      <c r="AD24" s="78" t="n">
        <v>1075</v>
      </c>
      <c r="AE24" s="82" t="n">
        <v>1662</v>
      </c>
      <c r="AF24" s="79" t="n">
        <v>1807.54</v>
      </c>
    </row>
    <row r="25" customFormat="false" ht="11.1" hidden="false" customHeight="true" outlineLevel="0" collapsed="false">
      <c r="A25" s="62" t="n">
        <f aca="false">A24+1</f>
        <v>16</v>
      </c>
      <c r="B25" s="80" t="n">
        <v>6913.85</v>
      </c>
      <c r="C25" s="57" t="n">
        <v>337614</v>
      </c>
      <c r="D25" s="61" t="n">
        <f aca="false">C25-C24</f>
        <v>41</v>
      </c>
      <c r="E25" s="57" t="n">
        <f aca="false">C25-152000</f>
        <v>185614</v>
      </c>
      <c r="F25" s="56" t="n">
        <f aca="false">D25/$D$2</f>
        <v>20.6705318880766</v>
      </c>
      <c r="G25" s="56" t="n">
        <v>82</v>
      </c>
      <c r="H25" s="58" t="n">
        <v>4.6</v>
      </c>
      <c r="I25" s="56" t="n">
        <f aca="false">G25+H25</f>
        <v>86.6</v>
      </c>
      <c r="J25" s="81" t="n">
        <f aca="false">IF(L25&gt;0,L25,0)</f>
        <v>0</v>
      </c>
      <c r="K25" s="56" t="n">
        <v>78.2</v>
      </c>
      <c r="L25" s="56" t="n">
        <f aca="false">F25-(I25-W25)</f>
        <v>-8.53946811192336</v>
      </c>
      <c r="M25" s="56" t="n">
        <v>3.39</v>
      </c>
      <c r="N25" s="56" t="n">
        <v>0</v>
      </c>
      <c r="O25" s="56" t="n">
        <f aca="false">M25-N25</f>
        <v>3.39</v>
      </c>
      <c r="P25" s="56" t="n">
        <v>0</v>
      </c>
      <c r="Q25" s="56" t="n">
        <v>0</v>
      </c>
      <c r="R25" s="56" t="n">
        <f aca="false">SUM(O25:Q25)</f>
        <v>3.39</v>
      </c>
      <c r="S25" s="57"/>
      <c r="T25" s="56" t="n">
        <v>0</v>
      </c>
      <c r="U25" s="56" t="n">
        <v>54</v>
      </c>
      <c r="V25" s="57" t="n">
        <f aca="false">V24-U25</f>
        <v>4056.98</v>
      </c>
      <c r="W25" s="56" t="n">
        <f aca="false">R25+T25+N25+U25</f>
        <v>57.39</v>
      </c>
      <c r="X25" s="56" t="n">
        <f aca="false">IF(L25&lt;0,L25*-1,0)</f>
        <v>8.53946811192336</v>
      </c>
      <c r="Y25" s="56" t="n">
        <f aca="false">W25+X25</f>
        <v>65.9294681119234</v>
      </c>
      <c r="Z25" s="60" t="n">
        <v>0</v>
      </c>
      <c r="AA25" s="90" t="n">
        <v>47</v>
      </c>
      <c r="AB25" s="61" t="n">
        <v>12</v>
      </c>
      <c r="AC25" s="62" t="n">
        <f aca="false">AC24+1</f>
        <v>16</v>
      </c>
      <c r="AD25" s="78" t="n">
        <v>1313</v>
      </c>
      <c r="AE25" s="91" t="n">
        <v>1828</v>
      </c>
      <c r="AF25" s="79" t="n">
        <v>1858.73</v>
      </c>
    </row>
    <row r="26" customFormat="false" ht="11.1" hidden="false" customHeight="true" outlineLevel="0" collapsed="false">
      <c r="A26" s="62" t="n">
        <f aca="false">A25+1</f>
        <v>17</v>
      </c>
      <c r="B26" s="80" t="n">
        <v>6913.86</v>
      </c>
      <c r="C26" s="57" t="n">
        <v>337655</v>
      </c>
      <c r="D26" s="61" t="n">
        <f aca="false">C26-C25</f>
        <v>41</v>
      </c>
      <c r="E26" s="57" t="n">
        <f aca="false">C26-152000</f>
        <v>185655</v>
      </c>
      <c r="F26" s="56" t="n">
        <f aca="false">D26/$D$2</f>
        <v>20.6705318880766</v>
      </c>
      <c r="G26" s="56" t="n">
        <v>85</v>
      </c>
      <c r="H26" s="58" t="n">
        <v>4.7</v>
      </c>
      <c r="I26" s="56" t="n">
        <f aca="false">G26+H26</f>
        <v>89.7</v>
      </c>
      <c r="J26" s="81" t="n">
        <f aca="false">IF(L26&gt;0,L26,0)</f>
        <v>0</v>
      </c>
      <c r="K26" s="56" t="n">
        <f aca="false">I26+J26</f>
        <v>89.7</v>
      </c>
      <c r="L26" s="56" t="n">
        <f aca="false">F26-(I26-W26)</f>
        <v>-11.6394681119234</v>
      </c>
      <c r="M26" s="56" t="n">
        <v>3.39</v>
      </c>
      <c r="N26" s="56" t="n">
        <v>0</v>
      </c>
      <c r="O26" s="56" t="n">
        <f aca="false">M26-N26</f>
        <v>3.39</v>
      </c>
      <c r="P26" s="56" t="n">
        <v>0</v>
      </c>
      <c r="Q26" s="56" t="n">
        <v>0</v>
      </c>
      <c r="R26" s="56" t="n">
        <f aca="false">SUM(O26:Q26)</f>
        <v>3.39</v>
      </c>
      <c r="S26" s="57"/>
      <c r="T26" s="56" t="n">
        <v>0</v>
      </c>
      <c r="U26" s="56" t="n">
        <v>54</v>
      </c>
      <c r="V26" s="57" t="n">
        <f aca="false">V25-U26</f>
        <v>4002.98</v>
      </c>
      <c r="W26" s="56" t="n">
        <f aca="false">R26+T26+N26+U26</f>
        <v>57.39</v>
      </c>
      <c r="X26" s="56" t="n">
        <f aca="false">IF(L26&lt;0,L26*-1,0)</f>
        <v>11.6394681119234</v>
      </c>
      <c r="Y26" s="56" t="n">
        <f aca="false">W26+X26</f>
        <v>69.0294681119234</v>
      </c>
      <c r="Z26" s="60" t="n">
        <v>0</v>
      </c>
      <c r="AA26" s="90" t="n">
        <v>48</v>
      </c>
      <c r="AB26" s="61" t="n">
        <v>20</v>
      </c>
      <c r="AC26" s="62" t="n">
        <f aca="false">AC25+1</f>
        <v>17</v>
      </c>
      <c r="AD26" s="78" t="n">
        <v>1559</v>
      </c>
      <c r="AE26" s="82" t="n">
        <v>1968</v>
      </c>
      <c r="AF26" s="79" t="n">
        <v>1921.09</v>
      </c>
    </row>
    <row r="27" customFormat="false" ht="11.1" hidden="false" customHeight="true" outlineLevel="0" collapsed="false">
      <c r="A27" s="62" t="n">
        <f aca="false">A26+1</f>
        <v>18</v>
      </c>
      <c r="B27" s="80" t="n">
        <v>6913.87</v>
      </c>
      <c r="C27" s="57" t="n">
        <v>337696</v>
      </c>
      <c r="D27" s="61" t="n">
        <f aca="false">C27-C26</f>
        <v>41</v>
      </c>
      <c r="E27" s="57" t="n">
        <f aca="false">C27-152000</f>
        <v>185696</v>
      </c>
      <c r="F27" s="56" t="n">
        <f aca="false">D27/$D$2</f>
        <v>20.6705318880766</v>
      </c>
      <c r="G27" s="56" t="n">
        <v>85</v>
      </c>
      <c r="H27" s="58" t="n">
        <v>4.9</v>
      </c>
      <c r="I27" s="56" t="n">
        <f aca="false">G27+H27</f>
        <v>89.9</v>
      </c>
      <c r="J27" s="81" t="n">
        <f aca="false">IF(L27&gt;0,L27,0)</f>
        <v>0</v>
      </c>
      <c r="K27" s="56" t="n">
        <f aca="false">I27+J27</f>
        <v>89.9</v>
      </c>
      <c r="L27" s="56" t="n">
        <f aca="false">F27-(I27-W27)</f>
        <v>-11.8394681119234</v>
      </c>
      <c r="M27" s="56" t="n">
        <v>3.39</v>
      </c>
      <c r="N27" s="56" t="n">
        <v>0</v>
      </c>
      <c r="O27" s="56" t="n">
        <f aca="false">M27-N27</f>
        <v>3.39</v>
      </c>
      <c r="P27" s="56" t="n">
        <v>0</v>
      </c>
      <c r="Q27" s="56" t="n">
        <v>0</v>
      </c>
      <c r="R27" s="56" t="n">
        <f aca="false">SUM(O27:Q27)</f>
        <v>3.39</v>
      </c>
      <c r="S27" s="57"/>
      <c r="T27" s="56" t="n">
        <v>0</v>
      </c>
      <c r="U27" s="56" t="n">
        <v>54</v>
      </c>
      <c r="V27" s="57" t="n">
        <f aca="false">V26-U27</f>
        <v>3948.98</v>
      </c>
      <c r="W27" s="56" t="n">
        <f aca="false">R27+T27+N27+U27</f>
        <v>57.39</v>
      </c>
      <c r="X27" s="56" t="n">
        <f aca="false">IF(L27&lt;0,L27*-1,0)</f>
        <v>11.8394681119234</v>
      </c>
      <c r="Y27" s="56" t="n">
        <f aca="false">W27+X27</f>
        <v>69.2294681119234</v>
      </c>
      <c r="Z27" s="60" t="n">
        <v>0</v>
      </c>
      <c r="AA27" s="90" t="n">
        <v>51</v>
      </c>
      <c r="AB27" s="61" t="n">
        <v>10</v>
      </c>
      <c r="AC27" s="62" t="n">
        <f aca="false">AC26+1</f>
        <v>18</v>
      </c>
      <c r="AD27" s="78" t="n">
        <v>1867</v>
      </c>
      <c r="AE27" s="82" t="n">
        <v>2133</v>
      </c>
      <c r="AF27" s="79" t="n">
        <v>1990.83</v>
      </c>
    </row>
    <row r="28" customFormat="false" ht="11.1" hidden="false" customHeight="true" outlineLevel="0" collapsed="false">
      <c r="A28" s="62" t="n">
        <f aca="false">A27+1</f>
        <v>19</v>
      </c>
      <c r="B28" s="80" t="n">
        <v>6913.88</v>
      </c>
      <c r="C28" s="57" t="n">
        <v>337737</v>
      </c>
      <c r="D28" s="61" t="n">
        <f aca="false">C28-C27</f>
        <v>41</v>
      </c>
      <c r="E28" s="57" t="n">
        <f aca="false">C28-152000</f>
        <v>185737</v>
      </c>
      <c r="F28" s="56" t="n">
        <f aca="false">D28/$D$2</f>
        <v>20.6705318880766</v>
      </c>
      <c r="G28" s="56" t="n">
        <v>80</v>
      </c>
      <c r="H28" s="58" t="n">
        <v>4.3</v>
      </c>
      <c r="I28" s="56" t="n">
        <f aca="false">G28+H28</f>
        <v>84.3</v>
      </c>
      <c r="J28" s="81" t="n">
        <f aca="false">IF(L28&gt;0,L28,0)</f>
        <v>0</v>
      </c>
      <c r="K28" s="56" t="n">
        <f aca="false">I28+J28</f>
        <v>84.3</v>
      </c>
      <c r="L28" s="56" t="n">
        <f aca="false">F28-(I28-W28)</f>
        <v>-6.23946811192337</v>
      </c>
      <c r="M28" s="56" t="n">
        <v>3.39</v>
      </c>
      <c r="N28" s="56" t="n">
        <v>0</v>
      </c>
      <c r="O28" s="56" t="n">
        <f aca="false">M28-N28</f>
        <v>3.39</v>
      </c>
      <c r="P28" s="56" t="n">
        <v>0</v>
      </c>
      <c r="Q28" s="56" t="n">
        <v>0</v>
      </c>
      <c r="R28" s="56" t="n">
        <f aca="false">SUM(O28:Q28)</f>
        <v>3.39</v>
      </c>
      <c r="S28" s="57"/>
      <c r="T28" s="56" t="n">
        <v>0</v>
      </c>
      <c r="U28" s="56" t="n">
        <v>54</v>
      </c>
      <c r="V28" s="57" t="n">
        <f aca="false">V27-U28</f>
        <v>3894.98</v>
      </c>
      <c r="W28" s="56" t="n">
        <f aca="false">R28+T28+N28+U28</f>
        <v>57.39</v>
      </c>
      <c r="X28" s="56" t="n">
        <f aca="false">IF(L28&lt;0,L28*-1,0)</f>
        <v>6.23946811192337</v>
      </c>
      <c r="Y28" s="56" t="n">
        <f aca="false">W28+X28</f>
        <v>63.6294681119234</v>
      </c>
      <c r="Z28" s="60" t="n">
        <v>0</v>
      </c>
      <c r="AA28" s="90" t="n">
        <v>51</v>
      </c>
      <c r="AB28" s="61" t="n">
        <v>21</v>
      </c>
      <c r="AC28" s="62" t="n">
        <f aca="false">AC27+1</f>
        <v>19</v>
      </c>
      <c r="AD28" s="78" t="n">
        <v>2157</v>
      </c>
      <c r="AE28" s="82" t="n">
        <v>2304</v>
      </c>
      <c r="AF28" s="79" t="n">
        <v>2064.09</v>
      </c>
    </row>
    <row r="29" customFormat="false" ht="11.1" hidden="false" customHeight="true" outlineLevel="0" collapsed="false">
      <c r="A29" s="62" t="n">
        <f aca="false">A28+1</f>
        <v>20</v>
      </c>
      <c r="B29" s="80" t="n">
        <v>6913.88</v>
      </c>
      <c r="C29" s="57" t="n">
        <v>337737</v>
      </c>
      <c r="D29" s="61" t="n">
        <f aca="false">C29-C28</f>
        <v>0</v>
      </c>
      <c r="E29" s="57" t="n">
        <f aca="false">C29-152000</f>
        <v>185737</v>
      </c>
      <c r="F29" s="56" t="n">
        <f aca="false">D29/$D$2</f>
        <v>0</v>
      </c>
      <c r="G29" s="56" t="n">
        <v>80</v>
      </c>
      <c r="H29" s="58" t="n">
        <v>4.2</v>
      </c>
      <c r="I29" s="56" t="n">
        <f aca="false">G29+H29</f>
        <v>84.2</v>
      </c>
      <c r="J29" s="81" t="n">
        <f aca="false">IF(L29&gt;0,L29,0)</f>
        <v>0</v>
      </c>
      <c r="K29" s="56" t="n">
        <f aca="false">I29+J29</f>
        <v>84.2</v>
      </c>
      <c r="L29" s="56" t="n">
        <f aca="false">F29-(I29-W29)</f>
        <v>-26.83</v>
      </c>
      <c r="M29" s="56" t="n">
        <v>3.39</v>
      </c>
      <c r="N29" s="56" t="n">
        <v>0</v>
      </c>
      <c r="O29" s="56" t="n">
        <f aca="false">M29-N29</f>
        <v>3.39</v>
      </c>
      <c r="P29" s="56" t="n">
        <v>0</v>
      </c>
      <c r="Q29" s="56" t="n">
        <v>0</v>
      </c>
      <c r="R29" s="56" t="n">
        <f aca="false">SUM(O29:Q29)</f>
        <v>3.39</v>
      </c>
      <c r="S29" s="57"/>
      <c r="T29" s="56" t="n">
        <v>0</v>
      </c>
      <c r="U29" s="56" t="n">
        <v>53.98</v>
      </c>
      <c r="V29" s="57" t="n">
        <f aca="false">V28-U29</f>
        <v>3841</v>
      </c>
      <c r="W29" s="56" t="n">
        <f aca="false">R29+T29+N29+U29</f>
        <v>57.37</v>
      </c>
      <c r="X29" s="56" t="n">
        <f aca="false">IF(L29&lt;0,L29*-1,0)</f>
        <v>26.83</v>
      </c>
      <c r="Y29" s="56" t="n">
        <f aca="false">W29+X29</f>
        <v>84.2</v>
      </c>
      <c r="Z29" s="60" t="n">
        <v>0</v>
      </c>
      <c r="AA29" s="90" t="n">
        <v>44</v>
      </c>
      <c r="AB29" s="61" t="n">
        <v>21</v>
      </c>
      <c r="AC29" s="62" t="n">
        <f aca="false">AC28+1</f>
        <v>20</v>
      </c>
      <c r="AD29" s="78" t="n">
        <v>2443</v>
      </c>
      <c r="AE29" s="82" t="n">
        <v>2474</v>
      </c>
      <c r="AF29" s="79" t="n">
        <v>2135.47</v>
      </c>
    </row>
    <row r="30" customFormat="false" ht="11.1" hidden="false" customHeight="true" outlineLevel="0" collapsed="false">
      <c r="A30" s="62" t="n">
        <f aca="false">A29+1</f>
        <v>21</v>
      </c>
      <c r="B30" s="80" t="n">
        <v>6913.89</v>
      </c>
      <c r="C30" s="57" t="n">
        <v>337779</v>
      </c>
      <c r="D30" s="61" t="n">
        <f aca="false">C30-C29</f>
        <v>42</v>
      </c>
      <c r="E30" s="57" t="n">
        <f aca="false">C30-152000</f>
        <v>185779</v>
      </c>
      <c r="F30" s="56" t="n">
        <f aca="false">D30/$D$2</f>
        <v>21.17469120242</v>
      </c>
      <c r="G30" s="56" t="n">
        <v>80</v>
      </c>
      <c r="H30" s="58" t="n">
        <v>4.4</v>
      </c>
      <c r="I30" s="56" t="n">
        <f aca="false">G30+H30</f>
        <v>84.4</v>
      </c>
      <c r="J30" s="81" t="n">
        <f aca="false">IF(L30&gt;0,L30,0)</f>
        <v>0</v>
      </c>
      <c r="K30" s="56" t="n">
        <f aca="false">I30+J30</f>
        <v>84.4</v>
      </c>
      <c r="L30" s="56" t="n">
        <f aca="false">F30-(I30-W30)</f>
        <v>-5.83530879758004</v>
      </c>
      <c r="M30" s="56" t="n">
        <v>3.39</v>
      </c>
      <c r="N30" s="56" t="n">
        <v>0</v>
      </c>
      <c r="O30" s="56" t="n">
        <f aca="false">M30-N30</f>
        <v>3.39</v>
      </c>
      <c r="P30" s="56" t="n">
        <v>0</v>
      </c>
      <c r="Q30" s="56" t="n">
        <v>0</v>
      </c>
      <c r="R30" s="56" t="n">
        <f aca="false">SUM(O30:Q30)</f>
        <v>3.39</v>
      </c>
      <c r="S30" s="57"/>
      <c r="T30" s="56" t="n">
        <v>0</v>
      </c>
      <c r="U30" s="56" t="n">
        <v>54</v>
      </c>
      <c r="V30" s="57" t="n">
        <f aca="false">V29-U30</f>
        <v>3787</v>
      </c>
      <c r="W30" s="56" t="n">
        <f aca="false">R30+T30+N30+U30</f>
        <v>57.39</v>
      </c>
      <c r="X30" s="56" t="n">
        <f aca="false">IF(L30&lt;0,L30*-1,0)</f>
        <v>5.83530879758004</v>
      </c>
      <c r="Y30" s="56" t="n">
        <f aca="false">W30+X30</f>
        <v>63.22530879758</v>
      </c>
      <c r="Z30" s="60" t="n">
        <v>0</v>
      </c>
      <c r="AA30" s="61" t="n">
        <v>32</v>
      </c>
      <c r="AB30" s="61" t="n">
        <v>19</v>
      </c>
      <c r="AC30" s="62" t="n">
        <f aca="false">AC29+1</f>
        <v>21</v>
      </c>
      <c r="AD30" s="78" t="n">
        <v>2760</v>
      </c>
      <c r="AE30" s="82" t="n">
        <v>2645</v>
      </c>
      <c r="AF30" s="79" t="n">
        <v>2202.37</v>
      </c>
    </row>
    <row r="31" customFormat="false" ht="11.1" hidden="false" customHeight="true" outlineLevel="0" collapsed="false">
      <c r="A31" s="62" t="n">
        <f aca="false">A30+1</f>
        <v>22</v>
      </c>
      <c r="B31" s="80" t="n">
        <v>6913.9</v>
      </c>
      <c r="C31" s="57" t="n">
        <v>337820</v>
      </c>
      <c r="D31" s="61" t="n">
        <f aca="false">C31-C30</f>
        <v>41</v>
      </c>
      <c r="E31" s="57" t="n">
        <f aca="false">C31-152000</f>
        <v>185820</v>
      </c>
      <c r="F31" s="56" t="n">
        <f aca="false">D31/$D$2</f>
        <v>20.6705318880766</v>
      </c>
      <c r="G31" s="56" t="n">
        <v>85</v>
      </c>
      <c r="H31" s="58" t="n">
        <v>4.6</v>
      </c>
      <c r="I31" s="56" t="n">
        <f aca="false">G31+H31</f>
        <v>89.6</v>
      </c>
      <c r="J31" s="81" t="n">
        <f aca="false">IF(L31&gt;0,L31,0)</f>
        <v>0</v>
      </c>
      <c r="K31" s="56" t="n">
        <f aca="false">I31+J31</f>
        <v>89.6</v>
      </c>
      <c r="L31" s="56" t="n">
        <f aca="false">F31-(I31-W31)</f>
        <v>-18.5394681119234</v>
      </c>
      <c r="M31" s="56" t="n">
        <v>3.39</v>
      </c>
      <c r="N31" s="56" t="n">
        <v>0</v>
      </c>
      <c r="O31" s="56" t="n">
        <f aca="false">M31-N31</f>
        <v>3.39</v>
      </c>
      <c r="P31" s="56" t="n">
        <v>0</v>
      </c>
      <c r="Q31" s="56" t="n">
        <v>0</v>
      </c>
      <c r="R31" s="56" t="n">
        <f aca="false">SUM(O31:Q31)</f>
        <v>3.39</v>
      </c>
      <c r="S31" s="57"/>
      <c r="T31" s="56" t="n">
        <v>0</v>
      </c>
      <c r="U31" s="56" t="n">
        <v>47</v>
      </c>
      <c r="V31" s="57" t="n">
        <f aca="false">V30-U31</f>
        <v>3740</v>
      </c>
      <c r="W31" s="56" t="n">
        <f aca="false">R31+T31+N31+U31</f>
        <v>50.39</v>
      </c>
      <c r="X31" s="56" t="n">
        <f aca="false">IF(L31&lt;0,L31*-1,0)</f>
        <v>18.5394681119234</v>
      </c>
      <c r="Y31" s="56" t="n">
        <f aca="false">W31+X31</f>
        <v>68.9294681119234</v>
      </c>
      <c r="Z31" s="60" t="n">
        <v>0</v>
      </c>
      <c r="AA31" s="61" t="n">
        <v>42</v>
      </c>
      <c r="AB31" s="61" t="n">
        <v>8</v>
      </c>
      <c r="AC31" s="62" t="n">
        <f aca="false">AC30+1</f>
        <v>22</v>
      </c>
      <c r="AD31" s="78" t="n">
        <v>3077</v>
      </c>
      <c r="AE31" s="82" t="n">
        <v>2820</v>
      </c>
      <c r="AF31" s="79" t="n">
        <v>2257.56</v>
      </c>
    </row>
    <row r="32" customFormat="false" ht="11.1" hidden="false" customHeight="true" outlineLevel="0" collapsed="false">
      <c r="A32" s="62" t="n">
        <f aca="false">A31+1</f>
        <v>23</v>
      </c>
      <c r="B32" s="80" t="n">
        <v>6913.91</v>
      </c>
      <c r="C32" s="57" t="n">
        <v>337861</v>
      </c>
      <c r="D32" s="61" t="n">
        <f aca="false">C32-C31</f>
        <v>41</v>
      </c>
      <c r="E32" s="57" t="n">
        <f aca="false">C32-152000</f>
        <v>185861</v>
      </c>
      <c r="F32" s="56" t="n">
        <f aca="false">D32/$D$2</f>
        <v>20.6705318880766</v>
      </c>
      <c r="G32" s="56" t="n">
        <v>82</v>
      </c>
      <c r="H32" s="58" t="n">
        <v>4.6</v>
      </c>
      <c r="I32" s="56" t="n">
        <f aca="false">G32+H32</f>
        <v>86.6</v>
      </c>
      <c r="J32" s="81" t="n">
        <f aca="false">IF(L32&gt;0,L32,0)</f>
        <v>0</v>
      </c>
      <c r="K32" s="56" t="n">
        <f aca="false">I32+J32</f>
        <v>86.6</v>
      </c>
      <c r="L32" s="56" t="n">
        <f aca="false">F32-(I32-W32)</f>
        <v>-20.5794681119234</v>
      </c>
      <c r="M32" s="56" t="n">
        <v>3.39</v>
      </c>
      <c r="N32" s="56" t="n">
        <v>0</v>
      </c>
      <c r="O32" s="56" t="n">
        <f aca="false">M32-N32</f>
        <v>3.39</v>
      </c>
      <c r="P32" s="56" t="n">
        <v>0</v>
      </c>
      <c r="Q32" s="56" t="n">
        <v>0</v>
      </c>
      <c r="R32" s="56" t="n">
        <f aca="false">SUM(O32:Q32)</f>
        <v>3.39</v>
      </c>
      <c r="S32" s="57"/>
      <c r="T32" s="56" t="n">
        <v>0</v>
      </c>
      <c r="U32" s="56" t="n">
        <v>41.96</v>
      </c>
      <c r="V32" s="57" t="n">
        <f aca="false">V31-U32</f>
        <v>3698.04</v>
      </c>
      <c r="W32" s="56" t="n">
        <f aca="false">R32+T32+N32+U32</f>
        <v>45.35</v>
      </c>
      <c r="X32" s="56" t="n">
        <f aca="false">IF(L32&lt;0,L32*-1,0)</f>
        <v>20.5794681119234</v>
      </c>
      <c r="Y32" s="56" t="n">
        <f aca="false">W32+X32</f>
        <v>65.9294681119234</v>
      </c>
      <c r="Z32" s="60" t="n">
        <v>0</v>
      </c>
      <c r="AA32" s="61" t="n">
        <v>40</v>
      </c>
      <c r="AB32" s="90" t="n">
        <v>8</v>
      </c>
      <c r="AC32" s="62" t="n">
        <f aca="false">AC31+1</f>
        <v>23</v>
      </c>
      <c r="AD32" s="78" t="n">
        <v>3431</v>
      </c>
      <c r="AE32" s="82" t="n">
        <v>2986</v>
      </c>
      <c r="AF32" s="79" t="n">
        <v>2305.82</v>
      </c>
    </row>
    <row r="33" customFormat="false" ht="11.1" hidden="false" customHeight="true" outlineLevel="0" collapsed="false">
      <c r="A33" s="62" t="n">
        <f aca="false">A32+1</f>
        <v>24</v>
      </c>
      <c r="B33" s="80" t="n">
        <v>6913.93</v>
      </c>
      <c r="C33" s="57" t="n">
        <v>337943</v>
      </c>
      <c r="D33" s="61" t="n">
        <f aca="false">C33-C32</f>
        <v>82</v>
      </c>
      <c r="E33" s="57" t="n">
        <f aca="false">C33-152000</f>
        <v>185943</v>
      </c>
      <c r="F33" s="56" t="n">
        <f aca="false">D33/$D$2</f>
        <v>41.3410637761533</v>
      </c>
      <c r="G33" s="56" t="n">
        <v>78</v>
      </c>
      <c r="H33" s="58" t="n">
        <v>4.5</v>
      </c>
      <c r="I33" s="56" t="n">
        <f aca="false">G33+H33</f>
        <v>82.5</v>
      </c>
      <c r="J33" s="81" t="n">
        <f aca="false">IF(L33&gt;0,L33,0)</f>
        <v>3.23106377615326</v>
      </c>
      <c r="K33" s="56" t="n">
        <f aca="false">I33+J33</f>
        <v>85.7310637761533</v>
      </c>
      <c r="L33" s="56" t="n">
        <f aca="false">F33-(I33-W33)</f>
        <v>3.23106377615326</v>
      </c>
      <c r="M33" s="56" t="n">
        <v>3.39</v>
      </c>
      <c r="N33" s="56" t="n">
        <v>0</v>
      </c>
      <c r="O33" s="56" t="n">
        <f aca="false">M33-N33</f>
        <v>3.39</v>
      </c>
      <c r="P33" s="56" t="n">
        <v>0</v>
      </c>
      <c r="Q33" s="56" t="n">
        <v>0</v>
      </c>
      <c r="R33" s="56" t="n">
        <f aca="false">SUM(O33:Q33)</f>
        <v>3.39</v>
      </c>
      <c r="S33" s="57"/>
      <c r="T33" s="56" t="n">
        <v>0</v>
      </c>
      <c r="U33" s="56" t="n">
        <v>41</v>
      </c>
      <c r="V33" s="57" t="n">
        <f aca="false">V32-U33</f>
        <v>3657.04</v>
      </c>
      <c r="W33" s="56" t="n">
        <f aca="false">R33+T33+N33+U33</f>
        <v>44.39</v>
      </c>
      <c r="X33" s="56" t="n">
        <f aca="false">IF(L33&lt;0,L33*-1,0)</f>
        <v>0</v>
      </c>
      <c r="Y33" s="56" t="n">
        <f aca="false">W33+X33</f>
        <v>44.39</v>
      </c>
      <c r="Z33" s="60" t="n">
        <v>0.04</v>
      </c>
      <c r="AA33" s="61" t="n">
        <v>31</v>
      </c>
      <c r="AB33" s="90" t="n">
        <v>14</v>
      </c>
      <c r="AC33" s="62" t="n">
        <f aca="false">AC32+1</f>
        <v>24</v>
      </c>
      <c r="AD33" s="78" t="n">
        <v>3778</v>
      </c>
      <c r="AE33" s="82" t="n">
        <v>3159</v>
      </c>
      <c r="AF33" s="79" t="n">
        <v>2351.3</v>
      </c>
    </row>
    <row r="34" customFormat="false" ht="11.1" hidden="false" customHeight="true" outlineLevel="0" collapsed="false">
      <c r="A34" s="62" t="n">
        <f aca="false">A33+1</f>
        <v>25</v>
      </c>
      <c r="B34" s="80" t="n">
        <v>6913.97</v>
      </c>
      <c r="C34" s="57" t="n">
        <v>338107</v>
      </c>
      <c r="D34" s="61" t="n">
        <f aca="false">C34-C33</f>
        <v>164</v>
      </c>
      <c r="E34" s="57" t="n">
        <f aca="false">C34-152000</f>
        <v>186107</v>
      </c>
      <c r="F34" s="56" t="n">
        <f aca="false">D34/$D$2</f>
        <v>82.6821275523065</v>
      </c>
      <c r="G34" s="56" t="n">
        <v>70</v>
      </c>
      <c r="H34" s="58" t="n">
        <v>4.4</v>
      </c>
      <c r="I34" s="56" t="n">
        <f aca="false">G34+H34</f>
        <v>74.4</v>
      </c>
      <c r="J34" s="81" t="n">
        <f aca="false">IF(L34&gt;0,L34,0)</f>
        <v>52.6721275523065</v>
      </c>
      <c r="K34" s="56" t="n">
        <f aca="false">I34+J34</f>
        <v>127.072127552307</v>
      </c>
      <c r="L34" s="56" t="n">
        <f aca="false">F34-(I34-W34)</f>
        <v>52.6721275523065</v>
      </c>
      <c r="M34" s="56" t="n">
        <v>3.39</v>
      </c>
      <c r="N34" s="56" t="n">
        <v>0</v>
      </c>
      <c r="O34" s="56" t="n">
        <f aca="false">M34-N34</f>
        <v>3.39</v>
      </c>
      <c r="P34" s="56" t="n">
        <v>0</v>
      </c>
      <c r="Q34" s="56" t="n">
        <v>0</v>
      </c>
      <c r="R34" s="56" t="n">
        <f aca="false">SUM(O34:Q34)</f>
        <v>3.39</v>
      </c>
      <c r="S34" s="57"/>
      <c r="T34" s="56" t="n">
        <v>0</v>
      </c>
      <c r="U34" s="56" t="n">
        <v>41</v>
      </c>
      <c r="V34" s="57" t="n">
        <f aca="false">V33-U34</f>
        <v>3616.04</v>
      </c>
      <c r="W34" s="56" t="n">
        <f aca="false">R34+T34+N34+U34</f>
        <v>44.39</v>
      </c>
      <c r="X34" s="56" t="n">
        <f aca="false">IF(L34&lt;0,L34*-1,0)</f>
        <v>0</v>
      </c>
      <c r="Y34" s="56" t="n">
        <f aca="false">W34+X34</f>
        <v>44.39</v>
      </c>
      <c r="Z34" s="60" t="n">
        <v>0.03</v>
      </c>
      <c r="AA34" s="61" t="n">
        <v>29</v>
      </c>
      <c r="AB34" s="90" t="n">
        <v>8</v>
      </c>
      <c r="AC34" s="62" t="n">
        <f aca="false">AC33+1</f>
        <v>25</v>
      </c>
      <c r="AD34" s="78" t="n">
        <v>4048</v>
      </c>
      <c r="AE34" s="82" t="n">
        <v>3332</v>
      </c>
      <c r="AF34" s="79" t="n">
        <v>2362.83</v>
      </c>
    </row>
    <row r="35" customFormat="false" ht="11.1" hidden="false" customHeight="true" outlineLevel="0" collapsed="false">
      <c r="A35" s="62" t="n">
        <f aca="false">A34+1</f>
        <v>26</v>
      </c>
      <c r="B35" s="80" t="n">
        <v>6914.01</v>
      </c>
      <c r="C35" s="57" t="n">
        <v>338272</v>
      </c>
      <c r="D35" s="61" t="n">
        <f aca="false">C35-C34</f>
        <v>165</v>
      </c>
      <c r="E35" s="57" t="n">
        <f aca="false">C35-152000</f>
        <v>186272</v>
      </c>
      <c r="F35" s="56" t="n">
        <f aca="false">D35/$D$2</f>
        <v>83.1862868666499</v>
      </c>
      <c r="G35" s="56" t="n">
        <v>60</v>
      </c>
      <c r="H35" s="58" t="n">
        <v>3.3</v>
      </c>
      <c r="I35" s="56" t="n">
        <f aca="false">G35+H35</f>
        <v>63.3</v>
      </c>
      <c r="J35" s="81" t="n">
        <f aca="false">IF(L35&gt;0,L35,0)</f>
        <v>64.2762868666499</v>
      </c>
      <c r="K35" s="56" t="n">
        <f aca="false">I35+J35</f>
        <v>127.57628686665</v>
      </c>
      <c r="L35" s="56" t="n">
        <f aca="false">F35-(I35-W35)</f>
        <v>64.2762868666499</v>
      </c>
      <c r="M35" s="56" t="n">
        <v>3.39</v>
      </c>
      <c r="N35" s="56" t="n">
        <v>0</v>
      </c>
      <c r="O35" s="56" t="n">
        <f aca="false">M35-N35</f>
        <v>3.39</v>
      </c>
      <c r="P35" s="56" t="n">
        <v>0</v>
      </c>
      <c r="Q35" s="56" t="n">
        <v>0</v>
      </c>
      <c r="R35" s="56" t="n">
        <f aca="false">SUM(O35:Q35)</f>
        <v>3.39</v>
      </c>
      <c r="S35" s="57"/>
      <c r="T35" s="56" t="n">
        <v>0</v>
      </c>
      <c r="U35" s="56" t="n">
        <v>41</v>
      </c>
      <c r="V35" s="57" t="n">
        <f aca="false">V34-U35</f>
        <v>3575.04</v>
      </c>
      <c r="W35" s="56" t="n">
        <f aca="false">R35+T35+N35+U35</f>
        <v>44.39</v>
      </c>
      <c r="X35" s="56" t="n">
        <f aca="false">IF(L35&lt;0,L35*-1,0)</f>
        <v>0</v>
      </c>
      <c r="Y35" s="56" t="n">
        <f aca="false">W35+X35</f>
        <v>44.39</v>
      </c>
      <c r="Z35" s="60" t="n">
        <v>0</v>
      </c>
      <c r="AA35" s="61" t="n">
        <v>34</v>
      </c>
      <c r="AB35" s="61" t="n">
        <v>2</v>
      </c>
      <c r="AC35" s="62" t="n">
        <f aca="false">AC34+1</f>
        <v>26</v>
      </c>
      <c r="AD35" s="78" t="n">
        <v>4274</v>
      </c>
      <c r="AE35" s="82" t="n">
        <v>3506</v>
      </c>
      <c r="AF35" s="79" t="n">
        <v>2362.83</v>
      </c>
    </row>
    <row r="36" customFormat="false" ht="11.1" hidden="false" customHeight="true" outlineLevel="0" collapsed="false">
      <c r="A36" s="62" t="n">
        <f aca="false">A35+1</f>
        <v>27</v>
      </c>
      <c r="B36" s="80" t="n">
        <v>6914.03</v>
      </c>
      <c r="C36" s="57" t="n">
        <v>338355</v>
      </c>
      <c r="D36" s="61" t="n">
        <f aca="false">C36-C35</f>
        <v>83</v>
      </c>
      <c r="E36" s="57" t="n">
        <f aca="false">C36-152000</f>
        <v>186355</v>
      </c>
      <c r="F36" s="56" t="n">
        <f aca="false">D36/$D$2</f>
        <v>41.8452230904966</v>
      </c>
      <c r="G36" s="56" t="n">
        <v>62</v>
      </c>
      <c r="H36" s="58" t="n">
        <v>3.4</v>
      </c>
      <c r="I36" s="56" t="n">
        <f aca="false">G36+H36</f>
        <v>65.4</v>
      </c>
      <c r="J36" s="81" t="n">
        <f aca="false">IF(L36&gt;0,L36,0)</f>
        <v>22.2952230904966</v>
      </c>
      <c r="K36" s="56" t="n">
        <f aca="false">I36+J36</f>
        <v>87.6952230904966</v>
      </c>
      <c r="L36" s="56" t="n">
        <f aca="false">F36-(I36-W36)</f>
        <v>22.2952230904966</v>
      </c>
      <c r="M36" s="56" t="n">
        <v>4.85</v>
      </c>
      <c r="N36" s="56" t="n">
        <v>0</v>
      </c>
      <c r="O36" s="56" t="n">
        <f aca="false">M36-N36</f>
        <v>4.85</v>
      </c>
      <c r="P36" s="56" t="n">
        <v>0</v>
      </c>
      <c r="Q36" s="56" t="n">
        <v>0</v>
      </c>
      <c r="R36" s="56" t="n">
        <f aca="false">SUM(O36:Q36)</f>
        <v>4.85</v>
      </c>
      <c r="S36" s="57"/>
      <c r="T36" s="56" t="n">
        <v>0</v>
      </c>
      <c r="U36" s="56" t="n">
        <v>41</v>
      </c>
      <c r="V36" s="57" t="n">
        <f aca="false">V35-U36</f>
        <v>3534.04</v>
      </c>
      <c r="W36" s="56" t="n">
        <f aca="false">R36+T36+N36+U36</f>
        <v>45.85</v>
      </c>
      <c r="X36" s="56" t="n">
        <f aca="false">IF(L36&lt;0,L36*-1,0)</f>
        <v>0</v>
      </c>
      <c r="Y36" s="56" t="n">
        <f aca="false">W36+X36</f>
        <v>45.85</v>
      </c>
      <c r="Z36" s="60" t="n">
        <v>0</v>
      </c>
      <c r="AA36" s="61" t="n">
        <v>32</v>
      </c>
      <c r="AB36" s="61" t="n">
        <v>2</v>
      </c>
      <c r="AC36" s="62" t="n">
        <f aca="false">AC35+1</f>
        <v>27</v>
      </c>
      <c r="AD36" s="78" t="n">
        <v>4501</v>
      </c>
      <c r="AE36" s="82" t="n">
        <v>3671</v>
      </c>
      <c r="AF36" s="79" t="n">
        <v>2362.83</v>
      </c>
    </row>
    <row r="37" customFormat="false" ht="11.1" hidden="false" customHeight="true" outlineLevel="0" collapsed="false">
      <c r="A37" s="62" t="n">
        <f aca="false">A36+1</f>
        <v>28</v>
      </c>
      <c r="B37" s="80" t="n">
        <v>6914.04</v>
      </c>
      <c r="C37" s="57" t="n">
        <v>338396</v>
      </c>
      <c r="D37" s="61" t="n">
        <f aca="false">C37-C36</f>
        <v>41</v>
      </c>
      <c r="E37" s="57" t="n">
        <f aca="false">C37-152000</f>
        <v>186396</v>
      </c>
      <c r="F37" s="56" t="n">
        <f aca="false">D37/$D$2</f>
        <v>20.6705318880766</v>
      </c>
      <c r="G37" s="56" t="n">
        <v>64</v>
      </c>
      <c r="H37" s="58" t="n">
        <v>3.5</v>
      </c>
      <c r="I37" s="56" t="n">
        <f aca="false">G37+H37</f>
        <v>67.5</v>
      </c>
      <c r="J37" s="81" t="n">
        <f aca="false">IF(L37&gt;0,L37,0)</f>
        <v>0.460531888076631</v>
      </c>
      <c r="K37" s="56" t="n">
        <f aca="false">I37+J37</f>
        <v>67.9605318880766</v>
      </c>
      <c r="L37" s="56" t="n">
        <f aca="false">F37-(I37-W37)</f>
        <v>0.460531888076631</v>
      </c>
      <c r="M37" s="56" t="n">
        <v>6.29</v>
      </c>
      <c r="N37" s="56" t="n">
        <v>0</v>
      </c>
      <c r="O37" s="56" t="n">
        <f aca="false">M37-N37</f>
        <v>6.29</v>
      </c>
      <c r="P37" s="56" t="n">
        <v>0</v>
      </c>
      <c r="Q37" s="56" t="n">
        <v>0</v>
      </c>
      <c r="R37" s="56" t="n">
        <f aca="false">SUM(O37:Q37)</f>
        <v>6.29</v>
      </c>
      <c r="S37" s="57"/>
      <c r="T37" s="56" t="n">
        <v>0</v>
      </c>
      <c r="U37" s="56" t="n">
        <v>41</v>
      </c>
      <c r="V37" s="57" t="n">
        <f aca="false">V36-U37</f>
        <v>3493.04</v>
      </c>
      <c r="W37" s="56" t="n">
        <f aca="false">R37+T37+N37+U37</f>
        <v>47.29</v>
      </c>
      <c r="X37" s="56" t="n">
        <f aca="false">IF(L37&lt;0,L37*-1,0)</f>
        <v>0</v>
      </c>
      <c r="Y37" s="56" t="n">
        <f aca="false">W37+X37</f>
        <v>47.29</v>
      </c>
      <c r="Z37" s="60" t="n">
        <v>0</v>
      </c>
      <c r="AA37" s="61" t="n">
        <v>38</v>
      </c>
      <c r="AB37" s="61" t="n">
        <v>8</v>
      </c>
      <c r="AC37" s="62" t="n">
        <f aca="false">AC36+1</f>
        <v>28</v>
      </c>
      <c r="AD37" s="78" t="n">
        <v>4723</v>
      </c>
      <c r="AE37" s="82" t="n">
        <v>3836</v>
      </c>
      <c r="AF37" s="79" t="n">
        <v>2362.83</v>
      </c>
    </row>
    <row r="38" customFormat="false" ht="11.1" hidden="false" customHeight="true" outlineLevel="0" collapsed="false">
      <c r="A38" s="62" t="n">
        <f aca="false">A37+1</f>
        <v>29</v>
      </c>
      <c r="B38" s="80" t="n">
        <v>6914.06</v>
      </c>
      <c r="C38" s="57" t="n">
        <v>338479</v>
      </c>
      <c r="D38" s="61" t="n">
        <f aca="false">C38-C37</f>
        <v>83</v>
      </c>
      <c r="E38" s="57" t="n">
        <f aca="false">C38-152000</f>
        <v>186479</v>
      </c>
      <c r="F38" s="56" t="n">
        <f aca="false">D38/$D$2</f>
        <v>41.8452230904966</v>
      </c>
      <c r="G38" s="56" t="n">
        <v>70</v>
      </c>
      <c r="H38" s="58" t="n">
        <v>3.8</v>
      </c>
      <c r="I38" s="56" t="n">
        <f aca="false">G38+H38</f>
        <v>73.8</v>
      </c>
      <c r="J38" s="81" t="n">
        <f aca="false">IF(L38&gt;0,L38,0)</f>
        <v>15.3352230904966</v>
      </c>
      <c r="K38" s="56" t="n">
        <f aca="false">I38+J38</f>
        <v>89.1352230904966</v>
      </c>
      <c r="L38" s="56" t="n">
        <f aca="false">F38-(I38-W38)</f>
        <v>15.3352230904966</v>
      </c>
      <c r="M38" s="56" t="n">
        <v>6.29</v>
      </c>
      <c r="N38" s="56" t="n">
        <v>0</v>
      </c>
      <c r="O38" s="56" t="n">
        <f aca="false">M38-N38</f>
        <v>6.29</v>
      </c>
      <c r="P38" s="56" t="n">
        <v>0</v>
      </c>
      <c r="Q38" s="56" t="n">
        <v>0</v>
      </c>
      <c r="R38" s="56" t="n">
        <f aca="false">SUM(O38:Q38)</f>
        <v>6.29</v>
      </c>
      <c r="S38" s="57"/>
      <c r="T38" s="56" t="n">
        <v>0</v>
      </c>
      <c r="U38" s="56" t="n">
        <v>41</v>
      </c>
      <c r="V38" s="57" t="n">
        <f aca="false">V37-U38</f>
        <v>3452.04</v>
      </c>
      <c r="W38" s="56" t="n">
        <f aca="false">R38+T38+N38+U38</f>
        <v>47.29</v>
      </c>
      <c r="X38" s="56" t="n">
        <f aca="false">IF(L38&lt;0,L38*-1,0)</f>
        <v>0</v>
      </c>
      <c r="Y38" s="56" t="n">
        <f aca="false">W38+X38</f>
        <v>47.29</v>
      </c>
      <c r="Z38" s="60" t="n">
        <v>0</v>
      </c>
      <c r="AA38" s="90" t="n">
        <v>48</v>
      </c>
      <c r="AB38" s="61" t="n">
        <v>10</v>
      </c>
      <c r="AC38" s="62" t="n">
        <f aca="false">AC37+1</f>
        <v>29</v>
      </c>
      <c r="AD38" s="78" t="n">
        <v>4963</v>
      </c>
      <c r="AE38" s="82" t="n">
        <v>4000</v>
      </c>
      <c r="AF38" s="79" t="n">
        <v>2362.83</v>
      </c>
    </row>
    <row r="39" customFormat="false" ht="11.1" hidden="false" customHeight="true" outlineLevel="0" collapsed="false">
      <c r="A39" s="62" t="n">
        <v>30</v>
      </c>
      <c r="B39" s="80" t="n">
        <v>6914.08</v>
      </c>
      <c r="C39" s="57" t="n">
        <v>338562</v>
      </c>
      <c r="D39" s="61" t="n">
        <f aca="false">C39-C38</f>
        <v>83</v>
      </c>
      <c r="E39" s="57" t="n">
        <f aca="false">C39-152000</f>
        <v>186562</v>
      </c>
      <c r="F39" s="56" t="n">
        <f aca="false">D39/$D$2</f>
        <v>41.8452230904966</v>
      </c>
      <c r="G39" s="56" t="n">
        <v>72</v>
      </c>
      <c r="H39" s="58" t="n">
        <v>4.1</v>
      </c>
      <c r="I39" s="56" t="n">
        <f aca="false">G39+H39</f>
        <v>76.1</v>
      </c>
      <c r="J39" s="81" t="n">
        <f aca="false">IF(L39&gt;0,L39,0)</f>
        <v>13.0352230904966</v>
      </c>
      <c r="K39" s="56" t="n">
        <f aca="false">I39+J39</f>
        <v>89.1352230904966</v>
      </c>
      <c r="L39" s="56" t="n">
        <f aca="false">F39-(I39-W39)</f>
        <v>13.0352230904966</v>
      </c>
      <c r="M39" s="56" t="n">
        <v>6.29</v>
      </c>
      <c r="N39" s="56" t="n">
        <v>0</v>
      </c>
      <c r="O39" s="56" t="n">
        <f aca="false">M39-N39</f>
        <v>6.29</v>
      </c>
      <c r="P39" s="56" t="n">
        <v>0</v>
      </c>
      <c r="Q39" s="56" t="n">
        <v>0</v>
      </c>
      <c r="R39" s="56" t="n">
        <f aca="false">SUM(O39:Q39)</f>
        <v>6.29</v>
      </c>
      <c r="S39" s="57"/>
      <c r="T39" s="56" t="n">
        <v>0</v>
      </c>
      <c r="U39" s="56" t="n">
        <v>41</v>
      </c>
      <c r="V39" s="57" t="n">
        <f aca="false">V38-U39</f>
        <v>3411.04</v>
      </c>
      <c r="W39" s="56" t="n">
        <f aca="false">R39+T39+N39+U39</f>
        <v>47.29</v>
      </c>
      <c r="X39" s="56" t="n">
        <f aca="false">IF(L39&lt;0,L39*-1,0)</f>
        <v>0</v>
      </c>
      <c r="Y39" s="56" t="n">
        <f aca="false">W39+X39</f>
        <v>47.29</v>
      </c>
      <c r="Z39" s="60" t="n">
        <v>0</v>
      </c>
      <c r="AA39" s="90" t="n">
        <v>50</v>
      </c>
      <c r="AB39" s="61" t="n">
        <v>12</v>
      </c>
      <c r="AC39" s="62" t="n">
        <v>30</v>
      </c>
      <c r="AD39" s="78" t="n">
        <v>5210</v>
      </c>
      <c r="AE39" s="82" t="n">
        <v>4166</v>
      </c>
      <c r="AF39" s="79" t="n">
        <v>2362.83</v>
      </c>
    </row>
    <row r="40" customFormat="false" ht="11.1" hidden="false" customHeight="true" outlineLevel="0" collapsed="false">
      <c r="A40" s="62" t="n">
        <v>31</v>
      </c>
      <c r="B40" s="80" t="n">
        <v>6914.09</v>
      </c>
      <c r="C40" s="57" t="n">
        <v>338603</v>
      </c>
      <c r="D40" s="61" t="n">
        <f aca="false">C40-C39</f>
        <v>41</v>
      </c>
      <c r="E40" s="57" t="n">
        <f aca="false">C40-152000</f>
        <v>186603</v>
      </c>
      <c r="F40" s="56" t="n">
        <f aca="false">D40/$D$2</f>
        <v>20.6705318880766</v>
      </c>
      <c r="G40" s="56" t="n">
        <v>75</v>
      </c>
      <c r="H40" s="58" t="n">
        <v>4.3</v>
      </c>
      <c r="I40" s="56" t="n">
        <f aca="false">G40+H40</f>
        <v>79.3</v>
      </c>
      <c r="J40" s="81" t="n">
        <f aca="false">IF(L40&gt;0,L40,0)</f>
        <v>0</v>
      </c>
      <c r="K40" s="56" t="n">
        <f aca="false">I40+J40</f>
        <v>79.3</v>
      </c>
      <c r="L40" s="56" t="n">
        <f aca="false">F40-(I40-W40)</f>
        <v>-11.3394681119234</v>
      </c>
      <c r="M40" s="56" t="n">
        <v>6.29</v>
      </c>
      <c r="N40" s="56" t="n">
        <v>0</v>
      </c>
      <c r="O40" s="56" t="n">
        <f aca="false">M40-N40</f>
        <v>6.29</v>
      </c>
      <c r="P40" s="56" t="n">
        <v>0</v>
      </c>
      <c r="Q40" s="56" t="n">
        <v>0</v>
      </c>
      <c r="R40" s="56" t="n">
        <f aca="false">SUM(O40:Q40)</f>
        <v>6.29</v>
      </c>
      <c r="S40" s="57"/>
      <c r="T40" s="56" t="n">
        <v>0</v>
      </c>
      <c r="U40" s="56" t="n">
        <v>41</v>
      </c>
      <c r="V40" s="57" t="n">
        <f aca="false">V39-U40</f>
        <v>3370.04</v>
      </c>
      <c r="W40" s="56" t="n">
        <f aca="false">R40+T40+N40+U40</f>
        <v>47.29</v>
      </c>
      <c r="X40" s="56" t="n">
        <f aca="false">IF(L40&lt;0,L40*-1,0)</f>
        <v>11.3394681119234</v>
      </c>
      <c r="Y40" s="56" t="n">
        <f aca="false">W40+X40</f>
        <v>58.6294681119234</v>
      </c>
      <c r="Z40" s="60" t="n">
        <v>0</v>
      </c>
      <c r="AA40" s="90" t="n">
        <v>50</v>
      </c>
      <c r="AB40" s="61" t="n">
        <v>12</v>
      </c>
      <c r="AC40" s="62" t="n">
        <v>31</v>
      </c>
      <c r="AD40" s="78" t="n">
        <v>5455</v>
      </c>
      <c r="AE40" s="78" t="n">
        <v>4334</v>
      </c>
      <c r="AF40" s="79" t="n">
        <v>2403.37</v>
      </c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92"/>
      <c r="M41" s="92"/>
      <c r="N41" s="83"/>
      <c r="O41" s="83"/>
      <c r="P41" s="83"/>
      <c r="Q41" s="83"/>
      <c r="R41" s="83"/>
      <c r="S41" s="85"/>
      <c r="T41" s="83"/>
      <c r="U41" s="92"/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1120.24199647088</v>
      </c>
      <c r="G42" s="57" t="n">
        <f aca="false">SUM(G10:G40)</f>
        <v>2552</v>
      </c>
      <c r="H42" s="57" t="n">
        <f aca="false">SUM(H10:H40)</f>
        <v>124.2</v>
      </c>
      <c r="I42" s="57" t="n">
        <f aca="false">SUM(I10:I40)</f>
        <v>2673</v>
      </c>
      <c r="J42" s="57" t="n">
        <f aca="false">SUM(J10:J40)</f>
        <v>329.173040080665</v>
      </c>
      <c r="K42" s="57" t="n">
        <f aca="false">SUM(K10:K40)</f>
        <v>2993.77304008067</v>
      </c>
      <c r="L42" s="57" t="n">
        <f aca="false">SUM(L10:L40)</f>
        <v>5.70199647088476</v>
      </c>
      <c r="M42" s="57" t="n">
        <f aca="false">SUM(M10:M40)</f>
        <v>113.49</v>
      </c>
      <c r="N42" s="57" t="n">
        <f aca="false">SUM(N10:N40)</f>
        <v>0</v>
      </c>
      <c r="O42" s="57" t="n">
        <f aca="false">SUM(O10:O40)</f>
        <v>113.49</v>
      </c>
      <c r="P42" s="57" t="n">
        <f aca="false">SUM(P10:P40)</f>
        <v>0</v>
      </c>
      <c r="Q42" s="57" t="n">
        <f aca="false">SUM(Q10:Q40)</f>
        <v>0</v>
      </c>
      <c r="R42" s="57" t="n">
        <f aca="false">SUM(R10:R40)</f>
        <v>113.49</v>
      </c>
      <c r="S42" s="57"/>
      <c r="T42" s="57" t="n">
        <f aca="false">SUM(T10:T40)</f>
        <v>0</v>
      </c>
      <c r="U42" s="57" t="n">
        <f aca="false">SUM(U10:U40)</f>
        <v>1444.97</v>
      </c>
      <c r="V42" s="57" t="n">
        <f aca="false">V40</f>
        <v>3370.04</v>
      </c>
      <c r="W42" s="57" t="n">
        <f aca="false">SUM(W10:W40)</f>
        <v>1558.46</v>
      </c>
      <c r="X42" s="57" t="n">
        <f aca="false">SUM(X10:X40)</f>
        <v>323.471043609781</v>
      </c>
      <c r="Y42" s="57" t="n">
        <f aca="false">SUM(Y10:Y40)</f>
        <v>1881.93104360978</v>
      </c>
      <c r="Z42" s="60" t="n">
        <f aca="false">SUM(Z10:Z40)</f>
        <v>0.9</v>
      </c>
      <c r="AA42" s="61" t="n">
        <f aca="false">AVERAGE(AA10:AA40)</f>
        <v>41.3870967741936</v>
      </c>
      <c r="AB42" s="61" t="n">
        <f aca="false">AVERAGE(AB10:AB40)</f>
        <v>14.1612903225806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2222</v>
      </c>
      <c r="E43" s="57"/>
      <c r="F43" s="57" t="n">
        <f aca="false">F42*$D$2</f>
        <v>2222</v>
      </c>
      <c r="G43" s="57" t="n">
        <f aca="false">G42*$D$2</f>
        <v>5061.892</v>
      </c>
      <c r="H43" s="57" t="n">
        <f aca="false">H42*$D$2</f>
        <v>246.3507</v>
      </c>
      <c r="I43" s="57" t="n">
        <f aca="false">I42*$D$2</f>
        <v>5301.8955</v>
      </c>
      <c r="J43" s="57" t="n">
        <f aca="false">J42*$D$2</f>
        <v>652.914725</v>
      </c>
      <c r="K43" s="57" t="n">
        <f aca="false">K42*$D$2</f>
        <v>5938.148825</v>
      </c>
      <c r="L43" s="57" t="n">
        <f aca="false">L42*$D$2</f>
        <v>11.3099099999999</v>
      </c>
      <c r="M43" s="57" t="n">
        <f aca="false">M42*$D$2</f>
        <v>225.107415</v>
      </c>
      <c r="N43" s="57" t="n">
        <f aca="false">N42*$D$2</f>
        <v>0</v>
      </c>
      <c r="O43" s="57" t="n">
        <f aca="false">O42*$D$2</f>
        <v>225.107415</v>
      </c>
      <c r="P43" s="57" t="n">
        <f aca="false">P42*$D$2</f>
        <v>0</v>
      </c>
      <c r="Q43" s="57" t="n">
        <f aca="false">Q42*$D$2</f>
        <v>0</v>
      </c>
      <c r="R43" s="57" t="n">
        <f aca="false">R42*$D$2</f>
        <v>225.107415</v>
      </c>
      <c r="S43" s="57"/>
      <c r="T43" s="57" t="n">
        <f aca="false">T42*$D$2</f>
        <v>0</v>
      </c>
      <c r="U43" s="57" t="n">
        <f aca="false">U42*$D$2</f>
        <v>2866.097995</v>
      </c>
      <c r="V43" s="57" t="n">
        <f aca="false">V42*$D$2</f>
        <v>6684.47434</v>
      </c>
      <c r="W43" s="57" t="n">
        <f aca="false">W42*$D$2</f>
        <v>3091.20541</v>
      </c>
      <c r="X43" s="57" t="n">
        <f aca="false">X42*$D$2</f>
        <v>641.604815</v>
      </c>
      <c r="Y43" s="57" t="n">
        <f aca="false">Y42*$D$2</f>
        <v>3732.810225</v>
      </c>
      <c r="Z43" s="60"/>
      <c r="AA43" s="61" t="n">
        <f aca="false">MAX(AA10:AA40)</f>
        <v>51</v>
      </c>
      <c r="AB43" s="61" t="n">
        <f aca="false">MAX(AB10:AB40)</f>
        <v>33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60"/>
      <c r="AA45" s="61" t="n">
        <f aca="false">MIN(AA10:AA40)</f>
        <v>25</v>
      </c>
      <c r="AB45" s="61" t="n">
        <f aca="false">MIN(AB10:AB40)</f>
        <v>2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2567.68338795059</v>
      </c>
      <c r="G48" s="57" t="n">
        <f aca="false">G8+G42</f>
        <v>6193</v>
      </c>
      <c r="H48" s="61" t="n">
        <f aca="false">H8+H42</f>
        <v>258.2</v>
      </c>
      <c r="I48" s="57" t="n">
        <f aca="false">I8+I42</f>
        <v>6444.3</v>
      </c>
      <c r="J48" s="57" t="n">
        <f aca="false">J8+J42</f>
        <v>642.035475170154</v>
      </c>
      <c r="K48" s="57" t="n">
        <f aca="false">K8+K42</f>
        <v>7077.93547517015</v>
      </c>
      <c r="L48" s="57" t="n">
        <f aca="false">L8+L42</f>
        <v>-189.726612049408</v>
      </c>
      <c r="M48" s="57" t="n">
        <f aca="false">M8+M42</f>
        <v>762.73</v>
      </c>
      <c r="N48" s="57" t="n">
        <f aca="false">N8+N42</f>
        <v>0</v>
      </c>
      <c r="O48" s="57" t="n">
        <f aca="false">O8+O42</f>
        <v>113.49</v>
      </c>
      <c r="P48" s="57" t="n">
        <f aca="false">P8+P42</f>
        <v>0</v>
      </c>
      <c r="Q48" s="57" t="n">
        <f aca="false">Q8+Q42</f>
        <v>146.2</v>
      </c>
      <c r="R48" s="57" t="n">
        <f aca="false">R8+R42</f>
        <v>651.68</v>
      </c>
      <c r="S48" s="57"/>
      <c r="T48" s="57" t="n">
        <f aca="false">T8+T42</f>
        <v>0</v>
      </c>
      <c r="U48" s="57" t="n">
        <f aca="false">U8+U42</f>
        <v>2777.96</v>
      </c>
      <c r="V48" s="57" t="n">
        <f aca="false">V40</f>
        <v>3370.04</v>
      </c>
      <c r="W48" s="57" t="n">
        <f aca="false">W8+W42</f>
        <v>3686.89</v>
      </c>
      <c r="X48" s="57" t="n">
        <f aca="false">X8+X42</f>
        <v>831.762087219561</v>
      </c>
      <c r="Y48" s="57" t="n">
        <f aca="false">Y8+Y42</f>
        <v>4518.65208721956</v>
      </c>
      <c r="Z48" s="81" t="n">
        <f aca="false">Z8+Z42</f>
        <v>1.99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5093</v>
      </c>
      <c r="E49" s="57" t="n">
        <f aca="false">E40</f>
        <v>186603</v>
      </c>
      <c r="F49" s="57" t="n">
        <f aca="false">F48*$D$2</f>
        <v>5093</v>
      </c>
      <c r="G49" s="57" t="n">
        <f aca="false">G48*$D$2</f>
        <v>12283.8155</v>
      </c>
      <c r="H49" s="61" t="n">
        <f aca="false">H48*$D$2</f>
        <v>512.1397</v>
      </c>
      <c r="I49" s="57" t="n">
        <f aca="false">I48*$D$2</f>
        <v>12782.26905</v>
      </c>
      <c r="J49" s="57" t="n">
        <f aca="false">J48*$D$2</f>
        <v>1273.477365</v>
      </c>
      <c r="K49" s="57" t="n">
        <f aca="false">K48*$D$2</f>
        <v>14039.085015</v>
      </c>
      <c r="L49" s="57" t="n">
        <f aca="false">L48*$D$2</f>
        <v>-376.322735</v>
      </c>
      <c r="M49" s="57" t="n">
        <f aca="false">M48*$D$2</f>
        <v>1512.874955</v>
      </c>
      <c r="N49" s="57" t="n">
        <f aca="false">N48*$D$2</f>
        <v>0</v>
      </c>
      <c r="O49" s="57" t="n">
        <f aca="false">O48*$D$2</f>
        <v>225.107415</v>
      </c>
      <c r="P49" s="57" t="n">
        <f aca="false">P48*$D$2</f>
        <v>0</v>
      </c>
      <c r="Q49" s="57" t="n">
        <f aca="false">Q48*$D$2</f>
        <v>289.9877</v>
      </c>
      <c r="R49" s="57" t="n">
        <f aca="false">R48*$D$2</f>
        <v>1292.60728</v>
      </c>
      <c r="S49" s="57" t="n">
        <f aca="false">S48*$D$2</f>
        <v>0</v>
      </c>
      <c r="T49" s="57" t="n">
        <f aca="false">T48*$D$2</f>
        <v>0</v>
      </c>
      <c r="U49" s="57" t="n">
        <f aca="false">U48*$D$2</f>
        <v>5510.08366</v>
      </c>
      <c r="V49" s="57" t="n">
        <f aca="false">V40*$D$2</f>
        <v>6684.47434</v>
      </c>
      <c r="W49" s="57" t="n">
        <f aca="false">W48*$D$2</f>
        <v>7312.946315</v>
      </c>
      <c r="X49" s="57" t="n">
        <f aca="false">X48*$D$2</f>
        <v>1649.8001</v>
      </c>
      <c r="Y49" s="57" t="n">
        <f aca="false">Y48*$D$2</f>
        <v>8962.746415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56" t="str">
        <f aca="false">"JUN /9"</f>
        <v>JUN /9</v>
      </c>
      <c r="B51" s="93"/>
      <c r="C51" s="57"/>
      <c r="D51" s="56"/>
      <c r="E51" s="57"/>
      <c r="F51" s="56"/>
      <c r="G51" s="56"/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6924.15</v>
      </c>
      <c r="C52" s="57" t="n">
        <v>381833</v>
      </c>
      <c r="D52" s="90"/>
      <c r="E52" s="57" t="n">
        <f aca="false">C52-152000</f>
        <v>229833</v>
      </c>
      <c r="F52" s="56"/>
      <c r="G52" s="56"/>
      <c r="H52" s="90"/>
      <c r="I52" s="58"/>
      <c r="J52" s="56"/>
      <c r="K52" s="46"/>
      <c r="L52" s="56"/>
      <c r="M52" s="56"/>
      <c r="N52" s="56"/>
      <c r="O52" s="56"/>
      <c r="P52" s="56"/>
      <c r="Q52" s="56"/>
      <c r="R52" s="56"/>
      <c r="S52" s="57"/>
      <c r="T52" s="56"/>
      <c r="U52" s="56"/>
      <c r="V52" s="57"/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"5/12/94 thru 6/9/94"</f>
        <v>5/12/94 thru 6/9/94</v>
      </c>
      <c r="B53" s="90"/>
      <c r="C53" s="57"/>
      <c r="D53" s="57"/>
      <c r="E53" s="57"/>
      <c r="F53" s="90"/>
      <c r="G53" s="90"/>
      <c r="H53" s="58"/>
      <c r="I53" s="90"/>
      <c r="J53" s="90"/>
      <c r="K53" s="90"/>
      <c r="L53" s="90"/>
      <c r="M53" s="81"/>
      <c r="N53" s="81"/>
      <c r="O53" s="81"/>
      <c r="P53" s="90"/>
      <c r="Q53" s="90"/>
      <c r="R53" s="90"/>
      <c r="S53" s="57"/>
      <c r="T53" s="90"/>
      <c r="U53" s="90"/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B52-B21</f>
        <v>10.3299999999999</v>
      </c>
      <c r="C54" s="57"/>
      <c r="D54" s="57" t="n">
        <f aca="false">C52-C22</f>
        <v>44301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7"/>
      <c r="T54" s="90"/>
      <c r="U54" s="90"/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/>
      <c r="Q55" s="90"/>
      <c r="R55" s="90"/>
      <c r="S55" s="57"/>
      <c r="T55" s="90"/>
      <c r="U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6.82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6.66"/>
    <col collapsed="false" customWidth="true" hidden="false" outlineLevel="0" max="20" min="20" style="49" width="5.82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55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56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56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/>
      <c r="G7" s="57"/>
      <c r="H7" s="61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DEC!$B$40:$C$40</f>
        <v>6914.09</v>
      </c>
      <c r="C8" s="57" t="n">
        <v>338603</v>
      </c>
      <c r="D8" s="57" t="n">
        <f aca="false" t="array" ref="D8:E8">DEC!$D$49:$E$49</f>
        <v>5093</v>
      </c>
      <c r="E8" s="57" t="n">
        <v>186603</v>
      </c>
      <c r="F8" s="57" t="n">
        <f aca="false" t="array" ref="F8:Z8">DEC!$F$48:$Z$48</f>
        <v>2567.68338795059</v>
      </c>
      <c r="G8" s="57" t="n">
        <v>6193</v>
      </c>
      <c r="H8" s="61" t="n">
        <v>258.2</v>
      </c>
      <c r="I8" s="57" t="n">
        <v>6444.3</v>
      </c>
      <c r="J8" s="57" t="n">
        <v>642.035475170154</v>
      </c>
      <c r="K8" s="57" t="n">
        <v>7077.93547517015</v>
      </c>
      <c r="L8" s="57" t="n">
        <v>-189.726612049408</v>
      </c>
      <c r="M8" s="57" t="n">
        <v>762.73</v>
      </c>
      <c r="N8" s="57" t="n">
        <v>0</v>
      </c>
      <c r="O8" s="57" t="n">
        <v>113.49</v>
      </c>
      <c r="P8" s="57" t="n">
        <v>0</v>
      </c>
      <c r="Q8" s="57" t="n">
        <v>146.2</v>
      </c>
      <c r="R8" s="57" t="n">
        <v>651.68</v>
      </c>
      <c r="S8" s="57" t="n">
        <v>0</v>
      </c>
      <c r="T8" s="57" t="n">
        <v>0</v>
      </c>
      <c r="U8" s="57" t="n">
        <v>2777.96</v>
      </c>
      <c r="V8" s="57" t="n">
        <v>3370.04</v>
      </c>
      <c r="W8" s="57" t="n">
        <v>3686.89</v>
      </c>
      <c r="X8" s="57" t="n">
        <v>831.762087219561</v>
      </c>
      <c r="Y8" s="57" t="n">
        <v>4518.65208721956</v>
      </c>
      <c r="Z8" s="81" t="n">
        <v>1.99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6914.1</v>
      </c>
      <c r="C10" s="57" t="n">
        <v>338645</v>
      </c>
      <c r="D10" s="61" t="n">
        <f aca="false">C10-C8</f>
        <v>42</v>
      </c>
      <c r="E10" s="57" t="n">
        <f aca="false">C10-152000</f>
        <v>186645</v>
      </c>
      <c r="F10" s="56" t="n">
        <f aca="false">D10/$D$2</f>
        <v>21.17469120242</v>
      </c>
      <c r="G10" s="56" t="n">
        <v>80</v>
      </c>
      <c r="H10" s="58" t="n">
        <v>4.5</v>
      </c>
      <c r="I10" s="56" t="n">
        <f aca="false">G10+H10</f>
        <v>84.5</v>
      </c>
      <c r="J10" s="81" t="n">
        <f aca="false">IF(L10&gt;0,L10,0)</f>
        <v>0</v>
      </c>
      <c r="K10" s="56" t="n">
        <f aca="false">I10+J10</f>
        <v>84.5</v>
      </c>
      <c r="L10" s="56" t="n">
        <f aca="false">F10-(I10-W10)</f>
        <v>-16.03530879758</v>
      </c>
      <c r="M10" s="56" t="n">
        <v>6.29</v>
      </c>
      <c r="N10" s="56" t="n">
        <v>0</v>
      </c>
      <c r="O10" s="56" t="n">
        <f aca="false">M10-N10</f>
        <v>6.29</v>
      </c>
      <c r="P10" s="56" t="n">
        <v>0</v>
      </c>
      <c r="Q10" s="56" t="n">
        <v>0</v>
      </c>
      <c r="R10" s="56" t="n">
        <f aca="false">SUM(O10:Q10)</f>
        <v>6.29</v>
      </c>
      <c r="S10" s="57"/>
      <c r="T10" s="56" t="n">
        <v>0</v>
      </c>
      <c r="U10" s="56" t="n">
        <v>41</v>
      </c>
      <c r="V10" s="57" t="n">
        <f aca="false">V8-U10</f>
        <v>3329.04</v>
      </c>
      <c r="W10" s="56" t="n">
        <f aca="false">R10+T10+N10+U10</f>
        <v>47.29</v>
      </c>
      <c r="X10" s="56" t="n">
        <f aca="false">IF(L10&lt;0,L10*-1,0)</f>
        <v>16.03530879758</v>
      </c>
      <c r="Y10" s="56" t="n">
        <f aca="false">W10+X10</f>
        <v>63.32530879758</v>
      </c>
      <c r="Z10" s="60" t="n">
        <v>0</v>
      </c>
      <c r="AA10" s="61" t="n">
        <v>53</v>
      </c>
      <c r="AB10" s="61" t="n">
        <v>14</v>
      </c>
      <c r="AC10" s="62" t="n">
        <v>1</v>
      </c>
      <c r="AD10" s="79"/>
      <c r="AE10" s="82"/>
      <c r="AF10" s="79"/>
    </row>
    <row r="11" customFormat="false" ht="11.1" hidden="false" customHeight="true" outlineLevel="0" collapsed="false">
      <c r="A11" s="62" t="n">
        <f aca="false">A10+1</f>
        <v>2</v>
      </c>
      <c r="B11" s="80" t="n">
        <v>6914.12</v>
      </c>
      <c r="C11" s="57" t="n">
        <v>338728</v>
      </c>
      <c r="D11" s="61" t="n">
        <f aca="false">C11-C10</f>
        <v>83</v>
      </c>
      <c r="E11" s="57" t="n">
        <f aca="false">C11-152000</f>
        <v>186728</v>
      </c>
      <c r="F11" s="56" t="n">
        <f aca="false">D11/$D$2</f>
        <v>41.8452230904966</v>
      </c>
      <c r="G11" s="56" t="n">
        <v>85</v>
      </c>
      <c r="H11" s="58" t="n">
        <v>4.8</v>
      </c>
      <c r="I11" s="56" t="n">
        <f aca="false">G11+H11</f>
        <v>89.8</v>
      </c>
      <c r="J11" s="81" t="n">
        <f aca="false">IF(L11&gt;0,L11,0)</f>
        <v>0</v>
      </c>
      <c r="K11" s="56" t="n">
        <f aca="false">I11+J11</f>
        <v>89.8</v>
      </c>
      <c r="L11" s="56" t="n">
        <f aca="false">F11-(I11-W11)</f>
        <v>-0.664776909503402</v>
      </c>
      <c r="M11" s="56" t="n">
        <v>6.29</v>
      </c>
      <c r="N11" s="56" t="n">
        <v>0</v>
      </c>
      <c r="O11" s="56" t="n">
        <f aca="false">M11-N11</f>
        <v>6.29</v>
      </c>
      <c r="P11" s="56" t="n">
        <v>0</v>
      </c>
      <c r="Q11" s="56" t="n">
        <v>0</v>
      </c>
      <c r="R11" s="56" t="n">
        <f aca="false">SUM(O11:Q11)</f>
        <v>6.29</v>
      </c>
      <c r="S11" s="57"/>
      <c r="T11" s="56" t="n">
        <v>0</v>
      </c>
      <c r="U11" s="56" t="n">
        <v>41</v>
      </c>
      <c r="V11" s="57" t="n">
        <f aca="false">V10-U11</f>
        <v>3288.04</v>
      </c>
      <c r="W11" s="56" t="n">
        <f aca="false">R11+T11+N11+U11</f>
        <v>47.29</v>
      </c>
      <c r="X11" s="56" t="n">
        <f aca="false">IF(L11&lt;0,L11*-1,0)</f>
        <v>0.664776909503402</v>
      </c>
      <c r="Y11" s="56" t="n">
        <f aca="false">W11+X11</f>
        <v>47.9547769095034</v>
      </c>
      <c r="Z11" s="60" t="n">
        <v>0</v>
      </c>
      <c r="AA11" s="61" t="n">
        <v>47</v>
      </c>
      <c r="AB11" s="61" t="n">
        <v>27</v>
      </c>
      <c r="AC11" s="62" t="n">
        <f aca="false">AC10+1</f>
        <v>2</v>
      </c>
      <c r="AD11" s="79"/>
      <c r="AE11" s="82"/>
      <c r="AF11" s="79"/>
    </row>
    <row r="12" customFormat="false" ht="11.1" hidden="false" customHeight="true" outlineLevel="0" collapsed="false">
      <c r="A12" s="62" t="n">
        <f aca="false">A11+1</f>
        <v>3</v>
      </c>
      <c r="B12" s="80" t="n">
        <v>6914.16</v>
      </c>
      <c r="C12" s="57" t="n">
        <v>338893</v>
      </c>
      <c r="D12" s="61" t="n">
        <f aca="false">C12-C11</f>
        <v>165</v>
      </c>
      <c r="E12" s="57" t="n">
        <f aca="false">C12-152000</f>
        <v>186893</v>
      </c>
      <c r="F12" s="56" t="n">
        <f aca="false">D12/$D$2</f>
        <v>83.1862868666499</v>
      </c>
      <c r="G12" s="56" t="n">
        <v>90</v>
      </c>
      <c r="H12" s="58" t="n">
        <v>4.8</v>
      </c>
      <c r="I12" s="56" t="n">
        <f aca="false">G12+H12</f>
        <v>94.8</v>
      </c>
      <c r="J12" s="81" t="n">
        <f aca="false">IF(L12&gt;0,L12,0)</f>
        <v>36.6762868666499</v>
      </c>
      <c r="K12" s="56" t="n">
        <f aca="false">I12+J12</f>
        <v>131.47628686665</v>
      </c>
      <c r="L12" s="56" t="n">
        <f aca="false">F12-(I12-W12)</f>
        <v>36.6762868666499</v>
      </c>
      <c r="M12" s="56" t="n">
        <v>6.29</v>
      </c>
      <c r="N12" s="56" t="n">
        <v>0</v>
      </c>
      <c r="O12" s="56" t="n">
        <f aca="false">M12-N12</f>
        <v>6.29</v>
      </c>
      <c r="P12" s="56" t="n">
        <v>0</v>
      </c>
      <c r="Q12" s="56" t="n">
        <v>0</v>
      </c>
      <c r="R12" s="56" t="n">
        <f aca="false">SUM(O12:Q12)</f>
        <v>6.29</v>
      </c>
      <c r="S12" s="57"/>
      <c r="T12" s="56" t="n">
        <v>0</v>
      </c>
      <c r="U12" s="56" t="n">
        <v>42</v>
      </c>
      <c r="V12" s="57" t="n">
        <f aca="false">V11-U12</f>
        <v>3246.04</v>
      </c>
      <c r="W12" s="56" t="n">
        <f aca="false">R12+T12+N12+U12</f>
        <v>48.29</v>
      </c>
      <c r="X12" s="56" t="n">
        <f aca="false">IF(L12&lt;0,L12*-1,0)</f>
        <v>0</v>
      </c>
      <c r="Y12" s="56" t="n">
        <f aca="false">W12+X12</f>
        <v>48.29</v>
      </c>
      <c r="Z12" s="60" t="n">
        <v>0.04</v>
      </c>
      <c r="AA12" s="61" t="n">
        <v>40</v>
      </c>
      <c r="AB12" s="61" t="n">
        <v>25</v>
      </c>
      <c r="AC12" s="62" t="n">
        <f aca="false">AC11+1</f>
        <v>3</v>
      </c>
      <c r="AD12" s="79"/>
      <c r="AE12" s="82"/>
      <c r="AF12" s="79"/>
    </row>
    <row r="13" customFormat="false" ht="11.1" hidden="false" customHeight="true" outlineLevel="0" collapsed="false">
      <c r="A13" s="62" t="n">
        <f aca="false">A12+1</f>
        <v>4</v>
      </c>
      <c r="B13" s="80" t="n">
        <v>6914.18</v>
      </c>
      <c r="C13" s="57" t="n">
        <v>338976</v>
      </c>
      <c r="D13" s="61" t="n">
        <f aca="false">C13-C12</f>
        <v>83</v>
      </c>
      <c r="E13" s="57" t="n">
        <f aca="false">C13-152000</f>
        <v>186976</v>
      </c>
      <c r="F13" s="56" t="n">
        <f aca="false">D13/$D$2</f>
        <v>41.8452230904966</v>
      </c>
      <c r="G13" s="56" t="n">
        <v>80</v>
      </c>
      <c r="H13" s="58" t="n">
        <v>4.3</v>
      </c>
      <c r="I13" s="56" t="n">
        <f aca="false">G13+H13</f>
        <v>84.3</v>
      </c>
      <c r="J13" s="81" t="n">
        <f aca="false">IF(L13&gt;0,L13,0)</f>
        <v>4.8352230904966</v>
      </c>
      <c r="K13" s="56" t="n">
        <f aca="false">I13+J13</f>
        <v>89.1352230904966</v>
      </c>
      <c r="L13" s="56" t="n">
        <f aca="false">F13-(I13-W13)</f>
        <v>4.8352230904966</v>
      </c>
      <c r="M13" s="56" t="n">
        <v>6.29</v>
      </c>
      <c r="N13" s="56" t="n">
        <v>0</v>
      </c>
      <c r="O13" s="56" t="n">
        <f aca="false">M13-N13</f>
        <v>6.29</v>
      </c>
      <c r="P13" s="56" t="n">
        <v>0</v>
      </c>
      <c r="Q13" s="56" t="n">
        <v>0</v>
      </c>
      <c r="R13" s="56" t="n">
        <f aca="false">SUM(O13:Q13)</f>
        <v>6.29</v>
      </c>
      <c r="S13" s="57"/>
      <c r="T13" s="56" t="n">
        <v>0</v>
      </c>
      <c r="U13" s="56" t="n">
        <v>41</v>
      </c>
      <c r="V13" s="57" t="n">
        <f aca="false">V12-U13</f>
        <v>3205.04</v>
      </c>
      <c r="W13" s="56" t="n">
        <f aca="false">R13+T13+N13+U13</f>
        <v>47.29</v>
      </c>
      <c r="X13" s="56" t="n">
        <f aca="false">IF(L13&lt;0,L13*-1,0)</f>
        <v>0</v>
      </c>
      <c r="Y13" s="56" t="n">
        <f aca="false">W13+X13</f>
        <v>47.29</v>
      </c>
      <c r="Z13" s="60" t="n">
        <v>0.17</v>
      </c>
      <c r="AA13" s="61" t="n">
        <v>36</v>
      </c>
      <c r="AB13" s="61" t="n">
        <v>29</v>
      </c>
      <c r="AC13" s="62" t="n">
        <f aca="false">AC12+1</f>
        <v>4</v>
      </c>
      <c r="AD13" s="79"/>
      <c r="AE13" s="82"/>
      <c r="AF13" s="79"/>
    </row>
    <row r="14" customFormat="false" ht="11.1" hidden="false" customHeight="true" outlineLevel="0" collapsed="false">
      <c r="A14" s="62" t="n">
        <f aca="false">A13+1</f>
        <v>5</v>
      </c>
      <c r="B14" s="80" t="n">
        <v>6914.24</v>
      </c>
      <c r="C14" s="57" t="n">
        <v>339225</v>
      </c>
      <c r="D14" s="61" t="n">
        <f aca="false">C14-C13</f>
        <v>249</v>
      </c>
      <c r="E14" s="57" t="n">
        <f aca="false">C14-152000</f>
        <v>187225</v>
      </c>
      <c r="F14" s="56" t="n">
        <f aca="false">D14/$D$2</f>
        <v>125.53566927149</v>
      </c>
      <c r="G14" s="56" t="n">
        <v>68</v>
      </c>
      <c r="H14" s="58" t="n">
        <v>3.9</v>
      </c>
      <c r="I14" s="56" t="n">
        <f aca="false">G14+H14</f>
        <v>71.9</v>
      </c>
      <c r="J14" s="81" t="n">
        <f aca="false">IF(L14&gt;0,L14,0)</f>
        <v>100.92566927149</v>
      </c>
      <c r="K14" s="56" t="n">
        <f aca="false">I14+J14</f>
        <v>172.82566927149</v>
      </c>
      <c r="L14" s="56" t="n">
        <f aca="false">F14-(I14-W14)</f>
        <v>100.92566927149</v>
      </c>
      <c r="M14" s="56" t="n">
        <v>6.29</v>
      </c>
      <c r="N14" s="56" t="n">
        <v>0</v>
      </c>
      <c r="O14" s="56" t="n">
        <f aca="false">M14-N14</f>
        <v>6.29</v>
      </c>
      <c r="P14" s="56" t="n">
        <v>0</v>
      </c>
      <c r="Q14" s="56" t="n">
        <v>0</v>
      </c>
      <c r="R14" s="56" t="n">
        <f aca="false">SUM(O14:Q14)</f>
        <v>6.29</v>
      </c>
      <c r="S14" s="57"/>
      <c r="T14" s="56" t="n">
        <v>0</v>
      </c>
      <c r="U14" s="56" t="n">
        <v>41</v>
      </c>
      <c r="V14" s="57" t="n">
        <f aca="false">V13-U14</f>
        <v>3164.04</v>
      </c>
      <c r="W14" s="56" t="n">
        <f aca="false">R14+T14+N14+U14</f>
        <v>47.29</v>
      </c>
      <c r="X14" s="56" t="n">
        <f aca="false">IF(L14&lt;0,L14*-1,0)</f>
        <v>0</v>
      </c>
      <c r="Y14" s="56" t="n">
        <f aca="false">W14+X14</f>
        <v>47.29</v>
      </c>
      <c r="Z14" s="60" t="n">
        <v>0.25</v>
      </c>
      <c r="AA14" s="61" t="n">
        <v>30</v>
      </c>
      <c r="AB14" s="61" t="n">
        <v>8</v>
      </c>
      <c r="AC14" s="62" t="n">
        <f aca="false">AC13+1</f>
        <v>5</v>
      </c>
      <c r="AD14" s="79"/>
      <c r="AE14" s="82"/>
      <c r="AF14" s="79"/>
    </row>
    <row r="15" customFormat="false" ht="11.1" hidden="false" customHeight="true" outlineLevel="0" collapsed="false">
      <c r="A15" s="62" t="n">
        <f aca="false">A14+1</f>
        <v>6</v>
      </c>
      <c r="B15" s="80" t="n">
        <v>6914.28</v>
      </c>
      <c r="C15" s="57" t="n">
        <v>339390</v>
      </c>
      <c r="D15" s="61" t="n">
        <f aca="false">C15-C14</f>
        <v>165</v>
      </c>
      <c r="E15" s="57" t="n">
        <f aca="false">C15-152000</f>
        <v>187390</v>
      </c>
      <c r="F15" s="56" t="n">
        <f aca="false">D15/$D$2</f>
        <v>83.1862868666499</v>
      </c>
      <c r="G15" s="56" t="n">
        <v>60</v>
      </c>
      <c r="H15" s="58" t="n">
        <v>3.5</v>
      </c>
      <c r="I15" s="56" t="n">
        <f aca="false">G15+H15</f>
        <v>63.5</v>
      </c>
      <c r="J15" s="81" t="n">
        <f aca="false">IF(L15&gt;0,L15,0)</f>
        <v>66.9762868666499</v>
      </c>
      <c r="K15" s="56" t="n">
        <f aca="false">I15+J15</f>
        <v>130.47628686665</v>
      </c>
      <c r="L15" s="56" t="n">
        <f aca="false">F15-(I15-W15)</f>
        <v>66.9762868666499</v>
      </c>
      <c r="M15" s="56" t="n">
        <v>6.29</v>
      </c>
      <c r="N15" s="56" t="n">
        <v>0</v>
      </c>
      <c r="O15" s="56" t="n">
        <f aca="false">M15-N15</f>
        <v>6.29</v>
      </c>
      <c r="P15" s="56" t="n">
        <v>0</v>
      </c>
      <c r="Q15" s="56" t="n">
        <v>0</v>
      </c>
      <c r="R15" s="56" t="n">
        <f aca="false">SUM(O15:Q15)</f>
        <v>6.29</v>
      </c>
      <c r="S15" s="57"/>
      <c r="T15" s="56" t="n">
        <v>0</v>
      </c>
      <c r="U15" s="56" t="n">
        <v>41</v>
      </c>
      <c r="V15" s="57" t="n">
        <f aca="false">V14-U15</f>
        <v>3123.04</v>
      </c>
      <c r="W15" s="56" t="n">
        <f aca="false">R15+T15+N15+U15</f>
        <v>47.29</v>
      </c>
      <c r="X15" s="56" t="n">
        <f aca="false">IF(L15&lt;0,L15*-1,0)</f>
        <v>0</v>
      </c>
      <c r="Y15" s="56" t="n">
        <f aca="false">W15+X15</f>
        <v>47.29</v>
      </c>
      <c r="Z15" s="60" t="n">
        <v>0.19</v>
      </c>
      <c r="AA15" s="61" t="n">
        <v>40</v>
      </c>
      <c r="AB15" s="61" t="n">
        <v>2</v>
      </c>
      <c r="AC15" s="62" t="n">
        <f aca="false">AC14+1</f>
        <v>6</v>
      </c>
      <c r="AD15" s="78"/>
      <c r="AE15" s="82"/>
      <c r="AF15" s="79"/>
    </row>
    <row r="16" customFormat="false" ht="11.1" hidden="false" customHeight="true" outlineLevel="0" collapsed="false">
      <c r="A16" s="62" t="n">
        <f aca="false">A15+1</f>
        <v>7</v>
      </c>
      <c r="B16" s="80" t="n">
        <v>6914.31</v>
      </c>
      <c r="C16" s="57" t="n">
        <v>339515</v>
      </c>
      <c r="D16" s="61" t="n">
        <f aca="false">C16-C15</f>
        <v>125</v>
      </c>
      <c r="E16" s="57" t="n">
        <f aca="false">C16-152000</f>
        <v>187515</v>
      </c>
      <c r="F16" s="56" t="n">
        <f aca="false">D16/$D$2</f>
        <v>63.0199142929166</v>
      </c>
      <c r="G16" s="56" t="n">
        <v>64</v>
      </c>
      <c r="H16" s="58" t="n">
        <v>3.6</v>
      </c>
      <c r="I16" s="56" t="n">
        <f aca="false">G16+H16</f>
        <v>67.6</v>
      </c>
      <c r="J16" s="81" t="n">
        <f aca="false">IF(L16&gt;0,L16,0)</f>
        <v>42.7099142929166</v>
      </c>
      <c r="K16" s="56" t="n">
        <f aca="false">I16+J16</f>
        <v>110.309914292917</v>
      </c>
      <c r="L16" s="56" t="n">
        <f aca="false">F16-(I16-W16)</f>
        <v>42.7099142929166</v>
      </c>
      <c r="M16" s="56" t="n">
        <v>6.29</v>
      </c>
      <c r="N16" s="56" t="n">
        <v>0</v>
      </c>
      <c r="O16" s="56" t="n">
        <f aca="false">M16-N16</f>
        <v>6.29</v>
      </c>
      <c r="P16" s="56" t="n">
        <v>0</v>
      </c>
      <c r="Q16" s="56" t="n">
        <v>0</v>
      </c>
      <c r="R16" s="56" t="n">
        <f aca="false">SUM(O16:Q16)</f>
        <v>6.29</v>
      </c>
      <c r="S16" s="57"/>
      <c r="T16" s="56" t="n">
        <v>0</v>
      </c>
      <c r="U16" s="56" t="n">
        <v>41</v>
      </c>
      <c r="V16" s="57" t="n">
        <f aca="false">V15-U16</f>
        <v>3082.04</v>
      </c>
      <c r="W16" s="56" t="n">
        <f aca="false">R16+T16+N16+U16</f>
        <v>47.29</v>
      </c>
      <c r="X16" s="56" t="n">
        <f aca="false">IF(L16&lt;0,L16*-1,0)</f>
        <v>0</v>
      </c>
      <c r="Y16" s="56" t="n">
        <f aca="false">W16+X16</f>
        <v>47.29</v>
      </c>
      <c r="Z16" s="60" t="n">
        <v>0</v>
      </c>
      <c r="AA16" s="61" t="n">
        <v>38</v>
      </c>
      <c r="AB16" s="61" t="n">
        <v>-4</v>
      </c>
      <c r="AC16" s="62" t="n">
        <f aca="false">AC15+1</f>
        <v>7</v>
      </c>
      <c r="AD16" s="78"/>
      <c r="AE16" s="82"/>
      <c r="AF16" s="79"/>
    </row>
    <row r="17" customFormat="false" ht="11.1" hidden="false" customHeight="true" outlineLevel="0" collapsed="false">
      <c r="A17" s="62" t="n">
        <f aca="false">A16+1</f>
        <v>8</v>
      </c>
      <c r="B17" s="80" t="n">
        <v>6914.32</v>
      </c>
      <c r="C17" s="57" t="n">
        <v>339556</v>
      </c>
      <c r="D17" s="61" t="n">
        <f aca="false">C17-C16</f>
        <v>41</v>
      </c>
      <c r="E17" s="57" t="n">
        <f aca="false">C17-152000</f>
        <v>187556</v>
      </c>
      <c r="F17" s="56" t="n">
        <f aca="false">D17/$D$2</f>
        <v>20.6705318880766</v>
      </c>
      <c r="G17" s="56" t="n">
        <v>66</v>
      </c>
      <c r="H17" s="58" t="n">
        <v>3.8</v>
      </c>
      <c r="I17" s="56" t="n">
        <f aca="false">G17+H17</f>
        <v>69.8</v>
      </c>
      <c r="J17" s="81" t="n">
        <f aca="false">IF(L17&gt;0,L17,0)</f>
        <v>0</v>
      </c>
      <c r="K17" s="56" t="n">
        <f aca="false">I17+J17</f>
        <v>69.8</v>
      </c>
      <c r="L17" s="56" t="n">
        <f aca="false">F17-(I17-W17)</f>
        <v>-1.83946811192337</v>
      </c>
      <c r="M17" s="56" t="n">
        <v>6.29</v>
      </c>
      <c r="N17" s="56" t="n">
        <v>0</v>
      </c>
      <c r="O17" s="56" t="n">
        <f aca="false">M17-N17</f>
        <v>6.29</v>
      </c>
      <c r="P17" s="56" t="n">
        <v>0</v>
      </c>
      <c r="Q17" s="56" t="n">
        <v>0</v>
      </c>
      <c r="R17" s="56" t="n">
        <f aca="false">SUM(O17:Q17)</f>
        <v>6.29</v>
      </c>
      <c r="S17" s="57"/>
      <c r="T17" s="56" t="n">
        <v>0</v>
      </c>
      <c r="U17" s="56" t="n">
        <v>41</v>
      </c>
      <c r="V17" s="57" t="n">
        <f aca="false">V16-U17</f>
        <v>3041.04</v>
      </c>
      <c r="W17" s="56" t="n">
        <f aca="false">R17+T17+N17+U17</f>
        <v>47.29</v>
      </c>
      <c r="X17" s="56" t="n">
        <f aca="false">IF(L17&lt;0,L17*-1,0)</f>
        <v>1.83946811192337</v>
      </c>
      <c r="Y17" s="56" t="n">
        <f aca="false">W17+X17</f>
        <v>49.1294681119234</v>
      </c>
      <c r="Z17" s="60" t="n">
        <v>0</v>
      </c>
      <c r="AA17" s="61" t="n">
        <v>38</v>
      </c>
      <c r="AB17" s="61" t="n">
        <v>-6</v>
      </c>
      <c r="AC17" s="62" t="n">
        <f aca="false">AC16+1</f>
        <v>8</v>
      </c>
      <c r="AD17" s="78"/>
      <c r="AE17" s="82"/>
      <c r="AF17" s="79"/>
    </row>
    <row r="18" customFormat="false" ht="11.1" hidden="false" customHeight="true" outlineLevel="0" collapsed="false">
      <c r="A18" s="62" t="n">
        <f aca="false">A17+1</f>
        <v>9</v>
      </c>
      <c r="B18" s="80" t="n">
        <v>6914.33</v>
      </c>
      <c r="C18" s="57" t="n">
        <v>339597</v>
      </c>
      <c r="D18" s="61" t="n">
        <f aca="false">C18-C17</f>
        <v>41</v>
      </c>
      <c r="E18" s="57" t="n">
        <f aca="false">C18-152000</f>
        <v>187597</v>
      </c>
      <c r="F18" s="56" t="n">
        <f aca="false">D18/$D$2</f>
        <v>20.6705318880766</v>
      </c>
      <c r="G18" s="56" t="n">
        <v>70</v>
      </c>
      <c r="H18" s="58" t="n">
        <v>4.1</v>
      </c>
      <c r="I18" s="56" t="n">
        <f aca="false">G18+H18</f>
        <v>74.1</v>
      </c>
      <c r="J18" s="81" t="n">
        <f aca="false">IF(L18&gt;0,L18,0)</f>
        <v>0</v>
      </c>
      <c r="K18" s="56" t="n">
        <f aca="false">I18+J18</f>
        <v>74.1</v>
      </c>
      <c r="L18" s="56" t="n">
        <f aca="false">F18-(I18-W18)</f>
        <v>-6.13946811192336</v>
      </c>
      <c r="M18" s="56" t="n">
        <v>6.29</v>
      </c>
      <c r="N18" s="56" t="n">
        <v>0</v>
      </c>
      <c r="O18" s="56" t="n">
        <f aca="false">M18-N18</f>
        <v>6.29</v>
      </c>
      <c r="P18" s="56" t="n">
        <v>0</v>
      </c>
      <c r="Q18" s="56" t="n">
        <v>0</v>
      </c>
      <c r="R18" s="56" t="n">
        <f aca="false">SUM(O18:Q18)</f>
        <v>6.29</v>
      </c>
      <c r="S18" s="57"/>
      <c r="T18" s="56" t="n">
        <v>0</v>
      </c>
      <c r="U18" s="56" t="n">
        <v>41</v>
      </c>
      <c r="V18" s="57" t="n">
        <f aca="false">V17-U18</f>
        <v>3000.04</v>
      </c>
      <c r="W18" s="56" t="n">
        <f aca="false">R18+T18+N18+U18</f>
        <v>47.29</v>
      </c>
      <c r="X18" s="56" t="n">
        <f aca="false">IF(L18&lt;0,L18*-1,0)</f>
        <v>6.13946811192336</v>
      </c>
      <c r="Y18" s="56" t="n">
        <f aca="false">W18+X18</f>
        <v>53.4294681119234</v>
      </c>
      <c r="Z18" s="60" t="n">
        <v>0.08</v>
      </c>
      <c r="AA18" s="90" t="n">
        <v>44</v>
      </c>
      <c r="AB18" s="61" t="n">
        <v>12</v>
      </c>
      <c r="AC18" s="62" t="n">
        <f aca="false">AC17+1</f>
        <v>9</v>
      </c>
      <c r="AD18" s="78"/>
      <c r="AE18" s="82"/>
      <c r="AF18" s="79"/>
    </row>
    <row r="19" customFormat="false" ht="11.1" hidden="false" customHeight="true" outlineLevel="0" collapsed="false">
      <c r="A19" s="62" t="n">
        <f aca="false">A18+1</f>
        <v>10</v>
      </c>
      <c r="B19" s="80" t="n">
        <v>6914.36</v>
      </c>
      <c r="C19" s="57" t="n">
        <v>339722</v>
      </c>
      <c r="D19" s="61" t="n">
        <f aca="false">C19-C18</f>
        <v>125</v>
      </c>
      <c r="E19" s="57" t="n">
        <f aca="false">C19-152000</f>
        <v>187722</v>
      </c>
      <c r="F19" s="56" t="n">
        <f aca="false">D19/$D$2</f>
        <v>63.0199142929166</v>
      </c>
      <c r="G19" s="56" t="n">
        <v>78</v>
      </c>
      <c r="H19" s="58" t="n">
        <v>4.4</v>
      </c>
      <c r="I19" s="56" t="n">
        <f aca="false">G19+H19</f>
        <v>82.4</v>
      </c>
      <c r="J19" s="81" t="n">
        <f aca="false">IF(L19&gt;0,L19,0)</f>
        <v>27.9099142929166</v>
      </c>
      <c r="K19" s="56" t="n">
        <f aca="false">I19+J19</f>
        <v>110.309914292917</v>
      </c>
      <c r="L19" s="56" t="n">
        <f aca="false">F19-(I19-W19)</f>
        <v>27.9099142929166</v>
      </c>
      <c r="M19" s="56" t="n">
        <v>6.29</v>
      </c>
      <c r="N19" s="56" t="n">
        <v>0</v>
      </c>
      <c r="O19" s="56" t="n">
        <f aca="false">M19-N19</f>
        <v>6.29</v>
      </c>
      <c r="P19" s="56" t="n">
        <v>0</v>
      </c>
      <c r="Q19" s="56" t="n">
        <v>0</v>
      </c>
      <c r="R19" s="56" t="n">
        <f aca="false">SUM(O19:Q19)</f>
        <v>6.29</v>
      </c>
      <c r="S19" s="57"/>
      <c r="T19" s="56" t="n">
        <v>0</v>
      </c>
      <c r="U19" s="56" t="n">
        <v>41</v>
      </c>
      <c r="V19" s="57" t="n">
        <f aca="false">V18-U19</f>
        <v>2959.04</v>
      </c>
      <c r="W19" s="56" t="n">
        <f aca="false">R19+T19+N19+U19</f>
        <v>47.29</v>
      </c>
      <c r="X19" s="56" t="n">
        <f aca="false">IF(L19&lt;0,L19*-1,0)</f>
        <v>0</v>
      </c>
      <c r="Y19" s="56" t="n">
        <f aca="false">W19+X19</f>
        <v>47.29</v>
      </c>
      <c r="Z19" s="60" t="n">
        <v>0.05</v>
      </c>
      <c r="AA19" s="61" t="n">
        <v>32</v>
      </c>
      <c r="AB19" s="61" t="n">
        <v>24</v>
      </c>
      <c r="AC19" s="62" t="n">
        <f aca="false">AC18+1</f>
        <v>10</v>
      </c>
      <c r="AD19" s="78"/>
      <c r="AE19" s="82"/>
      <c r="AF19" s="79"/>
    </row>
    <row r="20" customFormat="false" ht="11.1" hidden="false" customHeight="true" outlineLevel="0" collapsed="false">
      <c r="A20" s="62" t="n">
        <f aca="false">A19+1</f>
        <v>11</v>
      </c>
      <c r="B20" s="80" t="n">
        <v>6914.41</v>
      </c>
      <c r="C20" s="57" t="n">
        <v>339929</v>
      </c>
      <c r="D20" s="61" t="n">
        <f aca="false">C20-C19</f>
        <v>207</v>
      </c>
      <c r="E20" s="57" t="n">
        <f aca="false">C20-152000</f>
        <v>187929</v>
      </c>
      <c r="F20" s="56" t="n">
        <f aca="false">D20/$D$2</f>
        <v>104.36097806907</v>
      </c>
      <c r="G20" s="56" t="n">
        <v>76</v>
      </c>
      <c r="H20" s="58" t="n">
        <v>4.3</v>
      </c>
      <c r="I20" s="56" t="n">
        <f aca="false">G20+H20</f>
        <v>80.3</v>
      </c>
      <c r="J20" s="81" t="n">
        <f aca="false">IF(L20&gt;0,L20,0)</f>
        <v>71.3509780690698</v>
      </c>
      <c r="K20" s="56" t="n">
        <f aca="false">I20+J20</f>
        <v>151.65097806907</v>
      </c>
      <c r="L20" s="56" t="n">
        <f aca="false">F20-(I20-W20)</f>
        <v>71.3509780690698</v>
      </c>
      <c r="M20" s="56" t="n">
        <v>6.29</v>
      </c>
      <c r="N20" s="56" t="n">
        <v>0</v>
      </c>
      <c r="O20" s="56" t="n">
        <f aca="false">M20-N20</f>
        <v>6.29</v>
      </c>
      <c r="P20" s="56" t="n">
        <v>0</v>
      </c>
      <c r="Q20" s="56" t="n">
        <v>0</v>
      </c>
      <c r="R20" s="56" t="n">
        <f aca="false">SUM(O20:Q20)</f>
        <v>6.29</v>
      </c>
      <c r="S20" s="57"/>
      <c r="T20" s="56" t="n">
        <v>0</v>
      </c>
      <c r="U20" s="56" t="n">
        <v>41</v>
      </c>
      <c r="V20" s="57" t="n">
        <f aca="false">V19-U20</f>
        <v>2918.04</v>
      </c>
      <c r="W20" s="56" t="n">
        <f aca="false">R20+T20+N20+U20</f>
        <v>47.29</v>
      </c>
      <c r="X20" s="56" t="n">
        <f aca="false">IF(L20&lt;0,L20*-1,0)</f>
        <v>0</v>
      </c>
      <c r="Y20" s="56" t="n">
        <f aca="false">W20+X20</f>
        <v>47.29</v>
      </c>
      <c r="Z20" s="60" t="n">
        <v>0.03</v>
      </c>
      <c r="AA20" s="61" t="n">
        <v>30</v>
      </c>
      <c r="AB20" s="61" t="n">
        <v>15</v>
      </c>
      <c r="AC20" s="62" t="n">
        <f aca="false">AC19+1</f>
        <v>11</v>
      </c>
      <c r="AD20" s="78"/>
      <c r="AE20" s="82"/>
      <c r="AF20" s="79"/>
    </row>
    <row r="21" customFormat="false" ht="11.1" hidden="false" customHeight="true" outlineLevel="0" collapsed="false">
      <c r="A21" s="62" t="n">
        <f aca="false">A20+1</f>
        <v>12</v>
      </c>
      <c r="B21" s="80" t="n">
        <v>6914.42</v>
      </c>
      <c r="C21" s="57" t="n">
        <v>339970</v>
      </c>
      <c r="D21" s="61" t="n">
        <f aca="false">C21-C20</f>
        <v>41</v>
      </c>
      <c r="E21" s="57" t="n">
        <f aca="false">C21-152000</f>
        <v>187970</v>
      </c>
      <c r="F21" s="56" t="n">
        <f aca="false">D21/$D$2</f>
        <v>20.6705318880766</v>
      </c>
      <c r="G21" s="56" t="n">
        <v>74</v>
      </c>
      <c r="H21" s="58" t="n">
        <v>4.3</v>
      </c>
      <c r="I21" s="56" t="n">
        <f aca="false">G21+H21</f>
        <v>78.3</v>
      </c>
      <c r="J21" s="81" t="n">
        <f aca="false">IF(L21&gt;0,L21,0)</f>
        <v>0</v>
      </c>
      <c r="K21" s="56" t="n">
        <f aca="false">I21+J21</f>
        <v>78.3</v>
      </c>
      <c r="L21" s="56" t="n">
        <f aca="false">F21-(I21-W21)</f>
        <v>-10.3394681119234</v>
      </c>
      <c r="M21" s="56" t="n">
        <v>6.29</v>
      </c>
      <c r="N21" s="56" t="n">
        <v>0</v>
      </c>
      <c r="O21" s="56" t="n">
        <f aca="false">M21-N21</f>
        <v>6.29</v>
      </c>
      <c r="P21" s="56" t="n">
        <v>0</v>
      </c>
      <c r="Q21" s="56" t="n">
        <v>0</v>
      </c>
      <c r="R21" s="56" t="n">
        <f aca="false">SUM(O21:Q21)</f>
        <v>6.29</v>
      </c>
      <c r="S21" s="57"/>
      <c r="T21" s="56" t="n">
        <v>0</v>
      </c>
      <c r="U21" s="56" t="n">
        <v>41</v>
      </c>
      <c r="V21" s="57" t="n">
        <f aca="false">V20-U21</f>
        <v>2877.04</v>
      </c>
      <c r="W21" s="56" t="n">
        <f aca="false">R21+T21+N21+U21</f>
        <v>47.29</v>
      </c>
      <c r="X21" s="56" t="n">
        <f aca="false">IF(L21&lt;0,L21*-1,0)</f>
        <v>10.3394681119234</v>
      </c>
      <c r="Y21" s="56" t="n">
        <f aca="false">W21+X21</f>
        <v>57.6294681119234</v>
      </c>
      <c r="Z21" s="60" t="n">
        <v>0</v>
      </c>
      <c r="AA21" s="61" t="n">
        <v>36</v>
      </c>
      <c r="AB21" s="61" t="n">
        <v>15</v>
      </c>
      <c r="AC21" s="62" t="n">
        <f aca="false">AC20+1</f>
        <v>12</v>
      </c>
      <c r="AD21" s="78"/>
      <c r="AE21" s="82"/>
      <c r="AF21" s="79"/>
    </row>
    <row r="22" customFormat="false" ht="11.1" hidden="false" customHeight="true" outlineLevel="0" collapsed="false">
      <c r="A22" s="62" t="n">
        <v>13</v>
      </c>
      <c r="B22" s="80" t="n">
        <v>6914.43</v>
      </c>
      <c r="C22" s="57" t="n">
        <v>340012</v>
      </c>
      <c r="D22" s="61" t="n">
        <f aca="false">C22-C21</f>
        <v>42</v>
      </c>
      <c r="E22" s="57" t="n">
        <f aca="false">C22-152000</f>
        <v>188012</v>
      </c>
      <c r="F22" s="56" t="n">
        <f aca="false">D22/$D$2</f>
        <v>21.17469120242</v>
      </c>
      <c r="G22" s="56" t="n">
        <v>70</v>
      </c>
      <c r="H22" s="58" t="n">
        <v>4</v>
      </c>
      <c r="I22" s="56" t="n">
        <f aca="false">G22+H22</f>
        <v>74</v>
      </c>
      <c r="J22" s="81" t="n">
        <f aca="false">IF(L22&gt;0,L22,0)</f>
        <v>0</v>
      </c>
      <c r="K22" s="56" t="n">
        <f aca="false">I22+J22</f>
        <v>74</v>
      </c>
      <c r="L22" s="56" t="n">
        <f aca="false">F22-(I22-W22)</f>
        <v>-5.53530879758004</v>
      </c>
      <c r="M22" s="56" t="n">
        <v>6.29</v>
      </c>
      <c r="N22" s="56" t="n">
        <v>0</v>
      </c>
      <c r="O22" s="56" t="n">
        <f aca="false">M22-N22</f>
        <v>6.29</v>
      </c>
      <c r="P22" s="56" t="n">
        <v>0</v>
      </c>
      <c r="Q22" s="56" t="n">
        <v>0</v>
      </c>
      <c r="R22" s="56" t="n">
        <f aca="false">SUM(O22:Q22)</f>
        <v>6.29</v>
      </c>
      <c r="S22" s="57"/>
      <c r="T22" s="56" t="n">
        <v>0</v>
      </c>
      <c r="U22" s="56" t="n">
        <v>41</v>
      </c>
      <c r="V22" s="57" t="n">
        <f aca="false">V21-U22</f>
        <v>2836.04</v>
      </c>
      <c r="W22" s="56" t="n">
        <f aca="false">R22+T22+N22+U22</f>
        <v>47.29</v>
      </c>
      <c r="X22" s="56" t="n">
        <f aca="false">IF(L22&lt;0,L22*-1,0)</f>
        <v>5.53530879758004</v>
      </c>
      <c r="Y22" s="56" t="n">
        <f aca="false">W22+X22</f>
        <v>52.82530879758</v>
      </c>
      <c r="Z22" s="60" t="n">
        <v>0.12</v>
      </c>
      <c r="AA22" s="61" t="n">
        <v>34</v>
      </c>
      <c r="AB22" s="61" t="n">
        <v>24</v>
      </c>
      <c r="AC22" s="62" t="n">
        <f aca="false">AC21+1</f>
        <v>13</v>
      </c>
      <c r="AD22" s="78"/>
      <c r="AE22" s="82"/>
      <c r="AF22" s="79"/>
    </row>
    <row r="23" customFormat="false" ht="11.1" hidden="false" customHeight="true" outlineLevel="0" collapsed="false">
      <c r="A23" s="62" t="n">
        <f aca="false">A22+1</f>
        <v>14</v>
      </c>
      <c r="B23" s="80" t="n">
        <v>6914.45</v>
      </c>
      <c r="C23" s="57" t="n">
        <v>340094</v>
      </c>
      <c r="D23" s="61" t="n">
        <f aca="false">C23-C22</f>
        <v>82</v>
      </c>
      <c r="E23" s="57" t="n">
        <f aca="false">C23-152000</f>
        <v>188094</v>
      </c>
      <c r="F23" s="56" t="n">
        <f aca="false">D23/$D$2</f>
        <v>41.3410637761533</v>
      </c>
      <c r="G23" s="56" t="n">
        <v>60</v>
      </c>
      <c r="H23" s="58" t="n">
        <v>3.5</v>
      </c>
      <c r="I23" s="56" t="n">
        <f aca="false">G23+H23</f>
        <v>63.5</v>
      </c>
      <c r="J23" s="81" t="n">
        <f aca="false">IF(L23&gt;0,L23,0)</f>
        <v>25.1310637761533</v>
      </c>
      <c r="K23" s="56" t="n">
        <f aca="false">I23+J23</f>
        <v>88.6310637761533</v>
      </c>
      <c r="L23" s="56" t="n">
        <f aca="false">F23-(I23-W23)</f>
        <v>25.1310637761533</v>
      </c>
      <c r="M23" s="56" t="n">
        <v>6.29</v>
      </c>
      <c r="N23" s="56" t="n">
        <v>0</v>
      </c>
      <c r="O23" s="56" t="n">
        <f aca="false">M23-N23</f>
        <v>6.29</v>
      </c>
      <c r="P23" s="56" t="n">
        <v>0</v>
      </c>
      <c r="Q23" s="56" t="n">
        <v>0</v>
      </c>
      <c r="R23" s="56" t="n">
        <f aca="false">SUM(O23:Q23)</f>
        <v>6.29</v>
      </c>
      <c r="S23" s="57"/>
      <c r="T23" s="56" t="n">
        <v>0</v>
      </c>
      <c r="U23" s="56" t="n">
        <v>41</v>
      </c>
      <c r="V23" s="57" t="n">
        <f aca="false">V22-U23</f>
        <v>2795.04</v>
      </c>
      <c r="W23" s="56" t="n">
        <f aca="false">R23+T23+N23+U23</f>
        <v>47.29</v>
      </c>
      <c r="X23" s="56" t="n">
        <f aca="false">IF(L23&lt;0,L23*-1,0)</f>
        <v>0</v>
      </c>
      <c r="Y23" s="56" t="n">
        <f aca="false">W23+X23</f>
        <v>47.29</v>
      </c>
      <c r="Z23" s="60" t="n">
        <v>0</v>
      </c>
      <c r="AA23" s="90" t="n">
        <v>35</v>
      </c>
      <c r="AB23" s="61" t="n">
        <v>10</v>
      </c>
      <c r="AC23" s="62" t="n">
        <f aca="false">AC22+1</f>
        <v>14</v>
      </c>
      <c r="AD23" s="78"/>
      <c r="AE23" s="82"/>
      <c r="AF23" s="79"/>
    </row>
    <row r="24" customFormat="false" ht="11.1" hidden="false" customHeight="true" outlineLevel="0" collapsed="false">
      <c r="A24" s="62" t="n">
        <f aca="false">A23+1</f>
        <v>15</v>
      </c>
      <c r="B24" s="80" t="n">
        <v>6914.46</v>
      </c>
      <c r="C24" s="57" t="n">
        <v>340136</v>
      </c>
      <c r="D24" s="61" t="n">
        <f aca="false">C24-C23</f>
        <v>42</v>
      </c>
      <c r="E24" s="57" t="n">
        <f aca="false">C24-152000</f>
        <v>188136</v>
      </c>
      <c r="F24" s="56" t="n">
        <f aca="false">D24/$D$2</f>
        <v>21.17469120242</v>
      </c>
      <c r="G24" s="56" t="n">
        <v>58</v>
      </c>
      <c r="H24" s="58" t="n">
        <v>3.4</v>
      </c>
      <c r="I24" s="56" t="n">
        <f aca="false">G24+H24</f>
        <v>61.4</v>
      </c>
      <c r="J24" s="81" t="n">
        <f aca="false">IF(L24&gt;0,L24,0)</f>
        <v>7.06469120241997</v>
      </c>
      <c r="K24" s="56" t="n">
        <f aca="false">I24+J24</f>
        <v>68.46469120242</v>
      </c>
      <c r="L24" s="56" t="n">
        <f aca="false">F24-(I24-W24)</f>
        <v>7.06469120241997</v>
      </c>
      <c r="M24" s="56" t="n">
        <v>6.29</v>
      </c>
      <c r="N24" s="56" t="n">
        <v>0</v>
      </c>
      <c r="O24" s="56" t="n">
        <f aca="false">M24-N24</f>
        <v>6.29</v>
      </c>
      <c r="P24" s="56" t="n">
        <v>0</v>
      </c>
      <c r="Q24" s="56" t="n">
        <v>0</v>
      </c>
      <c r="R24" s="56" t="n">
        <f aca="false">SUM(O24:Q24)</f>
        <v>6.29</v>
      </c>
      <c r="S24" s="57"/>
      <c r="T24" s="56" t="n">
        <v>0</v>
      </c>
      <c r="U24" s="56" t="n">
        <v>41</v>
      </c>
      <c r="V24" s="57" t="n">
        <f aca="false">V23-U24</f>
        <v>2754.04</v>
      </c>
      <c r="W24" s="56" t="n">
        <f aca="false">R24+T24+N24+U24</f>
        <v>47.29</v>
      </c>
      <c r="X24" s="56" t="n">
        <f aca="false">IF(L24&lt;0,L24*-1,0)</f>
        <v>0</v>
      </c>
      <c r="Y24" s="56" t="n">
        <f aca="false">W24+X24</f>
        <v>47.29</v>
      </c>
      <c r="Z24" s="60" t="n">
        <v>0</v>
      </c>
      <c r="AA24" s="90" t="n">
        <v>42</v>
      </c>
      <c r="AB24" s="61" t="n">
        <v>9</v>
      </c>
      <c r="AC24" s="62" t="n">
        <f aca="false">AC23+1</f>
        <v>15</v>
      </c>
      <c r="AD24" s="78"/>
      <c r="AE24" s="82"/>
      <c r="AF24" s="79"/>
    </row>
    <row r="25" customFormat="false" ht="11.1" hidden="false" customHeight="true" outlineLevel="0" collapsed="false">
      <c r="A25" s="62" t="n">
        <f aca="false">A24+1</f>
        <v>16</v>
      </c>
      <c r="B25" s="80" t="n">
        <v>6914.48</v>
      </c>
      <c r="C25" s="57" t="n">
        <v>340219</v>
      </c>
      <c r="D25" s="61" t="n">
        <f aca="false">C25-C24</f>
        <v>83</v>
      </c>
      <c r="E25" s="57" t="n">
        <f aca="false">C25-152000</f>
        <v>188219</v>
      </c>
      <c r="F25" s="56" t="n">
        <f aca="false">D25/$D$2</f>
        <v>41.8452230904966</v>
      </c>
      <c r="G25" s="56" t="n">
        <v>60</v>
      </c>
      <c r="H25" s="58" t="n">
        <v>3.4</v>
      </c>
      <c r="I25" s="56" t="n">
        <f aca="false">G25+H25</f>
        <v>63.4</v>
      </c>
      <c r="J25" s="81" t="n">
        <f aca="false">IF(L25&gt;0,L25,0)</f>
        <v>25.7352230904966</v>
      </c>
      <c r="K25" s="56" t="n">
        <f aca="false">I25+J25</f>
        <v>89.1352230904966</v>
      </c>
      <c r="L25" s="56" t="n">
        <f aca="false">F25-(I25-W25)</f>
        <v>25.7352230904966</v>
      </c>
      <c r="M25" s="56" t="n">
        <v>6.29</v>
      </c>
      <c r="N25" s="56" t="n">
        <v>0</v>
      </c>
      <c r="O25" s="56" t="n">
        <f aca="false">M25-N25</f>
        <v>6.29</v>
      </c>
      <c r="P25" s="56" t="n">
        <v>0</v>
      </c>
      <c r="Q25" s="56" t="n">
        <v>0</v>
      </c>
      <c r="R25" s="56" t="n">
        <f aca="false">SUM(O25:Q25)</f>
        <v>6.29</v>
      </c>
      <c r="S25" s="57"/>
      <c r="T25" s="56" t="n">
        <v>0</v>
      </c>
      <c r="U25" s="56" t="n">
        <v>41</v>
      </c>
      <c r="V25" s="57" t="n">
        <f aca="false">V24-U25</f>
        <v>2713.04</v>
      </c>
      <c r="W25" s="56" t="n">
        <f aca="false">R25+T25+N25+U25</f>
        <v>47.29</v>
      </c>
      <c r="X25" s="56" t="n">
        <f aca="false">IF(L25&lt;0,L25*-1,0)</f>
        <v>0</v>
      </c>
      <c r="Y25" s="56" t="n">
        <f aca="false">W25+X25</f>
        <v>47.29</v>
      </c>
      <c r="Z25" s="60" t="n">
        <v>0</v>
      </c>
      <c r="AA25" s="90" t="n">
        <v>44</v>
      </c>
      <c r="AB25" s="61" t="n">
        <v>20</v>
      </c>
      <c r="AC25" s="62" t="n">
        <f aca="false">AC24+1</f>
        <v>16</v>
      </c>
      <c r="AD25" s="78"/>
      <c r="AE25" s="91"/>
      <c r="AF25" s="79"/>
    </row>
    <row r="26" customFormat="false" ht="11.1" hidden="false" customHeight="true" outlineLevel="0" collapsed="false">
      <c r="A26" s="62" t="n">
        <f aca="false">A25+1</f>
        <v>17</v>
      </c>
      <c r="B26" s="80" t="n">
        <v>6914.51</v>
      </c>
      <c r="C26" s="57" t="n">
        <v>340343</v>
      </c>
      <c r="D26" s="61" t="n">
        <f aca="false">C26-C25</f>
        <v>124</v>
      </c>
      <c r="E26" s="57" t="n">
        <f aca="false">C26-152000</f>
        <v>188343</v>
      </c>
      <c r="F26" s="56" t="n">
        <f aca="false">D26/$D$2</f>
        <v>62.5157549785732</v>
      </c>
      <c r="G26" s="56" t="n">
        <v>60</v>
      </c>
      <c r="H26" s="58" t="n">
        <v>3.6</v>
      </c>
      <c r="I26" s="56" t="n">
        <f aca="false">G26+H26</f>
        <v>63.6</v>
      </c>
      <c r="J26" s="81" t="n">
        <f aca="false">IF(L26&gt;0,L26,0)</f>
        <v>46.2057549785732</v>
      </c>
      <c r="K26" s="56" t="n">
        <f aca="false">I26+J26</f>
        <v>109.805754978573</v>
      </c>
      <c r="L26" s="56" t="n">
        <f aca="false">F26-(I26-W26)</f>
        <v>46.2057549785732</v>
      </c>
      <c r="M26" s="56" t="n">
        <v>6.29</v>
      </c>
      <c r="N26" s="56" t="n">
        <v>0</v>
      </c>
      <c r="O26" s="56" t="n">
        <f aca="false">M26-N26</f>
        <v>6.29</v>
      </c>
      <c r="P26" s="56" t="n">
        <v>0</v>
      </c>
      <c r="Q26" s="56" t="n">
        <v>0</v>
      </c>
      <c r="R26" s="56" t="n">
        <f aca="false">SUM(O26:Q26)</f>
        <v>6.29</v>
      </c>
      <c r="S26" s="57"/>
      <c r="T26" s="56" t="n">
        <v>0</v>
      </c>
      <c r="U26" s="56" t="n">
        <v>41</v>
      </c>
      <c r="V26" s="57" t="n">
        <f aca="false">V25-U26</f>
        <v>2672.04</v>
      </c>
      <c r="W26" s="56" t="n">
        <f aca="false">R26+T26+N26+U26</f>
        <v>47.29</v>
      </c>
      <c r="X26" s="56" t="n">
        <f aca="false">IF(L26&lt;0,L26*-1,0)</f>
        <v>0</v>
      </c>
      <c r="Y26" s="56" t="n">
        <f aca="false">W26+X26</f>
        <v>47.29</v>
      </c>
      <c r="Z26" s="60" t="n">
        <v>0</v>
      </c>
      <c r="AA26" s="90" t="n">
        <v>43</v>
      </c>
      <c r="AB26" s="61" t="n">
        <v>22</v>
      </c>
      <c r="AC26" s="62" t="n">
        <f aca="false">AC25+1</f>
        <v>17</v>
      </c>
      <c r="AD26" s="78"/>
      <c r="AE26" s="82"/>
      <c r="AF26" s="79"/>
    </row>
    <row r="27" customFormat="false" ht="11.1" hidden="false" customHeight="true" outlineLevel="0" collapsed="false">
      <c r="A27" s="62" t="n">
        <f aca="false">A26+1</f>
        <v>18</v>
      </c>
      <c r="B27" s="80" t="n">
        <v>6914.54</v>
      </c>
      <c r="C27" s="57" t="n">
        <v>340467</v>
      </c>
      <c r="D27" s="61" t="n">
        <f aca="false">C27-C26</f>
        <v>124</v>
      </c>
      <c r="E27" s="57" t="n">
        <f aca="false">C27-152000</f>
        <v>188467</v>
      </c>
      <c r="F27" s="56" t="n">
        <f aca="false">D27/$D$2</f>
        <v>62.5157549785732</v>
      </c>
      <c r="G27" s="56" t="n">
        <v>62</v>
      </c>
      <c r="H27" s="58" t="n">
        <v>3.7</v>
      </c>
      <c r="I27" s="56" t="n">
        <f aca="false">G27+H27</f>
        <v>65.7</v>
      </c>
      <c r="J27" s="81" t="n">
        <f aca="false">IF(L27&gt;0,L27,0)</f>
        <v>44.1057549785732</v>
      </c>
      <c r="K27" s="56" t="n">
        <f aca="false">I27+J27</f>
        <v>109.805754978573</v>
      </c>
      <c r="L27" s="56" t="n">
        <f aca="false">F27-(I27-W27)</f>
        <v>44.1057549785732</v>
      </c>
      <c r="M27" s="56" t="n">
        <v>6.29</v>
      </c>
      <c r="N27" s="56" t="n">
        <v>0</v>
      </c>
      <c r="O27" s="56" t="n">
        <f aca="false">M27-N27</f>
        <v>6.29</v>
      </c>
      <c r="P27" s="56" t="n">
        <v>0</v>
      </c>
      <c r="Q27" s="56" t="n">
        <v>0</v>
      </c>
      <c r="R27" s="56" t="n">
        <f aca="false">SUM(O27:Q27)</f>
        <v>6.29</v>
      </c>
      <c r="S27" s="57"/>
      <c r="T27" s="56" t="n">
        <v>0</v>
      </c>
      <c r="U27" s="56" t="n">
        <v>41</v>
      </c>
      <c r="V27" s="57" t="n">
        <f aca="false">V26-U27</f>
        <v>2631.04</v>
      </c>
      <c r="W27" s="56" t="n">
        <f aca="false">R27+T27+N27+U27</f>
        <v>47.29</v>
      </c>
      <c r="X27" s="56" t="n">
        <f aca="false">IF(L27&lt;0,L27*-1,0)</f>
        <v>0</v>
      </c>
      <c r="Y27" s="56" t="n">
        <f aca="false">W27+X27</f>
        <v>47.29</v>
      </c>
      <c r="Z27" s="60" t="n">
        <v>0</v>
      </c>
      <c r="AA27" s="90" t="n">
        <v>50</v>
      </c>
      <c r="AB27" s="61" t="n">
        <v>24</v>
      </c>
      <c r="AC27" s="62" t="n">
        <f aca="false">AC26+1</f>
        <v>18</v>
      </c>
      <c r="AD27" s="78"/>
      <c r="AE27" s="82"/>
      <c r="AF27" s="79"/>
    </row>
    <row r="28" customFormat="false" ht="11.1" hidden="false" customHeight="true" outlineLevel="0" collapsed="false">
      <c r="A28" s="62" t="n">
        <f aca="false">A27+1</f>
        <v>19</v>
      </c>
      <c r="B28" s="80" t="n">
        <v>6914.56</v>
      </c>
      <c r="C28" s="57" t="n">
        <v>340550</v>
      </c>
      <c r="D28" s="61" t="n">
        <f aca="false">C28-C27</f>
        <v>83</v>
      </c>
      <c r="E28" s="57" t="n">
        <f aca="false">C28-152000</f>
        <v>188550</v>
      </c>
      <c r="F28" s="56" t="n">
        <f aca="false">D28/$D$2</f>
        <v>41.8452230904966</v>
      </c>
      <c r="G28" s="56" t="n">
        <v>66</v>
      </c>
      <c r="H28" s="58" t="n">
        <v>3.8</v>
      </c>
      <c r="I28" s="56" t="n">
        <f aca="false">G28+H28</f>
        <v>69.8</v>
      </c>
      <c r="J28" s="81" t="n">
        <f aca="false">IF(L28&gt;0,L28,0)</f>
        <v>19.3352230904966</v>
      </c>
      <c r="K28" s="56" t="n">
        <f aca="false">I28+J28</f>
        <v>89.1352230904966</v>
      </c>
      <c r="L28" s="56" t="n">
        <f aca="false">F28-(I28-W28)</f>
        <v>19.3352230904966</v>
      </c>
      <c r="M28" s="56" t="n">
        <v>6.29</v>
      </c>
      <c r="N28" s="56" t="n">
        <v>0</v>
      </c>
      <c r="O28" s="56" t="n">
        <f aca="false">M28-N28</f>
        <v>6.29</v>
      </c>
      <c r="P28" s="56" t="n">
        <v>0</v>
      </c>
      <c r="Q28" s="56" t="n">
        <v>0</v>
      </c>
      <c r="R28" s="56" t="n">
        <f aca="false">SUM(O28:Q28)</f>
        <v>6.29</v>
      </c>
      <c r="S28" s="57"/>
      <c r="T28" s="56" t="n">
        <v>0</v>
      </c>
      <c r="U28" s="56" t="n">
        <v>41</v>
      </c>
      <c r="V28" s="57" t="n">
        <f aca="false">V27-U28</f>
        <v>2590.04</v>
      </c>
      <c r="W28" s="56" t="n">
        <f aca="false">R28+T28+N28+U28</f>
        <v>47.29</v>
      </c>
      <c r="X28" s="56" t="n">
        <f aca="false">IF(L28&lt;0,L28*-1,0)</f>
        <v>0</v>
      </c>
      <c r="Y28" s="56" t="n">
        <f aca="false">W28+X28</f>
        <v>47.29</v>
      </c>
      <c r="Z28" s="60" t="n">
        <v>0.13</v>
      </c>
      <c r="AA28" s="90" t="n">
        <v>45</v>
      </c>
      <c r="AB28" s="61" t="n">
        <v>28</v>
      </c>
      <c r="AC28" s="62" t="n">
        <f aca="false">AC27+1</f>
        <v>19</v>
      </c>
      <c r="AD28" s="78"/>
      <c r="AE28" s="82"/>
      <c r="AF28" s="79"/>
    </row>
    <row r="29" customFormat="false" ht="11.1" hidden="false" customHeight="true" outlineLevel="0" collapsed="false">
      <c r="A29" s="62" t="n">
        <f aca="false">A28+1</f>
        <v>20</v>
      </c>
      <c r="B29" s="80" t="n">
        <v>6914.57</v>
      </c>
      <c r="C29" s="57" t="n">
        <v>340591</v>
      </c>
      <c r="D29" s="61" t="n">
        <f aca="false">C29-C28</f>
        <v>41</v>
      </c>
      <c r="E29" s="57" t="n">
        <f aca="false">C29-152000</f>
        <v>188591</v>
      </c>
      <c r="F29" s="56" t="n">
        <f aca="false">D29/$D$2</f>
        <v>20.6705318880766</v>
      </c>
      <c r="G29" s="56" t="n">
        <v>62</v>
      </c>
      <c r="H29" s="58" t="n">
        <v>3.7</v>
      </c>
      <c r="I29" s="56" t="n">
        <f aca="false">G29+H29</f>
        <v>65.7</v>
      </c>
      <c r="J29" s="81" t="n">
        <f aca="false">IF(L29&gt;0,L29,0)</f>
        <v>2.26053188807663</v>
      </c>
      <c r="K29" s="56" t="n">
        <f aca="false">I29+J29</f>
        <v>67.9605318880766</v>
      </c>
      <c r="L29" s="56" t="n">
        <f aca="false">F29-(I29-W29)</f>
        <v>2.26053188807663</v>
      </c>
      <c r="M29" s="56" t="n">
        <v>6.29</v>
      </c>
      <c r="N29" s="56" t="n">
        <v>0</v>
      </c>
      <c r="O29" s="56" t="n">
        <f aca="false">M29-N29</f>
        <v>6.29</v>
      </c>
      <c r="P29" s="56" t="n">
        <v>0</v>
      </c>
      <c r="Q29" s="56" t="n">
        <v>0</v>
      </c>
      <c r="R29" s="56" t="n">
        <f aca="false">SUM(O29:Q29)</f>
        <v>6.29</v>
      </c>
      <c r="S29" s="57"/>
      <c r="T29" s="56" t="n">
        <v>0</v>
      </c>
      <c r="U29" s="56" t="n">
        <v>41</v>
      </c>
      <c r="V29" s="57" t="n">
        <f aca="false">V28-U29</f>
        <v>2549.04</v>
      </c>
      <c r="W29" s="56" t="n">
        <f aca="false">R29+T29+N29+U29</f>
        <v>47.29</v>
      </c>
      <c r="X29" s="56" t="n">
        <f aca="false">IF(L29&lt;0,L29*-1,0)</f>
        <v>0</v>
      </c>
      <c r="Y29" s="56" t="n">
        <f aca="false">W29+X29</f>
        <v>47.29</v>
      </c>
      <c r="Z29" s="60" t="n">
        <v>0</v>
      </c>
      <c r="AA29" s="90" t="n">
        <v>37</v>
      </c>
      <c r="AB29" s="61" t="n">
        <v>13</v>
      </c>
      <c r="AC29" s="62" t="n">
        <f aca="false">AC28+1</f>
        <v>20</v>
      </c>
      <c r="AD29" s="78"/>
      <c r="AE29" s="82"/>
      <c r="AF29" s="79"/>
    </row>
    <row r="30" customFormat="false" ht="11.1" hidden="false" customHeight="true" outlineLevel="0" collapsed="false">
      <c r="A30" s="62" t="n">
        <f aca="false">A29+1</f>
        <v>21</v>
      </c>
      <c r="B30" s="80" t="n">
        <v>6914.58</v>
      </c>
      <c r="C30" s="57" t="n">
        <v>340633</v>
      </c>
      <c r="D30" s="61" t="n">
        <f aca="false">C30-C29</f>
        <v>42</v>
      </c>
      <c r="E30" s="57" t="n">
        <f aca="false">C30-152000</f>
        <v>188633</v>
      </c>
      <c r="F30" s="56" t="n">
        <f aca="false">D30/$D$2</f>
        <v>21.17469120242</v>
      </c>
      <c r="G30" s="56" t="n">
        <v>56</v>
      </c>
      <c r="H30" s="58" t="n">
        <v>3.4</v>
      </c>
      <c r="I30" s="56" t="n">
        <f aca="false">G30+H30</f>
        <v>59.4</v>
      </c>
      <c r="J30" s="81" t="n">
        <f aca="false">IF(L30&gt;0,L30,0)</f>
        <v>9.06469120241997</v>
      </c>
      <c r="K30" s="56" t="n">
        <f aca="false">I30+J30</f>
        <v>68.46469120242</v>
      </c>
      <c r="L30" s="56" t="n">
        <f aca="false">F30-(I30-W30)</f>
        <v>9.06469120241997</v>
      </c>
      <c r="M30" s="56" t="n">
        <v>6.29</v>
      </c>
      <c r="N30" s="56" t="n">
        <v>0</v>
      </c>
      <c r="O30" s="56" t="n">
        <f aca="false">M30-N30</f>
        <v>6.29</v>
      </c>
      <c r="P30" s="56" t="n">
        <v>0</v>
      </c>
      <c r="Q30" s="56" t="n">
        <v>0</v>
      </c>
      <c r="R30" s="56" t="n">
        <f aca="false">SUM(O30:Q30)</f>
        <v>6.29</v>
      </c>
      <c r="S30" s="57"/>
      <c r="T30" s="56" t="n">
        <v>0</v>
      </c>
      <c r="U30" s="56" t="n">
        <v>41</v>
      </c>
      <c r="V30" s="57" t="n">
        <f aca="false">V29-U30</f>
        <v>2508.04</v>
      </c>
      <c r="W30" s="56" t="n">
        <f aca="false">R30+T30+N30+U30</f>
        <v>47.29</v>
      </c>
      <c r="X30" s="56" t="n">
        <f aca="false">IF(L30&lt;0,L30*-1,0)</f>
        <v>0</v>
      </c>
      <c r="Y30" s="56" t="n">
        <f aca="false">W30+X30</f>
        <v>47.29</v>
      </c>
      <c r="Z30" s="60" t="n">
        <v>0</v>
      </c>
      <c r="AA30" s="61" t="n">
        <v>36</v>
      </c>
      <c r="AB30" s="61" t="n">
        <v>10</v>
      </c>
      <c r="AC30" s="62" t="n">
        <f aca="false">AC29+1</f>
        <v>21</v>
      </c>
      <c r="AD30" s="78"/>
      <c r="AE30" s="82"/>
      <c r="AF30" s="79"/>
    </row>
    <row r="31" customFormat="false" ht="11.1" hidden="false" customHeight="true" outlineLevel="0" collapsed="false">
      <c r="A31" s="62" t="n">
        <f aca="false">A30+1</f>
        <v>22</v>
      </c>
      <c r="B31" s="80" t="n">
        <v>6914.59</v>
      </c>
      <c r="C31" s="57" t="n">
        <v>340674</v>
      </c>
      <c r="D31" s="61" t="n">
        <f aca="false">C31-C30</f>
        <v>41</v>
      </c>
      <c r="E31" s="57" t="n">
        <f aca="false">C31-152000</f>
        <v>188674</v>
      </c>
      <c r="F31" s="56" t="n">
        <f aca="false">D31/$D$2</f>
        <v>20.6705318880766</v>
      </c>
      <c r="G31" s="56" t="n">
        <v>56</v>
      </c>
      <c r="H31" s="58" t="n">
        <v>3.4</v>
      </c>
      <c r="I31" s="56" t="n">
        <f aca="false">G31+H31</f>
        <v>59.4</v>
      </c>
      <c r="J31" s="81" t="n">
        <f aca="false">IF(L31&gt;0,L31,0)</f>
        <v>8.56053188807663</v>
      </c>
      <c r="K31" s="56" t="n">
        <f aca="false">I31+J31</f>
        <v>67.9605318880766</v>
      </c>
      <c r="L31" s="56" t="n">
        <f aca="false">F31-(I31-W31)</f>
        <v>8.56053188807663</v>
      </c>
      <c r="M31" s="56" t="n">
        <v>6.29</v>
      </c>
      <c r="N31" s="56" t="n">
        <v>0</v>
      </c>
      <c r="O31" s="56" t="n">
        <f aca="false">M31-N31</f>
        <v>6.29</v>
      </c>
      <c r="P31" s="56" t="n">
        <v>0</v>
      </c>
      <c r="Q31" s="56" t="n">
        <v>0</v>
      </c>
      <c r="R31" s="56" t="n">
        <f aca="false">SUM(O31:Q31)</f>
        <v>6.29</v>
      </c>
      <c r="S31" s="57"/>
      <c r="T31" s="56" t="n">
        <v>0</v>
      </c>
      <c r="U31" s="56" t="n">
        <v>41</v>
      </c>
      <c r="V31" s="57" t="n">
        <f aca="false">V30-U31</f>
        <v>2467.04</v>
      </c>
      <c r="W31" s="56" t="n">
        <f aca="false">R31+T31+N31+U31</f>
        <v>47.29</v>
      </c>
      <c r="X31" s="56" t="n">
        <f aca="false">IF(L31&lt;0,L31*-1,0)</f>
        <v>0</v>
      </c>
      <c r="Y31" s="56" t="n">
        <f aca="false">W31+X31</f>
        <v>47.29</v>
      </c>
      <c r="Z31" s="60" t="n">
        <v>0</v>
      </c>
      <c r="AA31" s="61" t="n">
        <v>34</v>
      </c>
      <c r="AB31" s="61" t="n">
        <v>5</v>
      </c>
      <c r="AC31" s="62" t="n">
        <f aca="false">AC30+1</f>
        <v>22</v>
      </c>
      <c r="AD31" s="78"/>
      <c r="AE31" s="82"/>
      <c r="AF31" s="79"/>
    </row>
    <row r="32" customFormat="false" ht="11.1" hidden="false" customHeight="true" outlineLevel="0" collapsed="false">
      <c r="A32" s="62" t="n">
        <f aca="false">A31+1</f>
        <v>23</v>
      </c>
      <c r="B32" s="80" t="n">
        <v>6914.6</v>
      </c>
      <c r="C32" s="57" t="n">
        <v>340716</v>
      </c>
      <c r="D32" s="61" t="n">
        <f aca="false">C32-C31</f>
        <v>42</v>
      </c>
      <c r="E32" s="57" t="n">
        <f aca="false">C32-152000</f>
        <v>188716</v>
      </c>
      <c r="F32" s="56" t="n">
        <f aca="false">D32/$D$2</f>
        <v>21.17469120242</v>
      </c>
      <c r="G32" s="56" t="n">
        <v>56</v>
      </c>
      <c r="H32" s="58" t="n">
        <v>3.4</v>
      </c>
      <c r="I32" s="56" t="n">
        <f aca="false">G32+H32</f>
        <v>59.4</v>
      </c>
      <c r="J32" s="81" t="n">
        <f aca="false">IF(L32&gt;0,L32,0)</f>
        <v>9.06469120241997</v>
      </c>
      <c r="K32" s="56" t="n">
        <f aca="false">I32+J32</f>
        <v>68.46469120242</v>
      </c>
      <c r="L32" s="56" t="n">
        <f aca="false">F32-(I32-W32)</f>
        <v>9.06469120241997</v>
      </c>
      <c r="M32" s="56" t="n">
        <v>6.29</v>
      </c>
      <c r="N32" s="56" t="n">
        <v>0</v>
      </c>
      <c r="O32" s="56" t="n">
        <f aca="false">M32-N32</f>
        <v>6.29</v>
      </c>
      <c r="P32" s="56" t="n">
        <v>0</v>
      </c>
      <c r="Q32" s="56" t="n">
        <v>0</v>
      </c>
      <c r="R32" s="56" t="n">
        <f aca="false">SUM(O32:Q32)</f>
        <v>6.29</v>
      </c>
      <c r="S32" s="57"/>
      <c r="T32" s="56" t="n">
        <v>0</v>
      </c>
      <c r="U32" s="56" t="n">
        <v>41</v>
      </c>
      <c r="V32" s="57" t="n">
        <f aca="false">V31-U32</f>
        <v>2426.04</v>
      </c>
      <c r="W32" s="56" t="n">
        <f aca="false">R32+T32+N32+U32</f>
        <v>47.29</v>
      </c>
      <c r="X32" s="56" t="n">
        <f aca="false">IF(L32&lt;0,L32*-1,0)</f>
        <v>0</v>
      </c>
      <c r="Y32" s="56" t="n">
        <f aca="false">W32+X32</f>
        <v>47.29</v>
      </c>
      <c r="Z32" s="60" t="n">
        <v>0</v>
      </c>
      <c r="AA32" s="61" t="n">
        <v>42</v>
      </c>
      <c r="AB32" s="90" t="n">
        <v>12</v>
      </c>
      <c r="AC32" s="62" t="n">
        <f aca="false">AC31+1</f>
        <v>23</v>
      </c>
      <c r="AD32" s="78"/>
      <c r="AE32" s="82"/>
      <c r="AF32" s="79"/>
    </row>
    <row r="33" customFormat="false" ht="11.1" hidden="false" customHeight="true" outlineLevel="0" collapsed="false">
      <c r="A33" s="62" t="n">
        <f aca="false">A32+1</f>
        <v>24</v>
      </c>
      <c r="B33" s="80" t="n">
        <v>6914.61</v>
      </c>
      <c r="C33" s="57" t="n">
        <v>340757</v>
      </c>
      <c r="D33" s="61" t="n">
        <f aca="false">C33-C32</f>
        <v>41</v>
      </c>
      <c r="E33" s="57" t="n">
        <f aca="false">C33-152000</f>
        <v>188757</v>
      </c>
      <c r="F33" s="56" t="n">
        <f aca="false">D33/$D$2</f>
        <v>20.6705318880766</v>
      </c>
      <c r="G33" s="56" t="n">
        <v>56</v>
      </c>
      <c r="H33" s="58" t="n">
        <v>3.4</v>
      </c>
      <c r="I33" s="56" t="n">
        <f aca="false">G33+H33</f>
        <v>59.4</v>
      </c>
      <c r="J33" s="81" t="n">
        <f aca="false">IF(L33&gt;0,L33,0)</f>
        <v>8.56053188807663</v>
      </c>
      <c r="K33" s="56" t="n">
        <f aca="false">I33+J33</f>
        <v>67.9605318880766</v>
      </c>
      <c r="L33" s="56" t="n">
        <f aca="false">F33-(I33-W33)</f>
        <v>8.56053188807663</v>
      </c>
      <c r="M33" s="56" t="n">
        <v>6.29</v>
      </c>
      <c r="N33" s="56" t="n">
        <v>0</v>
      </c>
      <c r="O33" s="56" t="n">
        <f aca="false">M33-N33</f>
        <v>6.29</v>
      </c>
      <c r="P33" s="56" t="n">
        <v>0</v>
      </c>
      <c r="Q33" s="56" t="n">
        <v>0</v>
      </c>
      <c r="R33" s="56" t="n">
        <f aca="false">SUM(O33:Q33)</f>
        <v>6.29</v>
      </c>
      <c r="S33" s="57"/>
      <c r="T33" s="56" t="n">
        <v>0</v>
      </c>
      <c r="U33" s="56" t="n">
        <v>41</v>
      </c>
      <c r="V33" s="57" t="n">
        <f aca="false">V32-U33</f>
        <v>2385.04</v>
      </c>
      <c r="W33" s="56" t="n">
        <f aca="false">R33+T33+N33+U33</f>
        <v>47.29</v>
      </c>
      <c r="X33" s="56" t="n">
        <f aca="false">IF(L33&lt;0,L33*-1,0)</f>
        <v>0</v>
      </c>
      <c r="Y33" s="56" t="n">
        <f aca="false">W33+X33</f>
        <v>47.29</v>
      </c>
      <c r="Z33" s="60" t="n">
        <v>0</v>
      </c>
      <c r="AA33" s="61" t="n">
        <v>45</v>
      </c>
      <c r="AB33" s="90" t="n">
        <v>19</v>
      </c>
      <c r="AC33" s="62" t="n">
        <f aca="false">AC32+1</f>
        <v>24</v>
      </c>
      <c r="AD33" s="78"/>
      <c r="AE33" s="82"/>
      <c r="AF33" s="79"/>
    </row>
    <row r="34" customFormat="false" ht="11.1" hidden="false" customHeight="true" outlineLevel="0" collapsed="false">
      <c r="A34" s="62" t="n">
        <f aca="false">A33+1</f>
        <v>25</v>
      </c>
      <c r="B34" s="80" t="n">
        <v>6914.62</v>
      </c>
      <c r="C34" s="57" t="n">
        <v>340798</v>
      </c>
      <c r="D34" s="61" t="n">
        <f aca="false">C34-C33</f>
        <v>41</v>
      </c>
      <c r="E34" s="57" t="n">
        <f aca="false">C34-152000</f>
        <v>188798</v>
      </c>
      <c r="F34" s="56" t="n">
        <f aca="false">D34/$D$2</f>
        <v>20.6705318880766</v>
      </c>
      <c r="G34" s="56" t="n">
        <v>58</v>
      </c>
      <c r="H34" s="58" t="n">
        <v>3.5</v>
      </c>
      <c r="I34" s="56" t="n">
        <f aca="false">G34+H34</f>
        <v>61.5</v>
      </c>
      <c r="J34" s="81" t="n">
        <f aca="false">IF(L34&gt;0,L34,0)</f>
        <v>6.46053188807663</v>
      </c>
      <c r="K34" s="56" t="n">
        <f aca="false">I34+J34</f>
        <v>67.9605318880766</v>
      </c>
      <c r="L34" s="56" t="n">
        <f aca="false">F34-(I34-W34)</f>
        <v>6.46053188807663</v>
      </c>
      <c r="M34" s="56" t="n">
        <v>6.29</v>
      </c>
      <c r="N34" s="56" t="n">
        <v>0</v>
      </c>
      <c r="O34" s="56" t="n">
        <f aca="false">M34-N34</f>
        <v>6.29</v>
      </c>
      <c r="P34" s="56" t="n">
        <v>0</v>
      </c>
      <c r="Q34" s="56" t="n">
        <v>0</v>
      </c>
      <c r="R34" s="56" t="n">
        <f aca="false">SUM(O34:Q34)</f>
        <v>6.29</v>
      </c>
      <c r="S34" s="57"/>
      <c r="T34" s="56" t="n">
        <v>0</v>
      </c>
      <c r="U34" s="56" t="n">
        <v>41</v>
      </c>
      <c r="V34" s="57" t="n">
        <f aca="false">V33-U34</f>
        <v>2344.04</v>
      </c>
      <c r="W34" s="56" t="n">
        <f aca="false">R34+T34+N34+U34</f>
        <v>47.29</v>
      </c>
      <c r="X34" s="56" t="n">
        <f aca="false">IF(L34&lt;0,L34*-1,0)</f>
        <v>0</v>
      </c>
      <c r="Y34" s="56" t="n">
        <f aca="false">W34+X34</f>
        <v>47.29</v>
      </c>
      <c r="Z34" s="60" t="n">
        <v>0</v>
      </c>
      <c r="AA34" s="61" t="n">
        <v>44</v>
      </c>
      <c r="AB34" s="90" t="n">
        <v>18</v>
      </c>
      <c r="AC34" s="62" t="n">
        <f aca="false">AC33+1</f>
        <v>25</v>
      </c>
      <c r="AD34" s="78"/>
      <c r="AE34" s="82"/>
      <c r="AF34" s="79"/>
    </row>
    <row r="35" customFormat="false" ht="11.1" hidden="false" customHeight="true" outlineLevel="0" collapsed="false">
      <c r="A35" s="62" t="n">
        <f aca="false">A34+1</f>
        <v>26</v>
      </c>
      <c r="B35" s="80" t="n">
        <v>6914.63</v>
      </c>
      <c r="C35" s="57" t="n">
        <v>340840</v>
      </c>
      <c r="D35" s="61" t="n">
        <f aca="false">C35-C34</f>
        <v>42</v>
      </c>
      <c r="E35" s="57" t="n">
        <f aca="false">C35-152000</f>
        <v>188840</v>
      </c>
      <c r="F35" s="56" t="n">
        <f aca="false">D35/$D$2</f>
        <v>21.17469120242</v>
      </c>
      <c r="G35" s="56" t="n">
        <v>62</v>
      </c>
      <c r="H35" s="58" t="n">
        <v>3.8</v>
      </c>
      <c r="I35" s="56" t="n">
        <f aca="false">G35+H35</f>
        <v>65.8</v>
      </c>
      <c r="J35" s="81" t="n">
        <f aca="false">IF(L35&gt;0,L35,0)</f>
        <v>2.66469120241997</v>
      </c>
      <c r="K35" s="56" t="n">
        <f aca="false">I35+J35</f>
        <v>68.46469120242</v>
      </c>
      <c r="L35" s="56" t="n">
        <f aca="false">F35-(I35-W35)</f>
        <v>2.66469120241997</v>
      </c>
      <c r="M35" s="56" t="n">
        <v>6.29</v>
      </c>
      <c r="N35" s="56" t="n">
        <v>0</v>
      </c>
      <c r="O35" s="56" t="n">
        <f aca="false">M35-N35</f>
        <v>6.29</v>
      </c>
      <c r="P35" s="56" t="n">
        <v>0</v>
      </c>
      <c r="Q35" s="56" t="n">
        <v>0</v>
      </c>
      <c r="R35" s="56" t="n">
        <f aca="false">SUM(O35:Q35)</f>
        <v>6.29</v>
      </c>
      <c r="S35" s="57"/>
      <c r="T35" s="56" t="n">
        <v>0</v>
      </c>
      <c r="U35" s="56" t="n">
        <v>41</v>
      </c>
      <c r="V35" s="57" t="n">
        <f aca="false">V34-U35</f>
        <v>2303.04</v>
      </c>
      <c r="W35" s="56" t="n">
        <f aca="false">R35+T35+N35+U35</f>
        <v>47.29</v>
      </c>
      <c r="X35" s="56" t="n">
        <f aca="false">IF(L35&lt;0,L35*-1,0)</f>
        <v>0</v>
      </c>
      <c r="Y35" s="56" t="n">
        <f aca="false">W35+X35</f>
        <v>47.29</v>
      </c>
      <c r="Z35" s="60" t="n">
        <v>0</v>
      </c>
      <c r="AA35" s="61" t="n">
        <v>50</v>
      </c>
      <c r="AB35" s="61" t="n">
        <v>21</v>
      </c>
      <c r="AC35" s="62" t="n">
        <f aca="false">AC34+1</f>
        <v>26</v>
      </c>
      <c r="AD35" s="78"/>
      <c r="AE35" s="82"/>
      <c r="AF35" s="79"/>
    </row>
    <row r="36" customFormat="false" ht="11.1" hidden="false" customHeight="true" outlineLevel="0" collapsed="false">
      <c r="A36" s="62" t="n">
        <f aca="false">A35+1</f>
        <v>27</v>
      </c>
      <c r="B36" s="80" t="n">
        <v>6914.64</v>
      </c>
      <c r="C36" s="57" t="n">
        <v>340881</v>
      </c>
      <c r="D36" s="61" t="n">
        <f aca="false">C36-C35</f>
        <v>41</v>
      </c>
      <c r="E36" s="57" t="n">
        <f aca="false">C36-152000</f>
        <v>188881</v>
      </c>
      <c r="F36" s="56" t="n">
        <f aca="false">D36/$D$2</f>
        <v>20.6705318880766</v>
      </c>
      <c r="G36" s="56" t="n">
        <v>62</v>
      </c>
      <c r="H36" s="58" t="n">
        <v>3.9</v>
      </c>
      <c r="I36" s="56" t="n">
        <f aca="false">G36+H36</f>
        <v>65.9</v>
      </c>
      <c r="J36" s="81" t="n">
        <f aca="false">IF(L36&gt;0,L36,0)</f>
        <v>4.06053188807663</v>
      </c>
      <c r="K36" s="56" t="n">
        <f aca="false">I36+J36</f>
        <v>69.9605318880766</v>
      </c>
      <c r="L36" s="56" t="n">
        <f aca="false">F36-(I36-W36)</f>
        <v>4.06053188807663</v>
      </c>
      <c r="M36" s="56" t="n">
        <v>6.29</v>
      </c>
      <c r="N36" s="56" t="n">
        <v>0</v>
      </c>
      <c r="O36" s="56" t="n">
        <f aca="false">M36-N36</f>
        <v>6.29</v>
      </c>
      <c r="P36" s="56" t="n">
        <v>0</v>
      </c>
      <c r="Q36" s="56" t="n">
        <v>0</v>
      </c>
      <c r="R36" s="56" t="n">
        <f aca="false">SUM(O36:Q36)</f>
        <v>6.29</v>
      </c>
      <c r="S36" s="57"/>
      <c r="T36" s="56" t="n">
        <v>0</v>
      </c>
      <c r="U36" s="56" t="n">
        <v>43</v>
      </c>
      <c r="V36" s="57" t="n">
        <f aca="false">V35-U36</f>
        <v>2260.04</v>
      </c>
      <c r="W36" s="56" t="n">
        <f aca="false">R36+T36+N36+U36</f>
        <v>49.29</v>
      </c>
      <c r="X36" s="56" t="n">
        <f aca="false">IF(L36&lt;0,L36*-1,0)</f>
        <v>0</v>
      </c>
      <c r="Y36" s="56" t="n">
        <f aca="false">W36+X36</f>
        <v>49.29</v>
      </c>
      <c r="Z36" s="60" t="n">
        <v>0</v>
      </c>
      <c r="AA36" s="61" t="n">
        <v>55</v>
      </c>
      <c r="AB36" s="61" t="n">
        <v>24</v>
      </c>
      <c r="AC36" s="62" t="n">
        <f aca="false">AC35+1</f>
        <v>27</v>
      </c>
      <c r="AD36" s="78"/>
      <c r="AE36" s="82"/>
      <c r="AF36" s="79"/>
    </row>
    <row r="37" customFormat="false" ht="11.1" hidden="false" customHeight="true" outlineLevel="0" collapsed="false">
      <c r="A37" s="62" t="n">
        <f aca="false">A36+1</f>
        <v>28</v>
      </c>
      <c r="B37" s="80" t="n">
        <v>6914.65</v>
      </c>
      <c r="C37" s="57" t="n">
        <v>340923</v>
      </c>
      <c r="D37" s="61" t="n">
        <f aca="false">C37-C36</f>
        <v>42</v>
      </c>
      <c r="E37" s="57" t="n">
        <f aca="false">C37-152000</f>
        <v>188923</v>
      </c>
      <c r="F37" s="56" t="n">
        <f aca="false">D37/$D$2</f>
        <v>21.17469120242</v>
      </c>
      <c r="G37" s="56" t="n">
        <v>62</v>
      </c>
      <c r="H37" s="58" t="n">
        <v>3.8</v>
      </c>
      <c r="I37" s="56" t="n">
        <f aca="false">G37+H37</f>
        <v>65.8</v>
      </c>
      <c r="J37" s="81" t="n">
        <f aca="false">IF(L37&gt;0,L37,0)</f>
        <v>3.66469120241997</v>
      </c>
      <c r="K37" s="56" t="n">
        <f aca="false">I37+J37</f>
        <v>69.46469120242</v>
      </c>
      <c r="L37" s="56" t="n">
        <f aca="false">F37-(I37-W37)</f>
        <v>3.66469120241997</v>
      </c>
      <c r="M37" s="56" t="n">
        <v>6.29</v>
      </c>
      <c r="N37" s="56" t="n">
        <v>0</v>
      </c>
      <c r="O37" s="56" t="n">
        <f aca="false">M37-N37</f>
        <v>6.29</v>
      </c>
      <c r="P37" s="56" t="n">
        <v>0</v>
      </c>
      <c r="Q37" s="56" t="n">
        <v>0</v>
      </c>
      <c r="R37" s="56" t="n">
        <f aca="false">SUM(O37:Q37)</f>
        <v>6.29</v>
      </c>
      <c r="S37" s="57"/>
      <c r="T37" s="56" t="n">
        <v>0</v>
      </c>
      <c r="U37" s="56" t="n">
        <v>42</v>
      </c>
      <c r="V37" s="57" t="n">
        <f aca="false">V36-U37</f>
        <v>2218.04</v>
      </c>
      <c r="W37" s="56" t="n">
        <f aca="false">R37+T37+N37+U37</f>
        <v>48.29</v>
      </c>
      <c r="X37" s="56" t="n">
        <f aca="false">IF(L37&lt;0,L37*-1,0)</f>
        <v>0</v>
      </c>
      <c r="Y37" s="56" t="n">
        <f aca="false">W37+X37</f>
        <v>48.29</v>
      </c>
      <c r="Z37" s="60" t="n">
        <v>0</v>
      </c>
      <c r="AA37" s="61" t="n">
        <v>49</v>
      </c>
      <c r="AB37" s="61" t="n">
        <v>20</v>
      </c>
      <c r="AC37" s="62" t="n">
        <f aca="false">AC36+1</f>
        <v>28</v>
      </c>
      <c r="AD37" s="78"/>
      <c r="AE37" s="82"/>
      <c r="AF37" s="79"/>
    </row>
    <row r="38" customFormat="false" ht="11.1" hidden="false" customHeight="true" outlineLevel="0" collapsed="false">
      <c r="A38" s="62" t="n">
        <f aca="false">A37+1</f>
        <v>29</v>
      </c>
      <c r="B38" s="80" t="n">
        <v>6914.66</v>
      </c>
      <c r="C38" s="57" t="n">
        <v>340964</v>
      </c>
      <c r="D38" s="61" t="n">
        <f aca="false">C38-C37</f>
        <v>41</v>
      </c>
      <c r="E38" s="57" t="n">
        <f aca="false">C38-152000</f>
        <v>188964</v>
      </c>
      <c r="F38" s="56" t="n">
        <f aca="false">D38/$D$2</f>
        <v>20.6705318880766</v>
      </c>
      <c r="G38" s="56" t="n">
        <v>64</v>
      </c>
      <c r="H38" s="58" t="n">
        <v>4</v>
      </c>
      <c r="I38" s="56" t="n">
        <f aca="false">G38+H38</f>
        <v>68</v>
      </c>
      <c r="J38" s="81" t="n">
        <f aca="false">IF(L38&gt;0,L38,0)</f>
        <v>0.960531888076631</v>
      </c>
      <c r="K38" s="56" t="n">
        <f aca="false">I38+J38</f>
        <v>68.9605318880766</v>
      </c>
      <c r="L38" s="56" t="n">
        <f aca="false">F38-(I38-W38)</f>
        <v>0.960531888076631</v>
      </c>
      <c r="M38" s="56" t="n">
        <v>6.29</v>
      </c>
      <c r="N38" s="56" t="n">
        <v>0</v>
      </c>
      <c r="O38" s="56" t="n">
        <f aca="false">M38-N38</f>
        <v>6.29</v>
      </c>
      <c r="P38" s="56" t="n">
        <v>0</v>
      </c>
      <c r="Q38" s="56" t="n">
        <v>0</v>
      </c>
      <c r="R38" s="56" t="n">
        <f aca="false">SUM(O38:Q38)</f>
        <v>6.29</v>
      </c>
      <c r="S38" s="57"/>
      <c r="T38" s="56" t="n">
        <v>0</v>
      </c>
      <c r="U38" s="56" t="n">
        <v>42</v>
      </c>
      <c r="V38" s="57" t="n">
        <f aca="false">V37-U38</f>
        <v>2176.04</v>
      </c>
      <c r="W38" s="56" t="n">
        <f aca="false">R38+T38+N38+U38</f>
        <v>48.29</v>
      </c>
      <c r="X38" s="56" t="n">
        <f aca="false">IF(L38&lt;0,L38*-1,0)</f>
        <v>0</v>
      </c>
      <c r="Y38" s="56" t="n">
        <f aca="false">W38+X38</f>
        <v>48.29</v>
      </c>
      <c r="Z38" s="60" t="n">
        <v>0</v>
      </c>
      <c r="AA38" s="90" t="n">
        <v>53</v>
      </c>
      <c r="AB38" s="61" t="n">
        <v>21</v>
      </c>
      <c r="AC38" s="62" t="n">
        <f aca="false">AC37+1</f>
        <v>29</v>
      </c>
      <c r="AD38" s="78"/>
      <c r="AE38" s="82"/>
      <c r="AF38" s="79"/>
    </row>
    <row r="39" customFormat="false" ht="11.1" hidden="false" customHeight="true" outlineLevel="0" collapsed="false">
      <c r="A39" s="62" t="n">
        <v>30</v>
      </c>
      <c r="B39" s="80" t="n">
        <v>6914.67</v>
      </c>
      <c r="C39" s="57" t="n">
        <v>341006</v>
      </c>
      <c r="D39" s="61" t="n">
        <f aca="false">C39-C38</f>
        <v>42</v>
      </c>
      <c r="E39" s="57" t="n">
        <f aca="false">C39-152000</f>
        <v>189006</v>
      </c>
      <c r="F39" s="56" t="n">
        <f aca="false">D39/$D$2</f>
        <v>21.17469120242</v>
      </c>
      <c r="G39" s="56" t="n">
        <v>64</v>
      </c>
      <c r="H39" s="58" t="n">
        <v>3.9</v>
      </c>
      <c r="I39" s="56" t="n">
        <f aca="false">G39+H39</f>
        <v>67.9</v>
      </c>
      <c r="J39" s="81" t="n">
        <f aca="false">IF(L39&gt;0,L39,0)</f>
        <v>1.56469120241996</v>
      </c>
      <c r="K39" s="56" t="n">
        <f aca="false">I39+J39</f>
        <v>69.46469120242</v>
      </c>
      <c r="L39" s="56" t="n">
        <f aca="false">F39-(I39-W39)</f>
        <v>1.56469120241996</v>
      </c>
      <c r="M39" s="56" t="n">
        <v>6.29</v>
      </c>
      <c r="N39" s="56" t="n">
        <v>0</v>
      </c>
      <c r="O39" s="56" t="n">
        <f aca="false">M39-N39</f>
        <v>6.29</v>
      </c>
      <c r="P39" s="56" t="n">
        <v>0</v>
      </c>
      <c r="Q39" s="56" t="n">
        <v>0</v>
      </c>
      <c r="R39" s="56" t="n">
        <f aca="false">SUM(O39:Q39)</f>
        <v>6.29</v>
      </c>
      <c r="S39" s="57"/>
      <c r="T39" s="56" t="n">
        <v>0</v>
      </c>
      <c r="U39" s="56" t="n">
        <v>42</v>
      </c>
      <c r="V39" s="57" t="n">
        <f aca="false">V38-U39</f>
        <v>2134.04</v>
      </c>
      <c r="W39" s="56" t="n">
        <f aca="false">R39+T39+N39+U39</f>
        <v>48.29</v>
      </c>
      <c r="X39" s="56" t="n">
        <f aca="false">IF(L39&lt;0,L39*-1,0)</f>
        <v>0</v>
      </c>
      <c r="Y39" s="56" t="n">
        <f aca="false">W39+X39</f>
        <v>48.29</v>
      </c>
      <c r="Z39" s="60" t="n">
        <v>0</v>
      </c>
      <c r="AA39" s="90" t="n">
        <v>50</v>
      </c>
      <c r="AB39" s="61" t="n">
        <v>23</v>
      </c>
      <c r="AC39" s="62" t="n">
        <v>30</v>
      </c>
      <c r="AD39" s="78"/>
      <c r="AE39" s="82"/>
      <c r="AF39" s="79"/>
    </row>
    <row r="40" customFormat="false" ht="11.1" hidden="false" customHeight="true" outlineLevel="0" collapsed="false">
      <c r="A40" s="62" t="n">
        <v>31</v>
      </c>
      <c r="B40" s="80" t="n">
        <v>6914.68</v>
      </c>
      <c r="C40" s="57" t="n">
        <v>341047</v>
      </c>
      <c r="D40" s="61" t="n">
        <f aca="false">C40-C39</f>
        <v>41</v>
      </c>
      <c r="E40" s="57" t="n">
        <f aca="false">C40-152000</f>
        <v>189047</v>
      </c>
      <c r="F40" s="56" t="n">
        <f aca="false">D40/$D$2</f>
        <v>20.6705318880766</v>
      </c>
      <c r="G40" s="56" t="n">
        <v>62</v>
      </c>
      <c r="H40" s="58" t="n">
        <v>3.8</v>
      </c>
      <c r="I40" s="56" t="n">
        <f aca="false">G40+H40</f>
        <v>65.8</v>
      </c>
      <c r="J40" s="81" t="n">
        <f aca="false">IF(L40&gt;0,L40,0)</f>
        <v>3.16053188807663</v>
      </c>
      <c r="K40" s="56" t="n">
        <f aca="false">I40+J40</f>
        <v>68.9605318880766</v>
      </c>
      <c r="L40" s="56" t="n">
        <f aca="false">F40-(I40-W40)</f>
        <v>3.16053188807663</v>
      </c>
      <c r="M40" s="56" t="n">
        <v>6.29</v>
      </c>
      <c r="N40" s="56" t="n">
        <v>0</v>
      </c>
      <c r="O40" s="56" t="n">
        <f aca="false">M40-N40</f>
        <v>6.29</v>
      </c>
      <c r="P40" s="56" t="n">
        <v>0</v>
      </c>
      <c r="Q40" s="56" t="n">
        <v>0</v>
      </c>
      <c r="R40" s="56" t="n">
        <f aca="false">SUM(O40:Q40)</f>
        <v>6.29</v>
      </c>
      <c r="S40" s="57"/>
      <c r="T40" s="56" t="n">
        <v>0</v>
      </c>
      <c r="U40" s="56" t="n">
        <v>42</v>
      </c>
      <c r="V40" s="57" t="n">
        <f aca="false">V39-U40</f>
        <v>2092.04</v>
      </c>
      <c r="W40" s="56" t="n">
        <f aca="false">R40+T40+N40+U40</f>
        <v>48.29</v>
      </c>
      <c r="X40" s="56" t="n">
        <f aca="false">IF(L40&lt;0,L40*-1,0)</f>
        <v>0</v>
      </c>
      <c r="Y40" s="56" t="n">
        <f aca="false">W40+X40</f>
        <v>48.29</v>
      </c>
      <c r="Z40" s="60" t="n">
        <v>0</v>
      </c>
      <c r="AA40" s="90" t="n">
        <v>50</v>
      </c>
      <c r="AB40" s="61" t="n">
        <v>24</v>
      </c>
      <c r="AC40" s="62" t="n">
        <v>31</v>
      </c>
      <c r="AD40" s="78"/>
      <c r="AE40" s="78"/>
      <c r="AF40" s="79"/>
    </row>
    <row r="41" customFormat="false" ht="3" hidden="false" customHeight="true" outlineLevel="0" collapsed="false">
      <c r="A41" s="83"/>
      <c r="B41" s="92"/>
      <c r="C41" s="85"/>
      <c r="D41" s="83"/>
      <c r="E41" s="85"/>
      <c r="F41" s="83"/>
      <c r="G41" s="92"/>
      <c r="H41" s="86"/>
      <c r="I41" s="83"/>
      <c r="J41" s="83"/>
      <c r="K41" s="83"/>
      <c r="L41" s="83"/>
      <c r="M41" s="92"/>
      <c r="N41" s="83"/>
      <c r="O41" s="83"/>
      <c r="P41" s="83"/>
      <c r="Q41" s="83"/>
      <c r="R41" s="83"/>
      <c r="S41" s="85"/>
      <c r="T41" s="83"/>
      <c r="U41" s="92"/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1232.1653642551</v>
      </c>
      <c r="G42" s="57" t="n">
        <f aca="false">SUM(G10:G40)</f>
        <v>2047</v>
      </c>
      <c r="H42" s="57" t="n">
        <f aca="false">SUM(H10:H40)</f>
        <v>119.7</v>
      </c>
      <c r="I42" s="57" t="n">
        <f aca="false">SUM(I10:I40)</f>
        <v>2166.7</v>
      </c>
      <c r="J42" s="57" t="n">
        <f aca="false">SUM(J10:J40)</f>
        <v>579.009163095538</v>
      </c>
      <c r="K42" s="57" t="n">
        <f aca="false">SUM(K10:K40)</f>
        <v>2745.70916309554</v>
      </c>
      <c r="L42" s="57" t="n">
        <f aca="false">SUM(L10:L40)</f>
        <v>538.455364255105</v>
      </c>
      <c r="M42" s="57" t="n">
        <f aca="false">SUM(M10:M40)</f>
        <v>194.99</v>
      </c>
      <c r="N42" s="57" t="n">
        <f aca="false">SUM(N10:N40)</f>
        <v>0</v>
      </c>
      <c r="O42" s="57" t="n">
        <f aca="false">SUM(O10:O40)</f>
        <v>194.99</v>
      </c>
      <c r="P42" s="57" t="n">
        <f aca="false">SUM(P10:P40)</f>
        <v>0</v>
      </c>
      <c r="Q42" s="57" t="n">
        <f aca="false">SUM(Q10:Q40)</f>
        <v>0</v>
      </c>
      <c r="R42" s="57" t="n">
        <f aca="false">SUM(R10:R40)</f>
        <v>194.99</v>
      </c>
      <c r="S42" s="57"/>
      <c r="T42" s="57" t="n">
        <f aca="false">SUM(T10:T40)</f>
        <v>0</v>
      </c>
      <c r="U42" s="57" t="n">
        <f aca="false">SUM(U10:U40)</f>
        <v>1278</v>
      </c>
      <c r="V42" s="57"/>
      <c r="W42" s="57" t="n">
        <f aca="false">SUM(W10:W40)</f>
        <v>1472.99</v>
      </c>
      <c r="X42" s="57" t="n">
        <f aca="false">SUM(X10:X40)</f>
        <v>40.5537988404336</v>
      </c>
      <c r="Y42" s="57" t="n">
        <f aca="false">SUM(Y10:Y40)</f>
        <v>1513.54379884043</v>
      </c>
      <c r="Z42" s="60" t="n">
        <f aca="false">SUM(Z10:Z40)</f>
        <v>1.06</v>
      </c>
      <c r="AA42" s="61" t="n">
        <f aca="false">AVERAGE(AA10:AA40)</f>
        <v>42</v>
      </c>
      <c r="AB42" s="61" t="n">
        <f aca="false">AVERAGE(AB10:AB40)</f>
        <v>16.3870967741935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2444</v>
      </c>
      <c r="E43" s="57"/>
      <c r="F43" s="57" t="n">
        <f aca="false">F42*$D$2</f>
        <v>2444</v>
      </c>
      <c r="G43" s="57" t="n">
        <f aca="false">G42*$D$2</f>
        <v>4060.2245</v>
      </c>
      <c r="H43" s="57" t="n">
        <f aca="false">H42*$D$2</f>
        <v>237.42495</v>
      </c>
      <c r="I43" s="57" t="n">
        <f aca="false">I42*$D$2</f>
        <v>4297.64945</v>
      </c>
      <c r="J43" s="57" t="n">
        <f aca="false">J42*$D$2</f>
        <v>1148.464675</v>
      </c>
      <c r="K43" s="57" t="n">
        <f aca="false">K42*$D$2</f>
        <v>5446.114125</v>
      </c>
      <c r="L43" s="57" t="n">
        <f aca="false">L42*$D$2</f>
        <v>1068.026215</v>
      </c>
      <c r="M43" s="57" t="n">
        <f aca="false">M42*$D$2</f>
        <v>386.762665</v>
      </c>
      <c r="N43" s="57" t="n">
        <f aca="false">N42*$D$2</f>
        <v>0</v>
      </c>
      <c r="O43" s="57" t="n">
        <f aca="false">O42*$D$2</f>
        <v>386.762665</v>
      </c>
      <c r="P43" s="57" t="n">
        <f aca="false">P42*$D$2</f>
        <v>0</v>
      </c>
      <c r="Q43" s="57" t="n">
        <f aca="false">Q42*$D$2</f>
        <v>0</v>
      </c>
      <c r="R43" s="57" t="n">
        <f aca="false">R42*$D$2</f>
        <v>386.762665</v>
      </c>
      <c r="S43" s="57"/>
      <c r="T43" s="57" t="n">
        <f aca="false">T42*$D$2</f>
        <v>0</v>
      </c>
      <c r="U43" s="57" t="n">
        <f aca="false">U42*$D$2</f>
        <v>2534.913</v>
      </c>
      <c r="V43" s="57"/>
      <c r="W43" s="57" t="n">
        <f aca="false">W42*$D$2</f>
        <v>2921.675665</v>
      </c>
      <c r="X43" s="57" t="n">
        <f aca="false">X42*$D$2</f>
        <v>80.43846</v>
      </c>
      <c r="Y43" s="57" t="n">
        <f aca="false">Y42*$D$2</f>
        <v>3002.114125</v>
      </c>
      <c r="Z43" s="60"/>
      <c r="AA43" s="61" t="n">
        <f aca="false">MAX(AA10:AA40)</f>
        <v>55</v>
      </c>
      <c r="AB43" s="61" t="n">
        <f aca="false">MAX(AB10:AB40)</f>
        <v>29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60"/>
      <c r="AA45" s="61" t="n">
        <f aca="false">MIN(AA10:AA40)</f>
        <v>30</v>
      </c>
      <c r="AB45" s="61" t="n">
        <f aca="false">MIN(AB10:AB40)</f>
        <v>-6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3799.8487522057</v>
      </c>
      <c r="G48" s="57" t="n">
        <f aca="false">G8+G42</f>
        <v>8240</v>
      </c>
      <c r="H48" s="61" t="n">
        <f aca="false">H8+H42</f>
        <v>377.9</v>
      </c>
      <c r="I48" s="57" t="n">
        <f aca="false">I8+I42</f>
        <v>8611</v>
      </c>
      <c r="J48" s="57" t="n">
        <f aca="false">J8+J42</f>
        <v>1221.04463826569</v>
      </c>
      <c r="K48" s="57" t="n">
        <f aca="false">K8+K42</f>
        <v>9823.64463826569</v>
      </c>
      <c r="L48" s="57" t="n">
        <f aca="false">L8+L42</f>
        <v>348.728752205697</v>
      </c>
      <c r="M48" s="57" t="n">
        <f aca="false">M8+M42</f>
        <v>957.72</v>
      </c>
      <c r="N48" s="57" t="n">
        <f aca="false">N8+N42</f>
        <v>0</v>
      </c>
      <c r="O48" s="57" t="n">
        <f aca="false">O8+O42</f>
        <v>308.48</v>
      </c>
      <c r="P48" s="57" t="n">
        <f aca="false">P8+P42</f>
        <v>0</v>
      </c>
      <c r="Q48" s="57" t="n">
        <f aca="false">Q8+Q42</f>
        <v>146.2</v>
      </c>
      <c r="R48" s="57" t="n">
        <f aca="false">R8+R42</f>
        <v>846.67</v>
      </c>
      <c r="S48" s="57"/>
      <c r="T48" s="57" t="n">
        <f aca="false">T8+T42</f>
        <v>0</v>
      </c>
      <c r="U48" s="57" t="n">
        <f aca="false">U8+U42</f>
        <v>4055.96</v>
      </c>
      <c r="V48" s="57" t="n">
        <f aca="false">V40</f>
        <v>2092.04</v>
      </c>
      <c r="W48" s="57" t="n">
        <f aca="false">W8+W42</f>
        <v>5159.88</v>
      </c>
      <c r="X48" s="57" t="n">
        <f aca="false">X8+X42</f>
        <v>872.315886059995</v>
      </c>
      <c r="Y48" s="57" t="n">
        <f aca="false">Y8+Y42</f>
        <v>6032.19588606</v>
      </c>
      <c r="Z48" s="81" t="n">
        <f aca="false">Z8+Z42</f>
        <v>3.05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7537</v>
      </c>
      <c r="E49" s="57" t="n">
        <f aca="false">E40</f>
        <v>189047</v>
      </c>
      <c r="F49" s="57" t="n">
        <f aca="false">F48*$D$2</f>
        <v>7537</v>
      </c>
      <c r="G49" s="57" t="n">
        <f aca="false">G48*$D$2</f>
        <v>16344.04</v>
      </c>
      <c r="H49" s="61" t="n">
        <f aca="false">H48*$D$2</f>
        <v>749.56465</v>
      </c>
      <c r="I49" s="57" t="n">
        <f aca="false">I48*$D$2</f>
        <v>17079.9185</v>
      </c>
      <c r="J49" s="57" t="n">
        <f aca="false">J48*$D$2</f>
        <v>2421.94204</v>
      </c>
      <c r="K49" s="57" t="n">
        <f aca="false">K48*$D$2</f>
        <v>19485.19914</v>
      </c>
      <c r="L49" s="57" t="n">
        <f aca="false">L48*$D$2</f>
        <v>691.70348</v>
      </c>
      <c r="M49" s="57" t="n">
        <f aca="false">M48*$D$2</f>
        <v>1899.63762</v>
      </c>
      <c r="N49" s="57" t="n">
        <f aca="false">N48*$D$2</f>
        <v>0</v>
      </c>
      <c r="O49" s="57" t="n">
        <f aca="false">O48*$D$2</f>
        <v>611.87008</v>
      </c>
      <c r="P49" s="57" t="n">
        <f aca="false">P48*$D$2</f>
        <v>0</v>
      </c>
      <c r="Q49" s="57" t="n">
        <f aca="false">Q48*$D$2</f>
        <v>289.9877</v>
      </c>
      <c r="R49" s="57" t="n">
        <f aca="false">R48*$D$2</f>
        <v>1679.369945</v>
      </c>
      <c r="S49" s="57" t="n">
        <f aca="false">S48*$D$2</f>
        <v>0</v>
      </c>
      <c r="T49" s="57" t="n">
        <f aca="false">T48*$D$2</f>
        <v>0</v>
      </c>
      <c r="U49" s="57" t="n">
        <f aca="false">U48*$D$2</f>
        <v>8044.99666</v>
      </c>
      <c r="V49" s="57" t="n">
        <f aca="false">V40*$D$2</f>
        <v>4149.56134</v>
      </c>
      <c r="W49" s="57" t="n">
        <f aca="false">W48*$D$2</f>
        <v>10234.62198</v>
      </c>
      <c r="X49" s="57" t="n">
        <f aca="false">X48*$D$2</f>
        <v>1730.23856</v>
      </c>
      <c r="Y49" s="57" t="n">
        <f aca="false">Y48*$D$2</f>
        <v>11964.86054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56" t="str">
        <f aca="false">"JUN /9"</f>
        <v>JUN /9</v>
      </c>
      <c r="B51" s="93"/>
      <c r="C51" s="57"/>
      <c r="D51" s="56"/>
      <c r="E51" s="57"/>
      <c r="F51" s="56"/>
      <c r="G51" s="56"/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 t="n">
        <v>2615</v>
      </c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6924.15</v>
      </c>
      <c r="C52" s="57" t="n">
        <v>381833</v>
      </c>
      <c r="D52" s="90"/>
      <c r="E52" s="57" t="n">
        <f aca="false">C52-152000</f>
        <v>229833</v>
      </c>
      <c r="F52" s="56"/>
      <c r="G52" s="56"/>
      <c r="H52" s="90"/>
      <c r="I52" s="58"/>
      <c r="J52" s="56"/>
      <c r="K52" s="46"/>
      <c r="L52" s="56"/>
      <c r="M52" s="56"/>
      <c r="N52" s="56"/>
      <c r="O52" s="56"/>
      <c r="P52" s="56"/>
      <c r="Q52" s="56"/>
      <c r="R52" s="56"/>
      <c r="S52" s="57"/>
      <c r="T52" s="56"/>
      <c r="U52" s="56"/>
      <c r="V52" s="57" t="n">
        <f aca="false">V49-V51</f>
        <v>1534.56134</v>
      </c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"5/12/94 thru 6/9/94"</f>
        <v>5/12/94 thru 6/9/94</v>
      </c>
      <c r="B53" s="90"/>
      <c r="C53" s="57"/>
      <c r="D53" s="57"/>
      <c r="E53" s="57"/>
      <c r="F53" s="90"/>
      <c r="G53" s="90"/>
      <c r="H53" s="58"/>
      <c r="I53" s="90"/>
      <c r="J53" s="90"/>
      <c r="K53" s="90"/>
      <c r="L53" s="90"/>
      <c r="M53" s="81"/>
      <c r="N53" s="81"/>
      <c r="O53" s="81"/>
      <c r="P53" s="90"/>
      <c r="Q53" s="90"/>
      <c r="R53" s="90"/>
      <c r="S53" s="57"/>
      <c r="T53" s="90"/>
      <c r="U53" s="90"/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B52-B21</f>
        <v>9.72999999999956</v>
      </c>
      <c r="C54" s="57"/>
      <c r="D54" s="57" t="n">
        <f aca="false">C52-C23</f>
        <v>41739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7"/>
      <c r="T54" s="90"/>
      <c r="U54" s="90"/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/>
      <c r="Q55" s="90"/>
      <c r="R55" s="90"/>
      <c r="S55" s="57"/>
      <c r="T55" s="90"/>
      <c r="U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6.82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6.66"/>
    <col collapsed="false" customWidth="true" hidden="false" outlineLevel="0" max="20" min="20" style="49" width="5.82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57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58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58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/>
      <c r="G7" s="57"/>
      <c r="H7" s="61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JAN!$B$40:$C$40</f>
        <v>6914.68</v>
      </c>
      <c r="C8" s="57" t="n">
        <v>341047</v>
      </c>
      <c r="D8" s="57" t="n">
        <f aca="false" t="array" ref="D8:E8">JAN!$D$49:$E$49</f>
        <v>7537</v>
      </c>
      <c r="E8" s="57" t="n">
        <v>189047</v>
      </c>
      <c r="F8" s="57" t="n">
        <f aca="false" t="array" ref="F8:Z8">JAN!$F$48:$Z$48</f>
        <v>3799.8487522057</v>
      </c>
      <c r="G8" s="57" t="n">
        <v>8240</v>
      </c>
      <c r="H8" s="61" t="n">
        <v>377.9</v>
      </c>
      <c r="I8" s="57" t="n">
        <v>8611</v>
      </c>
      <c r="J8" s="57" t="n">
        <v>1221.04463826569</v>
      </c>
      <c r="K8" s="57" t="n">
        <v>9823.64463826569</v>
      </c>
      <c r="L8" s="57" t="n">
        <v>348.728752205697</v>
      </c>
      <c r="M8" s="57" t="n">
        <v>957.72</v>
      </c>
      <c r="N8" s="57" t="n">
        <v>0</v>
      </c>
      <c r="O8" s="57" t="n">
        <v>308.48</v>
      </c>
      <c r="P8" s="57" t="n">
        <v>0</v>
      </c>
      <c r="Q8" s="57" t="n">
        <v>146.2</v>
      </c>
      <c r="R8" s="57" t="n">
        <v>846.67</v>
      </c>
      <c r="S8" s="57" t="n">
        <v>0</v>
      </c>
      <c r="T8" s="57" t="n">
        <v>0</v>
      </c>
      <c r="U8" s="57" t="n">
        <v>4055.96</v>
      </c>
      <c r="V8" s="57" t="n">
        <v>2092.04</v>
      </c>
      <c r="W8" s="57" t="n">
        <v>5159.88</v>
      </c>
      <c r="X8" s="57" t="n">
        <v>872.315886059995</v>
      </c>
      <c r="Y8" s="57" t="n">
        <v>6032.19588606</v>
      </c>
      <c r="Z8" s="81" t="n">
        <v>3.05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6914.7</v>
      </c>
      <c r="C10" s="57" t="n">
        <v>341130</v>
      </c>
      <c r="D10" s="61" t="n">
        <f aca="false">C10-C8</f>
        <v>83</v>
      </c>
      <c r="E10" s="57" t="n">
        <f aca="false">C10-152000</f>
        <v>189130</v>
      </c>
      <c r="F10" s="56" t="n">
        <f aca="false">D10/$D$2</f>
        <v>41.8452230904966</v>
      </c>
      <c r="G10" s="56" t="n">
        <v>58</v>
      </c>
      <c r="H10" s="58" t="n">
        <v>3.7</v>
      </c>
      <c r="I10" s="56" t="n">
        <f aca="false">G10+H10</f>
        <v>61.7</v>
      </c>
      <c r="J10" s="81" t="n">
        <f aca="false">IF(L10&gt;0,L10,0)</f>
        <v>28.4352230904966</v>
      </c>
      <c r="K10" s="56" t="n">
        <f aca="false">I10+J10</f>
        <v>90.1352230904966</v>
      </c>
      <c r="L10" s="56" t="n">
        <f aca="false">F10-(I10-W10)</f>
        <v>28.4352230904966</v>
      </c>
      <c r="M10" s="56" t="n">
        <v>6.29</v>
      </c>
      <c r="N10" s="56" t="n">
        <v>0</v>
      </c>
      <c r="O10" s="56" t="n">
        <f aca="false">M10-N10</f>
        <v>6.29</v>
      </c>
      <c r="P10" s="56" t="n">
        <v>0</v>
      </c>
      <c r="Q10" s="56" t="n">
        <v>0</v>
      </c>
      <c r="R10" s="56" t="n">
        <f aca="false">SUM(O10:Q10)</f>
        <v>6.29</v>
      </c>
      <c r="S10" s="57"/>
      <c r="T10" s="56" t="n">
        <v>0</v>
      </c>
      <c r="U10" s="56" t="n">
        <v>42</v>
      </c>
      <c r="V10" s="57" t="n">
        <f aca="false">V8-U10</f>
        <v>2050.04</v>
      </c>
      <c r="W10" s="56" t="n">
        <f aca="false">R10+T10+N10+U10</f>
        <v>48.29</v>
      </c>
      <c r="X10" s="56" t="n">
        <f aca="false">IF(L10&lt;0,L10*-1,0)</f>
        <v>0</v>
      </c>
      <c r="Y10" s="56" t="n">
        <f aca="false">W10+X10</f>
        <v>48.29</v>
      </c>
      <c r="Z10" s="60" t="n">
        <v>0.08</v>
      </c>
      <c r="AA10" s="61" t="n">
        <v>51</v>
      </c>
      <c r="AB10" s="61" t="n">
        <v>15</v>
      </c>
      <c r="AC10" s="62" t="n">
        <v>1</v>
      </c>
      <c r="AD10" s="79"/>
      <c r="AE10" s="82"/>
      <c r="AF10" s="79"/>
    </row>
    <row r="11" customFormat="false" ht="11.1" hidden="false" customHeight="true" outlineLevel="0" collapsed="false">
      <c r="A11" s="62" t="n">
        <f aca="false">A10+1</f>
        <v>2</v>
      </c>
      <c r="B11" s="80" t="n">
        <v>6914.72</v>
      </c>
      <c r="C11" s="57" t="n">
        <v>341213</v>
      </c>
      <c r="D11" s="61" t="n">
        <f aca="false">C11-C10</f>
        <v>83</v>
      </c>
      <c r="E11" s="57" t="n">
        <f aca="false">C11-152000</f>
        <v>189213</v>
      </c>
      <c r="F11" s="56" t="n">
        <f aca="false">D11/$D$2</f>
        <v>41.8452230904966</v>
      </c>
      <c r="G11" s="56" t="n">
        <v>60</v>
      </c>
      <c r="H11" s="58" t="n">
        <v>3.8</v>
      </c>
      <c r="I11" s="56" t="n">
        <f aca="false">G11+H11</f>
        <v>63.8</v>
      </c>
      <c r="J11" s="81" t="n">
        <f aca="false">IF(L11&gt;0,L11,0)</f>
        <v>26.3352230904966</v>
      </c>
      <c r="K11" s="56" t="n">
        <f aca="false">I11+J11</f>
        <v>90.1352230904966</v>
      </c>
      <c r="L11" s="56" t="n">
        <f aca="false">F11-(I11-W11)</f>
        <v>26.3352230904966</v>
      </c>
      <c r="M11" s="56" t="n">
        <v>6.29</v>
      </c>
      <c r="N11" s="56" t="n">
        <v>0</v>
      </c>
      <c r="O11" s="56" t="n">
        <f aca="false">M11-N11</f>
        <v>6.29</v>
      </c>
      <c r="P11" s="56" t="n">
        <v>0</v>
      </c>
      <c r="Q11" s="56" t="n">
        <v>0</v>
      </c>
      <c r="R11" s="56" t="n">
        <f aca="false">SUM(O11:Q11)</f>
        <v>6.29</v>
      </c>
      <c r="S11" s="57"/>
      <c r="T11" s="56" t="n">
        <v>0</v>
      </c>
      <c r="U11" s="56" t="n">
        <v>42</v>
      </c>
      <c r="V11" s="57" t="n">
        <f aca="false">V10-U11</f>
        <v>2008.04</v>
      </c>
      <c r="W11" s="56" t="n">
        <f aca="false">R11+T11+N11+U11</f>
        <v>48.29</v>
      </c>
      <c r="X11" s="56" t="n">
        <f aca="false">IF(L11&lt;0,L11*-1,0)</f>
        <v>0</v>
      </c>
      <c r="Y11" s="56" t="n">
        <f aca="false">W11+X11</f>
        <v>48.29</v>
      </c>
      <c r="Z11" s="60" t="n">
        <v>0</v>
      </c>
      <c r="AA11" s="61" t="n">
        <v>35</v>
      </c>
      <c r="AB11" s="61" t="n">
        <v>26</v>
      </c>
      <c r="AC11" s="62" t="n">
        <f aca="false">AC10+1</f>
        <v>2</v>
      </c>
      <c r="AD11" s="79"/>
      <c r="AE11" s="82"/>
      <c r="AF11" s="79"/>
    </row>
    <row r="12" customFormat="false" ht="11.1" hidden="false" customHeight="true" outlineLevel="0" collapsed="false">
      <c r="A12" s="62" t="n">
        <f aca="false">A11+1</f>
        <v>3</v>
      </c>
      <c r="B12" s="80" t="n">
        <v>6914.74</v>
      </c>
      <c r="C12" s="57" t="n">
        <v>341295</v>
      </c>
      <c r="D12" s="61" t="n">
        <f aca="false">C12-C11</f>
        <v>82</v>
      </c>
      <c r="E12" s="57" t="n">
        <f aca="false">C12-152000</f>
        <v>189295</v>
      </c>
      <c r="F12" s="56" t="n">
        <f aca="false">D12/$D$2</f>
        <v>41.3410637761533</v>
      </c>
      <c r="G12" s="56" t="n">
        <v>64</v>
      </c>
      <c r="H12" s="58" t="n">
        <v>4</v>
      </c>
      <c r="I12" s="56" t="n">
        <f aca="false">G12+H12</f>
        <v>68</v>
      </c>
      <c r="J12" s="81" t="n">
        <f aca="false">IF(L12&gt;0,L12,0)</f>
        <v>21.6310637761533</v>
      </c>
      <c r="K12" s="56" t="n">
        <f aca="false">I12+J12</f>
        <v>89.6310637761533</v>
      </c>
      <c r="L12" s="56" t="n">
        <f aca="false">F12-(I12-W12)</f>
        <v>21.6310637761533</v>
      </c>
      <c r="M12" s="56" t="n">
        <v>6.29</v>
      </c>
      <c r="N12" s="56" t="n">
        <v>0</v>
      </c>
      <c r="O12" s="56" t="n">
        <f aca="false">M12-N12</f>
        <v>6.29</v>
      </c>
      <c r="P12" s="56" t="n">
        <v>0</v>
      </c>
      <c r="Q12" s="56" t="n">
        <v>0</v>
      </c>
      <c r="R12" s="56" t="n">
        <f aca="false">SUM(O12:Q12)</f>
        <v>6.29</v>
      </c>
      <c r="S12" s="57"/>
      <c r="T12" s="56" t="n">
        <v>0</v>
      </c>
      <c r="U12" s="56" t="n">
        <v>42</v>
      </c>
      <c r="V12" s="57" t="n">
        <f aca="false">V11-U12</f>
        <v>1966.04</v>
      </c>
      <c r="W12" s="56" t="n">
        <f aca="false">R12+T12+N12+U12</f>
        <v>48.29</v>
      </c>
      <c r="X12" s="56" t="n">
        <f aca="false">IF(L12&lt;0,L12*-1,0)</f>
        <v>0</v>
      </c>
      <c r="Y12" s="56" t="n">
        <f aca="false">W12+X12</f>
        <v>48.29</v>
      </c>
      <c r="Z12" s="60" t="n">
        <v>0</v>
      </c>
      <c r="AA12" s="61" t="n">
        <v>49</v>
      </c>
      <c r="AB12" s="61" t="n">
        <v>17</v>
      </c>
      <c r="AC12" s="62" t="n">
        <f aca="false">AC11+1</f>
        <v>3</v>
      </c>
      <c r="AD12" s="79"/>
      <c r="AE12" s="82"/>
      <c r="AF12" s="79"/>
    </row>
    <row r="13" customFormat="false" ht="11.1" hidden="false" customHeight="true" outlineLevel="0" collapsed="false">
      <c r="A13" s="62" t="n">
        <f aca="false">A12+1</f>
        <v>4</v>
      </c>
      <c r="B13" s="80" t="n">
        <v>6914.76</v>
      </c>
      <c r="C13" s="57" t="n">
        <v>341378</v>
      </c>
      <c r="D13" s="61" t="n">
        <f aca="false">C13-C12</f>
        <v>83</v>
      </c>
      <c r="E13" s="57" t="n">
        <f aca="false">C13-152000</f>
        <v>189378</v>
      </c>
      <c r="F13" s="56" t="n">
        <f aca="false">D13/$D$2</f>
        <v>41.8452230904966</v>
      </c>
      <c r="G13" s="56" t="n">
        <v>64</v>
      </c>
      <c r="H13" s="58" t="n">
        <v>4</v>
      </c>
      <c r="I13" s="56" t="n">
        <f aca="false">G13+H13</f>
        <v>68</v>
      </c>
      <c r="J13" s="81" t="n">
        <f aca="false">IF(L13&gt;0,L13,0)</f>
        <v>22.1352230904966</v>
      </c>
      <c r="K13" s="56" t="n">
        <f aca="false">I13+J13</f>
        <v>90.1352230904966</v>
      </c>
      <c r="L13" s="56" t="n">
        <f aca="false">F13-(I13-W13)</f>
        <v>22.1352230904966</v>
      </c>
      <c r="M13" s="56" t="n">
        <v>6.29</v>
      </c>
      <c r="N13" s="56" t="n">
        <v>0</v>
      </c>
      <c r="O13" s="56" t="n">
        <f aca="false">M13-N13</f>
        <v>6.29</v>
      </c>
      <c r="P13" s="56" t="n">
        <v>0</v>
      </c>
      <c r="Q13" s="56" t="n">
        <v>0</v>
      </c>
      <c r="R13" s="56" t="n">
        <f aca="false">SUM(O13:Q13)</f>
        <v>6.29</v>
      </c>
      <c r="S13" s="57"/>
      <c r="T13" s="56" t="n">
        <v>0</v>
      </c>
      <c r="U13" s="56" t="n">
        <v>42</v>
      </c>
      <c r="V13" s="57" t="n">
        <f aca="false">V12-U13</f>
        <v>1924.04</v>
      </c>
      <c r="W13" s="56" t="n">
        <f aca="false">R13+T13+N13+U13</f>
        <v>48.29</v>
      </c>
      <c r="X13" s="56" t="n">
        <f aca="false">IF(L13&lt;0,L13*-1,0)</f>
        <v>0</v>
      </c>
      <c r="Y13" s="56" t="n">
        <f aca="false">W13+X13</f>
        <v>48.29</v>
      </c>
      <c r="Z13" s="60" t="n">
        <v>0.03</v>
      </c>
      <c r="AA13" s="61" t="n">
        <v>39</v>
      </c>
      <c r="AB13" s="61" t="n">
        <v>33</v>
      </c>
      <c r="AC13" s="62" t="n">
        <f aca="false">AC12+1</f>
        <v>4</v>
      </c>
      <c r="AD13" s="79"/>
      <c r="AE13" s="82"/>
      <c r="AF13" s="79"/>
    </row>
    <row r="14" customFormat="false" ht="11.1" hidden="false" customHeight="true" outlineLevel="0" collapsed="false">
      <c r="A14" s="62" t="n">
        <f aca="false">A13+1</f>
        <v>5</v>
      </c>
      <c r="B14" s="80" t="n">
        <v>6914.77</v>
      </c>
      <c r="C14" s="57" t="n">
        <v>341420</v>
      </c>
      <c r="D14" s="61" t="n">
        <f aca="false">C14-C13</f>
        <v>42</v>
      </c>
      <c r="E14" s="57" t="n">
        <f aca="false">C14-152000</f>
        <v>189420</v>
      </c>
      <c r="F14" s="56" t="n">
        <f aca="false">D14/$D$2</f>
        <v>21.17469120242</v>
      </c>
      <c r="G14" s="56" t="n">
        <v>62</v>
      </c>
      <c r="H14" s="58" t="n">
        <v>4</v>
      </c>
      <c r="I14" s="56" t="n">
        <f aca="false">G14+H14</f>
        <v>66</v>
      </c>
      <c r="J14" s="81" t="n">
        <f aca="false">IF(L14&gt;0,L14,0)</f>
        <v>3.46469120241996</v>
      </c>
      <c r="K14" s="56" t="n">
        <f aca="false">I14+J14</f>
        <v>69.46469120242</v>
      </c>
      <c r="L14" s="56" t="n">
        <f aca="false">F14-(I14-W14)</f>
        <v>3.46469120241996</v>
      </c>
      <c r="M14" s="56" t="n">
        <v>6.29</v>
      </c>
      <c r="N14" s="56" t="n">
        <v>0</v>
      </c>
      <c r="O14" s="56" t="n">
        <f aca="false">M14-N14</f>
        <v>6.29</v>
      </c>
      <c r="P14" s="56" t="n">
        <v>0</v>
      </c>
      <c r="Q14" s="56" t="n">
        <v>0</v>
      </c>
      <c r="R14" s="56" t="n">
        <f aca="false">SUM(O14:Q14)</f>
        <v>6.29</v>
      </c>
      <c r="S14" s="57"/>
      <c r="T14" s="56" t="n">
        <v>0</v>
      </c>
      <c r="U14" s="56" t="n">
        <v>42</v>
      </c>
      <c r="V14" s="57" t="n">
        <f aca="false">V13-U14</f>
        <v>1882.04</v>
      </c>
      <c r="W14" s="56" t="n">
        <f aca="false">R14+T14+N14+U14</f>
        <v>48.29</v>
      </c>
      <c r="X14" s="56" t="n">
        <f aca="false">IF(L14&lt;0,L14*-1,0)</f>
        <v>0</v>
      </c>
      <c r="Y14" s="56" t="n">
        <f aca="false">W14+X14</f>
        <v>48.29</v>
      </c>
      <c r="Z14" s="60" t="n">
        <v>0</v>
      </c>
      <c r="AA14" s="61" t="n">
        <v>38</v>
      </c>
      <c r="AB14" s="61" t="n">
        <v>29</v>
      </c>
      <c r="AC14" s="62" t="n">
        <f aca="false">AC13+1</f>
        <v>5</v>
      </c>
      <c r="AD14" s="79"/>
      <c r="AE14" s="82"/>
      <c r="AF14" s="79"/>
    </row>
    <row r="15" customFormat="false" ht="11.1" hidden="false" customHeight="true" outlineLevel="0" collapsed="false">
      <c r="A15" s="62" t="n">
        <f aca="false">A14+1</f>
        <v>6</v>
      </c>
      <c r="B15" s="80" t="n">
        <v>6914.79</v>
      </c>
      <c r="C15" s="57" t="n">
        <v>341503</v>
      </c>
      <c r="D15" s="61" t="n">
        <f aca="false">C15-C14</f>
        <v>83</v>
      </c>
      <c r="E15" s="57" t="n">
        <f aca="false">C15-152000</f>
        <v>189503</v>
      </c>
      <c r="F15" s="56" t="n">
        <f aca="false">D15/$D$2</f>
        <v>41.8452230904966</v>
      </c>
      <c r="G15" s="56" t="n">
        <v>62</v>
      </c>
      <c r="H15" s="58" t="n">
        <v>3.9</v>
      </c>
      <c r="I15" s="56" t="n">
        <f aca="false">G15+H15</f>
        <v>65.9</v>
      </c>
      <c r="J15" s="81" t="n">
        <f aca="false">IF(L15&gt;0,L15,0)</f>
        <v>23.2352230904966</v>
      </c>
      <c r="K15" s="56" t="n">
        <f aca="false">I15+J15</f>
        <v>89.1352230904966</v>
      </c>
      <c r="L15" s="56" t="n">
        <f aca="false">F15-(I15-W15)</f>
        <v>23.2352230904966</v>
      </c>
      <c r="M15" s="56" t="n">
        <v>6.29</v>
      </c>
      <c r="N15" s="56" t="n">
        <v>0</v>
      </c>
      <c r="O15" s="56" t="n">
        <f aca="false">M15-N15</f>
        <v>6.29</v>
      </c>
      <c r="P15" s="56" t="n">
        <v>0</v>
      </c>
      <c r="Q15" s="56" t="n">
        <v>0</v>
      </c>
      <c r="R15" s="56" t="n">
        <f aca="false">SUM(O15:Q15)</f>
        <v>6.29</v>
      </c>
      <c r="S15" s="57"/>
      <c r="T15" s="56" t="n">
        <v>0</v>
      </c>
      <c r="U15" s="56" t="n">
        <v>41</v>
      </c>
      <c r="V15" s="57" t="n">
        <f aca="false">V14-U15</f>
        <v>1841.04</v>
      </c>
      <c r="W15" s="56" t="n">
        <f aca="false">R15+T15+N15+U15</f>
        <v>47.29</v>
      </c>
      <c r="X15" s="56" t="n">
        <f aca="false">IF(L15&lt;0,L15*-1,0)</f>
        <v>0</v>
      </c>
      <c r="Y15" s="56" t="n">
        <f aca="false">W15+X15</f>
        <v>47.29</v>
      </c>
      <c r="Z15" s="60" t="n">
        <v>0.2</v>
      </c>
      <c r="AA15" s="61" t="n">
        <v>44</v>
      </c>
      <c r="AB15" s="61" t="n">
        <v>21</v>
      </c>
      <c r="AC15" s="62" t="n">
        <f aca="false">AC14+1</f>
        <v>6</v>
      </c>
      <c r="AD15" s="78"/>
      <c r="AE15" s="82"/>
      <c r="AF15" s="79"/>
    </row>
    <row r="16" customFormat="false" ht="11.1" hidden="false" customHeight="true" outlineLevel="0" collapsed="false">
      <c r="A16" s="62" t="n">
        <f aca="false">A15+1</f>
        <v>7</v>
      </c>
      <c r="B16" s="80" t="n">
        <v>6914.83</v>
      </c>
      <c r="C16" s="57" t="n">
        <v>341668</v>
      </c>
      <c r="D16" s="61" t="n">
        <f aca="false">C16-C15</f>
        <v>165</v>
      </c>
      <c r="E16" s="57" t="n">
        <f aca="false">C16-152000</f>
        <v>189668</v>
      </c>
      <c r="F16" s="56" t="n">
        <f aca="false">D16/$D$2</f>
        <v>83.1862868666499</v>
      </c>
      <c r="G16" s="56" t="n">
        <v>62</v>
      </c>
      <c r="H16" s="58" t="n">
        <v>3.9</v>
      </c>
      <c r="I16" s="56" t="n">
        <f aca="false">G16+H16</f>
        <v>65.9</v>
      </c>
      <c r="J16" s="81" t="n">
        <f aca="false">IF(L16&gt;0,L16,0)</f>
        <v>65.5762868666499</v>
      </c>
      <c r="K16" s="56" t="n">
        <f aca="false">I16+J16</f>
        <v>131.47628686665</v>
      </c>
      <c r="L16" s="56" t="n">
        <f aca="false">F16-(I16-W16)</f>
        <v>65.5762868666499</v>
      </c>
      <c r="M16" s="56" t="n">
        <v>6.29</v>
      </c>
      <c r="N16" s="56" t="n">
        <v>0</v>
      </c>
      <c r="O16" s="56" t="n">
        <f aca="false">M16-N16</f>
        <v>6.29</v>
      </c>
      <c r="P16" s="56" t="n">
        <v>0</v>
      </c>
      <c r="Q16" s="56" t="n">
        <v>0</v>
      </c>
      <c r="R16" s="56" t="n">
        <f aca="false">SUM(O16:Q16)</f>
        <v>6.29</v>
      </c>
      <c r="S16" s="57"/>
      <c r="T16" s="56" t="n">
        <v>0</v>
      </c>
      <c r="U16" s="56" t="n">
        <v>42</v>
      </c>
      <c r="V16" s="57" t="n">
        <f aca="false">V15-U16</f>
        <v>1799.04</v>
      </c>
      <c r="W16" s="56" t="n">
        <f aca="false">R16+T16+N16+U16</f>
        <v>48.29</v>
      </c>
      <c r="X16" s="56" t="n">
        <f aca="false">IF(L16&lt;0,L16*-1,0)</f>
        <v>0</v>
      </c>
      <c r="Y16" s="56" t="n">
        <f aca="false">W16+X16</f>
        <v>48.29</v>
      </c>
      <c r="Z16" s="60" t="n">
        <v>0.22</v>
      </c>
      <c r="AA16" s="61" t="n">
        <v>35</v>
      </c>
      <c r="AB16" s="61" t="n">
        <v>22</v>
      </c>
      <c r="AC16" s="62" t="n">
        <f aca="false">AC15+1</f>
        <v>7</v>
      </c>
      <c r="AD16" s="78"/>
      <c r="AE16" s="82"/>
      <c r="AF16" s="79"/>
    </row>
    <row r="17" customFormat="false" ht="11.1" hidden="false" customHeight="true" outlineLevel="0" collapsed="false">
      <c r="A17" s="62" t="n">
        <f aca="false">A16+1</f>
        <v>8</v>
      </c>
      <c r="B17" s="80" t="n">
        <v>6914.87</v>
      </c>
      <c r="C17" s="57" t="n">
        <v>341834</v>
      </c>
      <c r="D17" s="61" t="n">
        <f aca="false">C17-C16</f>
        <v>166</v>
      </c>
      <c r="E17" s="57" t="n">
        <f aca="false">C17-152000</f>
        <v>189834</v>
      </c>
      <c r="F17" s="56" t="n">
        <f aca="false">D17/$D$2</f>
        <v>83.6904461809932</v>
      </c>
      <c r="G17" s="56" t="n">
        <v>60</v>
      </c>
      <c r="H17" s="58" t="n">
        <v>3.8</v>
      </c>
      <c r="I17" s="56" t="n">
        <f aca="false">G17+H17</f>
        <v>63.8</v>
      </c>
      <c r="J17" s="81" t="n">
        <f aca="false">IF(L17&gt;0,L17,0)</f>
        <v>68.1804461809932</v>
      </c>
      <c r="K17" s="56" t="n">
        <f aca="false">I17+J17</f>
        <v>131.980446180993</v>
      </c>
      <c r="L17" s="56" t="n">
        <f aca="false">F17-(I17-W17)</f>
        <v>68.1804461809932</v>
      </c>
      <c r="M17" s="56" t="n">
        <v>6.29</v>
      </c>
      <c r="N17" s="56" t="n">
        <v>0</v>
      </c>
      <c r="O17" s="56" t="n">
        <f aca="false">M17-N17</f>
        <v>6.29</v>
      </c>
      <c r="P17" s="56" t="n">
        <v>0</v>
      </c>
      <c r="Q17" s="56" t="n">
        <v>0</v>
      </c>
      <c r="R17" s="56" t="n">
        <f aca="false">SUM(O17:Q17)</f>
        <v>6.29</v>
      </c>
      <c r="S17" s="57"/>
      <c r="T17" s="56" t="n">
        <v>0</v>
      </c>
      <c r="U17" s="56" t="n">
        <v>42</v>
      </c>
      <c r="V17" s="57" t="n">
        <f aca="false">V16-U17</f>
        <v>1757.04</v>
      </c>
      <c r="W17" s="56" t="n">
        <f aca="false">R17+T17+N17+U17</f>
        <v>48.29</v>
      </c>
      <c r="X17" s="56" t="n">
        <f aca="false">IF(L17&lt;0,L17*-1,0)</f>
        <v>0</v>
      </c>
      <c r="Y17" s="56" t="n">
        <f aca="false">W17+X17</f>
        <v>48.29</v>
      </c>
      <c r="Z17" s="60" t="n">
        <v>0.34</v>
      </c>
      <c r="AA17" s="61" t="n">
        <v>33</v>
      </c>
      <c r="AB17" s="61" t="n">
        <v>20</v>
      </c>
      <c r="AC17" s="62" t="n">
        <f aca="false">AC16+1</f>
        <v>8</v>
      </c>
      <c r="AD17" s="78"/>
      <c r="AE17" s="82"/>
      <c r="AF17" s="79"/>
    </row>
    <row r="18" customFormat="false" ht="11.1" hidden="false" customHeight="true" outlineLevel="0" collapsed="false">
      <c r="A18" s="62" t="n">
        <f aca="false">A17+1</f>
        <v>9</v>
      </c>
      <c r="B18" s="80" t="n">
        <v>6914.89</v>
      </c>
      <c r="C18" s="57" t="n">
        <v>341917</v>
      </c>
      <c r="D18" s="61" t="n">
        <f aca="false">C18-C17</f>
        <v>83</v>
      </c>
      <c r="E18" s="57" t="n">
        <f aca="false">C18-152000</f>
        <v>189917</v>
      </c>
      <c r="F18" s="56" t="n">
        <f aca="false">D18/$D$2</f>
        <v>41.8452230904966</v>
      </c>
      <c r="G18" s="56" t="n">
        <v>60</v>
      </c>
      <c r="H18" s="58" t="n">
        <v>3.7</v>
      </c>
      <c r="I18" s="56" t="n">
        <f aca="false">G18+H18</f>
        <v>63.7</v>
      </c>
      <c r="J18" s="81" t="n">
        <f aca="false">IF(L18&gt;0,L18,0)</f>
        <v>26.4352230904966</v>
      </c>
      <c r="K18" s="56" t="n">
        <f aca="false">I18+J18</f>
        <v>90.1352230904966</v>
      </c>
      <c r="L18" s="56" t="n">
        <f aca="false">F18-(I18-W18)</f>
        <v>26.4352230904966</v>
      </c>
      <c r="M18" s="56" t="n">
        <v>6.29</v>
      </c>
      <c r="N18" s="56" t="n">
        <v>0</v>
      </c>
      <c r="O18" s="56" t="n">
        <f aca="false">M18-N18</f>
        <v>6.29</v>
      </c>
      <c r="P18" s="56" t="n">
        <v>0</v>
      </c>
      <c r="Q18" s="56" t="n">
        <v>0</v>
      </c>
      <c r="R18" s="56" t="n">
        <f aca="false">SUM(O18:Q18)</f>
        <v>6.29</v>
      </c>
      <c r="S18" s="57"/>
      <c r="T18" s="56" t="n">
        <v>0</v>
      </c>
      <c r="U18" s="56" t="n">
        <v>42</v>
      </c>
      <c r="V18" s="57" t="n">
        <f aca="false">V17-U18</f>
        <v>1715.04</v>
      </c>
      <c r="W18" s="56" t="n">
        <f aca="false">R18+T18+N18+U18</f>
        <v>48.29</v>
      </c>
      <c r="X18" s="56" t="n">
        <f aca="false">IF(L18&lt;0,L18*-1,0)</f>
        <v>0</v>
      </c>
      <c r="Y18" s="56" t="n">
        <f aca="false">W18+X18</f>
        <v>48.29</v>
      </c>
      <c r="Z18" s="60" t="n">
        <v>0</v>
      </c>
      <c r="AA18" s="90" t="n">
        <v>36</v>
      </c>
      <c r="AB18" s="61" t="n">
        <v>15</v>
      </c>
      <c r="AC18" s="62" t="n">
        <f aca="false">AC17+1</f>
        <v>9</v>
      </c>
      <c r="AD18" s="78"/>
      <c r="AE18" s="82"/>
      <c r="AF18" s="79"/>
    </row>
    <row r="19" customFormat="false" ht="11.1" hidden="false" customHeight="true" outlineLevel="0" collapsed="false">
      <c r="A19" s="62" t="n">
        <f aca="false">A18+1</f>
        <v>10</v>
      </c>
      <c r="B19" s="80" t="n">
        <v>6914.91</v>
      </c>
      <c r="C19" s="57" t="n">
        <v>342000</v>
      </c>
      <c r="D19" s="61" t="n">
        <f aca="false">C19-C18</f>
        <v>83</v>
      </c>
      <c r="E19" s="57" t="n">
        <f aca="false">C19-152000</f>
        <v>190000</v>
      </c>
      <c r="F19" s="56" t="n">
        <f aca="false">D19/$D$2</f>
        <v>41.8452230904966</v>
      </c>
      <c r="G19" s="56" t="n">
        <v>58</v>
      </c>
      <c r="H19" s="58" t="n">
        <v>3.6</v>
      </c>
      <c r="I19" s="56" t="n">
        <f aca="false">G19+H19</f>
        <v>61.6</v>
      </c>
      <c r="J19" s="81" t="n">
        <f aca="false">IF(L19&gt;0,L19,0)</f>
        <v>28.5352230904966</v>
      </c>
      <c r="K19" s="56" t="n">
        <f aca="false">I19+J19</f>
        <v>90.1352230904966</v>
      </c>
      <c r="L19" s="56" t="n">
        <f aca="false">F19-(I19-W19)</f>
        <v>28.5352230904966</v>
      </c>
      <c r="M19" s="56" t="n">
        <v>6.29</v>
      </c>
      <c r="N19" s="56" t="n">
        <v>0</v>
      </c>
      <c r="O19" s="56" t="n">
        <f aca="false">M19-N19</f>
        <v>6.29</v>
      </c>
      <c r="P19" s="56" t="n">
        <v>0</v>
      </c>
      <c r="Q19" s="56" t="n">
        <v>0</v>
      </c>
      <c r="R19" s="56" t="n">
        <f aca="false">SUM(O19:Q19)</f>
        <v>6.29</v>
      </c>
      <c r="S19" s="57"/>
      <c r="T19" s="56" t="n">
        <v>0</v>
      </c>
      <c r="U19" s="56" t="n">
        <v>42</v>
      </c>
      <c r="V19" s="57" t="n">
        <f aca="false">V18-U19</f>
        <v>1673.04</v>
      </c>
      <c r="W19" s="56" t="n">
        <f aca="false">R19+T19+N19+U19</f>
        <v>48.29</v>
      </c>
      <c r="X19" s="56" t="n">
        <f aca="false">IF(L19&lt;0,L19*-1,0)</f>
        <v>0</v>
      </c>
      <c r="Y19" s="56" t="n">
        <f aca="false">W19+X19</f>
        <v>48.29</v>
      </c>
      <c r="Z19" s="60" t="n">
        <v>0</v>
      </c>
      <c r="AA19" s="61" t="n">
        <v>43</v>
      </c>
      <c r="AB19" s="61" t="n">
        <v>11</v>
      </c>
      <c r="AC19" s="62" t="n">
        <f aca="false">AC18+1</f>
        <v>10</v>
      </c>
      <c r="AD19" s="78"/>
      <c r="AE19" s="82"/>
      <c r="AF19" s="79"/>
    </row>
    <row r="20" customFormat="false" ht="11.1" hidden="false" customHeight="true" outlineLevel="0" collapsed="false">
      <c r="A20" s="62" t="n">
        <f aca="false">A19+1</f>
        <v>11</v>
      </c>
      <c r="B20" s="80" t="n">
        <v>6914.92</v>
      </c>
      <c r="C20" s="57" t="n">
        <v>342041</v>
      </c>
      <c r="D20" s="61" t="n">
        <f aca="false">C20-C19</f>
        <v>41</v>
      </c>
      <c r="E20" s="57" t="n">
        <f aca="false">C20-152000</f>
        <v>190041</v>
      </c>
      <c r="F20" s="56" t="n">
        <f aca="false">D20/$D$2</f>
        <v>20.6705318880766</v>
      </c>
      <c r="G20" s="56" t="n">
        <v>56</v>
      </c>
      <c r="H20" s="58" t="n">
        <v>3.6</v>
      </c>
      <c r="I20" s="56" t="n">
        <f aca="false">G20+H20</f>
        <v>59.6</v>
      </c>
      <c r="J20" s="81" t="n">
        <f aca="false">IF(L20&gt;0,L20,0)</f>
        <v>8.36053188807663</v>
      </c>
      <c r="K20" s="56" t="n">
        <f aca="false">I20+J20</f>
        <v>67.9605318880766</v>
      </c>
      <c r="L20" s="56" t="n">
        <f aca="false">F20-(I20-W20)</f>
        <v>8.36053188807663</v>
      </c>
      <c r="M20" s="56" t="n">
        <v>6.29</v>
      </c>
      <c r="N20" s="56" t="n">
        <v>0</v>
      </c>
      <c r="O20" s="56" t="n">
        <f aca="false">M20-N20</f>
        <v>6.29</v>
      </c>
      <c r="P20" s="56" t="n">
        <v>0</v>
      </c>
      <c r="Q20" s="56" t="n">
        <v>0</v>
      </c>
      <c r="R20" s="56" t="n">
        <f aca="false">SUM(O20:Q20)</f>
        <v>6.29</v>
      </c>
      <c r="S20" s="57"/>
      <c r="T20" s="56" t="n">
        <v>0</v>
      </c>
      <c r="U20" s="56" t="n">
        <v>41</v>
      </c>
      <c r="V20" s="57" t="n">
        <f aca="false">V19-U20</f>
        <v>1632.04</v>
      </c>
      <c r="W20" s="56" t="n">
        <f aca="false">R20+T20+N20+U20</f>
        <v>47.29</v>
      </c>
      <c r="X20" s="56" t="n">
        <f aca="false">IF(L20&lt;0,L20*-1,0)</f>
        <v>0</v>
      </c>
      <c r="Y20" s="56" t="n">
        <f aca="false">W20+X20</f>
        <v>47.29</v>
      </c>
      <c r="Z20" s="60" t="n">
        <v>0</v>
      </c>
      <c r="AA20" s="61" t="n">
        <v>41</v>
      </c>
      <c r="AB20" s="61" t="n">
        <v>14</v>
      </c>
      <c r="AC20" s="62" t="n">
        <f aca="false">AC19+1</f>
        <v>11</v>
      </c>
      <c r="AD20" s="78"/>
      <c r="AE20" s="82"/>
      <c r="AF20" s="79"/>
    </row>
    <row r="21" customFormat="false" ht="11.1" hidden="false" customHeight="true" outlineLevel="0" collapsed="false">
      <c r="A21" s="62" t="n">
        <f aca="false">A20+1</f>
        <v>12</v>
      </c>
      <c r="B21" s="80" t="n">
        <v>6914.93</v>
      </c>
      <c r="C21" s="57" t="n">
        <v>342082</v>
      </c>
      <c r="D21" s="61" t="n">
        <f aca="false">C21-C20</f>
        <v>41</v>
      </c>
      <c r="E21" s="57" t="n">
        <f aca="false">C21-152000</f>
        <v>190082</v>
      </c>
      <c r="F21" s="56" t="n">
        <f aca="false">D21/$D$2</f>
        <v>20.6705318880766</v>
      </c>
      <c r="G21" s="56" t="n">
        <v>56</v>
      </c>
      <c r="H21" s="58" t="n">
        <v>3.8</v>
      </c>
      <c r="I21" s="56" t="n">
        <f aca="false">G21+H21</f>
        <v>59.8</v>
      </c>
      <c r="J21" s="81" t="n">
        <f aca="false">IF(L21&gt;0,L21,0)</f>
        <v>9.16053188807663</v>
      </c>
      <c r="K21" s="56" t="n">
        <f aca="false">I21+J21</f>
        <v>68.9605318880766</v>
      </c>
      <c r="L21" s="56" t="n">
        <f aca="false">F21-(I21-W21)</f>
        <v>9.16053188807663</v>
      </c>
      <c r="M21" s="56" t="n">
        <v>6.29</v>
      </c>
      <c r="N21" s="56" t="n">
        <v>0</v>
      </c>
      <c r="O21" s="56" t="n">
        <f aca="false">M21-N21</f>
        <v>6.29</v>
      </c>
      <c r="P21" s="56" t="n">
        <v>0</v>
      </c>
      <c r="Q21" s="56" t="n">
        <v>0</v>
      </c>
      <c r="R21" s="56" t="n">
        <f aca="false">SUM(O21:Q21)</f>
        <v>6.29</v>
      </c>
      <c r="S21" s="57"/>
      <c r="T21" s="56" t="n">
        <v>0</v>
      </c>
      <c r="U21" s="56" t="n">
        <v>42</v>
      </c>
      <c r="V21" s="57" t="n">
        <f aca="false">V20-U21</f>
        <v>1590.04</v>
      </c>
      <c r="W21" s="56" t="n">
        <f aca="false">R21+T21+N21+U21</f>
        <v>48.29</v>
      </c>
      <c r="X21" s="56" t="n">
        <f aca="false">IF(L21&lt;0,L21*-1,0)</f>
        <v>0</v>
      </c>
      <c r="Y21" s="56" t="n">
        <f aca="false">W21+X21</f>
        <v>48.29</v>
      </c>
      <c r="Z21" s="60" t="n">
        <v>0</v>
      </c>
      <c r="AA21" s="61" t="n">
        <v>44</v>
      </c>
      <c r="AB21" s="61" t="n">
        <v>16</v>
      </c>
      <c r="AC21" s="62" t="n">
        <f aca="false">AC20+1</f>
        <v>12</v>
      </c>
      <c r="AD21" s="78"/>
      <c r="AE21" s="82"/>
      <c r="AF21" s="79"/>
    </row>
    <row r="22" customFormat="false" ht="11.1" hidden="false" customHeight="true" outlineLevel="0" collapsed="false">
      <c r="A22" s="62" t="n">
        <f aca="false">A21+1</f>
        <v>13</v>
      </c>
      <c r="B22" s="80" t="n">
        <v>6914.94</v>
      </c>
      <c r="C22" s="57" t="n">
        <v>342124</v>
      </c>
      <c r="D22" s="61" t="n">
        <f aca="false">C22-C21</f>
        <v>42</v>
      </c>
      <c r="E22" s="57" t="n">
        <f aca="false">C22-152000</f>
        <v>190124</v>
      </c>
      <c r="F22" s="56" t="n">
        <f aca="false">D22/$D$2</f>
        <v>21.17469120242</v>
      </c>
      <c r="G22" s="56" t="n">
        <v>60</v>
      </c>
      <c r="H22" s="58" t="n">
        <v>4</v>
      </c>
      <c r="I22" s="56" t="n">
        <f aca="false">G22+H22</f>
        <v>64</v>
      </c>
      <c r="J22" s="81" t="n">
        <f aca="false">IF(L22&gt;0,L22,0)</f>
        <v>5.46469120241996</v>
      </c>
      <c r="K22" s="56" t="n">
        <f aca="false">I22+J22</f>
        <v>69.46469120242</v>
      </c>
      <c r="L22" s="56" t="n">
        <f aca="false">F22-(I22-W22)</f>
        <v>5.46469120241996</v>
      </c>
      <c r="M22" s="56" t="n">
        <v>6.29</v>
      </c>
      <c r="N22" s="56" t="n">
        <v>0</v>
      </c>
      <c r="O22" s="56" t="n">
        <f aca="false">M22-N22</f>
        <v>6.29</v>
      </c>
      <c r="P22" s="56" t="n">
        <v>0</v>
      </c>
      <c r="Q22" s="56" t="n">
        <v>0</v>
      </c>
      <c r="R22" s="56" t="n">
        <f aca="false">SUM(O22:Q22)</f>
        <v>6.29</v>
      </c>
      <c r="S22" s="57"/>
      <c r="T22" s="56" t="n">
        <v>0</v>
      </c>
      <c r="U22" s="56" t="n">
        <v>42</v>
      </c>
      <c r="V22" s="57" t="n">
        <f aca="false">V21-U22</f>
        <v>1548.04</v>
      </c>
      <c r="W22" s="56" t="n">
        <f aca="false">R22+T22+N22+U22</f>
        <v>48.29</v>
      </c>
      <c r="X22" s="56" t="n">
        <f aca="false">IF(L22&lt;0,L22*-1,0)</f>
        <v>0</v>
      </c>
      <c r="Y22" s="56" t="n">
        <f aca="false">W22+X22</f>
        <v>48.29</v>
      </c>
      <c r="Z22" s="60" t="n">
        <v>0</v>
      </c>
      <c r="AA22" s="61" t="n">
        <v>42</v>
      </c>
      <c r="AB22" s="61" t="n">
        <v>13</v>
      </c>
      <c r="AC22" s="62" t="n">
        <f aca="false">AC21+1</f>
        <v>13</v>
      </c>
      <c r="AD22" s="78"/>
      <c r="AE22" s="82"/>
      <c r="AF22" s="79"/>
    </row>
    <row r="23" customFormat="false" ht="11.1" hidden="false" customHeight="true" outlineLevel="0" collapsed="false">
      <c r="A23" s="62" t="n">
        <f aca="false">A22+1</f>
        <v>14</v>
      </c>
      <c r="B23" s="80" t="n">
        <v>6914.96</v>
      </c>
      <c r="C23" s="57" t="n">
        <v>342207</v>
      </c>
      <c r="D23" s="61" t="n">
        <f aca="false">C23-C22</f>
        <v>83</v>
      </c>
      <c r="E23" s="57" t="n">
        <f aca="false">C23-152000</f>
        <v>190207</v>
      </c>
      <c r="F23" s="56" t="n">
        <f aca="false">D23/$D$2</f>
        <v>41.8452230904966</v>
      </c>
      <c r="G23" s="56" t="n">
        <v>64</v>
      </c>
      <c r="H23" s="58" t="n">
        <v>4.1</v>
      </c>
      <c r="I23" s="56" t="n">
        <f aca="false">G23+H23</f>
        <v>68.1</v>
      </c>
      <c r="J23" s="81" t="n">
        <f aca="false">IF(L23&gt;0,L23,0)</f>
        <v>22.0352230904966</v>
      </c>
      <c r="K23" s="56" t="n">
        <f aca="false">I23+J23</f>
        <v>90.1352230904966</v>
      </c>
      <c r="L23" s="56" t="n">
        <f aca="false">F23-(I23-W23)</f>
        <v>22.0352230904966</v>
      </c>
      <c r="M23" s="56" t="n">
        <v>6.29</v>
      </c>
      <c r="N23" s="56" t="n">
        <v>0</v>
      </c>
      <c r="O23" s="56" t="n">
        <f aca="false">M23-N23</f>
        <v>6.29</v>
      </c>
      <c r="P23" s="56" t="n">
        <v>0</v>
      </c>
      <c r="Q23" s="56" t="n">
        <v>0</v>
      </c>
      <c r="R23" s="56" t="n">
        <f aca="false">SUM(O23:Q23)</f>
        <v>6.29</v>
      </c>
      <c r="S23" s="57"/>
      <c r="T23" s="56" t="n">
        <v>0</v>
      </c>
      <c r="U23" s="56" t="n">
        <v>42</v>
      </c>
      <c r="V23" s="57" t="n">
        <f aca="false">V22-U23</f>
        <v>1506.04</v>
      </c>
      <c r="W23" s="56" t="n">
        <f aca="false">R23+T23+N23+U23</f>
        <v>48.29</v>
      </c>
      <c r="X23" s="56" t="n">
        <f aca="false">IF(L23&lt;0,L23*-1,0)</f>
        <v>0</v>
      </c>
      <c r="Y23" s="56" t="n">
        <f aca="false">W23+X23</f>
        <v>48.29</v>
      </c>
      <c r="Z23" s="60" t="n">
        <v>0.41</v>
      </c>
      <c r="AA23" s="90" t="n">
        <v>39</v>
      </c>
      <c r="AB23" s="61" t="n">
        <v>20</v>
      </c>
      <c r="AC23" s="62" t="n">
        <f aca="false">AC22+1</f>
        <v>14</v>
      </c>
      <c r="AD23" s="78"/>
      <c r="AE23" s="82"/>
      <c r="AF23" s="79"/>
    </row>
    <row r="24" customFormat="false" ht="11.1" hidden="false" customHeight="true" outlineLevel="0" collapsed="false">
      <c r="A24" s="62" t="n">
        <f aca="false">A23+1</f>
        <v>15</v>
      </c>
      <c r="B24" s="80" t="n">
        <v>6914.98</v>
      </c>
      <c r="C24" s="57" t="n">
        <v>342289</v>
      </c>
      <c r="D24" s="61" t="n">
        <f aca="false">C24-C23</f>
        <v>82</v>
      </c>
      <c r="E24" s="57" t="n">
        <f aca="false">C24-152000</f>
        <v>190289</v>
      </c>
      <c r="F24" s="56" t="n">
        <f aca="false">D24/$D$2</f>
        <v>41.3410637761533</v>
      </c>
      <c r="G24" s="56" t="n">
        <v>60</v>
      </c>
      <c r="H24" s="58" t="n">
        <v>4</v>
      </c>
      <c r="I24" s="56" t="n">
        <f aca="false">G24+H24</f>
        <v>64</v>
      </c>
      <c r="J24" s="81" t="n">
        <f aca="false">IF(L24&gt;0,L24,0)</f>
        <v>25.6310637761533</v>
      </c>
      <c r="K24" s="56" t="n">
        <f aca="false">I24+J24</f>
        <v>89.6310637761533</v>
      </c>
      <c r="L24" s="56" t="n">
        <f aca="false">F24-(I24-W24)</f>
        <v>25.6310637761533</v>
      </c>
      <c r="M24" s="56" t="n">
        <v>6.29</v>
      </c>
      <c r="N24" s="56" t="n">
        <v>0</v>
      </c>
      <c r="O24" s="56" t="n">
        <f aca="false">M24-N24</f>
        <v>6.29</v>
      </c>
      <c r="P24" s="56" t="n">
        <v>0</v>
      </c>
      <c r="Q24" s="56" t="n">
        <v>0</v>
      </c>
      <c r="R24" s="56" t="n">
        <f aca="false">SUM(O24:Q24)</f>
        <v>6.29</v>
      </c>
      <c r="S24" s="57"/>
      <c r="T24" s="56" t="n">
        <v>0</v>
      </c>
      <c r="U24" s="56" t="n">
        <v>42</v>
      </c>
      <c r="V24" s="57" t="n">
        <f aca="false">V23-U24</f>
        <v>1464.04</v>
      </c>
      <c r="W24" s="56" t="n">
        <f aca="false">R24+T24+N24+U24</f>
        <v>48.29</v>
      </c>
      <c r="X24" s="56" t="n">
        <f aca="false">IF(L24&lt;0,L24*-1,0)</f>
        <v>0</v>
      </c>
      <c r="Y24" s="56" t="n">
        <f aca="false">W24+X24</f>
        <v>48.29</v>
      </c>
      <c r="Z24" s="60" t="n">
        <v>0.12</v>
      </c>
      <c r="AA24" s="90" t="n">
        <v>33</v>
      </c>
      <c r="AB24" s="61" t="n">
        <v>22</v>
      </c>
      <c r="AC24" s="62" t="n">
        <f aca="false">AC23+1</f>
        <v>15</v>
      </c>
      <c r="AD24" s="78"/>
      <c r="AE24" s="82"/>
      <c r="AF24" s="79"/>
    </row>
    <row r="25" customFormat="false" ht="11.1" hidden="false" customHeight="true" outlineLevel="0" collapsed="false">
      <c r="A25" s="62" t="n">
        <f aca="false">A24+1</f>
        <v>16</v>
      </c>
      <c r="B25" s="80" t="n">
        <v>6915</v>
      </c>
      <c r="C25" s="57" t="n">
        <v>342372</v>
      </c>
      <c r="D25" s="61" t="n">
        <f aca="false">C25-C24</f>
        <v>83</v>
      </c>
      <c r="E25" s="57" t="n">
        <f aca="false">C25-152000</f>
        <v>190372</v>
      </c>
      <c r="F25" s="56" t="n">
        <f aca="false">D25/$D$2</f>
        <v>41.8452230904966</v>
      </c>
      <c r="G25" s="56" t="n">
        <v>58</v>
      </c>
      <c r="H25" s="58" t="n">
        <v>3.9</v>
      </c>
      <c r="I25" s="56" t="n">
        <f aca="false">G25+H25</f>
        <v>61.9</v>
      </c>
      <c r="J25" s="81" t="n">
        <f aca="false">IF(L25&gt;0,L25,0)</f>
        <v>28.2352230904966</v>
      </c>
      <c r="K25" s="56" t="n">
        <f aca="false">I25+J25</f>
        <v>90.1352230904966</v>
      </c>
      <c r="L25" s="56" t="n">
        <f aca="false">F25-(I25-W25)</f>
        <v>28.2352230904966</v>
      </c>
      <c r="M25" s="56" t="n">
        <v>6.29</v>
      </c>
      <c r="N25" s="56" t="n">
        <v>0</v>
      </c>
      <c r="O25" s="56" t="n">
        <f aca="false">M25-N25</f>
        <v>6.29</v>
      </c>
      <c r="P25" s="56" t="n">
        <v>0</v>
      </c>
      <c r="Q25" s="56" t="n">
        <v>0</v>
      </c>
      <c r="R25" s="56" t="n">
        <f aca="false">SUM(O25:Q25)</f>
        <v>6.29</v>
      </c>
      <c r="S25" s="57"/>
      <c r="T25" s="56" t="n">
        <v>0</v>
      </c>
      <c r="U25" s="56" t="n">
        <v>42</v>
      </c>
      <c r="V25" s="57" t="n">
        <f aca="false">V24-U25</f>
        <v>1422.04</v>
      </c>
      <c r="W25" s="56" t="n">
        <f aca="false">R25+T25+N25+U25</f>
        <v>48.29</v>
      </c>
      <c r="X25" s="56" t="n">
        <f aca="false">IF(L25&lt;0,L25*-1,0)</f>
        <v>0</v>
      </c>
      <c r="Y25" s="56" t="n">
        <f aca="false">W25+X25</f>
        <v>48.29</v>
      </c>
      <c r="Z25" s="60" t="n">
        <v>0</v>
      </c>
      <c r="AA25" s="90" t="n">
        <v>34</v>
      </c>
      <c r="AB25" s="61" t="n">
        <v>16</v>
      </c>
      <c r="AC25" s="62" t="n">
        <f aca="false">AC24+1</f>
        <v>16</v>
      </c>
      <c r="AD25" s="78"/>
      <c r="AE25" s="91"/>
      <c r="AF25" s="79"/>
    </row>
    <row r="26" customFormat="false" ht="11.1" hidden="false" customHeight="true" outlineLevel="0" collapsed="false">
      <c r="A26" s="62" t="n">
        <f aca="false">A25+1</f>
        <v>17</v>
      </c>
      <c r="B26" s="80" t="n">
        <v>6915.01</v>
      </c>
      <c r="C26" s="57" t="n">
        <v>342414</v>
      </c>
      <c r="D26" s="61" t="n">
        <f aca="false">C26-C25</f>
        <v>42</v>
      </c>
      <c r="E26" s="57" t="n">
        <f aca="false">C26-152000</f>
        <v>190414</v>
      </c>
      <c r="F26" s="56" t="n">
        <f aca="false">D26/$D$2</f>
        <v>21.17469120242</v>
      </c>
      <c r="G26" s="56" t="n">
        <v>58</v>
      </c>
      <c r="H26" s="58" t="n">
        <v>3.9</v>
      </c>
      <c r="I26" s="56" t="n">
        <f aca="false">G26+H26</f>
        <v>61.9</v>
      </c>
      <c r="J26" s="81" t="n">
        <f aca="false">IF(L26&gt;0,L26,0)</f>
        <v>7.56469120241997</v>
      </c>
      <c r="K26" s="56" t="n">
        <f aca="false">I26+J26</f>
        <v>69.46469120242</v>
      </c>
      <c r="L26" s="56" t="n">
        <f aca="false">F26-(I26-W26)</f>
        <v>7.56469120241997</v>
      </c>
      <c r="M26" s="56" t="n">
        <v>6.29</v>
      </c>
      <c r="N26" s="56" t="n">
        <v>0</v>
      </c>
      <c r="O26" s="56" t="n">
        <f aca="false">M26-N26</f>
        <v>6.29</v>
      </c>
      <c r="P26" s="56" t="n">
        <v>0</v>
      </c>
      <c r="Q26" s="56" t="n">
        <v>0</v>
      </c>
      <c r="R26" s="56" t="n">
        <f aca="false">SUM(O26:Q26)</f>
        <v>6.29</v>
      </c>
      <c r="S26" s="57"/>
      <c r="T26" s="56" t="n">
        <v>0</v>
      </c>
      <c r="U26" s="56" t="n">
        <v>42</v>
      </c>
      <c r="V26" s="57" t="n">
        <f aca="false">V25-U26</f>
        <v>1380.04</v>
      </c>
      <c r="W26" s="56" t="n">
        <f aca="false">R26+T26+N26+U26</f>
        <v>48.29</v>
      </c>
      <c r="X26" s="56" t="n">
        <f aca="false">IF(L26&lt;0,L26*-1,0)</f>
        <v>0</v>
      </c>
      <c r="Y26" s="56" t="n">
        <f aca="false">W26+X26</f>
        <v>48.29</v>
      </c>
      <c r="Z26" s="60" t="n">
        <v>0</v>
      </c>
      <c r="AA26" s="90" t="n">
        <v>42</v>
      </c>
      <c r="AB26" s="61" t="n">
        <v>22</v>
      </c>
      <c r="AC26" s="62" t="n">
        <f aca="false">AC25+1</f>
        <v>17</v>
      </c>
      <c r="AD26" s="78"/>
      <c r="AE26" s="82"/>
      <c r="AF26" s="79"/>
    </row>
    <row r="27" customFormat="false" ht="11.1" hidden="false" customHeight="true" outlineLevel="0" collapsed="false">
      <c r="A27" s="62" t="n">
        <f aca="false">A26+1</f>
        <v>18</v>
      </c>
      <c r="B27" s="80" t="n">
        <v>6915.02</v>
      </c>
      <c r="C27" s="57" t="n">
        <v>342456</v>
      </c>
      <c r="D27" s="61" t="n">
        <f aca="false">C27-C26</f>
        <v>42</v>
      </c>
      <c r="E27" s="57" t="n">
        <f aca="false">C27-152000</f>
        <v>190456</v>
      </c>
      <c r="F27" s="56" t="n">
        <f aca="false">D27/$D$2</f>
        <v>21.17469120242</v>
      </c>
      <c r="G27" s="56" t="n">
        <v>56</v>
      </c>
      <c r="H27" s="58" t="n">
        <v>3.7</v>
      </c>
      <c r="I27" s="56" t="n">
        <f aca="false">G27+H27</f>
        <v>59.7</v>
      </c>
      <c r="J27" s="81" t="n">
        <f aca="false">IF(L27&gt;0,L27,0)</f>
        <v>9.76469120241996</v>
      </c>
      <c r="K27" s="56" t="n">
        <f aca="false">I27+J27</f>
        <v>69.46469120242</v>
      </c>
      <c r="L27" s="56" t="n">
        <f aca="false">F27-(I27-W27)</f>
        <v>9.76469120241996</v>
      </c>
      <c r="M27" s="56" t="n">
        <v>6.29</v>
      </c>
      <c r="N27" s="56" t="n">
        <v>0</v>
      </c>
      <c r="O27" s="56" t="n">
        <f aca="false">M27-N27</f>
        <v>6.29</v>
      </c>
      <c r="P27" s="56" t="n">
        <v>0</v>
      </c>
      <c r="Q27" s="56" t="n">
        <v>0</v>
      </c>
      <c r="R27" s="56" t="n">
        <f aca="false">SUM(O27:Q27)</f>
        <v>6.29</v>
      </c>
      <c r="S27" s="57"/>
      <c r="T27" s="56" t="n">
        <v>0</v>
      </c>
      <c r="U27" s="56" t="n">
        <v>42</v>
      </c>
      <c r="V27" s="57" t="n">
        <f aca="false">V26-U27</f>
        <v>1338.04</v>
      </c>
      <c r="W27" s="56" t="n">
        <f aca="false">R27+T27+N27+U27</f>
        <v>48.29</v>
      </c>
      <c r="X27" s="56" t="n">
        <f aca="false">IF(L27&lt;0,L27*-1,0)</f>
        <v>0</v>
      </c>
      <c r="Y27" s="56" t="n">
        <f aca="false">W27+X27</f>
        <v>48.29</v>
      </c>
      <c r="Z27" s="96" t="n">
        <v>0</v>
      </c>
      <c r="AA27" s="90" t="n">
        <v>40</v>
      </c>
      <c r="AB27" s="61" t="n">
        <v>18</v>
      </c>
      <c r="AC27" s="62" t="n">
        <f aca="false">AC26+1</f>
        <v>18</v>
      </c>
      <c r="AD27" s="78"/>
      <c r="AE27" s="82"/>
      <c r="AF27" s="79"/>
    </row>
    <row r="28" customFormat="false" ht="11.1" hidden="false" customHeight="true" outlineLevel="0" collapsed="false">
      <c r="A28" s="62" t="n">
        <f aca="false">A27+1</f>
        <v>19</v>
      </c>
      <c r="B28" s="80" t="n">
        <v>6915.04</v>
      </c>
      <c r="C28" s="97" t="n">
        <v>342539</v>
      </c>
      <c r="D28" s="61" t="n">
        <f aca="false">C28-C27</f>
        <v>83</v>
      </c>
      <c r="E28" s="57" t="n">
        <f aca="false">C28-152000</f>
        <v>190539</v>
      </c>
      <c r="F28" s="56" t="n">
        <f aca="false">D28/$D$2</f>
        <v>41.8452230904966</v>
      </c>
      <c r="G28" s="56" t="n">
        <v>56</v>
      </c>
      <c r="H28" s="58" t="n">
        <v>3.7</v>
      </c>
      <c r="I28" s="56" t="n">
        <f aca="false">G28+H28</f>
        <v>59.7</v>
      </c>
      <c r="J28" s="81" t="n">
        <f aca="false">IF(L28&gt;0,L28,0)</f>
        <v>30.4352230904966</v>
      </c>
      <c r="K28" s="56" t="n">
        <f aca="false">I28+J28</f>
        <v>90.1352230904966</v>
      </c>
      <c r="L28" s="56" t="n">
        <f aca="false">F28-(I28-W28)</f>
        <v>30.4352230904966</v>
      </c>
      <c r="M28" s="56" t="n">
        <v>6.29</v>
      </c>
      <c r="N28" s="56" t="n">
        <v>0</v>
      </c>
      <c r="O28" s="56" t="n">
        <f aca="false">M28-N28</f>
        <v>6.29</v>
      </c>
      <c r="P28" s="56" t="n">
        <v>0</v>
      </c>
      <c r="Q28" s="56" t="n">
        <v>0</v>
      </c>
      <c r="R28" s="56" t="n">
        <f aca="false">SUM(O28:Q28)</f>
        <v>6.29</v>
      </c>
      <c r="S28" s="57"/>
      <c r="T28" s="56" t="n">
        <v>0</v>
      </c>
      <c r="U28" s="56" t="n">
        <v>42</v>
      </c>
      <c r="V28" s="57" t="n">
        <f aca="false">V27-U28</f>
        <v>1296.04</v>
      </c>
      <c r="W28" s="56" t="n">
        <f aca="false">R28+T28+N28+U28</f>
        <v>48.29</v>
      </c>
      <c r="X28" s="56" t="n">
        <f aca="false">IF(L28&lt;0,L28*-1,0)</f>
        <v>0</v>
      </c>
      <c r="Y28" s="56" t="n">
        <f aca="false">W28+X28</f>
        <v>48.29</v>
      </c>
      <c r="Z28" s="60" t="n">
        <v>0</v>
      </c>
      <c r="AA28" s="90" t="n">
        <v>39</v>
      </c>
      <c r="AB28" s="61" t="n">
        <v>16</v>
      </c>
      <c r="AC28" s="62" t="n">
        <f aca="false">AC27+1</f>
        <v>19</v>
      </c>
      <c r="AD28" s="78"/>
      <c r="AE28" s="82"/>
      <c r="AF28" s="79"/>
    </row>
    <row r="29" customFormat="false" ht="11.1" hidden="false" customHeight="true" outlineLevel="0" collapsed="false">
      <c r="A29" s="62" t="n">
        <f aca="false">A28+1</f>
        <v>20</v>
      </c>
      <c r="B29" s="80" t="n">
        <v>6915.06</v>
      </c>
      <c r="C29" s="57" t="n">
        <v>342623</v>
      </c>
      <c r="D29" s="61" t="n">
        <f aca="false">C29-C28</f>
        <v>84</v>
      </c>
      <c r="E29" s="57" t="n">
        <f aca="false">C29-152000</f>
        <v>190623</v>
      </c>
      <c r="F29" s="56" t="n">
        <f aca="false">D29/$D$2</f>
        <v>42.3493824048399</v>
      </c>
      <c r="G29" s="56" t="n">
        <v>60</v>
      </c>
      <c r="H29" s="58" t="n">
        <v>4</v>
      </c>
      <c r="I29" s="56" t="n">
        <f aca="false">G29+H29</f>
        <v>64</v>
      </c>
      <c r="J29" s="81" t="n">
        <f aca="false">IF(L29&gt;0,L29,0)</f>
        <v>25.6393824048399</v>
      </c>
      <c r="K29" s="56" t="n">
        <f aca="false">I29+J29</f>
        <v>89.6393824048399</v>
      </c>
      <c r="L29" s="56" t="n">
        <f aca="false">F29-(I29-W29)</f>
        <v>25.6393824048399</v>
      </c>
      <c r="M29" s="56" t="n">
        <v>6.29</v>
      </c>
      <c r="N29" s="56" t="n">
        <v>0</v>
      </c>
      <c r="O29" s="56" t="n">
        <f aca="false">M29-N29</f>
        <v>6.29</v>
      </c>
      <c r="P29" s="56" t="n">
        <v>0</v>
      </c>
      <c r="Q29" s="56" t="n">
        <v>0</v>
      </c>
      <c r="R29" s="56" t="n">
        <f aca="false">SUM(O29:Q29)</f>
        <v>6.29</v>
      </c>
      <c r="S29" s="57"/>
      <c r="T29" s="56" t="n">
        <v>0</v>
      </c>
      <c r="U29" s="56" t="n">
        <v>41</v>
      </c>
      <c r="V29" s="57" t="n">
        <f aca="false">V28-U29</f>
        <v>1255.04</v>
      </c>
      <c r="W29" s="56" t="n">
        <f aca="false">R29+T29+N29+U29</f>
        <v>47.29</v>
      </c>
      <c r="X29" s="56" t="n">
        <f aca="false">IF(L29&lt;0,L29*-1,0)</f>
        <v>0</v>
      </c>
      <c r="Y29" s="56" t="n">
        <f aca="false">W29+X29</f>
        <v>47.29</v>
      </c>
      <c r="Z29" s="60" t="n">
        <v>0</v>
      </c>
      <c r="AA29" s="90" t="n">
        <v>46</v>
      </c>
      <c r="AB29" s="61" t="n">
        <v>23</v>
      </c>
      <c r="AC29" s="62" t="n">
        <f aca="false">AC28+1</f>
        <v>20</v>
      </c>
      <c r="AD29" s="78"/>
      <c r="AE29" s="82"/>
      <c r="AF29" s="79"/>
    </row>
    <row r="30" customFormat="false" ht="11.1" hidden="false" customHeight="true" outlineLevel="0" collapsed="false">
      <c r="A30" s="62" t="n">
        <f aca="false">A29+1</f>
        <v>21</v>
      </c>
      <c r="B30" s="80" t="n">
        <v>6915.08</v>
      </c>
      <c r="C30" s="57" t="n">
        <v>342706</v>
      </c>
      <c r="D30" s="61" t="n">
        <f aca="false">C30-C29</f>
        <v>83</v>
      </c>
      <c r="E30" s="57" t="n">
        <f aca="false">C30-152000</f>
        <v>190706</v>
      </c>
      <c r="F30" s="56" t="n">
        <f aca="false">D30/$D$2</f>
        <v>41.8452230904966</v>
      </c>
      <c r="G30" s="56" t="n">
        <v>58</v>
      </c>
      <c r="H30" s="58" t="n">
        <v>4</v>
      </c>
      <c r="I30" s="56" t="n">
        <f aca="false">G30+H30</f>
        <v>62</v>
      </c>
      <c r="J30" s="81" t="n">
        <f aca="false">IF(L30&gt;0,L30,0)</f>
        <v>28.1352230904966</v>
      </c>
      <c r="K30" s="56" t="n">
        <f aca="false">I30+J30</f>
        <v>90.1352230904966</v>
      </c>
      <c r="L30" s="56" t="n">
        <f aca="false">F30-(I30-W30)</f>
        <v>28.1352230904966</v>
      </c>
      <c r="M30" s="56" t="n">
        <v>6.29</v>
      </c>
      <c r="N30" s="56" t="n">
        <v>0</v>
      </c>
      <c r="O30" s="56" t="n">
        <f aca="false">M30-N30</f>
        <v>6.29</v>
      </c>
      <c r="P30" s="56" t="n">
        <v>0</v>
      </c>
      <c r="Q30" s="56" t="n">
        <v>0</v>
      </c>
      <c r="R30" s="56" t="n">
        <f aca="false">SUM(O30:Q30)</f>
        <v>6.29</v>
      </c>
      <c r="S30" s="57"/>
      <c r="T30" s="56" t="n">
        <v>0</v>
      </c>
      <c r="U30" s="56" t="n">
        <v>42</v>
      </c>
      <c r="V30" s="57" t="n">
        <f aca="false">V29-U30</f>
        <v>1213.04</v>
      </c>
      <c r="W30" s="56" t="n">
        <f aca="false">R30+T30+N30+U30</f>
        <v>48.29</v>
      </c>
      <c r="X30" s="56" t="n">
        <f aca="false">IF(L30&lt;0,L30*-1,0)</f>
        <v>0</v>
      </c>
      <c r="Y30" s="56" t="n">
        <f aca="false">W30+X30</f>
        <v>48.29</v>
      </c>
      <c r="Z30" s="60" t="n">
        <v>0.02</v>
      </c>
      <c r="AA30" s="61" t="n">
        <v>48</v>
      </c>
      <c r="AB30" s="61" t="n">
        <v>19</v>
      </c>
      <c r="AC30" s="62" t="n">
        <f aca="false">AC29+1</f>
        <v>21</v>
      </c>
      <c r="AD30" s="78"/>
      <c r="AE30" s="82"/>
      <c r="AF30" s="79"/>
    </row>
    <row r="31" customFormat="false" ht="11.1" hidden="false" customHeight="true" outlineLevel="0" collapsed="false">
      <c r="A31" s="62" t="n">
        <f aca="false">A30+1</f>
        <v>22</v>
      </c>
      <c r="B31" s="80" t="n">
        <v>6915.11</v>
      </c>
      <c r="C31" s="57" t="n">
        <v>342831</v>
      </c>
      <c r="D31" s="61" t="n">
        <f aca="false">C31-C30</f>
        <v>125</v>
      </c>
      <c r="E31" s="57" t="n">
        <f aca="false">C31-152000</f>
        <v>190831</v>
      </c>
      <c r="F31" s="56" t="n">
        <f aca="false">D31/$D$2</f>
        <v>63.0199142929166</v>
      </c>
      <c r="G31" s="56" t="n">
        <v>60</v>
      </c>
      <c r="H31" s="58" t="n">
        <v>4</v>
      </c>
      <c r="I31" s="56" t="n">
        <f aca="false">G31+H31</f>
        <v>64</v>
      </c>
      <c r="J31" s="81" t="n">
        <f aca="false">IF(L31&gt;0,L31,0)</f>
        <v>47.3099142929166</v>
      </c>
      <c r="K31" s="56" t="n">
        <f aca="false">I31+J31</f>
        <v>111.309914292917</v>
      </c>
      <c r="L31" s="56" t="n">
        <f aca="false">F31-(I31-W31)</f>
        <v>47.3099142929166</v>
      </c>
      <c r="M31" s="56" t="n">
        <v>6.29</v>
      </c>
      <c r="N31" s="56" t="n">
        <v>0</v>
      </c>
      <c r="O31" s="56" t="n">
        <f aca="false">M31-N31</f>
        <v>6.29</v>
      </c>
      <c r="P31" s="56" t="n">
        <v>0</v>
      </c>
      <c r="Q31" s="56" t="n">
        <v>0</v>
      </c>
      <c r="R31" s="56" t="n">
        <f aca="false">SUM(O31:Q31)</f>
        <v>6.29</v>
      </c>
      <c r="S31" s="57"/>
      <c r="T31" s="56" t="n">
        <v>0</v>
      </c>
      <c r="U31" s="56" t="n">
        <v>42</v>
      </c>
      <c r="V31" s="57" t="n">
        <f aca="false">V30-U31</f>
        <v>1171.04</v>
      </c>
      <c r="W31" s="56" t="n">
        <f aca="false">R31+T31+N31+U31</f>
        <v>48.29</v>
      </c>
      <c r="X31" s="56" t="n">
        <f aca="false">IF(L31&lt;0,L31*-1,0)</f>
        <v>0</v>
      </c>
      <c r="Y31" s="56" t="n">
        <f aca="false">W31+X31</f>
        <v>48.29</v>
      </c>
      <c r="Z31" s="60" t="n">
        <v>0.23</v>
      </c>
      <c r="AA31" s="61" t="n">
        <v>37</v>
      </c>
      <c r="AB31" s="61" t="n">
        <v>24</v>
      </c>
      <c r="AC31" s="62" t="n">
        <f aca="false">AC30+1</f>
        <v>22</v>
      </c>
      <c r="AD31" s="78"/>
      <c r="AE31" s="82"/>
      <c r="AF31" s="79"/>
    </row>
    <row r="32" customFormat="false" ht="11.1" hidden="false" customHeight="true" outlineLevel="0" collapsed="false">
      <c r="A32" s="62" t="n">
        <f aca="false">A31+1</f>
        <v>23</v>
      </c>
      <c r="B32" s="80" t="n">
        <v>6915.13</v>
      </c>
      <c r="C32" s="57" t="n">
        <v>342915</v>
      </c>
      <c r="D32" s="61" t="n">
        <f aca="false">C32-C31</f>
        <v>84</v>
      </c>
      <c r="E32" s="57" t="n">
        <f aca="false">C32-152000</f>
        <v>190915</v>
      </c>
      <c r="F32" s="56" t="n">
        <f aca="false">D32/$D$2</f>
        <v>42.3493824048399</v>
      </c>
      <c r="G32" s="56" t="n">
        <v>60</v>
      </c>
      <c r="H32" s="58" t="n">
        <v>4.1</v>
      </c>
      <c r="I32" s="56" t="n">
        <f aca="false">G32+H32</f>
        <v>64.1</v>
      </c>
      <c r="J32" s="81" t="n">
        <f aca="false">IF(L32&gt;0,L32,0)</f>
        <v>25.5393824048399</v>
      </c>
      <c r="K32" s="56" t="n">
        <f aca="false">I32+J32</f>
        <v>89.6393824048399</v>
      </c>
      <c r="L32" s="56" t="n">
        <f aca="false">F32-(I32-W32)</f>
        <v>25.5393824048399</v>
      </c>
      <c r="M32" s="56" t="n">
        <v>6.29</v>
      </c>
      <c r="N32" s="56" t="n">
        <v>0</v>
      </c>
      <c r="O32" s="56" t="n">
        <f aca="false">M32-N32</f>
        <v>6.29</v>
      </c>
      <c r="P32" s="56" t="n">
        <v>0</v>
      </c>
      <c r="Q32" s="56" t="n">
        <v>0</v>
      </c>
      <c r="R32" s="56" t="n">
        <f aca="false">SUM(O32:Q32)</f>
        <v>6.29</v>
      </c>
      <c r="S32" s="57"/>
      <c r="T32" s="56" t="n">
        <v>0</v>
      </c>
      <c r="U32" s="56" t="n">
        <v>41</v>
      </c>
      <c r="V32" s="57" t="n">
        <f aca="false">V31-U32</f>
        <v>1130.04</v>
      </c>
      <c r="W32" s="56" t="n">
        <f aca="false">R32+T32+N32+U32</f>
        <v>47.29</v>
      </c>
      <c r="X32" s="56" t="n">
        <f aca="false">IF(L32&lt;0,L32*-1,0)</f>
        <v>0</v>
      </c>
      <c r="Y32" s="56" t="n">
        <f aca="false">W32+X32</f>
        <v>47.29</v>
      </c>
      <c r="Z32" s="60" t="n">
        <v>0</v>
      </c>
      <c r="AA32" s="61" t="n">
        <v>45</v>
      </c>
      <c r="AB32" s="90" t="n">
        <v>28</v>
      </c>
      <c r="AC32" s="62" t="n">
        <f aca="false">AC31+1</f>
        <v>23</v>
      </c>
      <c r="AD32" s="78"/>
      <c r="AE32" s="82"/>
      <c r="AF32" s="79"/>
    </row>
    <row r="33" customFormat="false" ht="11.1" hidden="false" customHeight="true" outlineLevel="0" collapsed="false">
      <c r="A33" s="62" t="n">
        <f aca="false">A32+1</f>
        <v>24</v>
      </c>
      <c r="B33" s="80" t="n">
        <v>6915.16</v>
      </c>
      <c r="C33" s="57" t="n">
        <v>343040</v>
      </c>
      <c r="D33" s="61" t="n">
        <f aca="false">C33-C32</f>
        <v>125</v>
      </c>
      <c r="E33" s="57" t="n">
        <f aca="false">C33-152000</f>
        <v>191040</v>
      </c>
      <c r="F33" s="56" t="n">
        <f aca="false">D33/$D$2</f>
        <v>63.0199142929166</v>
      </c>
      <c r="G33" s="56" t="n">
        <v>60</v>
      </c>
      <c r="H33" s="58" t="n">
        <v>4.3</v>
      </c>
      <c r="I33" s="56" t="n">
        <f aca="false">G33+H33</f>
        <v>64.3</v>
      </c>
      <c r="J33" s="81" t="n">
        <f aca="false">IF(L33&gt;0,L33,0)</f>
        <v>47.0099142929166</v>
      </c>
      <c r="K33" s="56" t="n">
        <f aca="false">I33+J33</f>
        <v>111.309914292917</v>
      </c>
      <c r="L33" s="56" t="n">
        <f aca="false">F33-(I33-W33)</f>
        <v>47.0099142929166</v>
      </c>
      <c r="M33" s="56" t="n">
        <v>6.29</v>
      </c>
      <c r="N33" s="56" t="n">
        <v>0</v>
      </c>
      <c r="O33" s="56" t="n">
        <f aca="false">M33-N33</f>
        <v>6.29</v>
      </c>
      <c r="P33" s="56" t="n">
        <v>0</v>
      </c>
      <c r="Q33" s="56" t="n">
        <v>0</v>
      </c>
      <c r="R33" s="56" t="n">
        <f aca="false">SUM(O33:Q33)</f>
        <v>6.29</v>
      </c>
      <c r="S33" s="57"/>
      <c r="T33" s="56" t="n">
        <v>0</v>
      </c>
      <c r="U33" s="56" t="n">
        <v>42</v>
      </c>
      <c r="V33" s="57" t="n">
        <f aca="false">V32-U33</f>
        <v>1088.04</v>
      </c>
      <c r="W33" s="56" t="n">
        <f aca="false">R33+T33+N33+U33</f>
        <v>48.29</v>
      </c>
      <c r="X33" s="56" t="n">
        <f aca="false">IF(L33&lt;0,L33*-1,0)</f>
        <v>0</v>
      </c>
      <c r="Y33" s="56" t="n">
        <f aca="false">W33+X33</f>
        <v>48.29</v>
      </c>
      <c r="Z33" s="60" t="n">
        <v>0.17</v>
      </c>
      <c r="AA33" s="61" t="n">
        <v>51</v>
      </c>
      <c r="AB33" s="90" t="n">
        <v>36</v>
      </c>
      <c r="AC33" s="62" t="n">
        <f aca="false">AC32+1</f>
        <v>24</v>
      </c>
      <c r="AD33" s="78"/>
      <c r="AE33" s="82"/>
      <c r="AF33" s="79"/>
    </row>
    <row r="34" customFormat="false" ht="11.1" hidden="false" customHeight="true" outlineLevel="0" collapsed="false">
      <c r="A34" s="62" t="n">
        <f aca="false">A33+1</f>
        <v>25</v>
      </c>
      <c r="B34" s="80" t="n">
        <v>1915.17</v>
      </c>
      <c r="C34" s="57" t="n">
        <v>343082</v>
      </c>
      <c r="D34" s="61" t="n">
        <f aca="false">C34-C33</f>
        <v>42</v>
      </c>
      <c r="E34" s="57" t="n">
        <f aca="false">C34-152000</f>
        <v>191082</v>
      </c>
      <c r="F34" s="56" t="n">
        <f aca="false">D34/$D$2</f>
        <v>21.17469120242</v>
      </c>
      <c r="G34" s="56" t="n">
        <v>60</v>
      </c>
      <c r="H34" s="58" t="n">
        <v>5.1</v>
      </c>
      <c r="I34" s="56" t="n">
        <f aca="false">G34+H34</f>
        <v>65.1</v>
      </c>
      <c r="J34" s="81" t="n">
        <f aca="false">IF(L34&gt;0,L34,0)</f>
        <v>4.36469120241997</v>
      </c>
      <c r="K34" s="56" t="n">
        <f aca="false">I34+J34</f>
        <v>69.46469120242</v>
      </c>
      <c r="L34" s="56" t="n">
        <f aca="false">F34-(I34-W34)</f>
        <v>4.36469120241997</v>
      </c>
      <c r="M34" s="56" t="n">
        <v>6.29</v>
      </c>
      <c r="N34" s="56" t="n">
        <v>0</v>
      </c>
      <c r="O34" s="56" t="n">
        <f aca="false">M34-N34</f>
        <v>6.29</v>
      </c>
      <c r="P34" s="56" t="n">
        <v>0</v>
      </c>
      <c r="Q34" s="56" t="n">
        <v>0</v>
      </c>
      <c r="R34" s="56" t="n">
        <f aca="false">SUM(O34:Q34)</f>
        <v>6.29</v>
      </c>
      <c r="S34" s="57"/>
      <c r="T34" s="56" t="n">
        <v>0</v>
      </c>
      <c r="U34" s="56" t="n">
        <v>42</v>
      </c>
      <c r="V34" s="57" t="n">
        <f aca="false">V33-U34</f>
        <v>1046.04</v>
      </c>
      <c r="W34" s="56" t="n">
        <f aca="false">R34+T34+N34+U34</f>
        <v>48.29</v>
      </c>
      <c r="X34" s="56" t="n">
        <f aca="false">IF(L34&lt;0,L34*-1,0)</f>
        <v>0</v>
      </c>
      <c r="Y34" s="56" t="n">
        <f aca="false">W34+X34</f>
        <v>48.29</v>
      </c>
      <c r="Z34" s="60" t="n">
        <v>0</v>
      </c>
      <c r="AA34" s="61" t="n">
        <v>32</v>
      </c>
      <c r="AB34" s="90" t="n">
        <v>21</v>
      </c>
      <c r="AC34" s="62" t="n">
        <f aca="false">AC33+1</f>
        <v>25</v>
      </c>
      <c r="AD34" s="78"/>
      <c r="AE34" s="82"/>
      <c r="AF34" s="79"/>
    </row>
    <row r="35" customFormat="false" ht="11.1" hidden="false" customHeight="true" outlineLevel="0" collapsed="false">
      <c r="A35" s="62" t="n">
        <f aca="false">A34+1</f>
        <v>26</v>
      </c>
      <c r="B35" s="80" t="n">
        <v>6915.18</v>
      </c>
      <c r="C35" s="57" t="n">
        <v>343124</v>
      </c>
      <c r="D35" s="61" t="n">
        <f aca="false">C35-C34</f>
        <v>42</v>
      </c>
      <c r="E35" s="57" t="n">
        <f aca="false">C35-152000</f>
        <v>191124</v>
      </c>
      <c r="F35" s="56" t="n">
        <f aca="false">D35/$D$2</f>
        <v>21.17469120242</v>
      </c>
      <c r="G35" s="56" t="n">
        <v>54</v>
      </c>
      <c r="H35" s="58" t="n">
        <v>5.7</v>
      </c>
      <c r="I35" s="56" t="n">
        <f aca="false">G35+H35</f>
        <v>59.7</v>
      </c>
      <c r="J35" s="81" t="n">
        <f aca="false">IF(L35&gt;0,L35,0)</f>
        <v>8.76469120241996</v>
      </c>
      <c r="K35" s="56" t="n">
        <f aca="false">I35+J35</f>
        <v>68.46469120242</v>
      </c>
      <c r="L35" s="56" t="n">
        <f aca="false">F35-(I35-W35)</f>
        <v>8.76469120241996</v>
      </c>
      <c r="M35" s="56" t="n">
        <v>6.29</v>
      </c>
      <c r="N35" s="56" t="n">
        <v>0</v>
      </c>
      <c r="O35" s="56" t="n">
        <f aca="false">M35-N35</f>
        <v>6.29</v>
      </c>
      <c r="P35" s="56" t="n">
        <v>0</v>
      </c>
      <c r="Q35" s="56" t="n">
        <v>0</v>
      </c>
      <c r="R35" s="56" t="n">
        <f aca="false">SUM(O35:Q35)</f>
        <v>6.29</v>
      </c>
      <c r="S35" s="57"/>
      <c r="T35" s="56" t="n">
        <v>0</v>
      </c>
      <c r="U35" s="56" t="n">
        <v>41</v>
      </c>
      <c r="V35" s="57" t="n">
        <f aca="false">V34-U35</f>
        <v>1005.04</v>
      </c>
      <c r="W35" s="56" t="n">
        <f aca="false">R35+T35+N35+U35</f>
        <v>47.29</v>
      </c>
      <c r="X35" s="56" t="n">
        <f aca="false">IF(L35&lt;0,L35*-1,0)</f>
        <v>0</v>
      </c>
      <c r="Y35" s="56" t="n">
        <f aca="false">W35+X35</f>
        <v>47.29</v>
      </c>
      <c r="Z35" s="60" t="n">
        <v>0</v>
      </c>
      <c r="AA35" s="61" t="n">
        <v>31</v>
      </c>
      <c r="AB35" s="61" t="n">
        <v>5</v>
      </c>
      <c r="AC35" s="62" t="n">
        <f aca="false">AC34+1</f>
        <v>26</v>
      </c>
      <c r="AD35" s="78"/>
      <c r="AE35" s="82"/>
      <c r="AF35" s="79"/>
    </row>
    <row r="36" customFormat="false" ht="11.1" hidden="false" customHeight="true" outlineLevel="0" collapsed="false">
      <c r="A36" s="62" t="n">
        <f aca="false">A35+1</f>
        <v>27</v>
      </c>
      <c r="B36" s="80" t="n">
        <v>6915.19</v>
      </c>
      <c r="C36" s="57" t="n">
        <v>343165</v>
      </c>
      <c r="D36" s="61" t="n">
        <f aca="false">C36-C35</f>
        <v>41</v>
      </c>
      <c r="E36" s="57" t="n">
        <f aca="false">C36-152000</f>
        <v>191165</v>
      </c>
      <c r="F36" s="56" t="n">
        <f aca="false">D36/$D$2</f>
        <v>20.6705318880766</v>
      </c>
      <c r="G36" s="56" t="n">
        <v>48</v>
      </c>
      <c r="H36" s="58" t="n">
        <v>5.7</v>
      </c>
      <c r="I36" s="56" t="n">
        <f aca="false">G36+H36</f>
        <v>53.7</v>
      </c>
      <c r="J36" s="81" t="n">
        <f aca="false">IF(L36&gt;0,L36,0)</f>
        <v>14.2605318880766</v>
      </c>
      <c r="K36" s="56" t="n">
        <f aca="false">I36+J36</f>
        <v>67.9605318880766</v>
      </c>
      <c r="L36" s="56" t="n">
        <f aca="false">F36-(I36-W36)</f>
        <v>14.2605318880766</v>
      </c>
      <c r="M36" s="56" t="n">
        <v>6.29</v>
      </c>
      <c r="N36" s="56" t="n">
        <v>0</v>
      </c>
      <c r="O36" s="56" t="n">
        <f aca="false">M36-N36</f>
        <v>6.29</v>
      </c>
      <c r="P36" s="56" t="n">
        <v>0</v>
      </c>
      <c r="Q36" s="56" t="n">
        <v>0</v>
      </c>
      <c r="R36" s="56" t="n">
        <f aca="false">SUM(O36:Q36)</f>
        <v>6.29</v>
      </c>
      <c r="S36" s="57"/>
      <c r="T36" s="56" t="n">
        <v>0</v>
      </c>
      <c r="U36" s="56" t="n">
        <v>41</v>
      </c>
      <c r="V36" s="57" t="n">
        <f aca="false">V35-U36</f>
        <v>964.040000000001</v>
      </c>
      <c r="W36" s="56" t="n">
        <f aca="false">R36+T36+N36+U36</f>
        <v>47.29</v>
      </c>
      <c r="X36" s="56" t="n">
        <f aca="false">IF(L36&lt;0,L36*-1,0)</f>
        <v>0</v>
      </c>
      <c r="Y36" s="56" t="n">
        <f aca="false">W36+X36</f>
        <v>47.29</v>
      </c>
      <c r="Z36" s="60" t="n">
        <v>0</v>
      </c>
      <c r="AA36" s="61" t="n">
        <v>32</v>
      </c>
      <c r="AB36" s="61" t="n">
        <v>5</v>
      </c>
      <c r="AC36" s="62" t="n">
        <f aca="false">AC35+1</f>
        <v>27</v>
      </c>
      <c r="AD36" s="78"/>
      <c r="AE36" s="82"/>
      <c r="AF36" s="79"/>
    </row>
    <row r="37" customFormat="false" ht="11.1" hidden="false" customHeight="true" outlineLevel="0" collapsed="false">
      <c r="A37" s="62" t="n">
        <v>28</v>
      </c>
      <c r="B37" s="80" t="n">
        <v>6915.2</v>
      </c>
      <c r="C37" s="57" t="n">
        <v>343207</v>
      </c>
      <c r="D37" s="61" t="n">
        <f aca="false">C37-C35</f>
        <v>83</v>
      </c>
      <c r="E37" s="57" t="n">
        <f aca="false">C37-152000</f>
        <v>191207</v>
      </c>
      <c r="F37" s="56" t="n">
        <f aca="false">D37/$D$2</f>
        <v>41.8452230904966</v>
      </c>
      <c r="G37" s="56" t="n">
        <v>54</v>
      </c>
      <c r="H37" s="58" t="n">
        <v>7.8</v>
      </c>
      <c r="I37" s="56" t="n">
        <f aca="false">G37+H37</f>
        <v>61.8</v>
      </c>
      <c r="J37" s="81" t="n">
        <f aca="false">IF(L37&gt;0,L37,0)</f>
        <v>27.3352230904966</v>
      </c>
      <c r="K37" s="56" t="n">
        <f aca="false">I37+J37</f>
        <v>89.1352230904966</v>
      </c>
      <c r="L37" s="56" t="n">
        <f aca="false">F37-(I37-W37)</f>
        <v>27.3352230904966</v>
      </c>
      <c r="M37" s="56" t="n">
        <v>6.29</v>
      </c>
      <c r="N37" s="56" t="n">
        <v>0</v>
      </c>
      <c r="O37" s="56" t="n">
        <f aca="false">M37-N37</f>
        <v>6.29</v>
      </c>
      <c r="P37" s="56" t="n">
        <v>0</v>
      </c>
      <c r="Q37" s="56" t="n">
        <v>0</v>
      </c>
      <c r="R37" s="56" t="n">
        <f aca="false">SUM(O37:Q37)</f>
        <v>6.29</v>
      </c>
      <c r="S37" s="57"/>
      <c r="T37" s="56" t="n">
        <v>0</v>
      </c>
      <c r="U37" s="56" t="n">
        <v>41</v>
      </c>
      <c r="V37" s="57" t="n">
        <f aca="false">V35-U37</f>
        <v>964.040000000001</v>
      </c>
      <c r="W37" s="56" t="n">
        <f aca="false">R37+T37+N37+U37</f>
        <v>47.29</v>
      </c>
      <c r="X37" s="56" t="n">
        <f aca="false">IF(L37&lt;0,L37*-1,0)</f>
        <v>0</v>
      </c>
      <c r="Y37" s="56" t="n">
        <f aca="false">W37+X37</f>
        <v>47.29</v>
      </c>
      <c r="Z37" s="60" t="n">
        <v>0</v>
      </c>
      <c r="AA37" s="61" t="n">
        <v>30</v>
      </c>
      <c r="AB37" s="61" t="n">
        <v>7</v>
      </c>
      <c r="AC37" s="62" t="n">
        <v>28</v>
      </c>
      <c r="AD37" s="78"/>
      <c r="AE37" s="82"/>
      <c r="AF37" s="79"/>
    </row>
    <row r="38" customFormat="false" ht="3" hidden="false" customHeight="true" outlineLevel="0" collapsed="false">
      <c r="A38" s="83"/>
      <c r="B38" s="83"/>
      <c r="C38" s="85"/>
      <c r="D38" s="83"/>
      <c r="E38" s="85"/>
      <c r="F38" s="83"/>
      <c r="G38" s="83"/>
      <c r="H38" s="86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5"/>
      <c r="T38" s="83"/>
      <c r="U38" s="83"/>
      <c r="V38" s="83"/>
      <c r="W38" s="83"/>
      <c r="X38" s="83"/>
      <c r="Y38" s="83"/>
      <c r="Z38" s="87"/>
      <c r="AA38" s="88"/>
      <c r="AB38" s="88"/>
      <c r="AC38" s="89"/>
      <c r="AD38" s="78"/>
      <c r="AE38" s="78"/>
      <c r="AF38" s="79"/>
    </row>
    <row r="39" customFormat="false" ht="11.1" hidden="false" customHeight="true" outlineLevel="0" collapsed="false">
      <c r="A39" s="56" t="s">
        <v>45</v>
      </c>
      <c r="B39" s="56"/>
      <c r="C39" s="57"/>
      <c r="D39" s="57"/>
      <c r="E39" s="57"/>
      <c r="F39" s="57" t="n">
        <f aca="false">SUM(F10:F37)</f>
        <v>1109.65465086967</v>
      </c>
      <c r="G39" s="57" t="n">
        <f aca="false">SUM(G10:G37)</f>
        <v>1648</v>
      </c>
      <c r="H39" s="57" t="n">
        <f aca="false">SUM(H10:H37)</f>
        <v>117.8</v>
      </c>
      <c r="I39" s="57" t="n">
        <f aca="false">SUM(I10:I37)</f>
        <v>1765.8</v>
      </c>
      <c r="J39" s="57" t="n">
        <f aca="false">SUM(J10:J37)</f>
        <v>688.974650869675</v>
      </c>
      <c r="K39" s="57" t="n">
        <f aca="false">SUM(K10:K37)</f>
        <v>2454.77465086967</v>
      </c>
      <c r="L39" s="57" t="n">
        <f aca="false">SUM(L10:L37)</f>
        <v>688.974650869675</v>
      </c>
      <c r="M39" s="57" t="n">
        <f aca="false">SUM(M10:M37)</f>
        <v>176.12</v>
      </c>
      <c r="N39" s="57" t="n">
        <f aca="false">SUM(N10:N37)</f>
        <v>0</v>
      </c>
      <c r="O39" s="57" t="n">
        <f aca="false">SUM(O10:O37)</f>
        <v>176.12</v>
      </c>
      <c r="P39" s="57" t="n">
        <f aca="false">SUM(P10:P37)</f>
        <v>0</v>
      </c>
      <c r="Q39" s="57" t="n">
        <f aca="false">SUM(Q10:Q37)</f>
        <v>0</v>
      </c>
      <c r="R39" s="57" t="n">
        <f aca="false">SUM(R10:R37)</f>
        <v>176.12</v>
      </c>
      <c r="S39" s="57"/>
      <c r="T39" s="57" t="n">
        <f aca="false">SUM(T10:T37)</f>
        <v>0</v>
      </c>
      <c r="U39" s="57" t="n">
        <f aca="false">SUM(U10:U37)</f>
        <v>1169</v>
      </c>
      <c r="V39" s="57"/>
      <c r="W39" s="57" t="n">
        <f aca="false">SUM(W10:W37)</f>
        <v>1345.12</v>
      </c>
      <c r="X39" s="57" t="n">
        <f aca="false">SUM(X10:X37)</f>
        <v>0</v>
      </c>
      <c r="Y39" s="57" t="n">
        <f aca="false">SUM(Y10:Y37)</f>
        <v>1345.12</v>
      </c>
      <c r="Z39" s="60" t="n">
        <f aca="false">SUM(Z10:Z37)</f>
        <v>1.82</v>
      </c>
      <c r="AA39" s="61" t="n">
        <f aca="false">AVERAGE(AA10:AA37)</f>
        <v>39.6071428571429</v>
      </c>
      <c r="AB39" s="61" t="n">
        <f aca="false">AVERAGE(AB10:AB37)</f>
        <v>19.0714285714286</v>
      </c>
      <c r="AC39" s="62"/>
      <c r="AD39" s="78"/>
      <c r="AE39" s="78"/>
      <c r="AF39" s="79"/>
    </row>
    <row r="40" customFormat="false" ht="11.1" hidden="false" customHeight="true" outlineLevel="0" collapsed="false">
      <c r="A40" s="56" t="s">
        <v>46</v>
      </c>
      <c r="B40" s="56"/>
      <c r="C40" s="57"/>
      <c r="D40" s="57" t="n">
        <f aca="false">SUM(D10:D37)</f>
        <v>2201</v>
      </c>
      <c r="E40" s="57"/>
      <c r="F40" s="57" t="n">
        <f aca="false">F39*$D$2</f>
        <v>2201</v>
      </c>
      <c r="G40" s="57" t="n">
        <f aca="false">G39*$D$2</f>
        <v>3268.808</v>
      </c>
      <c r="H40" s="57" t="n">
        <f aca="false">H39*$D$2</f>
        <v>233.6563</v>
      </c>
      <c r="I40" s="57" t="n">
        <f aca="false">I39*$D$2</f>
        <v>3502.4643</v>
      </c>
      <c r="J40" s="57" t="n">
        <f aca="false">J39*$D$2</f>
        <v>1366.58122</v>
      </c>
      <c r="K40" s="57" t="n">
        <f aca="false">K39*$D$2</f>
        <v>4869.04552</v>
      </c>
      <c r="L40" s="57" t="n">
        <f aca="false">L39*$D$2</f>
        <v>1366.58122</v>
      </c>
      <c r="M40" s="57" t="n">
        <f aca="false">M39*$D$2</f>
        <v>349.33402</v>
      </c>
      <c r="N40" s="57" t="n">
        <f aca="false">N39*$D$2</f>
        <v>0</v>
      </c>
      <c r="O40" s="57" t="n">
        <f aca="false">O39*$D$2</f>
        <v>349.33402</v>
      </c>
      <c r="P40" s="57" t="n">
        <f aca="false">P39*$D$2</f>
        <v>0</v>
      </c>
      <c r="Q40" s="57" t="n">
        <f aca="false">Q39*$D$2</f>
        <v>0</v>
      </c>
      <c r="R40" s="57" t="n">
        <f aca="false">R39*$D$2</f>
        <v>349.33402</v>
      </c>
      <c r="S40" s="57"/>
      <c r="T40" s="57" t="n">
        <f aca="false">T39*$D$2</f>
        <v>0</v>
      </c>
      <c r="U40" s="57" t="n">
        <f aca="false">U39*$D$2</f>
        <v>2318.7115</v>
      </c>
      <c r="V40" s="57" t="n">
        <f aca="false">V39*$D$2</f>
        <v>0</v>
      </c>
      <c r="W40" s="57" t="n">
        <f aca="false">W39*$D$2</f>
        <v>2668.04552</v>
      </c>
      <c r="X40" s="57" t="n">
        <f aca="false">X39*$D$2</f>
        <v>0</v>
      </c>
      <c r="Y40" s="57" t="n">
        <f aca="false">Y39*$D$2</f>
        <v>2668.04552</v>
      </c>
      <c r="Z40" s="60"/>
      <c r="AA40" s="61" t="n">
        <f aca="false">MAX(AA10:AA37)</f>
        <v>51</v>
      </c>
      <c r="AB40" s="61" t="n">
        <f aca="false">MAX(AB10:AB37)</f>
        <v>36</v>
      </c>
      <c r="AC40" s="62" t="s">
        <v>47</v>
      </c>
      <c r="AD40" s="78"/>
      <c r="AE40" s="78"/>
      <c r="AF40" s="79"/>
    </row>
    <row r="41" customFormat="false" ht="3" hidden="false" customHeight="true" outlineLevel="0" collapsed="false">
      <c r="A41" s="83"/>
      <c r="B41" s="83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3"/>
      <c r="W41" s="85"/>
      <c r="X41" s="85"/>
      <c r="Y41" s="85"/>
      <c r="Z41" s="60"/>
      <c r="AA41" s="61"/>
      <c r="AB41" s="61"/>
      <c r="AC41" s="62"/>
      <c r="AD41" s="78"/>
      <c r="AE41" s="78"/>
      <c r="AF41" s="79"/>
    </row>
    <row r="42" customFormat="false" ht="11.1" hidden="false" customHeight="true" outlineLevel="0" collapsed="false">
      <c r="A42" s="56" t="s">
        <v>48</v>
      </c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60"/>
      <c r="AA42" s="61" t="n">
        <f aca="false">MIN(AA10:AA37)</f>
        <v>30</v>
      </c>
      <c r="AB42" s="61" t="n">
        <f aca="false">MIN(AB10:AB37)</f>
        <v>5</v>
      </c>
      <c r="AC42" s="62" t="s">
        <v>49</v>
      </c>
      <c r="AD42" s="78"/>
      <c r="AE42" s="78"/>
      <c r="AF42" s="79"/>
    </row>
    <row r="43" customFormat="false" ht="11.1" hidden="false" customHeight="true" outlineLevel="0" collapsed="false">
      <c r="A43" s="56" t="s">
        <v>50</v>
      </c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60"/>
      <c r="AA43" s="61"/>
      <c r="AB43" s="61"/>
      <c r="AC43" s="62"/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8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7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51</v>
      </c>
      <c r="B45" s="56"/>
      <c r="C45" s="57"/>
      <c r="D45" s="57"/>
      <c r="E45" s="57"/>
      <c r="F45" s="57" t="n">
        <f aca="false">F8+F39</f>
        <v>4909.50340307537</v>
      </c>
      <c r="G45" s="57" t="n">
        <f aca="false">G8+G39</f>
        <v>9888</v>
      </c>
      <c r="H45" s="61" t="n">
        <f aca="false">H8+H39</f>
        <v>495.7</v>
      </c>
      <c r="I45" s="57" t="n">
        <f aca="false">I8+I39</f>
        <v>10376.8</v>
      </c>
      <c r="J45" s="57" t="n">
        <f aca="false">J8+J39</f>
        <v>1910.01928913537</v>
      </c>
      <c r="K45" s="57" t="n">
        <f aca="false">K8+K39</f>
        <v>12278.4192891354</v>
      </c>
      <c r="L45" s="57" t="n">
        <f aca="false">L8+L39</f>
        <v>1037.70340307537</v>
      </c>
      <c r="M45" s="57" t="n">
        <f aca="false">M8+M39</f>
        <v>1133.84</v>
      </c>
      <c r="N45" s="57" t="n">
        <f aca="false">N8+N39</f>
        <v>0</v>
      </c>
      <c r="O45" s="57" t="n">
        <f aca="false">O8+O39</f>
        <v>484.6</v>
      </c>
      <c r="P45" s="57" t="n">
        <f aca="false">P8+P39</f>
        <v>0</v>
      </c>
      <c r="Q45" s="57" t="n">
        <f aca="false">Q8+Q39</f>
        <v>146.2</v>
      </c>
      <c r="R45" s="57" t="n">
        <f aca="false">R8+R39</f>
        <v>1022.79</v>
      </c>
      <c r="S45" s="57"/>
      <c r="T45" s="57" t="n">
        <f aca="false">T8+T39</f>
        <v>0</v>
      </c>
      <c r="U45" s="57" t="n">
        <f aca="false">U8+U39</f>
        <v>5224.96</v>
      </c>
      <c r="V45" s="57" t="n">
        <f aca="false">V37</f>
        <v>964.040000000001</v>
      </c>
      <c r="W45" s="57" t="n">
        <f aca="false">W8+W39</f>
        <v>6505</v>
      </c>
      <c r="X45" s="57" t="n">
        <f aca="false">X8+X39</f>
        <v>872.315886059995</v>
      </c>
      <c r="Y45" s="57" t="n">
        <f aca="false">Y8+Y39</f>
        <v>7377.31588606</v>
      </c>
      <c r="Z45" s="81" t="n">
        <f aca="false">Z8+Z39</f>
        <v>4.87</v>
      </c>
      <c r="AA45" s="61"/>
      <c r="AB45" s="61"/>
      <c r="AC45" s="62"/>
      <c r="AD45" s="78"/>
      <c r="AE45" s="78"/>
      <c r="AF45" s="79"/>
    </row>
    <row r="46" customFormat="false" ht="11.1" hidden="false" customHeight="true" outlineLevel="0" collapsed="false">
      <c r="A46" s="56" t="s">
        <v>52</v>
      </c>
      <c r="B46" s="56"/>
      <c r="C46" s="57"/>
      <c r="D46" s="57" t="n">
        <f aca="false">D8+D40</f>
        <v>9738</v>
      </c>
      <c r="E46" s="57" t="n">
        <f aca="false">E37</f>
        <v>191207</v>
      </c>
      <c r="F46" s="57" t="n">
        <f aca="false">F45*$D$2</f>
        <v>9738</v>
      </c>
      <c r="G46" s="57" t="n">
        <f aca="false">G45*$D$2</f>
        <v>19612.848</v>
      </c>
      <c r="H46" s="61" t="n">
        <f aca="false">H45*$D$2</f>
        <v>983.22095</v>
      </c>
      <c r="I46" s="57" t="n">
        <f aca="false">I45*$D$2</f>
        <v>20582.3828</v>
      </c>
      <c r="J46" s="57" t="n">
        <f aca="false">J45*$D$2</f>
        <v>3788.52326</v>
      </c>
      <c r="K46" s="57" t="n">
        <f aca="false">K45*$D$2</f>
        <v>24354.24466</v>
      </c>
      <c r="L46" s="57" t="n">
        <f aca="false">L45*$D$2</f>
        <v>2058.2847</v>
      </c>
      <c r="M46" s="57" t="n">
        <f aca="false">M45*$D$2</f>
        <v>2248.97164</v>
      </c>
      <c r="N46" s="57" t="n">
        <f aca="false">N45*$D$2</f>
        <v>0</v>
      </c>
      <c r="O46" s="57" t="n">
        <f aca="false">O45*$D$2</f>
        <v>961.2041</v>
      </c>
      <c r="P46" s="57" t="n">
        <f aca="false">P45*$D$2</f>
        <v>0</v>
      </c>
      <c r="Q46" s="57" t="n">
        <f aca="false">Q45*$D$2</f>
        <v>289.9877</v>
      </c>
      <c r="R46" s="57" t="n">
        <f aca="false">R45*$D$2</f>
        <v>2028.703965</v>
      </c>
      <c r="S46" s="57" t="n">
        <f aca="false">S45*$D$2</f>
        <v>0</v>
      </c>
      <c r="T46" s="57" t="n">
        <f aca="false">T45*$D$2</f>
        <v>0</v>
      </c>
      <c r="U46" s="57" t="n">
        <f aca="false">U45*$D$2</f>
        <v>10363.70816</v>
      </c>
      <c r="V46" s="57" t="n">
        <f aca="false">V45*$D$2</f>
        <v>1912.17334</v>
      </c>
      <c r="W46" s="57" t="n">
        <f aca="false">W45*$D$2</f>
        <v>12902.6675</v>
      </c>
      <c r="X46" s="57" t="n">
        <f aca="false">X45*$D$2</f>
        <v>1730.23856</v>
      </c>
      <c r="Y46" s="57" t="n">
        <f aca="false">Y45*$D$2</f>
        <v>14632.90606</v>
      </c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3"/>
      <c r="E47" s="85"/>
      <c r="F47" s="83"/>
      <c r="G47" s="83"/>
      <c r="H47" s="86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5"/>
      <c r="T47" s="83"/>
      <c r="U47" s="83"/>
      <c r="V47" s="85"/>
      <c r="W47" s="83"/>
      <c r="X47" s="83"/>
      <c r="Y47" s="83"/>
      <c r="Z47" s="60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tr">
        <f aca="false">"MAR 13"</f>
        <v>MAR 13</v>
      </c>
      <c r="B48" s="93"/>
      <c r="C48" s="57"/>
      <c r="D48" s="56"/>
      <c r="E48" s="57"/>
      <c r="F48" s="56"/>
      <c r="G48" s="56"/>
      <c r="H48" s="58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7"/>
      <c r="T48" s="56"/>
      <c r="U48" s="56"/>
      <c r="V48" s="57"/>
      <c r="W48" s="56"/>
      <c r="X48" s="56"/>
      <c r="Y48" s="56"/>
      <c r="Z48" s="60"/>
      <c r="AA48" s="61"/>
      <c r="AB48" s="61"/>
      <c r="AC48" s="62"/>
      <c r="AD48" s="63"/>
      <c r="AE48" s="63"/>
    </row>
    <row r="49" customFormat="false" ht="11.1" hidden="false" customHeight="true" outlineLevel="0" collapsed="false">
      <c r="A49" s="56"/>
      <c r="B49" s="80" t="n">
        <v>6896.75</v>
      </c>
      <c r="C49" s="57" t="n">
        <v>271746</v>
      </c>
      <c r="D49" s="90"/>
      <c r="E49" s="57" t="n">
        <f aca="false">C49-152000</f>
        <v>119746</v>
      </c>
      <c r="F49" s="56"/>
      <c r="G49" s="56" t="s">
        <v>59</v>
      </c>
      <c r="H49" s="0"/>
      <c r="I49" s="57" t="n">
        <v>229182</v>
      </c>
      <c r="J49" s="56"/>
      <c r="K49" s="46"/>
      <c r="L49" s="56"/>
      <c r="M49" s="56"/>
      <c r="N49" s="56"/>
      <c r="O49" s="56"/>
      <c r="P49" s="56"/>
      <c r="Q49" s="56"/>
      <c r="R49" s="56"/>
      <c r="S49" s="57"/>
      <c r="T49" s="56"/>
      <c r="U49" s="56"/>
      <c r="V49" s="57"/>
      <c r="W49" s="56"/>
      <c r="X49" s="56"/>
      <c r="Y49" s="56"/>
      <c r="Z49" s="60"/>
      <c r="AA49" s="61"/>
      <c r="AB49" s="61"/>
      <c r="AC49" s="62"/>
      <c r="AD49" s="63"/>
      <c r="AE49" s="63"/>
    </row>
    <row r="50" customFormat="false" ht="11.1" hidden="false" customHeight="true" outlineLevel="0" collapsed="false">
      <c r="A50" s="90" t="str">
        <f aca="false">"2/13/97 thru 3/13/97"</f>
        <v>2/13/97 thru 3/13/97</v>
      </c>
      <c r="B50" s="90"/>
      <c r="C50" s="57"/>
      <c r="D50" s="57"/>
      <c r="E50" s="57"/>
      <c r="F50" s="90"/>
      <c r="G50" s="98" t="s">
        <v>60</v>
      </c>
      <c r="H50" s="99"/>
      <c r="I50" s="100" t="n">
        <f aca="false">I49-E49</f>
        <v>109436</v>
      </c>
      <c r="J50" s="90"/>
      <c r="K50" s="90"/>
      <c r="L50" s="90"/>
      <c r="M50" s="81"/>
      <c r="N50" s="81"/>
      <c r="O50" s="81"/>
      <c r="P50" s="90"/>
      <c r="Q50" s="90"/>
      <c r="R50" s="90"/>
      <c r="S50" s="57"/>
      <c r="T50" s="90"/>
      <c r="U50" s="90"/>
      <c r="V50" s="57"/>
      <c r="W50" s="90"/>
      <c r="X50" s="90"/>
      <c r="Y50" s="90"/>
      <c r="Z50" s="60"/>
      <c r="AA50" s="61"/>
      <c r="AB50" s="61"/>
      <c r="AC50" s="62"/>
      <c r="AD50" s="94"/>
      <c r="AE50" s="94"/>
    </row>
    <row r="51" customFormat="false" ht="11.1" hidden="false" customHeight="true" outlineLevel="0" collapsed="false">
      <c r="A51" s="90"/>
      <c r="B51" s="60" t="n">
        <f aca="false">B49-B22</f>
        <v>-18.1899999999996</v>
      </c>
      <c r="C51" s="57"/>
      <c r="D51" s="101" t="n">
        <f aca="false">C49-C22</f>
        <v>-70378</v>
      </c>
      <c r="E51" s="57"/>
      <c r="F51" s="90"/>
      <c r="G51" s="90" t="s">
        <v>61</v>
      </c>
      <c r="H51" s="58"/>
      <c r="I51" s="57" t="n">
        <f aca="false">I50+D46</f>
        <v>119174</v>
      </c>
      <c r="J51" s="90"/>
      <c r="K51" s="90"/>
      <c r="L51" s="90"/>
      <c r="M51" s="81"/>
      <c r="N51" s="81"/>
      <c r="O51" s="81"/>
      <c r="P51" s="90"/>
      <c r="Q51" s="90"/>
      <c r="R51" s="90"/>
      <c r="S51" s="57"/>
      <c r="T51" s="90"/>
      <c r="U51" s="90"/>
      <c r="V51" s="57"/>
      <c r="W51" s="90"/>
      <c r="X51" s="90"/>
      <c r="Y51" s="90"/>
      <c r="Z51" s="60"/>
      <c r="AA51" s="61"/>
      <c r="AB51" s="61"/>
      <c r="AC51" s="62"/>
      <c r="AD51" s="94"/>
      <c r="AE51" s="94"/>
    </row>
    <row r="52" customFormat="false" ht="11.1" hidden="false" customHeight="true" outlineLevel="0" collapsed="false">
      <c r="A52" s="90"/>
      <c r="B52" s="90"/>
      <c r="C52" s="57"/>
      <c r="D52" s="90"/>
      <c r="E52" s="57"/>
      <c r="F52" s="90"/>
      <c r="G52" s="95"/>
      <c r="H52" s="58"/>
      <c r="I52" s="90"/>
      <c r="J52" s="90"/>
      <c r="K52" s="90"/>
      <c r="L52" s="90"/>
      <c r="M52" s="81"/>
      <c r="N52" s="81"/>
      <c r="O52" s="81"/>
      <c r="P52" s="90"/>
      <c r="Q52" s="90"/>
      <c r="R52" s="90"/>
      <c r="S52" s="57"/>
      <c r="T52" s="90"/>
      <c r="U52" s="90"/>
      <c r="V52" s="57"/>
      <c r="W52" s="90"/>
      <c r="X52" s="90"/>
      <c r="Y52" s="90"/>
      <c r="Z52" s="60"/>
      <c r="AA52" s="61"/>
      <c r="AB52" s="61"/>
      <c r="AC52" s="62"/>
      <c r="AD52" s="94"/>
      <c r="AE52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6.82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6.66"/>
    <col collapsed="false" customWidth="true" hidden="false" outlineLevel="0" max="20" min="20" style="49" width="5.82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62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63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63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/>
      <c r="G7" s="57"/>
      <c r="H7" s="61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FEB!$B$37:$C$37</f>
        <v>6915.2</v>
      </c>
      <c r="C8" s="57" t="n">
        <v>343207</v>
      </c>
      <c r="D8" s="57" t="n">
        <f aca="false" t="array" ref="D8:E8">FEB!$D$46:$E$46</f>
        <v>9738</v>
      </c>
      <c r="E8" s="57" t="n">
        <v>191207</v>
      </c>
      <c r="F8" s="57" t="n">
        <f aca="false" t="array" ref="F8:Z8">FEB!$F$45:$Z$45</f>
        <v>4909.50340307537</v>
      </c>
      <c r="G8" s="57" t="n">
        <v>9888</v>
      </c>
      <c r="H8" s="61" t="n">
        <v>495.7</v>
      </c>
      <c r="I8" s="57" t="n">
        <v>10376.8</v>
      </c>
      <c r="J8" s="57" t="n">
        <v>1910.01928913537</v>
      </c>
      <c r="K8" s="57" t="n">
        <v>12278.4192891354</v>
      </c>
      <c r="L8" s="57" t="n">
        <v>1037.70340307537</v>
      </c>
      <c r="M8" s="57" t="n">
        <v>1133.84</v>
      </c>
      <c r="N8" s="57" t="n">
        <v>0</v>
      </c>
      <c r="O8" s="57" t="n">
        <v>484.6</v>
      </c>
      <c r="P8" s="57" t="n">
        <v>0</v>
      </c>
      <c r="Q8" s="57" t="n">
        <v>146.2</v>
      </c>
      <c r="R8" s="57" t="n">
        <v>1022.79</v>
      </c>
      <c r="S8" s="57" t="n">
        <v>0</v>
      </c>
      <c r="T8" s="57" t="n">
        <v>0</v>
      </c>
      <c r="U8" s="57" t="n">
        <v>5224.96</v>
      </c>
      <c r="V8" s="57" t="n">
        <v>964.040000000001</v>
      </c>
      <c r="W8" s="57" t="n">
        <v>6505</v>
      </c>
      <c r="X8" s="57" t="n">
        <v>872.315886059995</v>
      </c>
      <c r="Y8" s="57" t="n">
        <v>7377.31588606</v>
      </c>
      <c r="Z8" s="81" t="n">
        <v>4.87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6915.21</v>
      </c>
      <c r="C10" s="57" t="n">
        <v>343249</v>
      </c>
      <c r="D10" s="61" t="n">
        <f aca="false">C10-C8</f>
        <v>42</v>
      </c>
      <c r="E10" s="57" t="n">
        <f aca="false">C10-152000</f>
        <v>191249</v>
      </c>
      <c r="F10" s="56" t="n">
        <f aca="false">D10/$D$2</f>
        <v>21.17469120242</v>
      </c>
      <c r="G10" s="56" t="n">
        <v>56</v>
      </c>
      <c r="H10" s="102" t="n">
        <v>8.5</v>
      </c>
      <c r="I10" s="56" t="n">
        <f aca="false">G10+H10</f>
        <v>64.5</v>
      </c>
      <c r="J10" s="81" t="n">
        <f aca="false">IF(L10&gt;0,L10,0)</f>
        <v>3.96469120241996</v>
      </c>
      <c r="K10" s="56" t="n">
        <f aca="false">I10+J10</f>
        <v>68.46469120242</v>
      </c>
      <c r="L10" s="56" t="n">
        <f aca="false">F10-(I10-W10)</f>
        <v>3.96469120241996</v>
      </c>
      <c r="M10" s="56" t="n">
        <v>6.29</v>
      </c>
      <c r="N10" s="56" t="n">
        <v>0</v>
      </c>
      <c r="O10" s="56" t="n">
        <f aca="false">M10-N10</f>
        <v>6.29</v>
      </c>
      <c r="P10" s="56" t="n">
        <v>0</v>
      </c>
      <c r="Q10" s="56" t="n">
        <v>0</v>
      </c>
      <c r="R10" s="56" t="n">
        <f aca="false">SUM(O10:Q10)</f>
        <v>6.29</v>
      </c>
      <c r="S10" s="57"/>
      <c r="T10" s="56" t="n">
        <v>0</v>
      </c>
      <c r="U10" s="56" t="n">
        <v>41</v>
      </c>
      <c r="V10" s="57" t="n">
        <f aca="false">V8-U10</f>
        <v>923.040000000001</v>
      </c>
      <c r="W10" s="56" t="n">
        <f aca="false">R10+T10+N10+U10</f>
        <v>47.29</v>
      </c>
      <c r="X10" s="56" t="n">
        <f aca="false">IF(L10&lt;0,L10*-1,0)</f>
        <v>0</v>
      </c>
      <c r="Y10" s="56" t="n">
        <f aca="false">W10+X10</f>
        <v>47.29</v>
      </c>
      <c r="Z10" s="60" t="n">
        <v>0</v>
      </c>
      <c r="AA10" s="61" t="n">
        <v>36</v>
      </c>
      <c r="AB10" s="61" t="n">
        <v>4</v>
      </c>
      <c r="AC10" s="62" t="n">
        <v>1</v>
      </c>
      <c r="AD10" s="79"/>
      <c r="AE10" s="82"/>
      <c r="AF10" s="79"/>
    </row>
    <row r="11" customFormat="false" ht="11.1" hidden="false" customHeight="true" outlineLevel="0" collapsed="false">
      <c r="A11" s="62" t="n">
        <f aca="false">A10+1</f>
        <v>2</v>
      </c>
      <c r="B11" s="80" t="n">
        <v>6915.22</v>
      </c>
      <c r="C11" s="57" t="n">
        <v>343291</v>
      </c>
      <c r="D11" s="61" t="n">
        <f aca="false">C11-C10</f>
        <v>42</v>
      </c>
      <c r="E11" s="57" t="n">
        <f aca="false">C11-152000</f>
        <v>191291</v>
      </c>
      <c r="F11" s="56" t="n">
        <f aca="false">D11/$D$2</f>
        <v>21.17469120242</v>
      </c>
      <c r="G11" s="56" t="n">
        <v>60</v>
      </c>
      <c r="H11" s="102" t="n">
        <v>6.1</v>
      </c>
      <c r="I11" s="56" t="n">
        <f aca="false">G11+H11</f>
        <v>66.1</v>
      </c>
      <c r="J11" s="81" t="n">
        <f aca="false">IF(L11&gt;0,L11,0)</f>
        <v>2.36469120241997</v>
      </c>
      <c r="K11" s="56" t="n">
        <f aca="false">I11+J11</f>
        <v>68.46469120242</v>
      </c>
      <c r="L11" s="56" t="n">
        <f aca="false">F11-(I11-W11)</f>
        <v>2.36469120241997</v>
      </c>
      <c r="M11" s="56" t="n">
        <v>6.29</v>
      </c>
      <c r="N11" s="56" t="n">
        <v>0</v>
      </c>
      <c r="O11" s="56" t="n">
        <f aca="false">M11-N11</f>
        <v>6.29</v>
      </c>
      <c r="P11" s="56" t="n">
        <v>0</v>
      </c>
      <c r="Q11" s="56" t="n">
        <v>0</v>
      </c>
      <c r="R11" s="56" t="n">
        <f aca="false">SUM(O11:Q11)</f>
        <v>6.29</v>
      </c>
      <c r="S11" s="57"/>
      <c r="T11" s="56" t="n">
        <v>0</v>
      </c>
      <c r="U11" s="56" t="n">
        <v>41</v>
      </c>
      <c r="V11" s="57" t="n">
        <f aca="false">V10-U11</f>
        <v>882.040000000001</v>
      </c>
      <c r="W11" s="56" t="n">
        <f aca="false">R11+T11+N11+U11</f>
        <v>47.29</v>
      </c>
      <c r="X11" s="56" t="n">
        <f aca="false">IF(L11&lt;0,L11*-1,0)</f>
        <v>0</v>
      </c>
      <c r="Y11" s="56" t="n">
        <f aca="false">W11+X11</f>
        <v>47.29</v>
      </c>
      <c r="Z11" s="60" t="n">
        <v>0</v>
      </c>
      <c r="AA11" s="61" t="n">
        <v>44</v>
      </c>
      <c r="AB11" s="61" t="n">
        <v>13</v>
      </c>
      <c r="AC11" s="62" t="n">
        <f aca="false">AC10+1</f>
        <v>2</v>
      </c>
      <c r="AD11" s="79"/>
      <c r="AE11" s="82"/>
      <c r="AF11" s="79"/>
    </row>
    <row r="12" customFormat="false" ht="11.1" hidden="false" customHeight="true" outlineLevel="0" collapsed="false">
      <c r="A12" s="62" t="n">
        <f aca="false">A11+1</f>
        <v>3</v>
      </c>
      <c r="B12" s="80" t="n">
        <v>6915.23</v>
      </c>
      <c r="C12" s="57" t="n">
        <v>343332</v>
      </c>
      <c r="D12" s="61" t="n">
        <f aca="false">C12-C11</f>
        <v>41</v>
      </c>
      <c r="E12" s="57" t="n">
        <f aca="false">C12-152000</f>
        <v>191332</v>
      </c>
      <c r="F12" s="56" t="n">
        <f aca="false">D12/$D$2</f>
        <v>20.6705318880766</v>
      </c>
      <c r="G12" s="56" t="n">
        <v>62</v>
      </c>
      <c r="H12" s="102" t="n">
        <v>5.4</v>
      </c>
      <c r="I12" s="56" t="n">
        <f aca="false">G12+H12</f>
        <v>67.4</v>
      </c>
      <c r="J12" s="81" t="n">
        <f aca="false">IF(L12&gt;0,L12,0)</f>
        <v>0.560531888076625</v>
      </c>
      <c r="K12" s="56" t="n">
        <f aca="false">I12+J12</f>
        <v>67.9605318880766</v>
      </c>
      <c r="L12" s="56" t="n">
        <f aca="false">F12-(I12-W12)</f>
        <v>0.560531888076625</v>
      </c>
      <c r="M12" s="56" t="n">
        <v>6.29</v>
      </c>
      <c r="N12" s="56" t="n">
        <v>0</v>
      </c>
      <c r="O12" s="56" t="n">
        <f aca="false">M12-N12</f>
        <v>6.29</v>
      </c>
      <c r="P12" s="56" t="n">
        <v>0</v>
      </c>
      <c r="Q12" s="56" t="n">
        <v>0</v>
      </c>
      <c r="R12" s="56" t="n">
        <f aca="false">SUM(O12:Q12)</f>
        <v>6.29</v>
      </c>
      <c r="S12" s="57"/>
      <c r="T12" s="56" t="n">
        <v>0</v>
      </c>
      <c r="U12" s="56" t="n">
        <v>41</v>
      </c>
      <c r="V12" s="57" t="n">
        <f aca="false">V11-U12</f>
        <v>841.04</v>
      </c>
      <c r="W12" s="56" t="n">
        <f aca="false">R12+T12+N12+U12</f>
        <v>47.29</v>
      </c>
      <c r="X12" s="56" t="n">
        <f aca="false">IF(L12&lt;0,L12*-1,0)</f>
        <v>0</v>
      </c>
      <c r="Y12" s="56" t="n">
        <f aca="false">W12+X12</f>
        <v>47.29</v>
      </c>
      <c r="Z12" s="60" t="n">
        <v>0</v>
      </c>
      <c r="AA12" s="61" t="n">
        <v>53</v>
      </c>
      <c r="AB12" s="61" t="n">
        <v>22</v>
      </c>
      <c r="AC12" s="62" t="n">
        <f aca="false">AC11+1</f>
        <v>3</v>
      </c>
      <c r="AD12" s="79"/>
      <c r="AE12" s="82"/>
      <c r="AF12" s="79"/>
    </row>
    <row r="13" customFormat="false" ht="11.1" hidden="false" customHeight="true" outlineLevel="0" collapsed="false">
      <c r="A13" s="62" t="n">
        <f aca="false">A12+1</f>
        <v>4</v>
      </c>
      <c r="B13" s="80" t="n">
        <v>6915.26</v>
      </c>
      <c r="C13" s="57" t="n">
        <v>343458</v>
      </c>
      <c r="D13" s="61" t="n">
        <f aca="false">C13-C12</f>
        <v>126</v>
      </c>
      <c r="E13" s="57" t="n">
        <f aca="false">C13-152000</f>
        <v>191458</v>
      </c>
      <c r="F13" s="56" t="n">
        <f aca="false">D13/$D$2</f>
        <v>63.5240736072599</v>
      </c>
      <c r="G13" s="56" t="n">
        <v>62</v>
      </c>
      <c r="H13" s="102" t="n">
        <v>5.6</v>
      </c>
      <c r="I13" s="56" t="n">
        <f aca="false">G13+H13</f>
        <v>67.6</v>
      </c>
      <c r="J13" s="81" t="n">
        <f aca="false">IF(L13&gt;0,L13,0)</f>
        <v>43.2140736072599</v>
      </c>
      <c r="K13" s="56" t="n">
        <f aca="false">I13+J13</f>
        <v>110.81407360726</v>
      </c>
      <c r="L13" s="56" t="n">
        <f aca="false">F13-(I13-W13)</f>
        <v>43.2140736072599</v>
      </c>
      <c r="M13" s="56" t="n">
        <v>6.29</v>
      </c>
      <c r="N13" s="56" t="n">
        <v>0</v>
      </c>
      <c r="O13" s="56" t="n">
        <f aca="false">M13-N13</f>
        <v>6.29</v>
      </c>
      <c r="P13" s="56" t="n">
        <v>0</v>
      </c>
      <c r="Q13" s="56" t="n">
        <v>0</v>
      </c>
      <c r="R13" s="56" t="n">
        <f aca="false">SUM(O13:Q13)</f>
        <v>6.29</v>
      </c>
      <c r="S13" s="57"/>
      <c r="T13" s="56" t="n">
        <v>0</v>
      </c>
      <c r="U13" s="56" t="n">
        <v>41</v>
      </c>
      <c r="V13" s="57" t="n">
        <f aca="false">V12-U13</f>
        <v>800.04</v>
      </c>
      <c r="W13" s="56" t="n">
        <f aca="false">R13+T13+N13+U13</f>
        <v>47.29</v>
      </c>
      <c r="X13" s="56" t="n">
        <f aca="false">IF(L13&lt;0,L13*-1,0)</f>
        <v>0</v>
      </c>
      <c r="Y13" s="56" t="n">
        <f aca="false">W13+X13</f>
        <v>47.29</v>
      </c>
      <c r="Z13" s="60" t="n">
        <v>0</v>
      </c>
      <c r="AA13" s="61" t="n">
        <v>49</v>
      </c>
      <c r="AB13" s="61" t="n">
        <v>30</v>
      </c>
      <c r="AC13" s="62" t="n">
        <f aca="false">AC12+1</f>
        <v>4</v>
      </c>
      <c r="AD13" s="79"/>
      <c r="AE13" s="82"/>
      <c r="AF13" s="79"/>
    </row>
    <row r="14" customFormat="false" ht="11.1" hidden="false" customHeight="true" outlineLevel="0" collapsed="false">
      <c r="A14" s="62" t="n">
        <f aca="false">A13+1</f>
        <v>5</v>
      </c>
      <c r="B14" s="80" t="n">
        <v>6915.28</v>
      </c>
      <c r="C14" s="57" t="n">
        <v>343541</v>
      </c>
      <c r="D14" s="61" t="n">
        <f aca="false">C14-C13</f>
        <v>83</v>
      </c>
      <c r="E14" s="57" t="n">
        <f aca="false">C14-152000</f>
        <v>191541</v>
      </c>
      <c r="F14" s="56" t="n">
        <f aca="false">D14/$D$2</f>
        <v>41.8452230904966</v>
      </c>
      <c r="G14" s="56" t="n">
        <v>60</v>
      </c>
      <c r="H14" s="102" t="n">
        <v>4.7</v>
      </c>
      <c r="I14" s="56" t="n">
        <f aca="false">G14+H14</f>
        <v>64.7</v>
      </c>
      <c r="J14" s="81" t="n">
        <f aca="false">IF(L14&gt;0,L14,0)</f>
        <v>25.4352230904966</v>
      </c>
      <c r="K14" s="56" t="n">
        <f aca="false">I14+J14</f>
        <v>90.1352230904966</v>
      </c>
      <c r="L14" s="56" t="n">
        <f aca="false">F14-(I14-W14)</f>
        <v>25.4352230904966</v>
      </c>
      <c r="M14" s="56" t="n">
        <v>6.29</v>
      </c>
      <c r="N14" s="56" t="n">
        <v>0</v>
      </c>
      <c r="O14" s="56" t="n">
        <f aca="false">M14-N14</f>
        <v>6.29</v>
      </c>
      <c r="P14" s="56" t="n">
        <v>0</v>
      </c>
      <c r="Q14" s="56" t="n">
        <v>0</v>
      </c>
      <c r="R14" s="56" t="n">
        <f aca="false">SUM(O14:Q14)</f>
        <v>6.29</v>
      </c>
      <c r="S14" s="57"/>
      <c r="T14" s="56" t="n">
        <v>0</v>
      </c>
      <c r="U14" s="56" t="n">
        <v>42</v>
      </c>
      <c r="V14" s="57" t="n">
        <f aca="false">V13-U14</f>
        <v>758.04</v>
      </c>
      <c r="W14" s="56" t="n">
        <f aca="false">R14+T14+N14+U14</f>
        <v>48.29</v>
      </c>
      <c r="X14" s="56" t="n">
        <f aca="false">IF(L14&lt;0,L14*-1,0)</f>
        <v>0</v>
      </c>
      <c r="Y14" s="56" t="n">
        <f aca="false">W14+X14</f>
        <v>48.29</v>
      </c>
      <c r="Z14" s="60" t="n">
        <v>0</v>
      </c>
      <c r="AA14" s="61" t="n">
        <v>34</v>
      </c>
      <c r="AB14" s="61" t="n">
        <v>28</v>
      </c>
      <c r="AC14" s="62" t="n">
        <f aca="false">AC13+1</f>
        <v>5</v>
      </c>
      <c r="AD14" s="79"/>
      <c r="AE14" s="82"/>
      <c r="AF14" s="79"/>
    </row>
    <row r="15" customFormat="false" ht="11.1" hidden="false" customHeight="true" outlineLevel="0" collapsed="false">
      <c r="A15" s="62" t="n">
        <f aca="false">A14+1</f>
        <v>6</v>
      </c>
      <c r="B15" s="80" t="n">
        <v>6915.38</v>
      </c>
      <c r="C15" s="57" t="n">
        <v>343959</v>
      </c>
      <c r="D15" s="61" t="n">
        <f aca="false">C15-C14</f>
        <v>418</v>
      </c>
      <c r="E15" s="57" t="n">
        <f aca="false">C15-152000</f>
        <v>191959</v>
      </c>
      <c r="F15" s="56" t="n">
        <f aca="false">D15/$D$2</f>
        <v>210.738593395513</v>
      </c>
      <c r="G15" s="56" t="n">
        <v>60</v>
      </c>
      <c r="H15" s="102" t="n">
        <v>4.9</v>
      </c>
      <c r="I15" s="56" t="n">
        <f aca="false">G15+H15</f>
        <v>64.9</v>
      </c>
      <c r="J15" s="81" t="n">
        <f aca="false">IF(L15&gt;0,L15,0)</f>
        <v>194.128593395513</v>
      </c>
      <c r="K15" s="56" t="n">
        <f aca="false">I15+J15</f>
        <v>259.028593395513</v>
      </c>
      <c r="L15" s="56" t="n">
        <f aca="false">F15-(I15-W15)</f>
        <v>194.128593395513</v>
      </c>
      <c r="M15" s="56" t="n">
        <v>6.29</v>
      </c>
      <c r="N15" s="56" t="n">
        <v>0</v>
      </c>
      <c r="O15" s="56" t="n">
        <f aca="false">M15-N15</f>
        <v>6.29</v>
      </c>
      <c r="P15" s="56" t="n">
        <v>0</v>
      </c>
      <c r="Q15" s="56" t="n">
        <v>0</v>
      </c>
      <c r="R15" s="56" t="n">
        <f aca="false">SUM(O15:Q15)</f>
        <v>6.29</v>
      </c>
      <c r="S15" s="57"/>
      <c r="T15" s="56" t="n">
        <v>0</v>
      </c>
      <c r="U15" s="56" t="n">
        <v>42</v>
      </c>
      <c r="V15" s="57" t="n">
        <f aca="false">V14-U15</f>
        <v>716.04</v>
      </c>
      <c r="W15" s="56" t="n">
        <f aca="false">R15+T15+N15+U15</f>
        <v>48.29</v>
      </c>
      <c r="X15" s="56" t="n">
        <f aca="false">IF(L15&lt;0,L15*-1,0)</f>
        <v>0</v>
      </c>
      <c r="Y15" s="56" t="n">
        <f aca="false">W15+X15</f>
        <v>48.29</v>
      </c>
      <c r="Z15" s="60" t="n">
        <v>0.67</v>
      </c>
      <c r="AA15" s="61" t="n">
        <v>33</v>
      </c>
      <c r="AB15" s="61" t="n">
        <v>11</v>
      </c>
      <c r="AC15" s="62" t="n">
        <f aca="false">AC14+1</f>
        <v>6</v>
      </c>
      <c r="AD15" s="78"/>
      <c r="AE15" s="82"/>
      <c r="AF15" s="79"/>
    </row>
    <row r="16" customFormat="false" ht="11.1" hidden="false" customHeight="true" outlineLevel="0" collapsed="false">
      <c r="A16" s="62" t="n">
        <f aca="false">A15+1</f>
        <v>7</v>
      </c>
      <c r="B16" s="80" t="n">
        <v>6915.42</v>
      </c>
      <c r="C16" s="57" t="n">
        <v>344126</v>
      </c>
      <c r="D16" s="61" t="n">
        <f aca="false">C16-C15</f>
        <v>167</v>
      </c>
      <c r="E16" s="57" t="n">
        <f aca="false">C16-152000</f>
        <v>192126</v>
      </c>
      <c r="F16" s="56" t="n">
        <f aca="false">D16/$D$2</f>
        <v>84.1946054953365</v>
      </c>
      <c r="G16" s="56" t="n">
        <v>60</v>
      </c>
      <c r="H16" s="102" t="n">
        <v>6.5</v>
      </c>
      <c r="I16" s="56" t="n">
        <f aca="false">G16+H16</f>
        <v>66.5</v>
      </c>
      <c r="J16" s="81" t="n">
        <f aca="false">IF(L16&gt;0,L16,0)</f>
        <v>65.9846054953365</v>
      </c>
      <c r="K16" s="56" t="n">
        <f aca="false">I16+J16</f>
        <v>132.484605495337</v>
      </c>
      <c r="L16" s="56" t="n">
        <f aca="false">F16-(I16-W16)</f>
        <v>65.9846054953365</v>
      </c>
      <c r="M16" s="56" t="n">
        <v>6.29</v>
      </c>
      <c r="N16" s="56" t="n">
        <v>0</v>
      </c>
      <c r="O16" s="56" t="n">
        <f aca="false">M16-N16</f>
        <v>6.29</v>
      </c>
      <c r="P16" s="56" t="n">
        <v>0</v>
      </c>
      <c r="Q16" s="56" t="n">
        <v>0</v>
      </c>
      <c r="R16" s="56" t="n">
        <f aca="false">SUM(O16:Q16)</f>
        <v>6.29</v>
      </c>
      <c r="S16" s="57"/>
      <c r="T16" s="56" t="n">
        <v>0</v>
      </c>
      <c r="U16" s="56" t="n">
        <v>42</v>
      </c>
      <c r="V16" s="57" t="n">
        <f aca="false">V15-U16</f>
        <v>674.04</v>
      </c>
      <c r="W16" s="56" t="n">
        <f aca="false">R16+T16+N16+U16</f>
        <v>48.29</v>
      </c>
      <c r="X16" s="56" t="n">
        <f aca="false">IF(L16&lt;0,L16*-1,0)</f>
        <v>0</v>
      </c>
      <c r="Y16" s="56" t="n">
        <f aca="false">W16+X16</f>
        <v>48.29</v>
      </c>
      <c r="Z16" s="60" t="n">
        <v>0.16</v>
      </c>
      <c r="AA16" s="61" t="n">
        <v>32</v>
      </c>
      <c r="AB16" s="61" t="n">
        <v>22</v>
      </c>
      <c r="AC16" s="62" t="n">
        <f aca="false">AC15+1</f>
        <v>7</v>
      </c>
      <c r="AD16" s="78"/>
      <c r="AE16" s="82"/>
      <c r="AF16" s="79"/>
    </row>
    <row r="17" customFormat="false" ht="11.1" hidden="false" customHeight="true" outlineLevel="0" collapsed="false">
      <c r="A17" s="62" t="n">
        <f aca="false">A16+1</f>
        <v>8</v>
      </c>
      <c r="B17" s="80" t="n">
        <v>6915.43</v>
      </c>
      <c r="C17" s="57" t="n">
        <v>344167</v>
      </c>
      <c r="D17" s="61" t="n">
        <f aca="false">C17-C16</f>
        <v>41</v>
      </c>
      <c r="E17" s="57" t="n">
        <f aca="false">C17-152000</f>
        <v>192167</v>
      </c>
      <c r="F17" s="56" t="n">
        <f aca="false">D17/$D$2</f>
        <v>20.6705318880766</v>
      </c>
      <c r="G17" s="56" t="n">
        <v>64</v>
      </c>
      <c r="H17" s="102" t="n">
        <v>8.5</v>
      </c>
      <c r="I17" s="56" t="n">
        <f aca="false">G17+H17</f>
        <v>72.5</v>
      </c>
      <c r="J17" s="81" t="n">
        <f aca="false">IF(L17&gt;0,L17,0)</f>
        <v>0</v>
      </c>
      <c r="K17" s="56" t="n">
        <f aca="false">I17+J17</f>
        <v>72.5</v>
      </c>
      <c r="L17" s="56" t="n">
        <f aca="false">F17-(I17-W17)</f>
        <v>-3.53946811192337</v>
      </c>
      <c r="M17" s="56" t="n">
        <v>6.29</v>
      </c>
      <c r="N17" s="56" t="n">
        <v>0</v>
      </c>
      <c r="O17" s="56" t="n">
        <f aca="false">M17-N17</f>
        <v>6.29</v>
      </c>
      <c r="P17" s="56" t="n">
        <v>0</v>
      </c>
      <c r="Q17" s="56" t="n">
        <v>0</v>
      </c>
      <c r="R17" s="56" t="n">
        <f aca="false">SUM(O17:Q17)</f>
        <v>6.29</v>
      </c>
      <c r="S17" s="57"/>
      <c r="T17" s="56" t="n">
        <v>0</v>
      </c>
      <c r="U17" s="56" t="n">
        <v>42</v>
      </c>
      <c r="V17" s="57" t="n">
        <f aca="false">V16-U17</f>
        <v>632.04</v>
      </c>
      <c r="W17" s="56" t="n">
        <f aca="false">R17+T17+N17+U17</f>
        <v>48.29</v>
      </c>
      <c r="X17" s="56" t="n">
        <f aca="false">IF(L17&lt;0,L17*-1,0)</f>
        <v>3.53946811192337</v>
      </c>
      <c r="Y17" s="56" t="n">
        <f aca="false">W17+X17</f>
        <v>51.8294681119234</v>
      </c>
      <c r="Z17" s="60" t="n">
        <v>0</v>
      </c>
      <c r="AA17" s="61" t="n">
        <v>35</v>
      </c>
      <c r="AB17" s="61" t="n">
        <v>5</v>
      </c>
      <c r="AC17" s="62" t="n">
        <f aca="false">AC16+1</f>
        <v>8</v>
      </c>
      <c r="AD17" s="78"/>
      <c r="AE17" s="82"/>
      <c r="AF17" s="79"/>
    </row>
    <row r="18" customFormat="false" ht="11.1" hidden="false" customHeight="true" outlineLevel="0" collapsed="false">
      <c r="A18" s="62" t="n">
        <f aca="false">A17+1</f>
        <v>9</v>
      </c>
      <c r="B18" s="80" t="n">
        <v>6915.44</v>
      </c>
      <c r="C18" s="57" t="n">
        <v>344209</v>
      </c>
      <c r="D18" s="61" t="n">
        <f aca="false">C18-C17</f>
        <v>42</v>
      </c>
      <c r="E18" s="57" t="n">
        <f aca="false">C18-152000</f>
        <v>192209</v>
      </c>
      <c r="F18" s="56" t="n">
        <f aca="false">D18/$D$2</f>
        <v>21.17469120242</v>
      </c>
      <c r="G18" s="56" t="n">
        <v>64</v>
      </c>
      <c r="H18" s="102" t="n">
        <v>8.2</v>
      </c>
      <c r="I18" s="56" t="n">
        <f aca="false">G18+H18</f>
        <v>72.2</v>
      </c>
      <c r="J18" s="81" t="n">
        <f aca="false">IF(L18&gt;0,L18,0)</f>
        <v>0</v>
      </c>
      <c r="K18" s="56" t="n">
        <f aca="false">I18+J18</f>
        <v>72.2</v>
      </c>
      <c r="L18" s="56" t="n">
        <f aca="false">F18-(I18-W18)</f>
        <v>-2.73530879758004</v>
      </c>
      <c r="M18" s="56" t="n">
        <v>6.29</v>
      </c>
      <c r="N18" s="56" t="n">
        <v>0</v>
      </c>
      <c r="O18" s="56" t="n">
        <f aca="false">M18-N18</f>
        <v>6.29</v>
      </c>
      <c r="P18" s="56" t="n">
        <v>0</v>
      </c>
      <c r="Q18" s="56" t="n">
        <v>0</v>
      </c>
      <c r="R18" s="56" t="n">
        <f aca="false">SUM(O18:Q18)</f>
        <v>6.29</v>
      </c>
      <c r="S18" s="57"/>
      <c r="T18" s="56" t="n">
        <v>0</v>
      </c>
      <c r="U18" s="56" t="n">
        <v>42</v>
      </c>
      <c r="V18" s="57" t="n">
        <f aca="false">V17-U18</f>
        <v>590.04</v>
      </c>
      <c r="W18" s="56" t="n">
        <f aca="false">R18+T18+N18+U18</f>
        <v>48.29</v>
      </c>
      <c r="X18" s="56" t="n">
        <f aca="false">IF(L18&lt;0,L18*-1,0)</f>
        <v>2.73530879758004</v>
      </c>
      <c r="Y18" s="56" t="n">
        <f aca="false">W18+X18</f>
        <v>51.02530879758</v>
      </c>
      <c r="Z18" s="60" t="n">
        <v>0</v>
      </c>
      <c r="AA18" s="90" t="n">
        <v>37</v>
      </c>
      <c r="AB18" s="61" t="n">
        <v>8</v>
      </c>
      <c r="AC18" s="62" t="n">
        <f aca="false">AC17+1</f>
        <v>9</v>
      </c>
      <c r="AD18" s="78"/>
      <c r="AE18" s="82"/>
      <c r="AF18" s="79"/>
    </row>
    <row r="19" customFormat="false" ht="11.1" hidden="false" customHeight="true" outlineLevel="0" collapsed="false">
      <c r="A19" s="62" t="n">
        <f aca="false">A18+1</f>
        <v>10</v>
      </c>
      <c r="B19" s="80" t="n">
        <v>6915.45</v>
      </c>
      <c r="C19" s="57" t="n">
        <v>344251</v>
      </c>
      <c r="D19" s="61" t="n">
        <f aca="false">C19-C18</f>
        <v>42</v>
      </c>
      <c r="E19" s="57" t="n">
        <f aca="false">C19-152000</f>
        <v>192251</v>
      </c>
      <c r="F19" s="56" t="n">
        <f aca="false">D19/$D$2</f>
        <v>21.17469120242</v>
      </c>
      <c r="G19" s="56" t="n">
        <v>66</v>
      </c>
      <c r="H19" s="102" t="n">
        <v>8.9</v>
      </c>
      <c r="I19" s="56" t="n">
        <f aca="false">G19+H19</f>
        <v>74.9</v>
      </c>
      <c r="J19" s="81" t="n">
        <f aca="false">IF(L19&gt;0,L19,0)</f>
        <v>0</v>
      </c>
      <c r="K19" s="56" t="n">
        <f aca="false">I19+J19</f>
        <v>74.9</v>
      </c>
      <c r="L19" s="56" t="n">
        <f aca="false">F19-(I19-W19)</f>
        <v>-5.43530879758004</v>
      </c>
      <c r="M19" s="103" t="n">
        <v>6.29</v>
      </c>
      <c r="N19" s="56" t="n">
        <v>0</v>
      </c>
      <c r="O19" s="56" t="n">
        <f aca="false">M19-N19</f>
        <v>6.29</v>
      </c>
      <c r="P19" s="56" t="n">
        <v>0</v>
      </c>
      <c r="Q19" s="56" t="n">
        <v>0</v>
      </c>
      <c r="R19" s="56" t="n">
        <f aca="false">SUM(O19:Q19)</f>
        <v>6.29</v>
      </c>
      <c r="S19" s="57"/>
      <c r="T19" s="56" t="n">
        <v>0</v>
      </c>
      <c r="U19" s="56" t="n">
        <v>42</v>
      </c>
      <c r="V19" s="57" t="n">
        <f aca="false">V18-U19</f>
        <v>548.04</v>
      </c>
      <c r="W19" s="56" t="n">
        <f aca="false">R19+T19+N19+U19</f>
        <v>48.29</v>
      </c>
      <c r="X19" s="56" t="n">
        <f aca="false">IF(L19&lt;0,L19*-1,0)</f>
        <v>5.43530879758004</v>
      </c>
      <c r="Y19" s="56" t="n">
        <f aca="false">W19+X19</f>
        <v>53.72530879758</v>
      </c>
      <c r="Z19" s="60" t="n">
        <v>0</v>
      </c>
      <c r="AA19" s="61" t="n">
        <v>42</v>
      </c>
      <c r="AB19" s="61" t="n">
        <v>14</v>
      </c>
      <c r="AC19" s="62" t="n">
        <f aca="false">AC18+1</f>
        <v>10</v>
      </c>
      <c r="AD19" s="78"/>
      <c r="AE19" s="82"/>
      <c r="AF19" s="79"/>
    </row>
    <row r="20" customFormat="false" ht="11.1" hidden="false" customHeight="true" outlineLevel="0" collapsed="false">
      <c r="A20" s="62" t="n">
        <f aca="false">A19+1</f>
        <v>11</v>
      </c>
      <c r="B20" s="80" t="n">
        <v>6915.46</v>
      </c>
      <c r="C20" s="57" t="n">
        <v>344292</v>
      </c>
      <c r="D20" s="61" t="n">
        <f aca="false">C20-C19</f>
        <v>41</v>
      </c>
      <c r="E20" s="57" t="n">
        <f aca="false">C20-152000</f>
        <v>192292</v>
      </c>
      <c r="F20" s="56" t="n">
        <f aca="false">D20/$D$2</f>
        <v>20.6705318880766</v>
      </c>
      <c r="G20" s="56" t="n">
        <v>74</v>
      </c>
      <c r="H20" s="102" t="n">
        <v>8.8</v>
      </c>
      <c r="I20" s="56" t="n">
        <f aca="false">G20+H20</f>
        <v>82.8</v>
      </c>
      <c r="J20" s="81" t="n">
        <f aca="false">IF(L20&gt;0,L20,0)</f>
        <v>0</v>
      </c>
      <c r="K20" s="56" t="n">
        <f aca="false">I20+J20</f>
        <v>82.8</v>
      </c>
      <c r="L20" s="56" t="n">
        <f aca="false">F20-(I20-W20)</f>
        <v>-9.83946811192337</v>
      </c>
      <c r="M20" s="103" t="n">
        <v>6.29</v>
      </c>
      <c r="N20" s="56" t="n">
        <v>0</v>
      </c>
      <c r="O20" s="56" t="n">
        <f aca="false">M20-N20</f>
        <v>6.29</v>
      </c>
      <c r="P20" s="56" t="n">
        <v>0</v>
      </c>
      <c r="Q20" s="56" t="n">
        <v>0</v>
      </c>
      <c r="R20" s="56" t="n">
        <f aca="false">SUM(O20:Q20)</f>
        <v>6.29</v>
      </c>
      <c r="S20" s="57"/>
      <c r="T20" s="56" t="n">
        <v>0</v>
      </c>
      <c r="U20" s="56" t="n">
        <v>46</v>
      </c>
      <c r="V20" s="57" t="n">
        <f aca="false">V19-U20</f>
        <v>502.04</v>
      </c>
      <c r="W20" s="56" t="n">
        <f aca="false">R20+T20+N20+U20</f>
        <v>52.29</v>
      </c>
      <c r="X20" s="56" t="n">
        <f aca="false">IF(L20&lt;0,L20*-1,0)</f>
        <v>9.83946811192337</v>
      </c>
      <c r="Y20" s="56" t="n">
        <f aca="false">W20+X20</f>
        <v>62.1294681119234</v>
      </c>
      <c r="Z20" s="60" t="n">
        <v>0</v>
      </c>
      <c r="AA20" s="61" t="n">
        <v>55</v>
      </c>
      <c r="AB20" s="61" t="n">
        <v>20</v>
      </c>
      <c r="AC20" s="62" t="n">
        <f aca="false">AC19+1</f>
        <v>11</v>
      </c>
      <c r="AD20" s="78"/>
      <c r="AE20" s="82"/>
      <c r="AF20" s="79"/>
    </row>
    <row r="21" customFormat="false" ht="11.1" hidden="false" customHeight="true" outlineLevel="0" collapsed="false">
      <c r="A21" s="62" t="n">
        <f aca="false">A20+1</f>
        <v>12</v>
      </c>
      <c r="B21" s="80" t="n">
        <v>6915.49</v>
      </c>
      <c r="C21" s="57" t="n">
        <v>344418</v>
      </c>
      <c r="D21" s="61" t="n">
        <f aca="false">C21-C20</f>
        <v>126</v>
      </c>
      <c r="E21" s="57" t="n">
        <f aca="false">C21-152000</f>
        <v>192418</v>
      </c>
      <c r="F21" s="56" t="n">
        <f aca="false">D21/$D$2</f>
        <v>63.5240736072599</v>
      </c>
      <c r="G21" s="56" t="n">
        <v>90</v>
      </c>
      <c r="H21" s="102" t="n">
        <v>9.5</v>
      </c>
      <c r="I21" s="56" t="n">
        <f aca="false">G21+H21</f>
        <v>99.5</v>
      </c>
      <c r="J21" s="81" t="n">
        <f aca="false">IF(L21&gt;0,L21,0)</f>
        <v>20.3140736072599</v>
      </c>
      <c r="K21" s="56" t="n">
        <f aca="false">I21+J21</f>
        <v>119.81407360726</v>
      </c>
      <c r="L21" s="56" t="n">
        <f aca="false">F21-(I21-W21)</f>
        <v>20.3140736072599</v>
      </c>
      <c r="M21" s="103" t="n">
        <v>6.29</v>
      </c>
      <c r="N21" s="56" t="n">
        <v>0</v>
      </c>
      <c r="O21" s="56" t="n">
        <f aca="false">M21-N21</f>
        <v>6.29</v>
      </c>
      <c r="P21" s="56" t="n">
        <v>0</v>
      </c>
      <c r="Q21" s="56" t="n">
        <v>0</v>
      </c>
      <c r="R21" s="56" t="n">
        <f aca="false">SUM(O21:Q21)</f>
        <v>6.29</v>
      </c>
      <c r="S21" s="57"/>
      <c r="T21" s="56" t="n">
        <v>0</v>
      </c>
      <c r="U21" s="56" t="n">
        <v>50</v>
      </c>
      <c r="V21" s="57" t="n">
        <f aca="false">V20-U21</f>
        <v>452.04</v>
      </c>
      <c r="W21" s="56" t="n">
        <f aca="false">R21+T21+N21+U21</f>
        <v>56.29</v>
      </c>
      <c r="X21" s="56" t="n">
        <f aca="false">IF(L21&lt;0,L21*-1,0)</f>
        <v>0</v>
      </c>
      <c r="Y21" s="56" t="n">
        <f aca="false">W21+X21</f>
        <v>56.29</v>
      </c>
      <c r="Z21" s="60" t="n">
        <v>0</v>
      </c>
      <c r="AA21" s="61" t="n">
        <v>56</v>
      </c>
      <c r="AB21" s="61" t="n">
        <v>26</v>
      </c>
      <c r="AC21" s="62" t="n">
        <f aca="false">AC20+1</f>
        <v>12</v>
      </c>
      <c r="AD21" s="78"/>
      <c r="AE21" s="82"/>
      <c r="AF21" s="79"/>
    </row>
    <row r="22" customFormat="false" ht="11.1" hidden="false" customHeight="true" outlineLevel="0" collapsed="false">
      <c r="A22" s="62" t="n">
        <f aca="false">A21+1</f>
        <v>13</v>
      </c>
      <c r="B22" s="80" t="n">
        <v>6915.53</v>
      </c>
      <c r="C22" s="57" t="n">
        <v>344585</v>
      </c>
      <c r="D22" s="61" t="n">
        <f aca="false">C22-C21</f>
        <v>167</v>
      </c>
      <c r="E22" s="57" t="n">
        <f aca="false">C22-152000</f>
        <v>192585</v>
      </c>
      <c r="F22" s="56" t="n">
        <f aca="false">D22/$D$2</f>
        <v>84.1946054953365</v>
      </c>
      <c r="G22" s="56" t="n">
        <v>120</v>
      </c>
      <c r="H22" s="102" t="n">
        <v>11</v>
      </c>
      <c r="I22" s="56" t="n">
        <f aca="false">G22+H22</f>
        <v>131</v>
      </c>
      <c r="J22" s="81" t="n">
        <f aca="false">IF(L22&gt;0,L22,0)</f>
        <v>9.48460549533651</v>
      </c>
      <c r="K22" s="56" t="n">
        <f aca="false">I22+J22</f>
        <v>140.484605495337</v>
      </c>
      <c r="L22" s="56" t="n">
        <f aca="false">F22-(I22-W22)</f>
        <v>9.48460549533651</v>
      </c>
      <c r="M22" s="103" t="n">
        <v>6.29</v>
      </c>
      <c r="N22" s="56" t="n">
        <v>0</v>
      </c>
      <c r="O22" s="56" t="n">
        <f aca="false">M22-N22</f>
        <v>6.29</v>
      </c>
      <c r="P22" s="56" t="n">
        <v>0</v>
      </c>
      <c r="Q22" s="56" t="n">
        <v>0</v>
      </c>
      <c r="R22" s="56" t="n">
        <f aca="false">SUM(O22:Q22)</f>
        <v>6.29</v>
      </c>
      <c r="S22" s="57"/>
      <c r="T22" s="56" t="n">
        <v>0</v>
      </c>
      <c r="U22" s="56" t="n">
        <v>50</v>
      </c>
      <c r="V22" s="57" t="n">
        <f aca="false">V21-U22</f>
        <v>402.04</v>
      </c>
      <c r="W22" s="56" t="n">
        <f aca="false">R22+T22+N22+U22</f>
        <v>56.29</v>
      </c>
      <c r="X22" s="56" t="n">
        <f aca="false">IF(L22&lt;0,L22*-1,0)</f>
        <v>0</v>
      </c>
      <c r="Y22" s="56" t="n">
        <f aca="false">W22+X22</f>
        <v>56.29</v>
      </c>
      <c r="Z22" s="60" t="n">
        <v>0</v>
      </c>
      <c r="AA22" s="61" t="n">
        <v>61</v>
      </c>
      <c r="AB22" s="61" t="n">
        <v>28</v>
      </c>
      <c r="AC22" s="62" t="n">
        <f aca="false">AC21+1</f>
        <v>13</v>
      </c>
      <c r="AD22" s="78"/>
      <c r="AE22" s="82"/>
      <c r="AF22" s="79"/>
    </row>
    <row r="23" customFormat="false" ht="11.1" hidden="false" customHeight="true" outlineLevel="0" collapsed="false">
      <c r="A23" s="62" t="n">
        <f aca="false">A22+1</f>
        <v>14</v>
      </c>
      <c r="B23" s="80" t="n">
        <v>6915.56</v>
      </c>
      <c r="C23" s="57" t="n">
        <v>344710</v>
      </c>
      <c r="D23" s="61" t="n">
        <f aca="false">C23-C22</f>
        <v>125</v>
      </c>
      <c r="E23" s="57" t="n">
        <f aca="false">C23-152000</f>
        <v>192710</v>
      </c>
      <c r="F23" s="56" t="n">
        <f aca="false">D23/$D$2</f>
        <v>63.0199142929166</v>
      </c>
      <c r="G23" s="56" t="n">
        <v>140</v>
      </c>
      <c r="H23" s="58" t="n">
        <v>10</v>
      </c>
      <c r="I23" s="56" t="n">
        <f aca="false">G23+H23</f>
        <v>150</v>
      </c>
      <c r="J23" s="81" t="n">
        <f aca="false">IF(L23&gt;0,L23,0)</f>
        <v>0</v>
      </c>
      <c r="K23" s="56" t="n">
        <f aca="false">I23+J23</f>
        <v>150</v>
      </c>
      <c r="L23" s="56" t="n">
        <f aca="false">F23-(I23-W23)</f>
        <v>-30.6900857070834</v>
      </c>
      <c r="M23" s="56" t="n">
        <v>6.29</v>
      </c>
      <c r="N23" s="56" t="n">
        <v>0</v>
      </c>
      <c r="O23" s="56" t="n">
        <f aca="false">M23-N23</f>
        <v>6.29</v>
      </c>
      <c r="P23" s="56" t="n">
        <v>0</v>
      </c>
      <c r="Q23" s="56" t="n">
        <v>0</v>
      </c>
      <c r="R23" s="56" t="n">
        <f aca="false">SUM(O23:Q23)</f>
        <v>6.29</v>
      </c>
      <c r="S23" s="57"/>
      <c r="T23" s="56" t="n">
        <v>0</v>
      </c>
      <c r="U23" s="56" t="n">
        <v>50</v>
      </c>
      <c r="V23" s="57" t="n">
        <f aca="false">V22-U23</f>
        <v>352.04</v>
      </c>
      <c r="W23" s="56" t="n">
        <f aca="false">R23+T23+N23+U23</f>
        <v>56.29</v>
      </c>
      <c r="X23" s="56" t="n">
        <f aca="false">IF(L23&lt;0,L23*-1,0)</f>
        <v>30.6900857070834</v>
      </c>
      <c r="Y23" s="56" t="n">
        <f aca="false">W23+X23</f>
        <v>86.9800857070834</v>
      </c>
      <c r="Z23" s="60" t="n">
        <v>0</v>
      </c>
      <c r="AA23" s="90" t="n">
        <v>57</v>
      </c>
      <c r="AB23" s="61" t="n">
        <v>28</v>
      </c>
      <c r="AC23" s="62" t="n">
        <f aca="false">AC22+1</f>
        <v>14</v>
      </c>
      <c r="AD23" s="78"/>
      <c r="AE23" s="82"/>
      <c r="AF23" s="79"/>
    </row>
    <row r="24" customFormat="false" ht="11.1" hidden="false" customHeight="true" outlineLevel="0" collapsed="false">
      <c r="A24" s="62" t="n">
        <f aca="false">A23+1</f>
        <v>15</v>
      </c>
      <c r="B24" s="80" t="n">
        <v>6915.61</v>
      </c>
      <c r="C24" s="57" t="n">
        <v>344919</v>
      </c>
      <c r="D24" s="61" t="n">
        <f aca="false">C24-C23</f>
        <v>209</v>
      </c>
      <c r="E24" s="57" t="n">
        <f aca="false">C24-152000</f>
        <v>192919</v>
      </c>
      <c r="F24" s="56" t="n">
        <f aca="false">D24/$D$2</f>
        <v>105.369296697756</v>
      </c>
      <c r="G24" s="56" t="n">
        <v>170</v>
      </c>
      <c r="H24" s="58" t="n">
        <v>11</v>
      </c>
      <c r="I24" s="56" t="n">
        <f aca="false">G24+H24</f>
        <v>181</v>
      </c>
      <c r="J24" s="81" t="n">
        <f aca="false">IF(L24&gt;0,L24,0)</f>
        <v>0</v>
      </c>
      <c r="K24" s="56" t="n">
        <f aca="false">I24+J24</f>
        <v>181</v>
      </c>
      <c r="L24" s="56" t="n">
        <f aca="false">F24-(I24-W24)</f>
        <v>-19.3407033022435</v>
      </c>
      <c r="M24" s="56" t="n">
        <v>6.29</v>
      </c>
      <c r="N24" s="56" t="n">
        <v>0</v>
      </c>
      <c r="O24" s="56" t="n">
        <f aca="false">M24-N24</f>
        <v>6.29</v>
      </c>
      <c r="P24" s="56" t="n">
        <v>0</v>
      </c>
      <c r="Q24" s="56" t="n">
        <v>0</v>
      </c>
      <c r="R24" s="56" t="n">
        <f aca="false">SUM(O24:Q24)</f>
        <v>6.29</v>
      </c>
      <c r="S24" s="57"/>
      <c r="T24" s="56" t="n">
        <v>0</v>
      </c>
      <c r="U24" s="56" t="n">
        <v>50</v>
      </c>
      <c r="V24" s="57" t="n">
        <f aca="false">V23-U24</f>
        <v>302.04</v>
      </c>
      <c r="W24" s="56" t="n">
        <f aca="false">R24+T24+N24+U24</f>
        <v>56.29</v>
      </c>
      <c r="X24" s="56" t="n">
        <f aca="false">IF(L24&lt;0,L24*-1,0)</f>
        <v>19.3407033022435</v>
      </c>
      <c r="Y24" s="56" t="n">
        <f aca="false">W24+X24</f>
        <v>75.6307033022435</v>
      </c>
      <c r="Z24" s="60" t="n">
        <v>0</v>
      </c>
      <c r="AA24" s="90" t="n">
        <v>62</v>
      </c>
      <c r="AB24" s="61" t="n">
        <v>29</v>
      </c>
      <c r="AC24" s="62" t="n">
        <f aca="false">AC23+1</f>
        <v>15</v>
      </c>
      <c r="AD24" s="78"/>
      <c r="AE24" s="82"/>
      <c r="AF24" s="79"/>
    </row>
    <row r="25" customFormat="false" ht="11.1" hidden="false" customHeight="true" outlineLevel="0" collapsed="false">
      <c r="A25" s="62" t="n">
        <f aca="false">A24+1</f>
        <v>16</v>
      </c>
      <c r="B25" s="80" t="n">
        <v>6915.64</v>
      </c>
      <c r="C25" s="57" t="n">
        <v>345127</v>
      </c>
      <c r="D25" s="61" t="n">
        <f aca="false">C25-C24</f>
        <v>208</v>
      </c>
      <c r="E25" s="57" t="n">
        <f aca="false">C25-152000</f>
        <v>193127</v>
      </c>
      <c r="F25" s="56" t="n">
        <f aca="false">D25/$D$2</f>
        <v>104.865137383413</v>
      </c>
      <c r="G25" s="56" t="n">
        <v>200</v>
      </c>
      <c r="H25" s="58" t="n">
        <v>16</v>
      </c>
      <c r="I25" s="56" t="n">
        <f aca="false">G25+H25</f>
        <v>216</v>
      </c>
      <c r="J25" s="81" t="n">
        <f aca="false">IF(L25&gt;0,L25,0)</f>
        <v>0</v>
      </c>
      <c r="K25" s="56" t="n">
        <f aca="false">I25+J25</f>
        <v>216</v>
      </c>
      <c r="L25" s="56" t="n">
        <f aca="false">F25-(I25-W25)</f>
        <v>-51.8448626165869</v>
      </c>
      <c r="M25" s="56" t="n">
        <v>6.29</v>
      </c>
      <c r="N25" s="56" t="n">
        <v>0</v>
      </c>
      <c r="O25" s="56" t="n">
        <f aca="false">M25-N25</f>
        <v>6.29</v>
      </c>
      <c r="P25" s="56" t="n">
        <v>0</v>
      </c>
      <c r="Q25" s="56" t="n">
        <v>0</v>
      </c>
      <c r="R25" s="56" t="n">
        <f aca="false">SUM(O25:Q25)</f>
        <v>6.29</v>
      </c>
      <c r="S25" s="57"/>
      <c r="T25" s="56" t="n">
        <v>0</v>
      </c>
      <c r="U25" s="56" t="n">
        <v>53</v>
      </c>
      <c r="V25" s="57" t="n">
        <f aca="false">V24-U25</f>
        <v>249.04</v>
      </c>
      <c r="W25" s="56" t="n">
        <f aca="false">R25+T25+N25+U25</f>
        <v>59.29</v>
      </c>
      <c r="X25" s="56" t="n">
        <f aca="false">IF(L25&lt;0,L25*-1,0)</f>
        <v>51.8448626165869</v>
      </c>
      <c r="Y25" s="56" t="n">
        <f aca="false">W25+X25</f>
        <v>111.134862616587</v>
      </c>
      <c r="Z25" s="60" t="n">
        <v>0</v>
      </c>
      <c r="AA25" s="90" t="n">
        <v>59</v>
      </c>
      <c r="AB25" s="61" t="n">
        <v>32</v>
      </c>
      <c r="AC25" s="62" t="n">
        <f aca="false">AC24+1</f>
        <v>16</v>
      </c>
      <c r="AD25" s="78"/>
      <c r="AE25" s="91"/>
      <c r="AF25" s="79"/>
    </row>
    <row r="26" customFormat="false" ht="11.1" hidden="false" customHeight="true" outlineLevel="0" collapsed="false">
      <c r="A26" s="62" t="n">
        <f aca="false">A25+1</f>
        <v>17</v>
      </c>
      <c r="B26" s="80" t="n">
        <v>6915.68</v>
      </c>
      <c r="C26" s="57" t="n">
        <v>345211</v>
      </c>
      <c r="D26" s="61" t="n">
        <f aca="false">C26-C25</f>
        <v>84</v>
      </c>
      <c r="E26" s="57" t="n">
        <f aca="false">C26-152000</f>
        <v>193211</v>
      </c>
      <c r="F26" s="56" t="n">
        <f aca="false">D26/$D$2</f>
        <v>42.3493824048399</v>
      </c>
      <c r="G26" s="56" t="n">
        <v>191</v>
      </c>
      <c r="H26" s="58" t="n">
        <v>24</v>
      </c>
      <c r="I26" s="56" t="n">
        <f aca="false">G26+H26</f>
        <v>215</v>
      </c>
      <c r="J26" s="81" t="n">
        <f aca="false">IF(L26&gt;0,L26,0)</f>
        <v>0</v>
      </c>
      <c r="K26" s="56" t="n">
        <f aca="false">I26+J26</f>
        <v>215</v>
      </c>
      <c r="L26" s="56" t="n">
        <f aca="false">F26-(I26-W26)</f>
        <v>-36.36061759516</v>
      </c>
      <c r="M26" s="56" t="n">
        <v>6.29</v>
      </c>
      <c r="N26" s="56" t="n">
        <v>0</v>
      </c>
      <c r="O26" s="56" t="n">
        <f aca="false">M26-N26</f>
        <v>6.29</v>
      </c>
      <c r="P26" s="56" t="n">
        <v>80</v>
      </c>
      <c r="Q26" s="56" t="n">
        <v>0</v>
      </c>
      <c r="R26" s="56" t="n">
        <f aca="false">SUM(O26:Q26)</f>
        <v>86.29</v>
      </c>
      <c r="S26" s="57"/>
      <c r="T26" s="56" t="n">
        <v>0</v>
      </c>
      <c r="U26" s="56" t="n">
        <v>50</v>
      </c>
      <c r="V26" s="57" t="n">
        <f aca="false">V25-U26</f>
        <v>199.04</v>
      </c>
      <c r="W26" s="56" t="n">
        <f aca="false">R26+T26+N26+U26</f>
        <v>136.29</v>
      </c>
      <c r="X26" s="56" t="n">
        <f aca="false">IF(L26&lt;0,L26*-1,0)</f>
        <v>36.36061759516</v>
      </c>
      <c r="Y26" s="56" t="n">
        <f aca="false">W26+X26</f>
        <v>172.65061759516</v>
      </c>
      <c r="Z26" s="60" t="n">
        <v>0.25</v>
      </c>
      <c r="AA26" s="90" t="n">
        <v>55</v>
      </c>
      <c r="AB26" s="61" t="n">
        <v>26</v>
      </c>
      <c r="AC26" s="62" t="n">
        <f aca="false">AC25+1</f>
        <v>17</v>
      </c>
      <c r="AD26" s="78"/>
      <c r="AE26" s="82"/>
      <c r="AF26" s="79"/>
    </row>
    <row r="27" customFormat="false" ht="11.1" hidden="false" customHeight="true" outlineLevel="0" collapsed="false">
      <c r="A27" s="62" t="n">
        <f aca="false">A26+1</f>
        <v>18</v>
      </c>
      <c r="B27" s="80" t="n">
        <v>6915.72</v>
      </c>
      <c r="C27" s="57" t="n">
        <v>345378</v>
      </c>
      <c r="D27" s="61" t="n">
        <f aca="false">C27-C26</f>
        <v>167</v>
      </c>
      <c r="E27" s="57" t="n">
        <f aca="false">C27-152000</f>
        <v>193378</v>
      </c>
      <c r="F27" s="56" t="n">
        <f aca="false">D27/$D$2</f>
        <v>84.1946054953365</v>
      </c>
      <c r="G27" s="56" t="n">
        <v>175</v>
      </c>
      <c r="H27" s="58" t="n">
        <v>26</v>
      </c>
      <c r="I27" s="56" t="n">
        <f aca="false">G27+H27</f>
        <v>201</v>
      </c>
      <c r="J27" s="81" t="n">
        <f aca="false">IF(L27&gt;0,L27,0)</f>
        <v>52.4846054953365</v>
      </c>
      <c r="K27" s="56" t="n">
        <f aca="false">I27+J27</f>
        <v>253.484605495337</v>
      </c>
      <c r="L27" s="56" t="n">
        <f aca="false">F27-(I27-W27)</f>
        <v>52.4846054953365</v>
      </c>
      <c r="M27" s="56" t="n">
        <v>6.29</v>
      </c>
      <c r="N27" s="56" t="n">
        <v>0</v>
      </c>
      <c r="O27" s="56" t="n">
        <f aca="false">M27-N27</f>
        <v>6.29</v>
      </c>
      <c r="P27" s="56" t="n">
        <v>113</v>
      </c>
      <c r="Q27" s="56" t="n">
        <v>0</v>
      </c>
      <c r="R27" s="56" t="n">
        <f aca="false">SUM(O27:Q27)</f>
        <v>119.29</v>
      </c>
      <c r="S27" s="57"/>
      <c r="T27" s="56" t="n">
        <v>0</v>
      </c>
      <c r="U27" s="56" t="n">
        <v>50</v>
      </c>
      <c r="V27" s="57" t="n">
        <f aca="false">V26-U27</f>
        <v>149.04</v>
      </c>
      <c r="W27" s="56" t="n">
        <f aca="false">R27+T27+N27+U27</f>
        <v>169.29</v>
      </c>
      <c r="X27" s="56" t="n">
        <f aca="false">IF(L27&lt;0,L27*-1,0)</f>
        <v>0</v>
      </c>
      <c r="Y27" s="56" t="n">
        <f aca="false">W27+X27</f>
        <v>169.29</v>
      </c>
      <c r="Z27" s="60" t="n">
        <v>0.02</v>
      </c>
      <c r="AA27" s="90" t="n">
        <v>31</v>
      </c>
      <c r="AB27" s="61" t="n">
        <v>18</v>
      </c>
      <c r="AC27" s="62" t="n">
        <f aca="false">AC26+1</f>
        <v>18</v>
      </c>
      <c r="AD27" s="78"/>
      <c r="AE27" s="82"/>
      <c r="AF27" s="79"/>
    </row>
    <row r="28" customFormat="false" ht="11.1" hidden="false" customHeight="true" outlineLevel="0" collapsed="false">
      <c r="A28" s="62" t="n">
        <f aca="false">A27+1</f>
        <v>19</v>
      </c>
      <c r="B28" s="80" t="n">
        <v>6915.77</v>
      </c>
      <c r="C28" s="97" t="n">
        <v>345587</v>
      </c>
      <c r="D28" s="61" t="n">
        <f aca="false">C28-C27</f>
        <v>209</v>
      </c>
      <c r="E28" s="57" t="n">
        <f aca="false">C28-152000</f>
        <v>193587</v>
      </c>
      <c r="F28" s="56" t="n">
        <f aca="false">D28/$D$2</f>
        <v>105.369296697756</v>
      </c>
      <c r="G28" s="56" t="n">
        <v>139</v>
      </c>
      <c r="H28" s="58" t="n">
        <v>35</v>
      </c>
      <c r="I28" s="56" t="n">
        <f aca="false">G28+H28</f>
        <v>174</v>
      </c>
      <c r="J28" s="81" t="n">
        <f aca="false">IF(L28&gt;0,L28,0)</f>
        <v>99.2692966977565</v>
      </c>
      <c r="K28" s="56" t="n">
        <f aca="false">I28+J28</f>
        <v>273.269296697756</v>
      </c>
      <c r="L28" s="56" t="n">
        <f aca="false">F28-(I28-W28)</f>
        <v>99.2692966977565</v>
      </c>
      <c r="M28" s="56" t="n">
        <v>5.9</v>
      </c>
      <c r="N28" s="56" t="n">
        <v>0</v>
      </c>
      <c r="O28" s="56" t="n">
        <f aca="false">M28-N28</f>
        <v>5.9</v>
      </c>
      <c r="P28" s="56" t="n">
        <v>112</v>
      </c>
      <c r="Q28" s="56" t="n">
        <v>0</v>
      </c>
      <c r="R28" s="56" t="n">
        <f aca="false">SUM(O28:Q28)</f>
        <v>117.9</v>
      </c>
      <c r="S28" s="57"/>
      <c r="T28" s="56" t="n">
        <v>0</v>
      </c>
      <c r="U28" s="56" t="n">
        <v>50</v>
      </c>
      <c r="V28" s="57" t="n">
        <f aca="false">V27-U28</f>
        <v>99.0400000000004</v>
      </c>
      <c r="W28" s="56" t="n">
        <f aca="false">R28+T28+N28+U28</f>
        <v>167.9</v>
      </c>
      <c r="X28" s="56" t="n">
        <f aca="false">IF(L28&lt;0,L28*-1,0)</f>
        <v>0</v>
      </c>
      <c r="Y28" s="56" t="n">
        <f aca="false">W28+X28</f>
        <v>167.9</v>
      </c>
      <c r="Z28" s="60" t="n">
        <v>0</v>
      </c>
      <c r="AA28" s="90" t="n">
        <v>45</v>
      </c>
      <c r="AB28" s="61" t="n">
        <v>17</v>
      </c>
      <c r="AC28" s="62" t="n">
        <f aca="false">AC27+1</f>
        <v>19</v>
      </c>
      <c r="AD28" s="78"/>
      <c r="AE28" s="82"/>
      <c r="AF28" s="79"/>
    </row>
    <row r="29" customFormat="false" ht="11.1" hidden="false" customHeight="true" outlineLevel="0" collapsed="false">
      <c r="A29" s="62" t="n">
        <f aca="false">A28+1</f>
        <v>20</v>
      </c>
      <c r="B29" s="80" t="n">
        <v>6915.83</v>
      </c>
      <c r="C29" s="57" t="n">
        <v>345837</v>
      </c>
      <c r="D29" s="61" t="n">
        <f aca="false">C29-C28</f>
        <v>250</v>
      </c>
      <c r="E29" s="57" t="n">
        <f aca="false">C29-152000</f>
        <v>193837</v>
      </c>
      <c r="F29" s="56" t="n">
        <f aca="false">D29/$D$2</f>
        <v>126.039828585833</v>
      </c>
      <c r="G29" s="56" t="n">
        <v>151</v>
      </c>
      <c r="H29" s="58" t="n">
        <v>35</v>
      </c>
      <c r="I29" s="56" t="n">
        <f aca="false">G29+H29</f>
        <v>186</v>
      </c>
      <c r="J29" s="81" t="n">
        <f aca="false">IF(L29&gt;0,L29,0)</f>
        <v>108.549828585833</v>
      </c>
      <c r="K29" s="56" t="n">
        <f aca="false">I29+J29</f>
        <v>294.549828585833</v>
      </c>
      <c r="L29" s="56" t="n">
        <f aca="false">F29-(I29-W29)</f>
        <v>108.549828585833</v>
      </c>
      <c r="M29" s="56" t="n">
        <v>5.51</v>
      </c>
      <c r="N29" s="56" t="n">
        <v>0</v>
      </c>
      <c r="O29" s="56" t="n">
        <f aca="false">M29-N29</f>
        <v>5.51</v>
      </c>
      <c r="P29" s="56" t="n">
        <v>113</v>
      </c>
      <c r="Q29" s="56" t="n">
        <v>0</v>
      </c>
      <c r="R29" s="56" t="n">
        <f aca="false">SUM(O29:Q29)</f>
        <v>118.51</v>
      </c>
      <c r="S29" s="57"/>
      <c r="T29" s="56" t="n">
        <v>0</v>
      </c>
      <c r="U29" s="56" t="n">
        <v>50</v>
      </c>
      <c r="V29" s="57" t="n">
        <f aca="false">V28-U29</f>
        <v>49.0400000000004</v>
      </c>
      <c r="W29" s="56" t="n">
        <f aca="false">R29+T29+N29+U29</f>
        <v>168.51</v>
      </c>
      <c r="X29" s="56" t="n">
        <f aca="false">IF(L29&lt;0,L29*-1,0)</f>
        <v>0</v>
      </c>
      <c r="Y29" s="56" t="n">
        <f aca="false">W29+X29</f>
        <v>168.51</v>
      </c>
      <c r="Z29" s="60" t="n">
        <v>0</v>
      </c>
      <c r="AA29" s="90" t="n">
        <v>53</v>
      </c>
      <c r="AB29" s="61" t="n">
        <v>18</v>
      </c>
      <c r="AC29" s="62" t="n">
        <f aca="false">AC28+1</f>
        <v>20</v>
      </c>
      <c r="AD29" s="78"/>
      <c r="AE29" s="82"/>
      <c r="AF29" s="79"/>
    </row>
    <row r="30" customFormat="false" ht="11.1" hidden="false" customHeight="true" outlineLevel="0" collapsed="false">
      <c r="A30" s="62" t="n">
        <f aca="false">A29+1</f>
        <v>21</v>
      </c>
      <c r="B30" s="80" t="n">
        <v>6915.88</v>
      </c>
      <c r="C30" s="57" t="n">
        <v>346046</v>
      </c>
      <c r="D30" s="61" t="n">
        <f aca="false">C30-C29</f>
        <v>209</v>
      </c>
      <c r="E30" s="57" t="n">
        <f aca="false">C30-152000</f>
        <v>194046</v>
      </c>
      <c r="F30" s="56" t="n">
        <f aca="false">D30/$D$2</f>
        <v>105.369296697756</v>
      </c>
      <c r="G30" s="103" t="n">
        <v>174</v>
      </c>
      <c r="H30" s="58" t="n">
        <v>37</v>
      </c>
      <c r="I30" s="56" t="n">
        <f aca="false">G30+H30</f>
        <v>211</v>
      </c>
      <c r="J30" s="81" t="n">
        <f aca="false">IF(L30&gt;0,L30,0)</f>
        <v>62.8792966977565</v>
      </c>
      <c r="K30" s="56" t="n">
        <f aca="false">I30+J30</f>
        <v>273.879296697756</v>
      </c>
      <c r="L30" s="56" t="n">
        <f aca="false">F30-(I30-W30)</f>
        <v>62.8792966977565</v>
      </c>
      <c r="M30" s="56" t="n">
        <v>5.51</v>
      </c>
      <c r="N30" s="56" t="n">
        <v>0</v>
      </c>
      <c r="O30" s="56" t="n">
        <f aca="false">M30-N30</f>
        <v>5.51</v>
      </c>
      <c r="P30" s="56" t="n">
        <v>113</v>
      </c>
      <c r="Q30" s="56" t="n">
        <v>0</v>
      </c>
      <c r="R30" s="56" t="n">
        <f aca="false">SUM(O30:Q30)</f>
        <v>118.51</v>
      </c>
      <c r="S30" s="57"/>
      <c r="T30" s="56" t="n">
        <v>0</v>
      </c>
      <c r="U30" s="56" t="n">
        <v>50</v>
      </c>
      <c r="V30" s="57" t="n">
        <f aca="false">V29-U30</f>
        <v>-0.959999999999582</v>
      </c>
      <c r="W30" s="56" t="n">
        <f aca="false">R30+T30+N30+U30</f>
        <v>168.51</v>
      </c>
      <c r="X30" s="56" t="n">
        <f aca="false">IF(L30&lt;0,L30*-1,0)</f>
        <v>0</v>
      </c>
      <c r="Y30" s="56" t="n">
        <f aca="false">W30+X30</f>
        <v>168.51</v>
      </c>
      <c r="Z30" s="60" t="n">
        <v>0</v>
      </c>
      <c r="AA30" s="61" t="n">
        <v>60</v>
      </c>
      <c r="AB30" s="61" t="n">
        <v>18</v>
      </c>
      <c r="AC30" s="62" t="n">
        <f aca="false">AC29+1</f>
        <v>21</v>
      </c>
      <c r="AD30" s="78"/>
      <c r="AE30" s="82"/>
      <c r="AF30" s="79"/>
    </row>
    <row r="31" customFormat="false" ht="11.1" hidden="false" customHeight="true" outlineLevel="0" collapsed="false">
      <c r="A31" s="62" t="n">
        <f aca="false">A30+1</f>
        <v>22</v>
      </c>
      <c r="B31" s="80" t="n">
        <v>6915.93</v>
      </c>
      <c r="C31" s="57" t="n">
        <v>346254</v>
      </c>
      <c r="D31" s="61" t="n">
        <f aca="false">C31-C30</f>
        <v>208</v>
      </c>
      <c r="E31" s="57" t="n">
        <f aca="false">C31-152000</f>
        <v>194254</v>
      </c>
      <c r="F31" s="56" t="n">
        <f aca="false">D31/$D$2</f>
        <v>104.865137383413</v>
      </c>
      <c r="G31" s="56" t="n">
        <v>211</v>
      </c>
      <c r="H31" s="58" t="n">
        <v>43</v>
      </c>
      <c r="I31" s="56" t="n">
        <f aca="false">G31+H31</f>
        <v>254</v>
      </c>
      <c r="J31" s="81" t="n">
        <f aca="false">IF(L31&gt;0,L31,0)</f>
        <v>18.3751373834131</v>
      </c>
      <c r="K31" s="56" t="n">
        <f aca="false">I31+J31</f>
        <v>272.375137383413</v>
      </c>
      <c r="L31" s="56" t="n">
        <f aca="false">F31-(I31-W31)</f>
        <v>18.3751373834131</v>
      </c>
      <c r="M31" s="56" t="n">
        <v>5.51</v>
      </c>
      <c r="N31" s="56" t="n">
        <v>0</v>
      </c>
      <c r="O31" s="56" t="n">
        <f aca="false">M31-N31</f>
        <v>5.51</v>
      </c>
      <c r="P31" s="56" t="n">
        <v>112</v>
      </c>
      <c r="Q31" s="56" t="n">
        <v>0</v>
      </c>
      <c r="R31" s="56" t="n">
        <f aca="false">SUM(O31:Q31)</f>
        <v>117.51</v>
      </c>
      <c r="S31" s="57"/>
      <c r="T31" s="56" t="n">
        <v>0</v>
      </c>
      <c r="U31" s="56" t="n">
        <v>50</v>
      </c>
      <c r="V31" s="57" t="n">
        <f aca="false">V30-U31</f>
        <v>-50.9599999999996</v>
      </c>
      <c r="W31" s="56" t="n">
        <f aca="false">R31+T31+N31+U31</f>
        <v>167.51</v>
      </c>
      <c r="X31" s="56" t="n">
        <f aca="false">IF(L31&lt;0,L31*-1,0)</f>
        <v>0</v>
      </c>
      <c r="Y31" s="56" t="n">
        <f aca="false">W31+X31</f>
        <v>167.51</v>
      </c>
      <c r="Z31" s="60" t="n">
        <v>0</v>
      </c>
      <c r="AA31" s="61" t="n">
        <v>64</v>
      </c>
      <c r="AB31" s="61" t="n">
        <v>20</v>
      </c>
      <c r="AC31" s="62" t="n">
        <f aca="false">AC30+1</f>
        <v>22</v>
      </c>
      <c r="AD31" s="78"/>
      <c r="AE31" s="82"/>
      <c r="AF31" s="79"/>
    </row>
    <row r="32" customFormat="false" ht="11.1" hidden="false" customHeight="true" outlineLevel="0" collapsed="false">
      <c r="A32" s="62" t="n">
        <f aca="false">A31+1</f>
        <v>23</v>
      </c>
      <c r="B32" s="80" t="n">
        <v>6916</v>
      </c>
      <c r="C32" s="57" t="n">
        <v>346547</v>
      </c>
      <c r="D32" s="61" t="n">
        <f aca="false">C32-C31</f>
        <v>293</v>
      </c>
      <c r="E32" s="57" t="n">
        <f aca="false">C32-152000</f>
        <v>194547</v>
      </c>
      <c r="F32" s="56" t="n">
        <f aca="false">D32/$D$2</f>
        <v>147.718679102596</v>
      </c>
      <c r="G32" s="56" t="n">
        <v>279</v>
      </c>
      <c r="H32" s="58" t="n">
        <v>55</v>
      </c>
      <c r="I32" s="56" t="n">
        <f aca="false">G32+H32</f>
        <v>334</v>
      </c>
      <c r="J32" s="81" t="n">
        <f aca="false">IF(L32&gt;0,L32,0)</f>
        <v>6.71867910259641</v>
      </c>
      <c r="K32" s="56" t="n">
        <f aca="false">I32+J32</f>
        <v>340.718679102596</v>
      </c>
      <c r="L32" s="56" t="n">
        <f aca="false">F32-(I32-W32)</f>
        <v>6.71867910259641</v>
      </c>
      <c r="M32" s="56" t="n">
        <v>30</v>
      </c>
      <c r="N32" s="56" t="n">
        <v>0</v>
      </c>
      <c r="O32" s="56" t="n">
        <f aca="false">M32-N32</f>
        <v>30</v>
      </c>
      <c r="P32" s="56" t="n">
        <v>113</v>
      </c>
      <c r="Q32" s="56" t="n">
        <v>0</v>
      </c>
      <c r="R32" s="56" t="n">
        <f aca="false">SUM(O32:Q32)</f>
        <v>143</v>
      </c>
      <c r="S32" s="57"/>
      <c r="T32" s="56" t="n">
        <v>0</v>
      </c>
      <c r="U32" s="56" t="n">
        <v>50</v>
      </c>
      <c r="V32" s="57" t="n">
        <f aca="false">V31-U32</f>
        <v>-100.96</v>
      </c>
      <c r="W32" s="56" t="n">
        <f aca="false">R32+T32+N32+U32</f>
        <v>193</v>
      </c>
      <c r="X32" s="56" t="n">
        <f aca="false">IF(L32&lt;0,L32*-1,0)</f>
        <v>0</v>
      </c>
      <c r="Y32" s="56" t="n">
        <f aca="false">W32+X32</f>
        <v>193</v>
      </c>
      <c r="Z32" s="60" t="n">
        <v>0</v>
      </c>
      <c r="AA32" s="61" t="n">
        <v>70</v>
      </c>
      <c r="AB32" s="90" t="n">
        <v>19</v>
      </c>
      <c r="AC32" s="62" t="n">
        <f aca="false">AC31+1</f>
        <v>23</v>
      </c>
      <c r="AD32" s="78"/>
      <c r="AE32" s="82"/>
      <c r="AF32" s="79"/>
    </row>
    <row r="33" customFormat="false" ht="11.1" hidden="false" customHeight="true" outlineLevel="0" collapsed="false">
      <c r="A33" s="62" t="n">
        <f aca="false">A32+1</f>
        <v>24</v>
      </c>
      <c r="B33" s="80" t="n">
        <v>6916.31</v>
      </c>
      <c r="C33" s="57" t="n">
        <v>347851</v>
      </c>
      <c r="D33" s="61" t="n">
        <f aca="false">C33-C32</f>
        <v>1304</v>
      </c>
      <c r="E33" s="57" t="n">
        <f aca="false">C33-152000</f>
        <v>195851</v>
      </c>
      <c r="F33" s="56" t="n">
        <f aca="false">D33/$D$2</f>
        <v>657.423745903706</v>
      </c>
      <c r="G33" s="56" t="n">
        <v>402</v>
      </c>
      <c r="H33" s="58" t="n">
        <v>86</v>
      </c>
      <c r="I33" s="56" t="n">
        <f aca="false">G33+H33</f>
        <v>488</v>
      </c>
      <c r="J33" s="81" t="n">
        <f aca="false">IF(L33&gt;0,L33,0)</f>
        <v>304.423745903706</v>
      </c>
      <c r="K33" s="56" t="n">
        <f aca="false">I33+J33</f>
        <v>792.423745903706</v>
      </c>
      <c r="L33" s="56" t="n">
        <f aca="false">F33-(I33-W33)</f>
        <v>304.423745903706</v>
      </c>
      <c r="M33" s="56" t="n">
        <v>52</v>
      </c>
      <c r="N33" s="56" t="n">
        <f aca="false">(1.1+1.2)*1.05</f>
        <v>2.415</v>
      </c>
      <c r="O33" s="56" t="n">
        <f aca="false">M33-N33</f>
        <v>49.585</v>
      </c>
      <c r="P33" s="56" t="n">
        <v>33</v>
      </c>
      <c r="Q33" s="56" t="n">
        <v>0</v>
      </c>
      <c r="R33" s="56" t="n">
        <f aca="false">SUM(O33:Q33)</f>
        <v>82.585</v>
      </c>
      <c r="S33" s="57"/>
      <c r="T33" s="56" t="n">
        <v>0</v>
      </c>
      <c r="U33" s="56" t="n">
        <v>50</v>
      </c>
      <c r="V33" s="57" t="n">
        <f aca="false">V32-U33</f>
        <v>-150.96</v>
      </c>
      <c r="W33" s="56" t="n">
        <f aca="false">R33+T33+N33+U33</f>
        <v>135</v>
      </c>
      <c r="X33" s="56" t="n">
        <f aca="false">IF(L33&lt;0,L33*-1,0)</f>
        <v>0</v>
      </c>
      <c r="Y33" s="56" t="n">
        <f aca="false">W33+X33</f>
        <v>135</v>
      </c>
      <c r="Z33" s="60" t="n">
        <v>0</v>
      </c>
      <c r="AA33" s="61" t="n">
        <v>70</v>
      </c>
      <c r="AB33" s="90" t="n">
        <v>11</v>
      </c>
      <c r="AC33" s="62" t="n">
        <f aca="false">AC32+1</f>
        <v>24</v>
      </c>
      <c r="AD33" s="78"/>
      <c r="AE33" s="82"/>
      <c r="AF33" s="79"/>
    </row>
    <row r="34" customFormat="false" ht="11.1" hidden="false" customHeight="true" outlineLevel="0" collapsed="false">
      <c r="A34" s="62" t="n">
        <f aca="false">A33+1</f>
        <v>25</v>
      </c>
      <c r="B34" s="80" t="n">
        <v>6916.84</v>
      </c>
      <c r="C34" s="57" t="n">
        <v>350081</v>
      </c>
      <c r="D34" s="61" t="n">
        <f aca="false">C34-C33</f>
        <v>2230</v>
      </c>
      <c r="E34" s="57" t="n">
        <f aca="false">C34-152000</f>
        <v>198081</v>
      </c>
      <c r="F34" s="56" t="n">
        <f aca="false">D34/$D$2</f>
        <v>1124.27527098563</v>
      </c>
      <c r="G34" s="56" t="n">
        <v>577</v>
      </c>
      <c r="H34" s="58" t="n">
        <v>150</v>
      </c>
      <c r="I34" s="56" t="n">
        <f aca="false">G34+H34</f>
        <v>727</v>
      </c>
      <c r="J34" s="81" t="n">
        <f aca="false">IF(L34&gt;0,L34,0)</f>
        <v>502.275270985631</v>
      </c>
      <c r="K34" s="56" t="n">
        <f aca="false">I34+J34</f>
        <v>1229.27527098563</v>
      </c>
      <c r="L34" s="56" t="n">
        <f aca="false">F34-(I34-W34)</f>
        <v>502.275270985631</v>
      </c>
      <c r="M34" s="56" t="n">
        <v>52</v>
      </c>
      <c r="N34" s="56" t="n">
        <f aca="false">(9.6+10)*1.05</f>
        <v>20.58</v>
      </c>
      <c r="O34" s="56" t="n">
        <f aca="false">M34-N34</f>
        <v>31.42</v>
      </c>
      <c r="P34" s="56" t="n">
        <v>0</v>
      </c>
      <c r="Q34" s="56" t="n">
        <v>0</v>
      </c>
      <c r="R34" s="56" t="n">
        <f aca="false">SUM(O34:Q34)</f>
        <v>31.42</v>
      </c>
      <c r="S34" s="57"/>
      <c r="T34" s="56" t="n">
        <v>0</v>
      </c>
      <c r="U34" s="56" t="n">
        <v>53</v>
      </c>
      <c r="V34" s="57" t="n">
        <f aca="false">V33-U34</f>
        <v>-203.96</v>
      </c>
      <c r="W34" s="56" t="n">
        <f aca="false">R34+T34+N34+U34</f>
        <v>105</v>
      </c>
      <c r="X34" s="56" t="n">
        <f aca="false">IF(L34&lt;0,L34*-1,0)</f>
        <v>0</v>
      </c>
      <c r="Y34" s="56" t="n">
        <f aca="false">W34+X34</f>
        <v>105</v>
      </c>
      <c r="Z34" s="60" t="n">
        <v>0</v>
      </c>
      <c r="AA34" s="61" t="n">
        <v>72</v>
      </c>
      <c r="AB34" s="90" t="n">
        <v>12</v>
      </c>
      <c r="AC34" s="62" t="n">
        <f aca="false">AC33+1</f>
        <v>25</v>
      </c>
      <c r="AD34" s="78"/>
      <c r="AE34" s="82"/>
      <c r="AF34" s="79"/>
    </row>
    <row r="35" customFormat="false" ht="11.1" hidden="false" customHeight="true" outlineLevel="0" collapsed="false">
      <c r="A35" s="62" t="n">
        <f aca="false">A34+1</f>
        <v>26</v>
      </c>
      <c r="B35" s="80" t="n">
        <v>6917.52</v>
      </c>
      <c r="C35" s="57" t="n">
        <v>352959</v>
      </c>
      <c r="D35" s="61" t="n">
        <f aca="false">C35-C34</f>
        <v>2878</v>
      </c>
      <c r="E35" s="57" t="n">
        <f aca="false">C35-152000</f>
        <v>200959</v>
      </c>
      <c r="F35" s="56" t="n">
        <f aca="false">D35/$D$2</f>
        <v>1450.97050668011</v>
      </c>
      <c r="G35" s="56" t="n">
        <v>743</v>
      </c>
      <c r="H35" s="58" t="n">
        <v>203</v>
      </c>
      <c r="I35" s="56" t="n">
        <f aca="false">G35+H35</f>
        <v>946</v>
      </c>
      <c r="J35" s="81" t="n">
        <f aca="false">IF(L35&gt;0,L35,0)</f>
        <v>599.970506680111</v>
      </c>
      <c r="K35" s="56" t="n">
        <f aca="false">I35+J35</f>
        <v>1545.97050668011</v>
      </c>
      <c r="L35" s="56" t="n">
        <f aca="false">F35-(I35-W35)</f>
        <v>599.970506680111</v>
      </c>
      <c r="M35" s="56" t="n">
        <v>41</v>
      </c>
      <c r="N35" s="56" t="n">
        <f aca="false">(9+9.2)*1.05</f>
        <v>19.11</v>
      </c>
      <c r="O35" s="56" t="n">
        <f aca="false">M35-N35</f>
        <v>21.89</v>
      </c>
      <c r="P35" s="56" t="n">
        <v>0</v>
      </c>
      <c r="Q35" s="56" t="n">
        <v>0</v>
      </c>
      <c r="R35" s="56" t="n">
        <f aca="false">SUM(O35:Q35)</f>
        <v>21.89</v>
      </c>
      <c r="S35" s="57"/>
      <c r="T35" s="56" t="n">
        <v>0</v>
      </c>
      <c r="U35" s="56" t="n">
        <v>54</v>
      </c>
      <c r="V35" s="57" t="n">
        <f aca="false">V34-U35</f>
        <v>-257.96</v>
      </c>
      <c r="W35" s="56" t="n">
        <f aca="false">R35+T35+N35+U35</f>
        <v>95</v>
      </c>
      <c r="X35" s="56" t="n">
        <f aca="false">IF(L35&lt;0,L35*-1,0)</f>
        <v>0</v>
      </c>
      <c r="Y35" s="56" t="n">
        <f aca="false">W35+X35</f>
        <v>95</v>
      </c>
      <c r="Z35" s="60" t="n">
        <v>0.62</v>
      </c>
      <c r="AA35" s="61" t="n">
        <v>57</v>
      </c>
      <c r="AB35" s="61" t="n">
        <v>14</v>
      </c>
      <c r="AC35" s="62" t="n">
        <f aca="false">AC34+1</f>
        <v>26</v>
      </c>
      <c r="AD35" s="78"/>
      <c r="AE35" s="82"/>
      <c r="AF35" s="79"/>
    </row>
    <row r="36" customFormat="false" ht="11.1" hidden="false" customHeight="true" outlineLevel="0" collapsed="false">
      <c r="A36" s="62" t="n">
        <f aca="false">A35+1</f>
        <v>27</v>
      </c>
      <c r="B36" s="80" t="n">
        <v>6918.06</v>
      </c>
      <c r="C36" s="57" t="n">
        <v>355250</v>
      </c>
      <c r="D36" s="61" t="n">
        <f aca="false">C36-C35</f>
        <v>2291</v>
      </c>
      <c r="E36" s="57" t="n">
        <f aca="false">C36-152000</f>
        <v>203250</v>
      </c>
      <c r="F36" s="56" t="n">
        <f aca="false">D36/$D$2</f>
        <v>1155.02898916057</v>
      </c>
      <c r="G36" s="56" t="n">
        <v>646</v>
      </c>
      <c r="H36" s="58" t="n">
        <v>147</v>
      </c>
      <c r="I36" s="56" t="n">
        <f aca="false">G36+H36</f>
        <v>793</v>
      </c>
      <c r="J36" s="81" t="n">
        <f aca="false">IF(L36&gt;0,L36,0)</f>
        <v>435.028989160575</v>
      </c>
      <c r="K36" s="56" t="n">
        <f aca="false">I36+J36</f>
        <v>1228.02898916057</v>
      </c>
      <c r="L36" s="56" t="n">
        <f aca="false">F36-(I36-W36)</f>
        <v>435.028989160575</v>
      </c>
      <c r="M36" s="56" t="n">
        <v>19</v>
      </c>
      <c r="N36" s="56" t="n">
        <f aca="false">(2.3+3.4)*1.05</f>
        <v>5.985</v>
      </c>
      <c r="O36" s="56" t="n">
        <f aca="false">M36-N36</f>
        <v>13.015</v>
      </c>
      <c r="P36" s="56" t="n">
        <v>0</v>
      </c>
      <c r="Q36" s="56" t="n">
        <v>0</v>
      </c>
      <c r="R36" s="56" t="n">
        <f aca="false">SUM(O36:Q36)</f>
        <v>13.015</v>
      </c>
      <c r="S36" s="57"/>
      <c r="T36" s="56" t="n">
        <v>0</v>
      </c>
      <c r="U36" s="56" t="n">
        <v>54</v>
      </c>
      <c r="V36" s="57" t="n">
        <f aca="false">V35-U36</f>
        <v>-311.96</v>
      </c>
      <c r="W36" s="56" t="n">
        <f aca="false">R36+T36+N36+U36</f>
        <v>73</v>
      </c>
      <c r="X36" s="56" t="n">
        <f aca="false">IF(L36&lt;0,L36*-1,0)</f>
        <v>0</v>
      </c>
      <c r="Y36" s="56" t="n">
        <f aca="false">W36+X36</f>
        <v>73</v>
      </c>
      <c r="Z36" s="60" t="n">
        <v>0.2</v>
      </c>
      <c r="AA36" s="61" t="n">
        <v>42</v>
      </c>
      <c r="AB36" s="61" t="n">
        <v>30</v>
      </c>
      <c r="AC36" s="62" t="n">
        <f aca="false">AC35+1</f>
        <v>27</v>
      </c>
      <c r="AD36" s="78"/>
      <c r="AE36" s="82"/>
      <c r="AF36" s="79"/>
    </row>
    <row r="37" customFormat="false" ht="11.1" hidden="false" customHeight="true" outlineLevel="0" collapsed="false">
      <c r="A37" s="62" t="n">
        <f aca="false">A36+1</f>
        <v>28</v>
      </c>
      <c r="B37" s="80" t="n">
        <v>6918.52</v>
      </c>
      <c r="C37" s="57" t="n">
        <v>357216</v>
      </c>
      <c r="D37" s="61" t="n">
        <f aca="false">C37-C36</f>
        <v>1966</v>
      </c>
      <c r="E37" s="57" t="n">
        <f aca="false">C37-152000</f>
        <v>205216</v>
      </c>
      <c r="F37" s="56" t="n">
        <f aca="false">D37/$D$2</f>
        <v>991.177211998992</v>
      </c>
      <c r="G37" s="56" t="n">
        <v>521</v>
      </c>
      <c r="H37" s="58" t="n">
        <v>108</v>
      </c>
      <c r="I37" s="56" t="n">
        <f aca="false">G37+H37</f>
        <v>629</v>
      </c>
      <c r="J37" s="81" t="n">
        <f aca="false">IF(L37&gt;0,L37,0)</f>
        <v>435.177211998992</v>
      </c>
      <c r="K37" s="56" t="n">
        <f aca="false">I37+J37</f>
        <v>1064.17721199899</v>
      </c>
      <c r="L37" s="56" t="n">
        <f aca="false">F37-(I37-W37)</f>
        <v>435.177211998992</v>
      </c>
      <c r="M37" s="56" t="n">
        <v>19</v>
      </c>
      <c r="N37" s="56" t="n">
        <f aca="false">(4.6+2.7)*1.05</f>
        <v>7.665</v>
      </c>
      <c r="O37" s="56" t="n">
        <f aca="false">M37-N37</f>
        <v>11.335</v>
      </c>
      <c r="P37" s="56" t="n">
        <v>0</v>
      </c>
      <c r="Q37" s="56" t="n">
        <v>0</v>
      </c>
      <c r="R37" s="56" t="n">
        <f aca="false">SUM(O37:Q37)</f>
        <v>11.335</v>
      </c>
      <c r="S37" s="57"/>
      <c r="T37" s="56" t="n">
        <v>0</v>
      </c>
      <c r="U37" s="56" t="n">
        <v>54</v>
      </c>
      <c r="V37" s="57" t="n">
        <f aca="false">V36-U37</f>
        <v>-365.96</v>
      </c>
      <c r="W37" s="56" t="n">
        <f aca="false">R37+T37+N37+U37</f>
        <v>73</v>
      </c>
      <c r="X37" s="56" t="n">
        <f aca="false">IF(L37&lt;0,L37*-1,0)</f>
        <v>0</v>
      </c>
      <c r="Y37" s="56" t="n">
        <f aca="false">W37+X37</f>
        <v>73</v>
      </c>
      <c r="Z37" s="60" t="n">
        <v>0.55</v>
      </c>
      <c r="AA37" s="61" t="n">
        <v>39</v>
      </c>
      <c r="AB37" s="61" t="n">
        <v>34</v>
      </c>
      <c r="AC37" s="62" t="n">
        <f aca="false">AC36+1</f>
        <v>28</v>
      </c>
      <c r="AD37" s="78"/>
      <c r="AE37" s="82"/>
      <c r="AF37" s="79"/>
    </row>
    <row r="38" customFormat="false" ht="11.1" hidden="false" customHeight="true" outlineLevel="0" collapsed="false">
      <c r="A38" s="62" t="n">
        <f aca="false">A37+1</f>
        <v>29</v>
      </c>
      <c r="B38" s="80" t="n">
        <v>6918.77</v>
      </c>
      <c r="C38" s="57" t="n">
        <v>358284</v>
      </c>
      <c r="D38" s="61" t="n">
        <f aca="false">C38-C37</f>
        <v>1068</v>
      </c>
      <c r="E38" s="57" t="n">
        <f aca="false">C38-152000</f>
        <v>206284</v>
      </c>
      <c r="F38" s="56" t="n">
        <f aca="false">D38/$D$2</f>
        <v>538.442147718679</v>
      </c>
      <c r="G38" s="56" t="n">
        <v>433</v>
      </c>
      <c r="H38" s="58" t="n">
        <v>76</v>
      </c>
      <c r="I38" s="56" t="n">
        <f aca="false">G38+H38</f>
        <v>509</v>
      </c>
      <c r="J38" s="81" t="n">
        <f aca="false">IF(L38&gt;0,L38,0)</f>
        <v>102.442147718679</v>
      </c>
      <c r="K38" s="56" t="n">
        <f aca="false">I38+J38</f>
        <v>611.442147718679</v>
      </c>
      <c r="L38" s="56" t="n">
        <f aca="false">F38-(I38-W38)</f>
        <v>102.442147718679</v>
      </c>
      <c r="M38" s="56" t="n">
        <v>19</v>
      </c>
      <c r="N38" s="56" t="n">
        <f aca="false">(1.3+2.5)*1.05</f>
        <v>3.99</v>
      </c>
      <c r="O38" s="56" t="n">
        <f aca="false">M38-N38</f>
        <v>15.01</v>
      </c>
      <c r="P38" s="56" t="n">
        <v>0</v>
      </c>
      <c r="Q38" s="56" t="n">
        <v>0</v>
      </c>
      <c r="R38" s="56" t="n">
        <f aca="false">SUM(O38:Q38)</f>
        <v>15.01</v>
      </c>
      <c r="S38" s="57"/>
      <c r="T38" s="56" t="n">
        <v>0</v>
      </c>
      <c r="U38" s="56" t="n">
        <v>54</v>
      </c>
      <c r="V38" s="57" t="n">
        <f aca="false">V37-U38</f>
        <v>-419.96</v>
      </c>
      <c r="W38" s="56" t="n">
        <f aca="false">R38+T38+N38+U38</f>
        <v>73</v>
      </c>
      <c r="X38" s="56" t="n">
        <f aca="false">IF(L38&lt;0,L38*-1,0)</f>
        <v>0</v>
      </c>
      <c r="Y38" s="56" t="n">
        <f aca="false">W38+X38</f>
        <v>73</v>
      </c>
      <c r="Z38" s="60" t="n">
        <v>0.04</v>
      </c>
      <c r="AA38" s="90" t="n">
        <v>33</v>
      </c>
      <c r="AB38" s="61" t="n">
        <v>20</v>
      </c>
      <c r="AC38" s="62" t="n">
        <f aca="false">AC37+1</f>
        <v>29</v>
      </c>
      <c r="AD38" s="78"/>
      <c r="AE38" s="82"/>
      <c r="AF38" s="79"/>
    </row>
    <row r="39" customFormat="false" ht="11.1" hidden="false" customHeight="true" outlineLevel="0" collapsed="false">
      <c r="A39" s="62" t="n">
        <v>30</v>
      </c>
      <c r="B39" s="80" t="n">
        <v>6919</v>
      </c>
      <c r="C39" s="57" t="n">
        <v>359267</v>
      </c>
      <c r="D39" s="61" t="n">
        <f aca="false">C39-C38</f>
        <v>983</v>
      </c>
      <c r="E39" s="57" t="n">
        <f aca="false">C39-152000</f>
        <v>207267</v>
      </c>
      <c r="F39" s="56" t="n">
        <f aca="false">D39/$D$2</f>
        <v>495.588605999496</v>
      </c>
      <c r="G39" s="56" t="n">
        <v>358</v>
      </c>
      <c r="H39" s="58" t="n">
        <v>79</v>
      </c>
      <c r="I39" s="56" t="n">
        <f aca="false">G39+H39</f>
        <v>437</v>
      </c>
      <c r="J39" s="81" t="n">
        <f aca="false">IF(L39&gt;0,L39,0)</f>
        <v>130.588605999496</v>
      </c>
      <c r="K39" s="56" t="n">
        <f aca="false">I39+J39</f>
        <v>567.588605999496</v>
      </c>
      <c r="L39" s="56" t="n">
        <f aca="false">F39-(I39-W39)</f>
        <v>130.588605999496</v>
      </c>
      <c r="M39" s="56" t="n">
        <v>19</v>
      </c>
      <c r="N39" s="56" t="n">
        <v>0</v>
      </c>
      <c r="O39" s="56" t="n">
        <f aca="false">M39-N39</f>
        <v>19</v>
      </c>
      <c r="P39" s="56" t="n">
        <v>0</v>
      </c>
      <c r="Q39" s="56" t="n">
        <v>0</v>
      </c>
      <c r="R39" s="56" t="n">
        <f aca="false">SUM(O39:Q39)</f>
        <v>19</v>
      </c>
      <c r="S39" s="57"/>
      <c r="T39" s="56" t="n">
        <v>0</v>
      </c>
      <c r="U39" s="56" t="n">
        <v>53</v>
      </c>
      <c r="V39" s="57" t="n">
        <f aca="false">V38-U39</f>
        <v>-472.96</v>
      </c>
      <c r="W39" s="56" t="n">
        <f aca="false">R39+T39+N39+U39</f>
        <v>72</v>
      </c>
      <c r="X39" s="56" t="n">
        <f aca="false">IF(L39&lt;0,L39*-1,0)</f>
        <v>0</v>
      </c>
      <c r="Y39" s="56" t="n">
        <f aca="false">W39+X39</f>
        <v>72</v>
      </c>
      <c r="Z39" s="60" t="n">
        <v>0.14</v>
      </c>
      <c r="AA39" s="90" t="n">
        <v>34</v>
      </c>
      <c r="AB39" s="61" t="n">
        <v>8</v>
      </c>
      <c r="AC39" s="62" t="n">
        <v>30</v>
      </c>
      <c r="AD39" s="78"/>
      <c r="AE39" s="82"/>
      <c r="AF39" s="79"/>
    </row>
    <row r="40" customFormat="false" ht="11.1" hidden="false" customHeight="true" outlineLevel="0" collapsed="false">
      <c r="A40" s="62" t="n">
        <v>31</v>
      </c>
      <c r="B40" s="80" t="n">
        <v>6919.19</v>
      </c>
      <c r="C40" s="57" t="n">
        <v>360085</v>
      </c>
      <c r="D40" s="61" t="n">
        <f aca="false">C40-C39</f>
        <v>818</v>
      </c>
      <c r="E40" s="57" t="n">
        <f aca="false">C40-152000</f>
        <v>208085</v>
      </c>
      <c r="F40" s="56" t="n">
        <f aca="false">D40/$D$2</f>
        <v>412.402319132846</v>
      </c>
      <c r="G40" s="56" t="n">
        <v>377</v>
      </c>
      <c r="H40" s="58" t="n">
        <v>71</v>
      </c>
      <c r="I40" s="56" t="n">
        <f aca="false">G40+H40</f>
        <v>448</v>
      </c>
      <c r="J40" s="81" t="n">
        <f aca="false">IF(L40&gt;0,L40,0)</f>
        <v>113.872319132846</v>
      </c>
      <c r="K40" s="56" t="n">
        <f aca="false">I40+J40</f>
        <v>561.872319132846</v>
      </c>
      <c r="L40" s="56" t="n">
        <f aca="false">F40-(I40-W40)</f>
        <v>113.872319132846</v>
      </c>
      <c r="M40" s="56" t="n">
        <v>9.47</v>
      </c>
      <c r="N40" s="56" t="n">
        <v>0</v>
      </c>
      <c r="O40" s="56" t="n">
        <f aca="false">M40-N40</f>
        <v>9.47</v>
      </c>
      <c r="P40" s="56" t="n">
        <v>0</v>
      </c>
      <c r="Q40" s="56" t="n">
        <v>0</v>
      </c>
      <c r="R40" s="56" t="n">
        <f aca="false">SUM(O40:Q40)</f>
        <v>9.47</v>
      </c>
      <c r="S40" s="57"/>
      <c r="T40" s="56" t="n">
        <v>0</v>
      </c>
      <c r="U40" s="56" t="n">
        <v>140</v>
      </c>
      <c r="V40" s="57" t="n">
        <f aca="false">V39-U40</f>
        <v>-612.96</v>
      </c>
      <c r="W40" s="56" t="n">
        <f aca="false">R40+T40+N40+U40</f>
        <v>149.47</v>
      </c>
      <c r="X40" s="56" t="n">
        <f aca="false">IF(L40&lt;0,L40*-1,0)</f>
        <v>0</v>
      </c>
      <c r="Y40" s="56" t="n">
        <f aca="false">W40+X40</f>
        <v>149.47</v>
      </c>
      <c r="Z40" s="60" t="n">
        <v>0</v>
      </c>
      <c r="AA40" s="90" t="n">
        <v>46</v>
      </c>
      <c r="AB40" s="61" t="n">
        <v>20</v>
      </c>
      <c r="AC40" s="62" t="n">
        <v>31</v>
      </c>
      <c r="AD40" s="78"/>
      <c r="AE40" s="78"/>
      <c r="AF40" s="79"/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5"/>
      <c r="T41" s="83"/>
      <c r="U41" s="83"/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8509.20090748677</v>
      </c>
      <c r="G42" s="57" t="n">
        <f aca="false">SUM(G10:G40)</f>
        <v>6785</v>
      </c>
      <c r="H42" s="57" t="n">
        <f aca="false">SUM(H10:H40)</f>
        <v>1308.6</v>
      </c>
      <c r="I42" s="57" t="n">
        <f aca="false">SUM(I10:I40)</f>
        <v>8093.6</v>
      </c>
      <c r="J42" s="57" t="n">
        <f aca="false">SUM(J10:J40)</f>
        <v>3337.50673052685</v>
      </c>
      <c r="K42" s="57" t="n">
        <f aca="false">SUM(K10:K40)</f>
        <v>11431.1067305268</v>
      </c>
      <c r="L42" s="57" t="n">
        <f aca="false">SUM(L10:L40)</f>
        <v>3177.72090748677</v>
      </c>
      <c r="M42" s="57" t="n">
        <f aca="false">SUM(M10:M40)</f>
        <v>396.12</v>
      </c>
      <c r="N42" s="57" t="n">
        <f aca="false">SUM(N10:N40)</f>
        <v>59.745</v>
      </c>
      <c r="O42" s="57" t="n">
        <f aca="false">SUM(O10:O40)</f>
        <v>336.375</v>
      </c>
      <c r="P42" s="57" t="n">
        <f aca="false">SUM(P10:P40)</f>
        <v>789</v>
      </c>
      <c r="Q42" s="57" t="n">
        <f aca="false">SUM(Q10:Q40)</f>
        <v>0</v>
      </c>
      <c r="R42" s="57" t="n">
        <f aca="false">SUM(R10:R40)</f>
        <v>1125.375</v>
      </c>
      <c r="S42" s="57"/>
      <c r="T42" s="57" t="n">
        <f aca="false">SUM(T10:T40)</f>
        <v>0</v>
      </c>
      <c r="U42" s="57" t="n">
        <f aca="false">SUM(U10:U40)</f>
        <v>1577</v>
      </c>
      <c r="V42" s="57"/>
      <c r="W42" s="57" t="n">
        <f aca="false">SUM(W10:W40)</f>
        <v>2762.12</v>
      </c>
      <c r="X42" s="57" t="n">
        <f aca="false">SUM(X10:X40)</f>
        <v>159.785823040081</v>
      </c>
      <c r="Y42" s="57" t="n">
        <f aca="false">SUM(Y10:Y40)</f>
        <v>2921.90582304008</v>
      </c>
      <c r="Z42" s="60" t="n">
        <f aca="false">SUM(Z10:Z40)</f>
        <v>2.65</v>
      </c>
      <c r="AA42" s="61" t="n">
        <f aca="false">AVERAGE(AA10:AA40)</f>
        <v>48.9032258064516</v>
      </c>
      <c r="AB42" s="61" t="n">
        <f aca="false">AVERAGE(AB10:AB40)</f>
        <v>19.5161290322581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16878</v>
      </c>
      <c r="E43" s="57"/>
      <c r="F43" s="57" t="n">
        <f aca="false">F42*$D$2</f>
        <v>16878</v>
      </c>
      <c r="G43" s="57" t="n">
        <f aca="false">G42*$D$2</f>
        <v>13458.0475</v>
      </c>
      <c r="H43" s="57" t="n">
        <f aca="false">H42*$D$2</f>
        <v>2595.6081</v>
      </c>
      <c r="I43" s="57" t="n">
        <f aca="false">I42*$D$2</f>
        <v>16053.6556</v>
      </c>
      <c r="J43" s="57" t="n">
        <f aca="false">J42*$D$2</f>
        <v>6619.9446</v>
      </c>
      <c r="K43" s="57" t="n">
        <f aca="false">K42*$D$2</f>
        <v>22673.6002</v>
      </c>
      <c r="L43" s="57" t="n">
        <f aca="false">L42*$D$2</f>
        <v>6303.00942</v>
      </c>
      <c r="M43" s="57" t="n">
        <f aca="false">M42*$D$2</f>
        <v>785.70402</v>
      </c>
      <c r="N43" s="57" t="n">
        <f aca="false">N42*$D$2</f>
        <v>118.5042075</v>
      </c>
      <c r="O43" s="57" t="n">
        <f aca="false">O42*$D$2</f>
        <v>667.1998125</v>
      </c>
      <c r="P43" s="57" t="n">
        <f aca="false">P42*$D$2</f>
        <v>1564.9815</v>
      </c>
      <c r="Q43" s="57" t="n">
        <f aca="false">Q42*$D$2</f>
        <v>0</v>
      </c>
      <c r="R43" s="57" t="n">
        <f aca="false">R42*$D$2</f>
        <v>2232.1813125</v>
      </c>
      <c r="S43" s="57"/>
      <c r="T43" s="57" t="n">
        <f aca="false">T42*$D$2</f>
        <v>0</v>
      </c>
      <c r="U43" s="57" t="n">
        <f aca="false">U42*$D$2</f>
        <v>3127.9795</v>
      </c>
      <c r="V43" s="57"/>
      <c r="W43" s="57" t="n">
        <f aca="false">W42*$D$2</f>
        <v>5478.66502</v>
      </c>
      <c r="X43" s="57" t="n">
        <f aca="false">X42*$D$2</f>
        <v>316.93518</v>
      </c>
      <c r="Y43" s="57" t="n">
        <f aca="false">Y42*$D$2</f>
        <v>5795.6002</v>
      </c>
      <c r="Z43" s="60"/>
      <c r="AA43" s="61" t="n">
        <f aca="false">MAX(AA10:AA40)</f>
        <v>72</v>
      </c>
      <c r="AB43" s="61" t="n">
        <f aca="false">MAX(AB10:AB40)</f>
        <v>34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60"/>
      <c r="AA45" s="61" t="n">
        <f aca="false">MIN(AA10:AA40)</f>
        <v>31</v>
      </c>
      <c r="AB45" s="61" t="n">
        <f aca="false">MIN(AB10:AB40)</f>
        <v>4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13418.7043105621</v>
      </c>
      <c r="G48" s="57" t="n">
        <f aca="false">G8+G42</f>
        <v>16673</v>
      </c>
      <c r="H48" s="61" t="n">
        <f aca="false">H8+H42</f>
        <v>1804.3</v>
      </c>
      <c r="I48" s="57" t="n">
        <f aca="false">I8+I42</f>
        <v>18470.4</v>
      </c>
      <c r="J48" s="57" t="n">
        <f aca="false">J8+J42</f>
        <v>5247.52601966221</v>
      </c>
      <c r="K48" s="57" t="n">
        <f aca="false">K8+K42</f>
        <v>23709.5260196622</v>
      </c>
      <c r="L48" s="57" t="n">
        <f aca="false">L8+L42</f>
        <v>4215.42431056214</v>
      </c>
      <c r="M48" s="57" t="n">
        <f aca="false">M8+M42</f>
        <v>1529.96</v>
      </c>
      <c r="N48" s="57" t="n">
        <f aca="false">N8+N42</f>
        <v>59.745</v>
      </c>
      <c r="O48" s="57" t="n">
        <f aca="false">O8+O42</f>
        <v>820.975</v>
      </c>
      <c r="P48" s="57" t="n">
        <f aca="false">P8+P42</f>
        <v>789</v>
      </c>
      <c r="Q48" s="57" t="n">
        <f aca="false">Q8+Q42</f>
        <v>146.2</v>
      </c>
      <c r="R48" s="57" t="n">
        <f aca="false">R8+R42</f>
        <v>2148.165</v>
      </c>
      <c r="S48" s="57"/>
      <c r="T48" s="57" t="n">
        <f aca="false">T8+T42</f>
        <v>0</v>
      </c>
      <c r="U48" s="57" t="n">
        <f aca="false">U8+U42</f>
        <v>6801.96</v>
      </c>
      <c r="V48" s="57" t="n">
        <f aca="false">V40</f>
        <v>-612.96</v>
      </c>
      <c r="W48" s="57" t="n">
        <f aca="false">W8+W42</f>
        <v>9267.12</v>
      </c>
      <c r="X48" s="57" t="n">
        <f aca="false">X8+X42</f>
        <v>1032.10170910008</v>
      </c>
      <c r="Y48" s="57" t="n">
        <f aca="false">Y8+Y42</f>
        <v>10299.2217091001</v>
      </c>
      <c r="Z48" s="81" t="n">
        <f aca="false">Z8+Z42</f>
        <v>7.52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26616</v>
      </c>
      <c r="E49" s="57" t="n">
        <f aca="false">E40</f>
        <v>208085</v>
      </c>
      <c r="F49" s="57" t="n">
        <f aca="false">F48*$D$2</f>
        <v>26616</v>
      </c>
      <c r="G49" s="57" t="n">
        <f aca="false">G48*$D$2</f>
        <v>33070.8955</v>
      </c>
      <c r="H49" s="61" t="n">
        <f aca="false">H48*$D$2</f>
        <v>3578.82905</v>
      </c>
      <c r="I49" s="57" t="n">
        <f aca="false">I48*$D$2</f>
        <v>36636.0384</v>
      </c>
      <c r="J49" s="57" t="n">
        <f aca="false">J48*$D$2</f>
        <v>10408.46786</v>
      </c>
      <c r="K49" s="57" t="n">
        <f aca="false">K48*$D$2</f>
        <v>47027.84486</v>
      </c>
      <c r="L49" s="57" t="n">
        <f aca="false">L48*$D$2</f>
        <v>8361.29412</v>
      </c>
      <c r="M49" s="57" t="n">
        <f aca="false">M48*$D$2</f>
        <v>3034.67566</v>
      </c>
      <c r="N49" s="57" t="n">
        <f aca="false">N48*$D$2</f>
        <v>118.5042075</v>
      </c>
      <c r="O49" s="57" t="n">
        <f aca="false">O48*$D$2</f>
        <v>1628.4039125</v>
      </c>
      <c r="P49" s="57" t="n">
        <f aca="false">P48*$D$2</f>
        <v>1564.9815</v>
      </c>
      <c r="Q49" s="57" t="n">
        <f aca="false">Q48*$D$2</f>
        <v>289.9877</v>
      </c>
      <c r="R49" s="57" t="n">
        <f aca="false">R48*$D$2</f>
        <v>4260.8852775</v>
      </c>
      <c r="S49" s="57" t="n">
        <f aca="false">S48*$D$2</f>
        <v>0</v>
      </c>
      <c r="T49" s="57" t="n">
        <f aca="false">T48*$D$2</f>
        <v>0</v>
      </c>
      <c r="U49" s="57" t="n">
        <f aca="false">U48*$D$2</f>
        <v>13491.68766</v>
      </c>
      <c r="V49" s="57" t="n">
        <f aca="false">V48*$D$2</f>
        <v>-1215.80616</v>
      </c>
      <c r="W49" s="57" t="n">
        <f aca="false">W48*$D$2</f>
        <v>18381.33252</v>
      </c>
      <c r="X49" s="57" t="n">
        <f aca="false">X48*$D$2</f>
        <v>2047.17374</v>
      </c>
      <c r="Y49" s="57" t="n">
        <f aca="false">Y48*$D$2</f>
        <v>20428.50626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56" t="str">
        <f aca="false">"APR 10/97"</f>
        <v>APR 10/97</v>
      </c>
      <c r="B51" s="93"/>
      <c r="C51" s="57"/>
      <c r="D51" s="56"/>
      <c r="E51" s="57"/>
      <c r="F51" s="56"/>
      <c r="G51" s="56"/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6916.24</v>
      </c>
      <c r="C52" s="57" t="n">
        <v>347556</v>
      </c>
      <c r="D52" s="90"/>
      <c r="E52" s="57" t="n">
        <f aca="false">C52-152000</f>
        <v>195556</v>
      </c>
      <c r="F52" s="56"/>
      <c r="G52" s="56"/>
      <c r="H52" s="90"/>
      <c r="I52" s="58"/>
      <c r="J52" s="56"/>
      <c r="K52" s="46"/>
      <c r="L52" s="56"/>
      <c r="M52" s="56"/>
      <c r="N52" s="56"/>
      <c r="O52" s="56"/>
      <c r="P52" s="56"/>
      <c r="Q52" s="56"/>
      <c r="R52" s="56"/>
      <c r="S52" s="57"/>
      <c r="T52" s="56"/>
      <c r="U52" s="56"/>
      <c r="V52" s="57"/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"3/13/97 thru 4/9/97"</f>
        <v>3/13/97 thru 4/9/97</v>
      </c>
      <c r="B53" s="90"/>
      <c r="C53" s="57"/>
      <c r="D53" s="57"/>
      <c r="E53" s="57"/>
      <c r="F53" s="90"/>
      <c r="G53" s="90"/>
      <c r="H53" s="58"/>
      <c r="I53" s="90"/>
      <c r="J53" s="90"/>
      <c r="K53" s="90"/>
      <c r="L53" s="90"/>
      <c r="M53" s="81"/>
      <c r="N53" s="81"/>
      <c r="O53" s="81"/>
      <c r="P53" s="90"/>
      <c r="Q53" s="90"/>
      <c r="R53" s="90"/>
      <c r="S53" s="57"/>
      <c r="T53" s="90"/>
      <c r="U53" s="90"/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B52-B22</f>
        <v>0.710000000000036</v>
      </c>
      <c r="C54" s="57"/>
      <c r="D54" s="57" t="n">
        <f aca="false">C52-C22</f>
        <v>2971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7"/>
      <c r="T54" s="90"/>
      <c r="U54" s="90"/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/>
      <c r="Q55" s="90"/>
      <c r="R55" s="90"/>
      <c r="S55" s="57"/>
      <c r="T55" s="90"/>
      <c r="U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6.82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1.9835</v>
      </c>
      <c r="E2" s="8"/>
      <c r="F2" s="7"/>
      <c r="G2" s="7"/>
      <c r="H2" s="9"/>
      <c r="I2" s="7"/>
      <c r="J2" s="7"/>
      <c r="K2" s="104" t="s">
        <v>64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6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 t="n">
        <v>5</v>
      </c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7" t="s">
        <v>3</v>
      </c>
      <c r="B4" s="17" t="s">
        <v>4</v>
      </c>
      <c r="C4" s="18" t="s">
        <v>4</v>
      </c>
      <c r="D4" s="17" t="s">
        <v>5</v>
      </c>
      <c r="E4" s="18" t="s">
        <v>6</v>
      </c>
      <c r="F4" s="17" t="s">
        <v>7</v>
      </c>
      <c r="G4" s="17" t="s">
        <v>8</v>
      </c>
      <c r="H4" s="19" t="s">
        <v>9</v>
      </c>
      <c r="I4" s="17" t="s">
        <v>10</v>
      </c>
      <c r="J4" s="17" t="s">
        <v>11</v>
      </c>
      <c r="K4" s="17" t="s">
        <v>12</v>
      </c>
      <c r="L4" s="17" t="s">
        <v>11</v>
      </c>
      <c r="M4" s="20" t="s">
        <v>13</v>
      </c>
      <c r="N4" s="20"/>
      <c r="O4" s="20"/>
      <c r="P4" s="17" t="s">
        <v>16</v>
      </c>
      <c r="Q4" s="17" t="s">
        <v>15</v>
      </c>
      <c r="R4" s="17" t="s">
        <v>12</v>
      </c>
      <c r="S4" s="18" t="s">
        <v>16</v>
      </c>
      <c r="T4" s="17" t="s">
        <v>17</v>
      </c>
      <c r="U4" s="17" t="s">
        <v>18</v>
      </c>
      <c r="V4" s="18" t="s">
        <v>19</v>
      </c>
      <c r="W4" s="17" t="s">
        <v>10</v>
      </c>
      <c r="X4" s="17" t="s">
        <v>11</v>
      </c>
      <c r="Y4" s="17" t="s">
        <v>12</v>
      </c>
      <c r="Z4" s="21" t="s">
        <v>20</v>
      </c>
      <c r="AA4" s="22" t="s">
        <v>21</v>
      </c>
      <c r="AB4" s="22" t="s">
        <v>22</v>
      </c>
      <c r="AC4" s="22" t="s">
        <v>3</v>
      </c>
      <c r="AD4" s="14"/>
      <c r="AE4" s="14"/>
    </row>
    <row r="5" customFormat="false" ht="11.1" hidden="false" customHeight="true" outlineLevel="0" collapsed="false">
      <c r="A5" s="23" t="s">
        <v>65</v>
      </c>
      <c r="B5" s="17" t="s">
        <v>24</v>
      </c>
      <c r="C5" s="18" t="s">
        <v>5</v>
      </c>
      <c r="D5" s="17" t="s">
        <v>25</v>
      </c>
      <c r="E5" s="18" t="s">
        <v>26</v>
      </c>
      <c r="F5" s="17" t="s">
        <v>27</v>
      </c>
      <c r="G5" s="17" t="s">
        <v>28</v>
      </c>
      <c r="H5" s="19" t="s">
        <v>29</v>
      </c>
      <c r="I5" s="17" t="s">
        <v>30</v>
      </c>
      <c r="J5" s="17" t="s">
        <v>30</v>
      </c>
      <c r="K5" s="17" t="s">
        <v>30</v>
      </c>
      <c r="L5" s="17" t="s">
        <v>31</v>
      </c>
      <c r="M5" s="17" t="s">
        <v>32</v>
      </c>
      <c r="N5" s="17" t="s">
        <v>33</v>
      </c>
      <c r="O5" s="17" t="s">
        <v>66</v>
      </c>
      <c r="P5" s="17" t="s">
        <v>67</v>
      </c>
      <c r="Q5" s="17" t="s">
        <v>36</v>
      </c>
      <c r="R5" s="17" t="s">
        <v>16</v>
      </c>
      <c r="S5" s="18" t="s">
        <v>37</v>
      </c>
      <c r="T5" s="17" t="s">
        <v>38</v>
      </c>
      <c r="U5" s="17" t="s">
        <v>39</v>
      </c>
      <c r="V5" s="18" t="s">
        <v>40</v>
      </c>
      <c r="W5" s="17" t="s">
        <v>41</v>
      </c>
      <c r="X5" s="17" t="s">
        <v>41</v>
      </c>
      <c r="Y5" s="17" t="s">
        <v>41</v>
      </c>
      <c r="Z5" s="25"/>
      <c r="AA5" s="22" t="s">
        <v>42</v>
      </c>
      <c r="AB5" s="22" t="s">
        <v>42</v>
      </c>
      <c r="AC5" s="26" t="s">
        <v>65</v>
      </c>
      <c r="AD5" s="14"/>
      <c r="AE5" s="14"/>
    </row>
    <row r="6" customFormat="false" ht="11.1" hidden="false" customHeight="true" outlineLevel="0" collapsed="false">
      <c r="A6" s="27"/>
      <c r="B6" s="27"/>
      <c r="C6" s="28"/>
      <c r="D6" s="27"/>
      <c r="E6" s="28"/>
      <c r="F6" s="27"/>
      <c r="G6" s="27"/>
      <c r="H6" s="29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  <c r="T6" s="27"/>
      <c r="U6" s="27"/>
      <c r="V6" s="28" t="n">
        <f aca="false">25400+3900+3900+3300+150</f>
        <v>36650</v>
      </c>
      <c r="W6" s="27"/>
      <c r="X6" s="27"/>
      <c r="Y6" s="27"/>
      <c r="Z6" s="11"/>
      <c r="AA6" s="13"/>
      <c r="AB6" s="13"/>
      <c r="AC6" s="13"/>
      <c r="AD6" s="14"/>
      <c r="AE6" s="14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4"/>
    </row>
    <row r="8" s="1" customFormat="true" ht="11.1" hidden="false" customHeight="true" outlineLevel="0" collapsed="false">
      <c r="A8" s="8" t="s">
        <v>44</v>
      </c>
      <c r="B8" s="32" t="n">
        <f aca="false" t="array" ref="B8:C8">MAR!$B$40:$C$40</f>
        <v>6919.19</v>
      </c>
      <c r="C8" s="8" t="n">
        <v>360085</v>
      </c>
      <c r="D8" s="8" t="n">
        <f aca="false" t="array" ref="D8:E8">MAR!$D$49:$E$49</f>
        <v>26616</v>
      </c>
      <c r="E8" s="8" t="n">
        <v>208085</v>
      </c>
      <c r="F8" s="8" t="n">
        <f aca="false" t="array" ref="F8:U8">MAR!$F$48:$U$48</f>
        <v>13418.7043105621</v>
      </c>
      <c r="G8" s="8" t="n">
        <v>16673</v>
      </c>
      <c r="H8" s="12" t="n">
        <v>1804.3</v>
      </c>
      <c r="I8" s="8" t="n">
        <v>18470.4</v>
      </c>
      <c r="J8" s="8" t="n">
        <v>5247.52601966221</v>
      </c>
      <c r="K8" s="8" t="n">
        <v>23709.5260196622</v>
      </c>
      <c r="L8" s="8" t="n">
        <v>4215.42431056214</v>
      </c>
      <c r="M8" s="8" t="n">
        <v>1529.96</v>
      </c>
      <c r="N8" s="8" t="n">
        <v>59.745</v>
      </c>
      <c r="O8" s="8" t="n">
        <v>820.975</v>
      </c>
      <c r="P8" s="8" t="n">
        <v>789</v>
      </c>
      <c r="Q8" s="8" t="n">
        <v>146.2</v>
      </c>
      <c r="R8" s="8" t="n">
        <v>2148.165</v>
      </c>
      <c r="S8" s="8" t="n">
        <v>0</v>
      </c>
      <c r="T8" s="8" t="n">
        <v>0</v>
      </c>
      <c r="U8" s="8" t="n">
        <v>6801.96</v>
      </c>
      <c r="V8" s="8" t="n">
        <f aca="false">V6/D2</f>
        <v>18477.4388706831</v>
      </c>
      <c r="W8" s="8" t="n">
        <f aca="false" t="array" ref="W8:Z8">MAR!$W$48:$Z$48</f>
        <v>9267.12</v>
      </c>
      <c r="X8" s="8" t="n">
        <v>1032.10170910008</v>
      </c>
      <c r="Y8" s="8" t="n">
        <v>10299.2217091001</v>
      </c>
      <c r="Z8" s="33" t="n">
        <v>7.52</v>
      </c>
      <c r="AA8" s="12"/>
      <c r="AB8" s="12"/>
      <c r="AC8" s="13"/>
      <c r="AD8" s="34"/>
      <c r="AE8" s="14"/>
    </row>
    <row r="9" customFormat="false" ht="3" hidden="false" customHeight="true" outlineLevel="0" collapsed="false">
      <c r="A9" s="35"/>
      <c r="B9" s="36"/>
      <c r="C9" s="37"/>
      <c r="D9" s="35"/>
      <c r="E9" s="37"/>
      <c r="F9" s="35"/>
      <c r="G9" s="35"/>
      <c r="H9" s="38"/>
      <c r="I9" s="35"/>
      <c r="J9" s="35"/>
      <c r="K9" s="35"/>
      <c r="L9" s="35"/>
      <c r="M9" s="35"/>
      <c r="N9" s="35"/>
      <c r="O9" s="35"/>
      <c r="P9" s="35"/>
      <c r="Q9" s="35"/>
      <c r="R9" s="35"/>
      <c r="S9" s="37"/>
      <c r="T9" s="35"/>
      <c r="U9" s="35"/>
      <c r="V9" s="37"/>
      <c r="W9" s="35"/>
      <c r="X9" s="35"/>
      <c r="Y9" s="35"/>
      <c r="Z9" s="39"/>
      <c r="AA9" s="40"/>
      <c r="AB9" s="40"/>
      <c r="AC9" s="41"/>
      <c r="AD9" s="14"/>
      <c r="AE9" s="14"/>
    </row>
    <row r="10" customFormat="false" ht="11.1" hidden="false" customHeight="true" outlineLevel="0" collapsed="false">
      <c r="A10" s="13" t="n">
        <v>1</v>
      </c>
      <c r="B10" s="32" t="n">
        <v>6919.37</v>
      </c>
      <c r="C10" s="8" t="n">
        <v>360860</v>
      </c>
      <c r="D10" s="12" t="n">
        <f aca="false">C10-C8</f>
        <v>775</v>
      </c>
      <c r="E10" s="8" t="n">
        <f aca="false">C10-152000</f>
        <v>208860</v>
      </c>
      <c r="F10" s="7" t="n">
        <f aca="false">D10/$D$2</f>
        <v>390.723468616083</v>
      </c>
      <c r="G10" s="32" t="n">
        <v>343</v>
      </c>
      <c r="H10" s="9" t="n">
        <v>63</v>
      </c>
      <c r="I10" s="7" t="n">
        <f aca="false">G10+H10</f>
        <v>406</v>
      </c>
      <c r="J10" s="105" t="n">
        <f aca="false">IF(L10&gt;0,L10,0)</f>
        <v>212.723468616083</v>
      </c>
      <c r="K10" s="7" t="n">
        <f aca="false">I10+J10</f>
        <v>618.723468616083</v>
      </c>
      <c r="L10" s="7" t="n">
        <f aca="false">F10-(I10-W10)</f>
        <v>212.723468616083</v>
      </c>
      <c r="M10" s="7" t="n">
        <v>10</v>
      </c>
      <c r="N10" s="7" t="n">
        <v>0</v>
      </c>
      <c r="O10" s="7" t="n">
        <f aca="false">M10-N10</f>
        <v>10</v>
      </c>
      <c r="P10" s="7" t="n">
        <v>0</v>
      </c>
      <c r="Q10" s="7" t="n">
        <v>0</v>
      </c>
      <c r="R10" s="7" t="n">
        <f aca="false">SUM(O10:Q10)</f>
        <v>10</v>
      </c>
      <c r="S10" s="8"/>
      <c r="T10" s="7" t="n">
        <v>0</v>
      </c>
      <c r="U10" s="7" t="n">
        <v>218</v>
      </c>
      <c r="V10" s="8" t="n">
        <v>18477</v>
      </c>
      <c r="W10" s="7" t="n">
        <f aca="false">N10+R10+T10+U10</f>
        <v>228</v>
      </c>
      <c r="X10" s="7" t="n">
        <f aca="false">IF(L10&lt;0,L10*-1,0)</f>
        <v>0</v>
      </c>
      <c r="Y10" s="7" t="n">
        <f aca="false">W10+X10</f>
        <v>228</v>
      </c>
      <c r="Z10" s="11" t="n">
        <v>0.31</v>
      </c>
      <c r="AA10" s="12" t="n">
        <v>50</v>
      </c>
      <c r="AB10" s="12" t="n">
        <v>29</v>
      </c>
      <c r="AC10" s="13" t="n">
        <v>1</v>
      </c>
      <c r="AD10" s="12"/>
      <c r="AE10" s="12"/>
      <c r="AG10" s="7"/>
    </row>
    <row r="11" customFormat="false" ht="11.1" hidden="false" customHeight="true" outlineLevel="0" collapsed="false">
      <c r="A11" s="13" t="n">
        <f aca="false">A10+1</f>
        <v>2</v>
      </c>
      <c r="B11" s="32" t="n">
        <v>6919.42</v>
      </c>
      <c r="C11" s="8" t="n">
        <v>361075</v>
      </c>
      <c r="D11" s="12" t="n">
        <f aca="false">C11-C10</f>
        <v>215</v>
      </c>
      <c r="E11" s="8" t="n">
        <f aca="false">C11-152000</f>
        <v>209075</v>
      </c>
      <c r="F11" s="7" t="n">
        <f aca="false">D11/$D$2</f>
        <v>108.394252583816</v>
      </c>
      <c r="G11" s="7" t="n">
        <v>367</v>
      </c>
      <c r="H11" s="9" t="n">
        <v>64</v>
      </c>
      <c r="I11" s="7" t="n">
        <f aca="false">G11+H11</f>
        <v>431</v>
      </c>
      <c r="J11" s="105" t="n">
        <f aca="false">IF(L11&gt;0,L11,0)</f>
        <v>135.394252583816</v>
      </c>
      <c r="K11" s="7" t="n">
        <f aca="false">I11+J11</f>
        <v>566.394252583817</v>
      </c>
      <c r="L11" s="7" t="n">
        <f aca="false">F11-(I11-W11)</f>
        <v>135.394252583816</v>
      </c>
      <c r="M11" s="7" t="n">
        <v>11</v>
      </c>
      <c r="N11" s="7" t="n">
        <f aca="false">(0.42)*1.05</f>
        <v>0.441</v>
      </c>
      <c r="O11" s="7" t="n">
        <f aca="false">M11-N11</f>
        <v>10.559</v>
      </c>
      <c r="P11" s="7" t="n">
        <v>0</v>
      </c>
      <c r="Q11" s="7" t="n">
        <v>0</v>
      </c>
      <c r="R11" s="7" t="n">
        <f aca="false">SUM(O11:Q11)</f>
        <v>10.559</v>
      </c>
      <c r="S11" s="8"/>
      <c r="T11" s="7" t="n">
        <v>0</v>
      </c>
      <c r="U11" s="7" t="n">
        <v>447</v>
      </c>
      <c r="V11" s="8" t="n">
        <v>18477</v>
      </c>
      <c r="W11" s="7" t="n">
        <f aca="false">N11+R11+T11+U11</f>
        <v>458</v>
      </c>
      <c r="X11" s="7" t="n">
        <f aca="false">IF(L11&lt;0,L11*-1,0)</f>
        <v>0</v>
      </c>
      <c r="Y11" s="7" t="n">
        <f aca="false">W11+X11</f>
        <v>458</v>
      </c>
      <c r="Z11" s="11" t="n">
        <v>0.04</v>
      </c>
      <c r="AA11" s="12" t="n">
        <v>35</v>
      </c>
      <c r="AB11" s="12" t="n">
        <v>21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32" t="n">
        <v>6919.4</v>
      </c>
      <c r="C12" s="8" t="n">
        <v>360989</v>
      </c>
      <c r="D12" s="12" t="n">
        <f aca="false">C12-C11</f>
        <v>-86</v>
      </c>
      <c r="E12" s="8" t="n">
        <f aca="false">C12-152000</f>
        <v>208989</v>
      </c>
      <c r="F12" s="7" t="n">
        <f aca="false">D12/$D$2</f>
        <v>-43.3577010335266</v>
      </c>
      <c r="G12" s="7" t="n">
        <v>329</v>
      </c>
      <c r="H12" s="9" t="n">
        <v>65</v>
      </c>
      <c r="I12" s="7" t="n">
        <f aca="false">G12+H12</f>
        <v>394</v>
      </c>
      <c r="J12" s="105" t="n">
        <f aca="false">IF(L12&gt;0,L12,0)</f>
        <v>188.242298966473</v>
      </c>
      <c r="K12" s="7" t="n">
        <f aca="false">I12+J12</f>
        <v>582.242298966473</v>
      </c>
      <c r="L12" s="7" t="n">
        <f aca="false">F12-(I12-W12)</f>
        <v>188.242298966473</v>
      </c>
      <c r="M12" s="7" t="n">
        <v>9.6</v>
      </c>
      <c r="N12" s="7" t="n">
        <v>0</v>
      </c>
      <c r="O12" s="7" t="n">
        <f aca="false">M12-N12</f>
        <v>9.6</v>
      </c>
      <c r="P12" s="7" t="n">
        <v>0</v>
      </c>
      <c r="Q12" s="7" t="n">
        <v>0</v>
      </c>
      <c r="R12" s="7" t="n">
        <f aca="false">SUM(O12:Q12)</f>
        <v>9.6</v>
      </c>
      <c r="S12" s="8"/>
      <c r="T12" s="7" t="n">
        <v>0</v>
      </c>
      <c r="U12" s="7" t="n">
        <v>616</v>
      </c>
      <c r="V12" s="8" t="n">
        <v>18477</v>
      </c>
      <c r="W12" s="7" t="n">
        <f aca="false">N12+R12+T12+U12</f>
        <v>625.6</v>
      </c>
      <c r="X12" s="7" t="n">
        <f aca="false">IF(L12&lt;0,L12*-1,0)</f>
        <v>0</v>
      </c>
      <c r="Y12" s="7" t="n">
        <f aca="false">W12+X12</f>
        <v>625.6</v>
      </c>
      <c r="Z12" s="11" t="n">
        <v>0</v>
      </c>
      <c r="AA12" s="12" t="n">
        <v>54</v>
      </c>
      <c r="AB12" s="12" t="n">
        <v>26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32" t="n">
        <v>6919.35</v>
      </c>
      <c r="C13" s="8" t="n">
        <v>360774</v>
      </c>
      <c r="D13" s="12" t="n">
        <f aca="false">C13-C12</f>
        <v>-215</v>
      </c>
      <c r="E13" s="8" t="n">
        <f aca="false">C13-152000</f>
        <v>208774</v>
      </c>
      <c r="F13" s="7" t="n">
        <f aca="false">D13/$D$2</f>
        <v>-108.394252583816</v>
      </c>
      <c r="G13" s="7" t="n">
        <v>352</v>
      </c>
      <c r="H13" s="9" t="n">
        <v>77</v>
      </c>
      <c r="I13" s="7" t="n">
        <f aca="false">G13+H13</f>
        <v>429</v>
      </c>
      <c r="J13" s="105" t="n">
        <f aca="false">IF(L13&gt;0,L13,0)</f>
        <v>212.605747416184</v>
      </c>
      <c r="K13" s="7" t="n">
        <f aca="false">I13+J13</f>
        <v>641.605747416183</v>
      </c>
      <c r="L13" s="7" t="n">
        <f aca="false">F13-(I13-W13)</f>
        <v>212.605747416184</v>
      </c>
      <c r="M13" s="7" t="n">
        <v>11</v>
      </c>
      <c r="N13" s="7" t="n">
        <v>0</v>
      </c>
      <c r="O13" s="7" t="n">
        <f aca="false">M13-N13</f>
        <v>11</v>
      </c>
      <c r="P13" s="7" t="n">
        <v>0</v>
      </c>
      <c r="Q13" s="7" t="n">
        <v>0</v>
      </c>
      <c r="R13" s="7" t="n">
        <f aca="false">SUM(O13:Q13)</f>
        <v>11</v>
      </c>
      <c r="S13" s="8"/>
      <c r="T13" s="7" t="n">
        <v>0</v>
      </c>
      <c r="U13" s="7" t="n">
        <v>739</v>
      </c>
      <c r="V13" s="8" t="n">
        <v>18477</v>
      </c>
      <c r="W13" s="7" t="n">
        <f aca="false">N13+R13+T13+U13</f>
        <v>750</v>
      </c>
      <c r="X13" s="7" t="n">
        <f aca="false">IF(L13&lt;0,L13*-1,0)</f>
        <v>0</v>
      </c>
      <c r="Y13" s="7" t="n">
        <f aca="false">W13+X13</f>
        <v>750</v>
      </c>
      <c r="Z13" s="11" t="n">
        <v>0</v>
      </c>
      <c r="AA13" s="12" t="n">
        <v>56</v>
      </c>
      <c r="AB13" s="12" t="n">
        <v>32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32" t="n">
        <v>6919.3</v>
      </c>
      <c r="C14" s="8" t="n">
        <v>360559</v>
      </c>
      <c r="D14" s="12" t="n">
        <f aca="false">C14-C13</f>
        <v>-215</v>
      </c>
      <c r="E14" s="8" t="n">
        <f aca="false">C14-152000</f>
        <v>208559</v>
      </c>
      <c r="F14" s="7" t="n">
        <f aca="false">D14/$D$2</f>
        <v>-108.394252583816</v>
      </c>
      <c r="G14" s="7" t="n">
        <v>381</v>
      </c>
      <c r="H14" s="9" t="n">
        <v>85</v>
      </c>
      <c r="I14" s="7" t="n">
        <f aca="false">G14+H14</f>
        <v>466</v>
      </c>
      <c r="J14" s="105" t="n">
        <f aca="false">IF(L14&gt;0,L14,0)</f>
        <v>274.605747416184</v>
      </c>
      <c r="K14" s="7" t="n">
        <f aca="false">I14+J14</f>
        <v>740.605747416184</v>
      </c>
      <c r="L14" s="7" t="n">
        <f aca="false">F14-(I14-W14)</f>
        <v>274.605747416184</v>
      </c>
      <c r="M14" s="7" t="n">
        <v>13</v>
      </c>
      <c r="N14" s="7" t="n">
        <v>0</v>
      </c>
      <c r="O14" s="7" t="n">
        <f aca="false">M14-N14</f>
        <v>13</v>
      </c>
      <c r="P14" s="7" t="n">
        <v>0</v>
      </c>
      <c r="Q14" s="7" t="n">
        <v>0</v>
      </c>
      <c r="R14" s="7" t="n">
        <f aca="false">SUM(O14:Q14)</f>
        <v>13</v>
      </c>
      <c r="S14" s="8"/>
      <c r="T14" s="7" t="n">
        <v>0</v>
      </c>
      <c r="U14" s="7" t="n">
        <v>836</v>
      </c>
      <c r="V14" s="8" t="n">
        <v>18477</v>
      </c>
      <c r="W14" s="7" t="n">
        <f aca="false">N14+R14+T14+U14</f>
        <v>849</v>
      </c>
      <c r="X14" s="7" t="n">
        <f aca="false">IF(L14&lt;0,L14*-1,0)</f>
        <v>0</v>
      </c>
      <c r="Y14" s="7" t="n">
        <f aca="false">W14+X14</f>
        <v>849</v>
      </c>
      <c r="Z14" s="11" t="n">
        <v>0</v>
      </c>
      <c r="AA14" s="12" t="n">
        <v>54</v>
      </c>
      <c r="AB14" s="12" t="n">
        <v>24</v>
      </c>
      <c r="AC14" s="13" t="n">
        <f aca="false">AC13+1</f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32" t="n">
        <v>6919.27</v>
      </c>
      <c r="C15" s="8" t="n">
        <v>360430</v>
      </c>
      <c r="D15" s="12" t="n">
        <f aca="false">C15-C14</f>
        <v>-129</v>
      </c>
      <c r="E15" s="8" t="n">
        <f aca="false">C15-152000</f>
        <v>208430</v>
      </c>
      <c r="F15" s="7" t="n">
        <f aca="false">D15/$D$2</f>
        <v>-65.0365515502899</v>
      </c>
      <c r="G15" s="7" t="n">
        <v>428</v>
      </c>
      <c r="H15" s="9" t="n">
        <v>95</v>
      </c>
      <c r="I15" s="7" t="n">
        <f aca="false">G15+H15</f>
        <v>523</v>
      </c>
      <c r="J15" s="105" t="n">
        <f aca="false">IF(L15&gt;0,L15,0)</f>
        <v>260.96344844971</v>
      </c>
      <c r="K15" s="7" t="n">
        <f aca="false">I15+J15</f>
        <v>783.96344844971</v>
      </c>
      <c r="L15" s="7" t="n">
        <f aca="false">F15-(I15-W15)</f>
        <v>260.96344844971</v>
      </c>
      <c r="M15" s="7" t="n">
        <v>13</v>
      </c>
      <c r="N15" s="7" t="n">
        <v>0</v>
      </c>
      <c r="O15" s="7" t="n">
        <f aca="false">M15-N15</f>
        <v>13</v>
      </c>
      <c r="P15" s="7" t="n">
        <v>0</v>
      </c>
      <c r="Q15" s="7" t="n">
        <v>0</v>
      </c>
      <c r="R15" s="7" t="n">
        <f aca="false">SUM(O15:Q15)</f>
        <v>13</v>
      </c>
      <c r="S15" s="8"/>
      <c r="T15" s="7" t="n">
        <v>0</v>
      </c>
      <c r="U15" s="7" t="n">
        <v>836</v>
      </c>
      <c r="V15" s="8" t="n">
        <v>18477</v>
      </c>
      <c r="W15" s="7" t="n">
        <f aca="false">N15+R15+T15+U15</f>
        <v>849</v>
      </c>
      <c r="X15" s="7" t="n">
        <f aca="false">IF(L15&lt;0,L15*-1,0)</f>
        <v>0</v>
      </c>
      <c r="Y15" s="7" t="n">
        <f aca="false">W15+X15</f>
        <v>849</v>
      </c>
      <c r="Z15" s="11" t="n">
        <v>0.11</v>
      </c>
      <c r="AA15" s="12" t="n">
        <v>44</v>
      </c>
      <c r="AB15" s="12" t="n">
        <v>30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32" t="n">
        <v>6919.22</v>
      </c>
      <c r="C16" s="8" t="n">
        <v>360214</v>
      </c>
      <c r="D16" s="12" t="n">
        <f aca="false">C16-C15</f>
        <v>-216</v>
      </c>
      <c r="E16" s="8" t="n">
        <f aca="false">C16-152000</f>
        <v>208214</v>
      </c>
      <c r="F16" s="7" t="n">
        <f aca="false">D16/$D$2</f>
        <v>-108.89841189816</v>
      </c>
      <c r="G16" s="7" t="n">
        <v>400</v>
      </c>
      <c r="H16" s="9" t="n">
        <v>76</v>
      </c>
      <c r="I16" s="7" t="n">
        <f aca="false">G16+H16</f>
        <v>476</v>
      </c>
      <c r="J16" s="105" t="n">
        <f aca="false">IF(L16&gt;0,L16,0)</f>
        <v>260.10158810184</v>
      </c>
      <c r="K16" s="7" t="n">
        <f aca="false">I16+J16</f>
        <v>736.10158810184</v>
      </c>
      <c r="L16" s="7" t="n">
        <f aca="false">F16-(I16-W16)</f>
        <v>260.10158810184</v>
      </c>
      <c r="M16" s="7" t="n">
        <v>13</v>
      </c>
      <c r="N16" s="7" t="n">
        <f aca="false">(1.5)*1.05</f>
        <v>1.575</v>
      </c>
      <c r="O16" s="7" t="n">
        <f aca="false">M16-N16</f>
        <v>11.425</v>
      </c>
      <c r="P16" s="7" t="n">
        <v>0</v>
      </c>
      <c r="Q16" s="7" t="n">
        <v>0</v>
      </c>
      <c r="R16" s="7" t="n">
        <f aca="false">SUM(O16:Q16)</f>
        <v>11.425</v>
      </c>
      <c r="S16" s="8"/>
      <c r="T16" s="7" t="n">
        <v>0</v>
      </c>
      <c r="U16" s="7" t="n">
        <v>832</v>
      </c>
      <c r="V16" s="8" t="n">
        <v>18477</v>
      </c>
      <c r="W16" s="7" t="n">
        <f aca="false">N16+R16+T16+U16</f>
        <v>845</v>
      </c>
      <c r="X16" s="7" t="n">
        <f aca="false">IF(L16&lt;0,L16*-1,0)</f>
        <v>0</v>
      </c>
      <c r="Y16" s="7" t="n">
        <f aca="false">W16+X16</f>
        <v>845</v>
      </c>
      <c r="Z16" s="11" t="n">
        <v>0.16</v>
      </c>
      <c r="AA16" s="12" t="n">
        <v>46</v>
      </c>
      <c r="AB16" s="12" t="n">
        <v>30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32" t="n">
        <v>6919.07</v>
      </c>
      <c r="C17" s="8" t="n">
        <v>359568</v>
      </c>
      <c r="D17" s="12" t="n">
        <f aca="false">C17-C16</f>
        <v>-646</v>
      </c>
      <c r="E17" s="8" t="n">
        <f aca="false">C17-152000</f>
        <v>207568</v>
      </c>
      <c r="F17" s="7" t="n">
        <f aca="false">D17/$D$2</f>
        <v>-325.686917065793</v>
      </c>
      <c r="G17" s="7" t="n">
        <v>351</v>
      </c>
      <c r="H17" s="9" t="n">
        <v>62</v>
      </c>
      <c r="I17" s="7" t="n">
        <f aca="false">G17+H17</f>
        <v>413</v>
      </c>
      <c r="J17" s="105" t="n">
        <f aca="false">IF(L17&gt;0,L17,0)</f>
        <v>107.313082934207</v>
      </c>
      <c r="K17" s="7" t="n">
        <f aca="false">I17+J17</f>
        <v>520.313082934207</v>
      </c>
      <c r="L17" s="7" t="n">
        <f aca="false">F17-(I17-W17)</f>
        <v>107.313082934207</v>
      </c>
      <c r="M17" s="7" t="n">
        <v>13</v>
      </c>
      <c r="N17" s="7" t="n">
        <f aca="false">(2.1)*1.05</f>
        <v>2.205</v>
      </c>
      <c r="O17" s="7" t="n">
        <f aca="false">M17-N17</f>
        <v>10.795</v>
      </c>
      <c r="P17" s="7" t="n">
        <v>0</v>
      </c>
      <c r="Q17" s="7" t="n">
        <v>0</v>
      </c>
      <c r="R17" s="7" t="n">
        <f aca="false">SUM(O17:Q17)</f>
        <v>10.795</v>
      </c>
      <c r="S17" s="7"/>
      <c r="T17" s="7" t="n">
        <v>0</v>
      </c>
      <c r="U17" s="7" t="n">
        <v>833</v>
      </c>
      <c r="V17" s="8" t="n">
        <v>18477</v>
      </c>
      <c r="W17" s="7" t="n">
        <f aca="false">N17+R17+T17+U17</f>
        <v>846</v>
      </c>
      <c r="X17" s="7" t="n">
        <f aca="false">IF(L17&lt;0,L17*-1,0)</f>
        <v>0</v>
      </c>
      <c r="Y17" s="7" t="n">
        <f aca="false">W17+X17</f>
        <v>846</v>
      </c>
      <c r="Z17" s="11" t="n">
        <v>0.02</v>
      </c>
      <c r="AA17" s="12" t="n">
        <v>48</v>
      </c>
      <c r="AB17" s="12" t="n">
        <v>26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32" t="n">
        <v>6918.94</v>
      </c>
      <c r="C18" s="8" t="n">
        <v>359010</v>
      </c>
      <c r="D18" s="12" t="n">
        <f aca="false">C18-C17</f>
        <v>-558</v>
      </c>
      <c r="E18" s="8" t="n">
        <f aca="false">C18-152000</f>
        <v>207010</v>
      </c>
      <c r="F18" s="7" t="n">
        <f aca="false">D18/$D$2</f>
        <v>-281.320897403579</v>
      </c>
      <c r="G18" s="7" t="n">
        <v>335</v>
      </c>
      <c r="H18" s="9" t="n">
        <v>52</v>
      </c>
      <c r="I18" s="7" t="n">
        <f aca="false">G18+H18</f>
        <v>387</v>
      </c>
      <c r="J18" s="105" t="n">
        <f aca="false">IF(L18&gt;0,L18,0)</f>
        <v>178.67910259642</v>
      </c>
      <c r="K18" s="7" t="n">
        <f aca="false">I18+J18</f>
        <v>565.679102596421</v>
      </c>
      <c r="L18" s="7" t="n">
        <f aca="false">F18-(I18-W18)</f>
        <v>178.67910259642</v>
      </c>
      <c r="M18" s="7" t="n">
        <v>16</v>
      </c>
      <c r="N18" s="7" t="n">
        <f aca="false">(5.5)*1.05</f>
        <v>5.775</v>
      </c>
      <c r="O18" s="7" t="n">
        <f aca="false">M18-N18</f>
        <v>10.225</v>
      </c>
      <c r="P18" s="7" t="n">
        <v>0</v>
      </c>
      <c r="Q18" s="7" t="n">
        <v>0</v>
      </c>
      <c r="R18" s="7" t="n">
        <f aca="false">SUM(O18:Q18)</f>
        <v>10.225</v>
      </c>
      <c r="S18" s="7"/>
      <c r="T18" s="7" t="n">
        <v>0</v>
      </c>
      <c r="U18" s="7" t="n">
        <v>831</v>
      </c>
      <c r="V18" s="8" t="n">
        <v>18477</v>
      </c>
      <c r="W18" s="7" t="n">
        <f aca="false">N18+R18+T18+U18</f>
        <v>847</v>
      </c>
      <c r="X18" s="7" t="n">
        <f aca="false">IF(L18&lt;0,L18*-1,0)</f>
        <v>0</v>
      </c>
      <c r="Y18" s="7" t="n">
        <f aca="false">W18+X18</f>
        <v>847</v>
      </c>
      <c r="Z18" s="11" t="n">
        <v>0</v>
      </c>
      <c r="AA18" s="43" t="n">
        <v>53</v>
      </c>
      <c r="AB18" s="12" t="n">
        <v>33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32" t="n">
        <v>6918.87</v>
      </c>
      <c r="C19" s="8" t="n">
        <v>358711</v>
      </c>
      <c r="D19" s="12" t="n">
        <f aca="false">C19-C18</f>
        <v>-299</v>
      </c>
      <c r="E19" s="8" t="n">
        <f aca="false">C19-152000</f>
        <v>206711</v>
      </c>
      <c r="F19" s="7" t="n">
        <f aca="false">D19/$D$2</f>
        <v>-150.743634988656</v>
      </c>
      <c r="G19" s="7" t="n">
        <v>334</v>
      </c>
      <c r="H19" s="9" t="n">
        <v>53</v>
      </c>
      <c r="I19" s="7" t="n">
        <f aca="false">G19+H19</f>
        <v>387</v>
      </c>
      <c r="J19" s="105" t="n">
        <f aca="false">IF(L19&gt;0,L19,0)</f>
        <v>312.256365011344</v>
      </c>
      <c r="K19" s="7" t="n">
        <f aca="false">I19+J19</f>
        <v>699.256365011344</v>
      </c>
      <c r="L19" s="7" t="n">
        <f aca="false">F19-(I19-W19)</f>
        <v>312.256365011344</v>
      </c>
      <c r="M19" s="7" t="n">
        <v>19</v>
      </c>
      <c r="N19" s="7" t="n">
        <f aca="false">(8.2)*1.05</f>
        <v>8.61</v>
      </c>
      <c r="O19" s="7" t="n">
        <f aca="false">M19-N19</f>
        <v>10.39</v>
      </c>
      <c r="P19" s="7" t="n">
        <v>0</v>
      </c>
      <c r="Q19" s="7" t="n">
        <v>0</v>
      </c>
      <c r="R19" s="7" t="n">
        <f aca="false">SUM(O19:Q19)</f>
        <v>10.39</v>
      </c>
      <c r="S19" s="7"/>
      <c r="T19" s="7" t="n">
        <v>0</v>
      </c>
      <c r="U19" s="7" t="n">
        <v>831</v>
      </c>
      <c r="V19" s="8" t="n">
        <v>18477</v>
      </c>
      <c r="W19" s="7" t="n">
        <f aca="false">N19+R19+T19+U19</f>
        <v>850</v>
      </c>
      <c r="X19" s="7" t="n">
        <f aca="false">IF(L19&lt;0,L19*-1,0)</f>
        <v>0</v>
      </c>
      <c r="Y19" s="7" t="n">
        <f aca="false">W19+X19</f>
        <v>850</v>
      </c>
      <c r="Z19" s="11" t="n">
        <v>0</v>
      </c>
      <c r="AA19" s="12" t="n">
        <v>67</v>
      </c>
      <c r="AB19" s="12" t="n">
        <v>34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32" t="n">
        <v>6919.02</v>
      </c>
      <c r="C20" s="8" t="n">
        <v>359353</v>
      </c>
      <c r="D20" s="12" t="n">
        <f aca="false">C20-C19</f>
        <v>642</v>
      </c>
      <c r="E20" s="8" t="n">
        <f aca="false">C20-152000</f>
        <v>207353</v>
      </c>
      <c r="F20" s="7" t="n">
        <f aca="false">D20/$D$2</f>
        <v>323.670279808419</v>
      </c>
      <c r="G20" s="7" t="n">
        <v>480</v>
      </c>
      <c r="H20" s="9" t="n">
        <v>100</v>
      </c>
      <c r="I20" s="7" t="n">
        <f aca="false">G20+H20</f>
        <v>580</v>
      </c>
      <c r="J20" s="105" t="n">
        <f aca="false">IF(L20&gt;0,L20,0)</f>
        <v>596.67027980842</v>
      </c>
      <c r="K20" s="7" t="n">
        <f aca="false">I20+J20</f>
        <v>1176.67027980842</v>
      </c>
      <c r="L20" s="7" t="n">
        <f aca="false">F20-(I20-W20)</f>
        <v>596.67027980842</v>
      </c>
      <c r="M20" s="7" t="n">
        <v>20</v>
      </c>
      <c r="N20" s="7" t="n">
        <f aca="false">(9.9)*1.05</f>
        <v>10.395</v>
      </c>
      <c r="O20" s="7" t="n">
        <f aca="false">M20-N20</f>
        <v>9.605</v>
      </c>
      <c r="P20" s="7" t="n">
        <v>0</v>
      </c>
      <c r="Q20" s="7" t="n">
        <v>0</v>
      </c>
      <c r="R20" s="7" t="n">
        <f aca="false">SUM(O20:Q20)</f>
        <v>9.605</v>
      </c>
      <c r="S20" s="7"/>
      <c r="T20" s="7" t="n">
        <v>0</v>
      </c>
      <c r="U20" s="7" t="n">
        <v>833</v>
      </c>
      <c r="V20" s="8" t="n">
        <v>18477</v>
      </c>
      <c r="W20" s="7" t="n">
        <f aca="false">N20+R20+T20+U20</f>
        <v>853</v>
      </c>
      <c r="X20" s="7" t="n">
        <f aca="false">IF(L20&lt;0,L20*-1,0)</f>
        <v>0</v>
      </c>
      <c r="Y20" s="7" t="n">
        <f aca="false">W20+X20</f>
        <v>853</v>
      </c>
      <c r="Z20" s="11" t="n">
        <v>0</v>
      </c>
      <c r="AA20" s="12" t="n">
        <v>73</v>
      </c>
      <c r="AB20" s="12" t="n">
        <v>43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32" t="n">
        <v>6919.42</v>
      </c>
      <c r="C21" s="8" t="n">
        <v>361075</v>
      </c>
      <c r="D21" s="12" t="n">
        <f aca="false">C21-C20</f>
        <v>1722</v>
      </c>
      <c r="E21" s="8" t="n">
        <f aca="false">C21-152000</f>
        <v>209075</v>
      </c>
      <c r="F21" s="7" t="n">
        <f aca="false">D21/$D$2</f>
        <v>868.162339299218</v>
      </c>
      <c r="G21" s="7" t="n">
        <v>693</v>
      </c>
      <c r="H21" s="9" t="n">
        <v>196</v>
      </c>
      <c r="I21" s="7" t="n">
        <f aca="false">G21+H21</f>
        <v>889</v>
      </c>
      <c r="J21" s="105" t="n">
        <f aca="false">IF(L21&gt;0,L21,0)</f>
        <v>830.162339299219</v>
      </c>
      <c r="K21" s="7" t="n">
        <f aca="false">I21+J21</f>
        <v>1719.16233929922</v>
      </c>
      <c r="L21" s="7" t="n">
        <f aca="false">F21-(I21-W21)</f>
        <v>830.162339299219</v>
      </c>
      <c r="M21" s="7" t="n">
        <v>18</v>
      </c>
      <c r="N21" s="7" t="n">
        <f aca="false">(2.5)*1.05</f>
        <v>2.625</v>
      </c>
      <c r="O21" s="7" t="n">
        <f aca="false">M21-N21</f>
        <v>15.375</v>
      </c>
      <c r="P21" s="7" t="n">
        <v>0</v>
      </c>
      <c r="Q21" s="7" t="n">
        <v>0</v>
      </c>
      <c r="R21" s="7" t="n">
        <f aca="false">SUM(O21:Q21)</f>
        <v>15.375</v>
      </c>
      <c r="S21" s="7"/>
      <c r="T21" s="7" t="n">
        <v>0</v>
      </c>
      <c r="U21" s="7" t="n">
        <v>833</v>
      </c>
      <c r="V21" s="8" t="n">
        <v>18477</v>
      </c>
      <c r="W21" s="7" t="n">
        <f aca="false">N21+R21+T21+U21</f>
        <v>851</v>
      </c>
      <c r="X21" s="7" t="n">
        <f aca="false">IF(L21&lt;0,L21*-1,0)</f>
        <v>0</v>
      </c>
      <c r="Y21" s="7" t="n">
        <f aca="false">W21+X21</f>
        <v>851</v>
      </c>
      <c r="Z21" s="11" t="n">
        <v>0.06</v>
      </c>
      <c r="AA21" s="12" t="n">
        <v>50</v>
      </c>
      <c r="AB21" s="12" t="n">
        <v>34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32" t="n">
        <v>6919.55</v>
      </c>
      <c r="C22" s="8" t="n">
        <v>361635</v>
      </c>
      <c r="D22" s="12" t="n">
        <f aca="false">C22-C21</f>
        <v>560</v>
      </c>
      <c r="E22" s="8" t="n">
        <f aca="false">C22-152000</f>
        <v>209635</v>
      </c>
      <c r="F22" s="7" t="n">
        <f aca="false">D22/$D$2</f>
        <v>282.329216032266</v>
      </c>
      <c r="G22" s="7" t="n">
        <v>564</v>
      </c>
      <c r="H22" s="9" t="n">
        <v>127</v>
      </c>
      <c r="I22" s="7" t="n">
        <f aca="false">G22+H22</f>
        <v>691</v>
      </c>
      <c r="J22" s="105" t="n">
        <f aca="false">IF(L22&gt;0,L22,0)</f>
        <v>440.329216032266</v>
      </c>
      <c r="K22" s="7" t="n">
        <f aca="false">I22+J22</f>
        <v>1131.32921603227</v>
      </c>
      <c r="L22" s="7" t="n">
        <f aca="false">F22-(I22-W22)</f>
        <v>440.329216032266</v>
      </c>
      <c r="M22" s="7" t="n">
        <v>19</v>
      </c>
      <c r="N22" s="7" t="n">
        <f aca="false">(6.8+6.5)*1.05</f>
        <v>13.965</v>
      </c>
      <c r="O22" s="7" t="n">
        <f aca="false">M22-N22</f>
        <v>5.035</v>
      </c>
      <c r="P22" s="7" t="n">
        <v>0</v>
      </c>
      <c r="Q22" s="7" t="n">
        <v>0</v>
      </c>
      <c r="R22" s="7" t="n">
        <f aca="false">SUM(O22:Q22)</f>
        <v>5.035</v>
      </c>
      <c r="S22" s="7"/>
      <c r="T22" s="7" t="n">
        <v>0</v>
      </c>
      <c r="U22" s="7" t="n">
        <v>830</v>
      </c>
      <c r="V22" s="8" t="n">
        <v>18477</v>
      </c>
      <c r="W22" s="7" t="n">
        <f aca="false">N22+R22+T22+U22</f>
        <v>849</v>
      </c>
      <c r="X22" s="7" t="n">
        <f aca="false">IF(L22&lt;0,L22*-1,0)</f>
        <v>0</v>
      </c>
      <c r="Y22" s="7" t="n">
        <f aca="false">W22+X22</f>
        <v>849</v>
      </c>
      <c r="Z22" s="11" t="n">
        <v>0</v>
      </c>
      <c r="AA22" s="12" t="n">
        <v>52</v>
      </c>
      <c r="AB22" s="12" t="n">
        <v>33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32" t="n">
        <v>6919.6</v>
      </c>
      <c r="C23" s="8" t="n">
        <v>361851</v>
      </c>
      <c r="D23" s="12" t="n">
        <f aca="false">C23-C22</f>
        <v>216</v>
      </c>
      <c r="E23" s="8" t="n">
        <f aca="false">C23-152000</f>
        <v>209851</v>
      </c>
      <c r="F23" s="7" t="n">
        <f aca="false">D23/$D$2</f>
        <v>108.89841189816</v>
      </c>
      <c r="G23" s="7" t="n">
        <v>517</v>
      </c>
      <c r="H23" s="9" t="n">
        <v>93</v>
      </c>
      <c r="I23" s="7" t="n">
        <f aca="false">G23+H23</f>
        <v>610</v>
      </c>
      <c r="J23" s="105" t="n">
        <f aca="false">IF(L23&gt;0,L23,0)</f>
        <v>376.89841189816</v>
      </c>
      <c r="K23" s="7" t="n">
        <f aca="false">I23+J23</f>
        <v>986.89841189816</v>
      </c>
      <c r="L23" s="7" t="n">
        <f aca="false">F23-(I23-W23)</f>
        <v>376.89841189816</v>
      </c>
      <c r="M23" s="7" t="n">
        <v>52</v>
      </c>
      <c r="N23" s="7" t="n">
        <f aca="false">(20+20)*1.05</f>
        <v>42</v>
      </c>
      <c r="O23" s="7" t="n">
        <f aca="false">M23-N23</f>
        <v>10</v>
      </c>
      <c r="P23" s="7" t="n">
        <v>0</v>
      </c>
      <c r="Q23" s="7" t="n">
        <v>0</v>
      </c>
      <c r="R23" s="7" t="n">
        <f aca="false">SUM(O23:Q23)</f>
        <v>10</v>
      </c>
      <c r="S23" s="7"/>
      <c r="T23" s="7" t="n">
        <v>0</v>
      </c>
      <c r="U23" s="7" t="n">
        <v>826</v>
      </c>
      <c r="V23" s="8" t="n">
        <v>18477</v>
      </c>
      <c r="W23" s="7" t="n">
        <f aca="false">N23+R23+T23+U23</f>
        <v>878</v>
      </c>
      <c r="X23" s="7" t="n">
        <f aca="false">IF(L23&lt;0,L23*-1,0)</f>
        <v>0</v>
      </c>
      <c r="Y23" s="7" t="n">
        <f aca="false">W23+X23</f>
        <v>878</v>
      </c>
      <c r="Z23" s="11" t="n">
        <v>0.01</v>
      </c>
      <c r="AA23" s="43" t="n">
        <v>50</v>
      </c>
      <c r="AB23" s="12" t="n">
        <v>32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32" t="n">
        <v>6919.57</v>
      </c>
      <c r="C24" s="8" t="n">
        <v>361721</v>
      </c>
      <c r="D24" s="12" t="n">
        <f aca="false">C24-C23</f>
        <v>-130</v>
      </c>
      <c r="E24" s="8" t="n">
        <f aca="false">C24-152000</f>
        <v>209721</v>
      </c>
      <c r="F24" s="7" t="n">
        <f aca="false">D24/$D$2</f>
        <v>-65.5407108646332</v>
      </c>
      <c r="G24" s="7" t="n">
        <v>465</v>
      </c>
      <c r="H24" s="9" t="n">
        <v>75</v>
      </c>
      <c r="I24" s="7" t="n">
        <f aca="false">G24+H24</f>
        <v>540</v>
      </c>
      <c r="J24" s="105" t="n">
        <f aca="false">IF(L24&gt;0,L24,0)</f>
        <v>307.459289135367</v>
      </c>
      <c r="K24" s="7" t="n">
        <f aca="false">I24+J24</f>
        <v>847.459289135367</v>
      </c>
      <c r="L24" s="7" t="n">
        <f aca="false">F24-(I24-W24)</f>
        <v>307.459289135367</v>
      </c>
      <c r="M24" s="7" t="n">
        <v>93</v>
      </c>
      <c r="N24" s="7" t="n">
        <f aca="false">(35+34)*1.05</f>
        <v>72.45</v>
      </c>
      <c r="O24" s="7" t="n">
        <f aca="false">M24-N24</f>
        <v>20.55</v>
      </c>
      <c r="P24" s="7" t="n">
        <v>0</v>
      </c>
      <c r="Q24" s="7" t="n">
        <v>0</v>
      </c>
      <c r="R24" s="7" t="n">
        <f aca="false">SUM(O24:Q24)</f>
        <v>20.55</v>
      </c>
      <c r="S24" s="7"/>
      <c r="T24" s="7" t="n">
        <v>0</v>
      </c>
      <c r="U24" s="7" t="n">
        <v>820</v>
      </c>
      <c r="V24" s="8" t="n">
        <v>18477</v>
      </c>
      <c r="W24" s="7" t="n">
        <f aca="false">N24+R24+T24+U24</f>
        <v>913</v>
      </c>
      <c r="X24" s="7" t="n">
        <f aca="false">IF(L24&lt;0,L24*-1,0)</f>
        <v>0</v>
      </c>
      <c r="Y24" s="7" t="n">
        <f aca="false">W24+X24</f>
        <v>913</v>
      </c>
      <c r="Z24" s="11" t="n">
        <v>0.04</v>
      </c>
      <c r="AA24" s="43" t="n">
        <v>44</v>
      </c>
      <c r="AB24" s="12" t="n">
        <v>33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32" t="n">
        <v>6919.49</v>
      </c>
      <c r="C25" s="8" t="n">
        <v>361377</v>
      </c>
      <c r="D25" s="12" t="n">
        <f aca="false">C25-C24</f>
        <v>-344</v>
      </c>
      <c r="E25" s="8" t="n">
        <f aca="false">C25-152000</f>
        <v>209377</v>
      </c>
      <c r="F25" s="7" t="n">
        <f aca="false">D25/$D$2</f>
        <v>-173.430804134106</v>
      </c>
      <c r="G25" s="7" t="n">
        <v>427</v>
      </c>
      <c r="H25" s="9" t="n">
        <v>53</v>
      </c>
      <c r="I25" s="7" t="n">
        <f aca="false">G25+H25</f>
        <v>480</v>
      </c>
      <c r="J25" s="105" t="n">
        <f aca="false">IF(L25&gt;0,L25,0)</f>
        <v>251.569195865894</v>
      </c>
      <c r="K25" s="7" t="n">
        <f aca="false">I25+J25</f>
        <v>731.569195865894</v>
      </c>
      <c r="L25" s="7" t="n">
        <f aca="false">F25-(I25-W25)</f>
        <v>251.569195865894</v>
      </c>
      <c r="M25" s="7" t="n">
        <v>85</v>
      </c>
      <c r="N25" s="7" t="n">
        <f aca="false">(35+38)*1.05</f>
        <v>76.65</v>
      </c>
      <c r="O25" s="7" t="n">
        <f aca="false">M25-N25</f>
        <v>8.34999999999999</v>
      </c>
      <c r="P25" s="7" t="n">
        <v>0</v>
      </c>
      <c r="Q25" s="7" t="n">
        <v>0</v>
      </c>
      <c r="R25" s="7" t="n">
        <f aca="false">SUM(O25:Q25)</f>
        <v>8.34999999999999</v>
      </c>
      <c r="S25" s="7"/>
      <c r="T25" s="7" t="n">
        <v>0</v>
      </c>
      <c r="U25" s="7" t="n">
        <v>820</v>
      </c>
      <c r="V25" s="8" t="n">
        <v>18477</v>
      </c>
      <c r="W25" s="7" t="n">
        <f aca="false">N25+R25+T25+U25</f>
        <v>905</v>
      </c>
      <c r="X25" s="7" t="n">
        <f aca="false">IF(L25&lt;0,L25*-1,0)</f>
        <v>0</v>
      </c>
      <c r="Y25" s="7" t="n">
        <f aca="false">W25+X25</f>
        <v>905</v>
      </c>
      <c r="Z25" s="11" t="n">
        <v>0.05</v>
      </c>
      <c r="AA25" s="43" t="n">
        <v>41</v>
      </c>
      <c r="AB25" s="12" t="n">
        <v>28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32" t="n">
        <v>6919.35</v>
      </c>
      <c r="C26" s="8" t="n">
        <v>360774</v>
      </c>
      <c r="D26" s="12" t="n">
        <f aca="false">C26-C25</f>
        <v>-603</v>
      </c>
      <c r="E26" s="8" t="n">
        <f aca="false">C26-152000</f>
        <v>208774</v>
      </c>
      <c r="F26" s="7" t="n">
        <f aca="false">D26/$D$2</f>
        <v>-304.008066549029</v>
      </c>
      <c r="G26" s="7" t="n">
        <v>390</v>
      </c>
      <c r="H26" s="9" t="n">
        <v>51</v>
      </c>
      <c r="I26" s="7" t="n">
        <f aca="false">G26+H26</f>
        <v>441</v>
      </c>
      <c r="J26" s="105" t="n">
        <f aca="false">IF(L26&gt;0,L26,0)</f>
        <v>172.991933450971</v>
      </c>
      <c r="K26" s="7" t="n">
        <f aca="false">I26+J26</f>
        <v>613.99193345097</v>
      </c>
      <c r="L26" s="7" t="n">
        <f aca="false">F26-(I26-W26)</f>
        <v>172.991933450971</v>
      </c>
      <c r="M26" s="7" t="n">
        <v>99</v>
      </c>
      <c r="N26" s="7" t="n">
        <f aca="false">(35+36)*1.05</f>
        <v>74.55</v>
      </c>
      <c r="O26" s="7" t="n">
        <f aca="false">M26-N26</f>
        <v>24.45</v>
      </c>
      <c r="P26" s="7" t="n">
        <v>0</v>
      </c>
      <c r="Q26" s="7" t="n">
        <v>0</v>
      </c>
      <c r="R26" s="7" t="n">
        <f aca="false">SUM(O26:Q26)</f>
        <v>24.45</v>
      </c>
      <c r="S26" s="7"/>
      <c r="T26" s="7" t="n">
        <v>0</v>
      </c>
      <c r="U26" s="7" t="n">
        <v>819</v>
      </c>
      <c r="V26" s="8" t="n">
        <v>18477</v>
      </c>
      <c r="W26" s="7" t="n">
        <f aca="false">N26+R26+T26+U26</f>
        <v>918</v>
      </c>
      <c r="X26" s="7" t="n">
        <f aca="false">IF(L26&lt;0,L26*-1,0)</f>
        <v>0</v>
      </c>
      <c r="Y26" s="7" t="n">
        <f aca="false">W26+X26</f>
        <v>918</v>
      </c>
      <c r="Z26" s="11" t="n">
        <v>0</v>
      </c>
      <c r="AA26" s="43" t="n">
        <v>51</v>
      </c>
      <c r="AB26" s="12" t="n">
        <v>30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32" t="n">
        <v>6919.25</v>
      </c>
      <c r="C27" s="8" t="n">
        <v>360300</v>
      </c>
      <c r="D27" s="12" t="n">
        <f aca="false">C27-C26</f>
        <v>-474</v>
      </c>
      <c r="E27" s="8" t="n">
        <f aca="false">C27-152000</f>
        <v>208300</v>
      </c>
      <c r="F27" s="7" t="n">
        <f aca="false">D27/$D$2</f>
        <v>-238.97151499874</v>
      </c>
      <c r="G27" s="7" t="n">
        <v>403</v>
      </c>
      <c r="H27" s="9" t="n">
        <v>60</v>
      </c>
      <c r="I27" s="7" t="n">
        <f aca="false">G27+H27</f>
        <v>463</v>
      </c>
      <c r="J27" s="105" t="n">
        <f aca="false">IF(L27&gt;0,L27,0)</f>
        <v>206.02848500126</v>
      </c>
      <c r="K27" s="7" t="n">
        <f aca="false">I27+J27</f>
        <v>669.02848500126</v>
      </c>
      <c r="L27" s="7" t="n">
        <f aca="false">F27-(I27-W27)</f>
        <v>206.02848500126</v>
      </c>
      <c r="M27" s="7" t="n">
        <v>91</v>
      </c>
      <c r="N27" s="7" t="n">
        <f aca="false">(34+33)*1.05</f>
        <v>70.35</v>
      </c>
      <c r="O27" s="7" t="n">
        <f aca="false">M27-N27</f>
        <v>20.65</v>
      </c>
      <c r="P27" s="7" t="n">
        <v>0</v>
      </c>
      <c r="Q27" s="7" t="n">
        <v>0</v>
      </c>
      <c r="R27" s="7" t="n">
        <f aca="false">SUM(O27:Q27)</f>
        <v>20.65</v>
      </c>
      <c r="S27" s="7"/>
      <c r="T27" s="7" t="n">
        <v>0</v>
      </c>
      <c r="U27" s="7" t="n">
        <v>817</v>
      </c>
      <c r="V27" s="8" t="n">
        <v>18477</v>
      </c>
      <c r="W27" s="7" t="n">
        <f aca="false">N27+R27+T27+U27</f>
        <v>908</v>
      </c>
      <c r="X27" s="7" t="n">
        <f aca="false">IF(L27&lt;0,L27*-1,0)</f>
        <v>0</v>
      </c>
      <c r="Y27" s="7" t="n">
        <f aca="false">W27+X27</f>
        <v>908</v>
      </c>
      <c r="Z27" s="11" t="n">
        <v>0</v>
      </c>
      <c r="AA27" s="43" t="n">
        <v>51</v>
      </c>
      <c r="AB27" s="12" t="n">
        <v>32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32" t="n">
        <v>6919.22</v>
      </c>
      <c r="C28" s="8" t="n">
        <v>360214</v>
      </c>
      <c r="D28" s="12" t="n">
        <f aca="false">C28-C27</f>
        <v>-86</v>
      </c>
      <c r="E28" s="8" t="n">
        <f aca="false">C28-152000</f>
        <v>208214</v>
      </c>
      <c r="F28" s="7" t="n">
        <f aca="false">D28/$D$2</f>
        <v>-43.3577010335266</v>
      </c>
      <c r="G28" s="7" t="n">
        <v>401</v>
      </c>
      <c r="H28" s="9" t="n">
        <v>61</v>
      </c>
      <c r="I28" s="7" t="n">
        <f aca="false">G28+H28</f>
        <v>462</v>
      </c>
      <c r="J28" s="105" t="n">
        <f aca="false">IF(L28&gt;0,L28,0)</f>
        <v>391.642298966473</v>
      </c>
      <c r="K28" s="7" t="n">
        <f aca="false">I28+J28</f>
        <v>853.642298966473</v>
      </c>
      <c r="L28" s="7" t="n">
        <f aca="false">F28-(I28-W28)</f>
        <v>391.642298966473</v>
      </c>
      <c r="M28" s="7" t="n">
        <v>80</v>
      </c>
      <c r="N28" s="7" t="n">
        <f aca="false">(30+30)*1.05</f>
        <v>63</v>
      </c>
      <c r="O28" s="7" t="n">
        <f aca="false">M28-N28</f>
        <v>17</v>
      </c>
      <c r="P28" s="7" t="n">
        <v>0</v>
      </c>
      <c r="Q28" s="7" t="n">
        <v>0</v>
      </c>
      <c r="R28" s="7" t="n">
        <f aca="false">SUM(O28:Q28)</f>
        <v>17</v>
      </c>
      <c r="S28" s="7"/>
      <c r="T28" s="7" t="n">
        <v>0</v>
      </c>
      <c r="U28" s="7" t="n">
        <v>817</v>
      </c>
      <c r="V28" s="8" t="n">
        <v>18477</v>
      </c>
      <c r="W28" s="7" t="n">
        <f aca="false">N28+R28+T28+U28</f>
        <v>897</v>
      </c>
      <c r="X28" s="7" t="n">
        <f aca="false">IF(L28&lt;0,L28*-1,0)</f>
        <v>0</v>
      </c>
      <c r="Y28" s="7" t="n">
        <f aca="false">W28+X28</f>
        <v>897</v>
      </c>
      <c r="Z28" s="11" t="n">
        <v>0</v>
      </c>
      <c r="AA28" s="43" t="n">
        <v>59</v>
      </c>
      <c r="AB28" s="12" t="n">
        <v>29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32" t="n">
        <v>6912.35</v>
      </c>
      <c r="C29" s="8" t="n">
        <v>360774</v>
      </c>
      <c r="D29" s="12" t="n">
        <f aca="false">C29-C28</f>
        <v>560</v>
      </c>
      <c r="E29" s="8" t="n">
        <f aca="false">C29-152000</f>
        <v>208774</v>
      </c>
      <c r="F29" s="7" t="n">
        <f aca="false">D29/$D$2</f>
        <v>282.329216032266</v>
      </c>
      <c r="G29" s="7" t="n">
        <v>490</v>
      </c>
      <c r="H29" s="9" t="n">
        <v>69</v>
      </c>
      <c r="I29" s="7" t="n">
        <f aca="false">G29+H29</f>
        <v>559</v>
      </c>
      <c r="J29" s="105" t="n">
        <f aca="false">IF(L29&gt;0,L29,0)</f>
        <v>648.329216032266</v>
      </c>
      <c r="K29" s="7" t="n">
        <f aca="false">I29+J29</f>
        <v>1207.32921603227</v>
      </c>
      <c r="L29" s="7" t="n">
        <f aca="false">F29-(I29-W29)</f>
        <v>648.329216032266</v>
      </c>
      <c r="M29" s="7" t="n">
        <v>78</v>
      </c>
      <c r="N29" s="7" t="n">
        <f aca="false">(28+29)*1.05</f>
        <v>59.85</v>
      </c>
      <c r="O29" s="7" t="n">
        <f aca="false">M29-N29</f>
        <v>18.15</v>
      </c>
      <c r="P29" s="7" t="n">
        <v>0</v>
      </c>
      <c r="Q29" s="7" t="n">
        <v>0</v>
      </c>
      <c r="R29" s="7" t="n">
        <f aca="false">SUM(O29:Q29)</f>
        <v>18.15</v>
      </c>
      <c r="S29" s="7"/>
      <c r="T29" s="7" t="n">
        <v>29</v>
      </c>
      <c r="U29" s="7" t="n">
        <v>818</v>
      </c>
      <c r="V29" s="8" t="n">
        <v>18477</v>
      </c>
      <c r="W29" s="7" t="n">
        <f aca="false">N29+R29+T29+U29</f>
        <v>925</v>
      </c>
      <c r="X29" s="7" t="n">
        <f aca="false">IF(L29&lt;0,L29*-1,0)</f>
        <v>0</v>
      </c>
      <c r="Y29" s="7" t="n">
        <f aca="false">W29+X29</f>
        <v>925</v>
      </c>
      <c r="Z29" s="11" t="n">
        <v>0</v>
      </c>
      <c r="AA29" s="43" t="n">
        <v>60</v>
      </c>
      <c r="AB29" s="12" t="n">
        <v>35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32" t="n">
        <v>6919.65</v>
      </c>
      <c r="C30" s="8" t="n">
        <v>362066</v>
      </c>
      <c r="D30" s="12" t="n">
        <f aca="false">C30-C29</f>
        <v>1292</v>
      </c>
      <c r="E30" s="8" t="n">
        <f aca="false">C30-152000</f>
        <v>210066</v>
      </c>
      <c r="F30" s="7" t="n">
        <f aca="false">D30/$D$2</f>
        <v>651.373834131586</v>
      </c>
      <c r="G30" s="7" t="n">
        <v>645</v>
      </c>
      <c r="H30" s="9" t="n">
        <v>118</v>
      </c>
      <c r="I30" s="7" t="n">
        <f aca="false">G30+H30</f>
        <v>763</v>
      </c>
      <c r="J30" s="105" t="n">
        <f aca="false">IF(L30&gt;0,L30,0)</f>
        <v>808.373834131586</v>
      </c>
      <c r="K30" s="7" t="n">
        <f aca="false">I30+J30</f>
        <v>1571.37383413159</v>
      </c>
      <c r="L30" s="7" t="n">
        <f aca="false">F30-(I30-W30)</f>
        <v>808.373834131586</v>
      </c>
      <c r="M30" s="7" t="n">
        <v>72</v>
      </c>
      <c r="N30" s="7" t="n">
        <f aca="false">(24+23)*1.05</f>
        <v>49.35</v>
      </c>
      <c r="O30" s="7" t="n">
        <f aca="false">M30-N30</f>
        <v>22.65</v>
      </c>
      <c r="P30" s="7" t="n">
        <v>0</v>
      </c>
      <c r="Q30" s="7" t="n">
        <v>0</v>
      </c>
      <c r="R30" s="7" t="n">
        <f aca="false">SUM(O30:Q30)</f>
        <v>22.65</v>
      </c>
      <c r="S30" s="7"/>
      <c r="T30" s="7" t="n">
        <v>29</v>
      </c>
      <c r="U30" s="7" t="n">
        <v>819</v>
      </c>
      <c r="V30" s="8" t="n">
        <v>18477</v>
      </c>
      <c r="W30" s="7" t="n">
        <f aca="false">N30+R30+T30+U30</f>
        <v>920</v>
      </c>
      <c r="X30" s="7" t="n">
        <f aca="false">IF(L30&lt;0,L30*-1,0)</f>
        <v>0</v>
      </c>
      <c r="Y30" s="7" t="n">
        <f aca="false">W30+X30</f>
        <v>920</v>
      </c>
      <c r="Z30" s="11" t="n">
        <v>0</v>
      </c>
      <c r="AA30" s="12" t="n">
        <v>67</v>
      </c>
      <c r="AB30" s="12" t="n">
        <v>33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32" t="n">
        <v>6920.15</v>
      </c>
      <c r="C31" s="8" t="n">
        <v>364224</v>
      </c>
      <c r="D31" s="12" t="n">
        <f aca="false">C31-C30</f>
        <v>2158</v>
      </c>
      <c r="E31" s="8" t="n">
        <f aca="false">C31-152000</f>
        <v>212224</v>
      </c>
      <c r="F31" s="7" t="n">
        <f aca="false">D31/$D$2</f>
        <v>1087.97580035291</v>
      </c>
      <c r="G31" s="7" t="n">
        <v>866</v>
      </c>
      <c r="H31" s="9" t="n">
        <v>182</v>
      </c>
      <c r="I31" s="7" t="n">
        <f aca="false">G31+H31</f>
        <v>1048</v>
      </c>
      <c r="J31" s="105" t="n">
        <f aca="false">IF(L31&gt;0,L31,0)</f>
        <v>969.975800352911</v>
      </c>
      <c r="K31" s="7" t="n">
        <f aca="false">I31+J31</f>
        <v>2017.97580035291</v>
      </c>
      <c r="L31" s="7" t="n">
        <f aca="false">F31-(I31-W31)</f>
        <v>969.975800352911</v>
      </c>
      <c r="M31" s="7" t="n">
        <v>85</v>
      </c>
      <c r="N31" s="7" t="n">
        <f aca="false">(25+27)*1.05</f>
        <v>54.6</v>
      </c>
      <c r="O31" s="7" t="n">
        <f aca="false">M31-N31</f>
        <v>30.4</v>
      </c>
      <c r="P31" s="7" t="n">
        <v>0</v>
      </c>
      <c r="Q31" s="7" t="n">
        <v>0</v>
      </c>
      <c r="R31" s="7" t="n">
        <f aca="false">SUM(O31:Q31)</f>
        <v>30.4</v>
      </c>
      <c r="S31" s="7"/>
      <c r="T31" s="7" t="n">
        <v>25</v>
      </c>
      <c r="U31" s="7" t="n">
        <v>820</v>
      </c>
      <c r="V31" s="8" t="n">
        <v>18477</v>
      </c>
      <c r="W31" s="7" t="n">
        <f aca="false">N31+R31+T31+U31</f>
        <v>930</v>
      </c>
      <c r="X31" s="7" t="n">
        <f aca="false">IF(L31&lt;0,L31*-1,0)</f>
        <v>0</v>
      </c>
      <c r="Y31" s="7" t="n">
        <f aca="false">W31+X31</f>
        <v>930</v>
      </c>
      <c r="Z31" s="11" t="n">
        <v>0</v>
      </c>
      <c r="AA31" s="12" t="n">
        <v>72</v>
      </c>
      <c r="AB31" s="12" t="n">
        <v>38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32" t="n">
        <v>6920.85</v>
      </c>
      <c r="C32" s="8" t="n">
        <v>367264</v>
      </c>
      <c r="D32" s="12" t="n">
        <f aca="false">C32-C31</f>
        <v>3040</v>
      </c>
      <c r="E32" s="8" t="n">
        <f aca="false">C32-152000</f>
        <v>215264</v>
      </c>
      <c r="F32" s="7" t="n">
        <f aca="false">D32/$D$2</f>
        <v>1532.64431560373</v>
      </c>
      <c r="G32" s="7" t="n">
        <v>1220</v>
      </c>
      <c r="H32" s="9" t="n">
        <v>271</v>
      </c>
      <c r="I32" s="7" t="n">
        <f aca="false">G32+H32</f>
        <v>1491</v>
      </c>
      <c r="J32" s="105" t="n">
        <f aca="false">IF(L32&gt;0,L32,0)</f>
        <v>1145.44431560373</v>
      </c>
      <c r="K32" s="7" t="n">
        <f aca="false">I32+J32</f>
        <v>2636.44431560373</v>
      </c>
      <c r="L32" s="7" t="n">
        <f aca="false">F32-(I32-W32)</f>
        <v>1145.44431560373</v>
      </c>
      <c r="M32" s="7" t="n">
        <v>99</v>
      </c>
      <c r="N32" s="7" t="n">
        <f aca="false">(28+28)*1.05</f>
        <v>58.8</v>
      </c>
      <c r="O32" s="7" t="n">
        <f aca="false">M32-N32</f>
        <v>40.2</v>
      </c>
      <c r="P32" s="7" t="n">
        <v>0</v>
      </c>
      <c r="Q32" s="7" t="n">
        <v>3.8</v>
      </c>
      <c r="R32" s="7" t="n">
        <f aca="false">SUM(O32:Q32)</f>
        <v>44</v>
      </c>
      <c r="S32" s="7"/>
      <c r="T32" s="7" t="n">
        <v>50</v>
      </c>
      <c r="U32" s="7" t="n">
        <v>951</v>
      </c>
      <c r="V32" s="8" t="n">
        <v>18477</v>
      </c>
      <c r="W32" s="7" t="n">
        <f aca="false">N32+R32+T32+U32</f>
        <v>1103.8</v>
      </c>
      <c r="X32" s="7" t="n">
        <f aca="false">IF(L32&lt;0,L32*-1,0)</f>
        <v>0</v>
      </c>
      <c r="Y32" s="7" t="n">
        <f aca="false">W32+X32</f>
        <v>1103.8</v>
      </c>
      <c r="Z32" s="11" t="n">
        <v>0</v>
      </c>
      <c r="AA32" s="12" t="n">
        <v>77</v>
      </c>
      <c r="AB32" s="43" t="n">
        <v>42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32" t="n">
        <v>6921.7</v>
      </c>
      <c r="C33" s="8" t="n">
        <v>370980</v>
      </c>
      <c r="D33" s="12" t="n">
        <f aca="false">C33-C32</f>
        <v>3716</v>
      </c>
      <c r="E33" s="8" t="n">
        <f aca="false">C33-152000</f>
        <v>218980</v>
      </c>
      <c r="F33" s="7" t="n">
        <f aca="false">D33/$D$2</f>
        <v>1873.45601209982</v>
      </c>
      <c r="G33" s="7" t="n">
        <v>1600</v>
      </c>
      <c r="H33" s="9" t="n">
        <v>373</v>
      </c>
      <c r="I33" s="7" t="n">
        <f aca="false">G33+H33</f>
        <v>1973</v>
      </c>
      <c r="J33" s="105" t="n">
        <f aca="false">IF(L33&gt;0,L33,0)</f>
        <v>1222.95601209982</v>
      </c>
      <c r="K33" s="7" t="n">
        <f aca="false">I33+J33</f>
        <v>3195.95601209982</v>
      </c>
      <c r="L33" s="7" t="n">
        <f aca="false">F33-(I33-W33)</f>
        <v>1222.95601209982</v>
      </c>
      <c r="M33" s="7" t="n">
        <v>115</v>
      </c>
      <c r="N33" s="7" t="n">
        <f aca="false">(31+31)*1.05</f>
        <v>65.1</v>
      </c>
      <c r="O33" s="7" t="n">
        <f aca="false">M33-N33</f>
        <v>49.9</v>
      </c>
      <c r="P33" s="7" t="n">
        <v>0</v>
      </c>
      <c r="Q33" s="7" t="n">
        <v>7.5</v>
      </c>
      <c r="R33" s="7" t="n">
        <f aca="false">SUM(O33:Q33)</f>
        <v>57.4</v>
      </c>
      <c r="S33" s="7"/>
      <c r="T33" s="7" t="n">
        <v>50</v>
      </c>
      <c r="U33" s="7" t="n">
        <v>1150</v>
      </c>
      <c r="V33" s="8" t="n">
        <v>18477</v>
      </c>
      <c r="W33" s="7" t="n">
        <f aca="false">N33+R33+T33+U33</f>
        <v>1322.5</v>
      </c>
      <c r="X33" s="7" t="n">
        <f aca="false">IF(L33&lt;0,L33*-1,0)</f>
        <v>0</v>
      </c>
      <c r="Y33" s="7" t="n">
        <f aca="false">W33+X33</f>
        <v>1322.5</v>
      </c>
      <c r="Z33" s="11" t="n">
        <v>0.07</v>
      </c>
      <c r="AA33" s="12" t="n">
        <v>67</v>
      </c>
      <c r="AB33" s="43" t="n">
        <v>40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32" t="n">
        <v>6922.43</v>
      </c>
      <c r="C34" s="8" t="n">
        <v>374192</v>
      </c>
      <c r="D34" s="12" t="n">
        <f aca="false">C34-C33</f>
        <v>3212</v>
      </c>
      <c r="E34" s="8" t="n">
        <f aca="false">C34-152000</f>
        <v>222192</v>
      </c>
      <c r="F34" s="7" t="n">
        <f aca="false">D34/$D$2</f>
        <v>1619.35971767078</v>
      </c>
      <c r="G34" s="7" t="n">
        <v>1620</v>
      </c>
      <c r="H34" s="9" t="n">
        <v>333</v>
      </c>
      <c r="I34" s="7" t="n">
        <f aca="false">G34+H34</f>
        <v>1953</v>
      </c>
      <c r="J34" s="105" t="n">
        <f aca="false">IF(L34&gt;0,L34,0)</f>
        <v>1031.35971767078</v>
      </c>
      <c r="K34" s="7" t="n">
        <f aca="false">I34+J34</f>
        <v>2984.35971767078</v>
      </c>
      <c r="L34" s="7" t="n">
        <f aca="false">F34-(I34-W34)</f>
        <v>1031.35971767078</v>
      </c>
      <c r="M34" s="7" t="n">
        <v>105</v>
      </c>
      <c r="N34" s="7" t="n">
        <f aca="false">(27+26)*1.05</f>
        <v>55.65</v>
      </c>
      <c r="O34" s="7" t="n">
        <f aca="false">M34-N34</f>
        <v>49.35</v>
      </c>
      <c r="P34" s="7" t="n">
        <v>0</v>
      </c>
      <c r="Q34" s="7" t="n">
        <v>8</v>
      </c>
      <c r="R34" s="7" t="n">
        <f aca="false">SUM(O34:Q34)</f>
        <v>57.35</v>
      </c>
      <c r="S34" s="7"/>
      <c r="T34" s="7" t="n">
        <v>2</v>
      </c>
      <c r="U34" s="7" t="n">
        <v>1250</v>
      </c>
      <c r="V34" s="8" t="n">
        <v>18477</v>
      </c>
      <c r="W34" s="7" t="n">
        <f aca="false">N34+R34+T34+U34</f>
        <v>1365</v>
      </c>
      <c r="X34" s="7" t="n">
        <f aca="false">IF(L34&lt;0,L34*-1,0)</f>
        <v>0</v>
      </c>
      <c r="Y34" s="7" t="n">
        <f aca="false">W34+X34</f>
        <v>1365</v>
      </c>
      <c r="Z34" s="11" t="n">
        <v>0</v>
      </c>
      <c r="AA34" s="12" t="n">
        <v>60</v>
      </c>
      <c r="AB34" s="43" t="n">
        <v>36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32" t="n">
        <v>6922.7</v>
      </c>
      <c r="C35" s="8" t="n">
        <v>375384</v>
      </c>
      <c r="D35" s="12" t="n">
        <f aca="false">C35-C34</f>
        <v>1192</v>
      </c>
      <c r="E35" s="8" t="n">
        <f aca="false">C35-152000</f>
        <v>223384</v>
      </c>
      <c r="F35" s="7" t="n">
        <f aca="false">D35/$D$2</f>
        <v>600.957902697252</v>
      </c>
      <c r="G35" s="7" t="n">
        <v>1340</v>
      </c>
      <c r="H35" s="9" t="n">
        <v>212</v>
      </c>
      <c r="I35" s="7" t="n">
        <f aca="false">G35+H35</f>
        <v>1552</v>
      </c>
      <c r="J35" s="105" t="n">
        <f aca="false">IF(L35&gt;0,L35,0)</f>
        <v>780.257902697252</v>
      </c>
      <c r="K35" s="7" t="n">
        <f aca="false">I35+J35</f>
        <v>2332.25790269725</v>
      </c>
      <c r="L35" s="7" t="n">
        <f aca="false">F35-(I35-W35)</f>
        <v>780.257902697252</v>
      </c>
      <c r="M35" s="7" t="n">
        <v>103</v>
      </c>
      <c r="N35" s="7" t="n">
        <f aca="false">(25+25)*1.05</f>
        <v>52.5</v>
      </c>
      <c r="O35" s="7" t="n">
        <f aca="false">M35-N35</f>
        <v>50.5</v>
      </c>
      <c r="P35" s="7" t="n">
        <v>0</v>
      </c>
      <c r="Q35" s="7" t="n">
        <v>8.3</v>
      </c>
      <c r="R35" s="7" t="n">
        <f aca="false">SUM(O35:Q35)</f>
        <v>58.8</v>
      </c>
      <c r="S35" s="7"/>
      <c r="T35" s="7" t="n">
        <v>0</v>
      </c>
      <c r="U35" s="7" t="n">
        <v>1620</v>
      </c>
      <c r="V35" s="8" t="n">
        <v>18477</v>
      </c>
      <c r="W35" s="7" t="n">
        <f aca="false">N35+R35+T35+U35</f>
        <v>1731.3</v>
      </c>
      <c r="X35" s="7" t="n">
        <f aca="false">IF(L35&lt;0,L35*-1,0)</f>
        <v>0</v>
      </c>
      <c r="Y35" s="7" t="n">
        <f aca="false">W35+X35</f>
        <v>1731.3</v>
      </c>
      <c r="Z35" s="11" t="n">
        <v>0.04</v>
      </c>
      <c r="AA35" s="12" t="n">
        <v>58</v>
      </c>
      <c r="AB35" s="12" t="n">
        <v>32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2" t="n">
        <v>6922.62</v>
      </c>
      <c r="C36" s="8" t="n">
        <v>375031</v>
      </c>
      <c r="D36" s="12" t="n">
        <f aca="false">C36-C35</f>
        <v>-353</v>
      </c>
      <c r="E36" s="8" t="n">
        <f aca="false">C36-152000</f>
        <v>223031</v>
      </c>
      <c r="F36" s="7" t="n">
        <f aca="false">D36/$D$2</f>
        <v>-177.968237963196</v>
      </c>
      <c r="G36" s="7" t="n">
        <v>1120</v>
      </c>
      <c r="H36" s="9" t="n">
        <v>142.02</v>
      </c>
      <c r="I36" s="7" t="n">
        <f aca="false">G36+H36</f>
        <v>1262.02</v>
      </c>
      <c r="J36" s="105" t="n">
        <f aca="false">IF(L36&gt;0,L36,0)</f>
        <v>647.211762036804</v>
      </c>
      <c r="K36" s="7" t="n">
        <f aca="false">I36+J36</f>
        <v>1909.2317620368</v>
      </c>
      <c r="L36" s="7" t="n">
        <f aca="false">F36-(I36-W36)</f>
        <v>647.211762036804</v>
      </c>
      <c r="M36" s="7" t="n">
        <v>99</v>
      </c>
      <c r="N36" s="7" t="n">
        <f aca="false">(25+25)*1.05</f>
        <v>52.5</v>
      </c>
      <c r="O36" s="7" t="n">
        <f aca="false">M36-N36</f>
        <v>46.5</v>
      </c>
      <c r="P36" s="7" t="n">
        <v>0</v>
      </c>
      <c r="Q36" s="7" t="n">
        <v>8.2</v>
      </c>
      <c r="R36" s="7" t="n">
        <f aca="false">SUM(O36:Q36)</f>
        <v>54.7</v>
      </c>
      <c r="S36" s="8"/>
      <c r="T36" s="7" t="n">
        <v>0</v>
      </c>
      <c r="U36" s="7" t="n">
        <v>1980</v>
      </c>
      <c r="V36" s="8" t="n">
        <v>18477</v>
      </c>
      <c r="W36" s="7" t="n">
        <f aca="false">N36+R36+T36+U36</f>
        <v>2087.2</v>
      </c>
      <c r="X36" s="7" t="n">
        <f aca="false">IF(L36&lt;0,L36*-1,0)</f>
        <v>0</v>
      </c>
      <c r="Y36" s="7" t="n">
        <f aca="false">W36+X36</f>
        <v>2087.2</v>
      </c>
      <c r="Z36" s="11" t="n">
        <v>0.05</v>
      </c>
      <c r="AA36" s="12" t="n">
        <v>57</v>
      </c>
      <c r="AB36" s="12" t="n">
        <v>35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32" t="n">
        <v>6922.48</v>
      </c>
      <c r="C37" s="8" t="n">
        <v>374413</v>
      </c>
      <c r="D37" s="12" t="n">
        <f aca="false">C37-C36</f>
        <v>-618</v>
      </c>
      <c r="E37" s="8" t="n">
        <f aca="false">C37-152000</f>
        <v>222413</v>
      </c>
      <c r="F37" s="7" t="n">
        <f aca="false">D37/$D$2</f>
        <v>-311.570456264179</v>
      </c>
      <c r="G37" s="7" t="n">
        <v>1150</v>
      </c>
      <c r="H37" s="9" t="n">
        <v>165</v>
      </c>
      <c r="I37" s="7" t="n">
        <f aca="false">G37+H37</f>
        <v>1315</v>
      </c>
      <c r="J37" s="105" t="n">
        <f aca="false">IF(L37&gt;0,L37,0)</f>
        <v>800.62954373582</v>
      </c>
      <c r="K37" s="7" t="n">
        <f aca="false">I37+J37</f>
        <v>2115.62954373582</v>
      </c>
      <c r="L37" s="7" t="n">
        <f aca="false">F37-(I37-W37)</f>
        <v>800.62954373582</v>
      </c>
      <c r="M37" s="7" t="n">
        <v>109</v>
      </c>
      <c r="N37" s="7" t="n">
        <f aca="false">(22+22)*1.05</f>
        <v>46.2</v>
      </c>
      <c r="O37" s="7" t="n">
        <f aca="false">M37-N37</f>
        <v>62.8</v>
      </c>
      <c r="P37" s="7" t="n">
        <v>0</v>
      </c>
      <c r="Q37" s="7" t="n">
        <v>8.2</v>
      </c>
      <c r="R37" s="7" t="n">
        <f aca="false">SUM(O37:Q37)</f>
        <v>71</v>
      </c>
      <c r="S37" s="8"/>
      <c r="T37" s="7" t="n">
        <v>0</v>
      </c>
      <c r="U37" s="7" t="n">
        <v>2310</v>
      </c>
      <c r="V37" s="8" t="n">
        <v>18477</v>
      </c>
      <c r="W37" s="7" t="n">
        <f aca="false">N37+R37+T37+U37</f>
        <v>2427.2</v>
      </c>
      <c r="X37" s="7" t="n">
        <f aca="false">IF(L37&lt;0,L37*-1,0)</f>
        <v>0</v>
      </c>
      <c r="Y37" s="7" t="n">
        <f aca="false">W37+X37</f>
        <v>2427.2</v>
      </c>
      <c r="Z37" s="11" t="n">
        <v>0.02</v>
      </c>
      <c r="AA37" s="12" t="n">
        <v>61</v>
      </c>
      <c r="AB37" s="12" t="n">
        <v>34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32" t="n">
        <v>6922.18</v>
      </c>
      <c r="C38" s="8" t="n">
        <v>373088</v>
      </c>
      <c r="D38" s="12" t="n">
        <f aca="false">C38-C37</f>
        <v>-1325</v>
      </c>
      <c r="E38" s="8" t="n">
        <f aca="false">C38-152000</f>
        <v>221088</v>
      </c>
      <c r="F38" s="7" t="n">
        <f aca="false">D38/$D$2</f>
        <v>-668.011091504915</v>
      </c>
      <c r="G38" s="7" t="n">
        <v>1170</v>
      </c>
      <c r="H38" s="9" t="n">
        <v>170</v>
      </c>
      <c r="I38" s="7" t="n">
        <f aca="false">G38+H38</f>
        <v>1340</v>
      </c>
      <c r="J38" s="105" t="n">
        <f aca="false">IF(L38&gt;0,L38,0)</f>
        <v>715.988908495085</v>
      </c>
      <c r="K38" s="7" t="n">
        <f aca="false">I38+J38</f>
        <v>2055.98890849508</v>
      </c>
      <c r="L38" s="7" t="n">
        <f aca="false">F38-(I38-W38)</f>
        <v>715.988908495085</v>
      </c>
      <c r="M38" s="7" t="n">
        <v>134</v>
      </c>
      <c r="N38" s="7" t="n">
        <f aca="false">(25+24)*1.05</f>
        <v>51.45</v>
      </c>
      <c r="O38" s="7" t="n">
        <f aca="false">M38-N38</f>
        <v>82.55</v>
      </c>
      <c r="P38" s="7" t="n">
        <v>0</v>
      </c>
      <c r="Q38" s="7" t="n">
        <v>10</v>
      </c>
      <c r="R38" s="7" t="n">
        <f aca="false">SUM(O38:Q38)</f>
        <v>92.55</v>
      </c>
      <c r="S38" s="8"/>
      <c r="T38" s="7" t="n">
        <v>0</v>
      </c>
      <c r="U38" s="7" t="n">
        <v>2580</v>
      </c>
      <c r="V38" s="8" t="n">
        <v>18477</v>
      </c>
      <c r="W38" s="7" t="n">
        <f aca="false">N38+R38+T38+U38</f>
        <v>2724</v>
      </c>
      <c r="X38" s="7" t="n">
        <f aca="false">IF(L38&lt;0,L38*-1,0)</f>
        <v>0</v>
      </c>
      <c r="Y38" s="7" t="n">
        <f aca="false">W38+X38</f>
        <v>2724</v>
      </c>
      <c r="Z38" s="11" t="n">
        <v>0</v>
      </c>
      <c r="AA38" s="43" t="n">
        <v>69</v>
      </c>
      <c r="AB38" s="12" t="n">
        <v>35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32" t="n">
        <v>6921.95</v>
      </c>
      <c r="C39" s="8" t="n">
        <v>372075</v>
      </c>
      <c r="D39" s="12" t="n">
        <f aca="false">C39-C38</f>
        <v>-1013</v>
      </c>
      <c r="E39" s="8" t="n">
        <f aca="false">C39-152000</f>
        <v>220075</v>
      </c>
      <c r="F39" s="7" t="n">
        <f aca="false">D39/$D$2</f>
        <v>-510.713385429796</v>
      </c>
      <c r="G39" s="7" t="n">
        <v>1520</v>
      </c>
      <c r="H39" s="9" t="n">
        <v>276</v>
      </c>
      <c r="I39" s="7" t="n">
        <f aca="false">G39+H39</f>
        <v>1796</v>
      </c>
      <c r="J39" s="105" t="n">
        <f aca="false">IF(L39&gt;0,L39,0)</f>
        <v>754.286614570204</v>
      </c>
      <c r="K39" s="7" t="n">
        <f aca="false">I39+J39</f>
        <v>2550.2866145702</v>
      </c>
      <c r="L39" s="7" t="n">
        <f aca="false">F39-(I39-W39)</f>
        <v>754.286614570204</v>
      </c>
      <c r="M39" s="7" t="n">
        <v>138</v>
      </c>
      <c r="N39" s="7" t="n">
        <f aca="false">(30+30)*1.05</f>
        <v>63</v>
      </c>
      <c r="O39" s="7" t="n">
        <f aca="false">M39-N39</f>
        <v>75</v>
      </c>
      <c r="P39" s="7" t="n">
        <v>0</v>
      </c>
      <c r="Q39" s="7" t="n">
        <v>13</v>
      </c>
      <c r="R39" s="7" t="n">
        <f aca="false">SUM(O39:Q39)</f>
        <v>88</v>
      </c>
      <c r="S39" s="8"/>
      <c r="T39" s="7" t="n">
        <v>0</v>
      </c>
      <c r="U39" s="7" t="n">
        <v>2910</v>
      </c>
      <c r="V39" s="8" t="n">
        <v>18477</v>
      </c>
      <c r="W39" s="7" t="n">
        <f aca="false">N39+R39+T39+U39</f>
        <v>3061</v>
      </c>
      <c r="X39" s="7" t="n">
        <f aca="false">IF(L39&lt;0,L39*-1,0)</f>
        <v>0</v>
      </c>
      <c r="Y39" s="7" t="n">
        <f aca="false">W39+X39</f>
        <v>3061</v>
      </c>
      <c r="Z39" s="11" t="n">
        <v>0</v>
      </c>
      <c r="AA39" s="43" t="n">
        <v>73</v>
      </c>
      <c r="AB39" s="12" t="n">
        <v>37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5"/>
      <c r="B40" s="35"/>
      <c r="C40" s="37"/>
      <c r="D40" s="35"/>
      <c r="E40" s="37"/>
      <c r="F40" s="35"/>
      <c r="G40" s="35"/>
      <c r="H40" s="38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7"/>
      <c r="T40" s="35"/>
      <c r="U40" s="35"/>
      <c r="V40" s="35"/>
      <c r="W40" s="35"/>
      <c r="X40" s="35"/>
      <c r="Y40" s="35"/>
      <c r="Z40" s="39"/>
      <c r="AA40" s="40"/>
      <c r="AB40" s="40"/>
      <c r="AC40" s="41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6044.87017897656</v>
      </c>
      <c r="G41" s="8" t="n">
        <f aca="false">SUM(G10:G39)</f>
        <v>20701</v>
      </c>
      <c r="H41" s="8" t="n">
        <f aca="false">SUM(H10:H39)</f>
        <v>3819.02</v>
      </c>
      <c r="I41" s="8" t="n">
        <f aca="false">SUM(I10:I39)</f>
        <v>24520.02</v>
      </c>
      <c r="J41" s="8" t="n">
        <f aca="false">SUM(J10:J39)</f>
        <v>15241.4501789766</v>
      </c>
      <c r="K41" s="8" t="n">
        <f aca="false">SUM(K10:K39)</f>
        <v>39761.4701789766</v>
      </c>
      <c r="L41" s="8" t="n">
        <f aca="false">SUM(L10:L39)</f>
        <v>15241.4501789766</v>
      </c>
      <c r="M41" s="8" t="n">
        <f aca="false">SUM(M10:M39)</f>
        <v>1822.6</v>
      </c>
      <c r="N41" s="8" t="n">
        <f aca="false">SUM(N10:N39)</f>
        <v>1053.591</v>
      </c>
      <c r="O41" s="8" t="n">
        <f aca="false">SUM(O10:O39)</f>
        <v>769.009</v>
      </c>
      <c r="P41" s="8" t="n">
        <f aca="false">SUM(P10:P39)</f>
        <v>0</v>
      </c>
      <c r="Q41" s="8" t="n">
        <f aca="false">SUM(Q10:Q39)</f>
        <v>67</v>
      </c>
      <c r="R41" s="8" t="n">
        <f aca="false">SUM(R10:R39)</f>
        <v>836.009</v>
      </c>
      <c r="S41" s="8"/>
      <c r="T41" s="8" t="n">
        <f aca="false">SUM(T10:T39)</f>
        <v>185</v>
      </c>
      <c r="U41" s="8" t="n">
        <f aca="false">SUM(U10:U39)</f>
        <v>31642</v>
      </c>
      <c r="V41" s="8"/>
      <c r="W41" s="8" t="n">
        <f aca="false">SUM(W10:W39)</f>
        <v>33716.6</v>
      </c>
      <c r="X41" s="8" t="n">
        <f aca="false">SUM(X10:X39)</f>
        <v>0</v>
      </c>
      <c r="Y41" s="8" t="n">
        <f aca="false">SUM(Y10:Y39)</f>
        <v>33716.6</v>
      </c>
      <c r="Z41" s="11" t="n">
        <f aca="false">SUM(Z10:Z39)</f>
        <v>0.98</v>
      </c>
      <c r="AA41" s="12" t="n">
        <f aca="false">AVERAGE(AA10:AA39)</f>
        <v>56.6333333333333</v>
      </c>
      <c r="AB41" s="12" t="n">
        <f aca="false">AVERAGE(AB10:AB39)</f>
        <v>32.5333333333333</v>
      </c>
      <c r="AC41" s="13" t="s">
        <v>68</v>
      </c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11990</v>
      </c>
      <c r="E42" s="8"/>
      <c r="F42" s="8" t="n">
        <f aca="false">F41*$D$2</f>
        <v>11990</v>
      </c>
      <c r="G42" s="8" t="n">
        <f aca="false">G41*$D$2</f>
        <v>41060.4335</v>
      </c>
      <c r="H42" s="8" t="n">
        <f aca="false">H41*$D$2</f>
        <v>7575.02617</v>
      </c>
      <c r="I42" s="8" t="n">
        <f aca="false">I41*$D$2</f>
        <v>48635.45967</v>
      </c>
      <c r="J42" s="8" t="n">
        <f aca="false">J41*$D$2</f>
        <v>30231.41643</v>
      </c>
      <c r="K42" s="8" t="n">
        <f aca="false">K41*$D$2</f>
        <v>78866.8761</v>
      </c>
      <c r="L42" s="8" t="n">
        <f aca="false">L41*$D$2</f>
        <v>30231.41643</v>
      </c>
      <c r="M42" s="8" t="n">
        <f aca="false">M41*$D$2</f>
        <v>3615.1271</v>
      </c>
      <c r="N42" s="8" t="n">
        <f aca="false">N41*$D$2</f>
        <v>2089.7977485</v>
      </c>
      <c r="O42" s="8" t="n">
        <f aca="false">O41*$D$2</f>
        <v>1525.3293515</v>
      </c>
      <c r="P42" s="8" t="n">
        <f aca="false">P41*$D$2</f>
        <v>0</v>
      </c>
      <c r="Q42" s="8" t="n">
        <f aca="false">Q41*$D$2</f>
        <v>132.8945</v>
      </c>
      <c r="R42" s="8" t="n">
        <f aca="false">R41*$D$2</f>
        <v>1658.2238515</v>
      </c>
      <c r="S42" s="8"/>
      <c r="T42" s="8" t="n">
        <f aca="false">T41*$D$2</f>
        <v>366.9475</v>
      </c>
      <c r="U42" s="8" t="n">
        <f aca="false">U41*$D$2</f>
        <v>62761.907</v>
      </c>
      <c r="V42" s="8"/>
      <c r="W42" s="8" t="n">
        <f aca="false">W41*$D$2</f>
        <v>66876.8761</v>
      </c>
      <c r="X42" s="8" t="n">
        <f aca="false">X41*$D$2</f>
        <v>0</v>
      </c>
      <c r="Y42" s="8" t="n">
        <f aca="false">Y41*$D$2</f>
        <v>66876.8761</v>
      </c>
      <c r="Z42" s="11"/>
      <c r="AA42" s="12" t="n">
        <f aca="false">MAX(AA10:AA39)</f>
        <v>77</v>
      </c>
      <c r="AB42" s="12" t="n">
        <f aca="false">MAX(AB10:AB39)</f>
        <v>43</v>
      </c>
      <c r="AC42" s="13" t="s">
        <v>47</v>
      </c>
      <c r="AD42" s="14"/>
      <c r="AE42" s="14"/>
    </row>
    <row r="43" customFormat="false" ht="3" hidden="false" customHeight="true" outlineLevel="0" collapsed="false">
      <c r="A43" s="35"/>
      <c r="B43" s="35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5"/>
      <c r="W43" s="37"/>
      <c r="X43" s="37"/>
      <c r="Y43" s="37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6044.87017897656</v>
      </c>
      <c r="G44" s="8" t="n">
        <f aca="false">G7+G41</f>
        <v>20701</v>
      </c>
      <c r="H44" s="12" t="n">
        <f aca="false">H7+H41</f>
        <v>3819.02</v>
      </c>
      <c r="I44" s="8" t="n">
        <f aca="false">I7+I41</f>
        <v>24520.02</v>
      </c>
      <c r="J44" s="8" t="n">
        <f aca="false">J7+J41</f>
        <v>15241.4501789766</v>
      </c>
      <c r="K44" s="8" t="n">
        <f aca="false">K7+K41</f>
        <v>39761.4701789766</v>
      </c>
      <c r="L44" s="8" t="n">
        <f aca="false">L7+L41</f>
        <v>15241.4501789766</v>
      </c>
      <c r="M44" s="8" t="n">
        <f aca="false">M7+M41</f>
        <v>1822.6</v>
      </c>
      <c r="N44" s="8" t="n">
        <f aca="false">N7+N41</f>
        <v>1053.591</v>
      </c>
      <c r="O44" s="8" t="n">
        <f aca="false">O7+O41</f>
        <v>769.009</v>
      </c>
      <c r="P44" s="8" t="n">
        <f aca="false">P7+P41</f>
        <v>0</v>
      </c>
      <c r="Q44" s="8" t="n">
        <f aca="false">Q7+Q41</f>
        <v>67</v>
      </c>
      <c r="R44" s="8" t="n">
        <f aca="false">R7+R41</f>
        <v>836.009</v>
      </c>
      <c r="S44" s="8" t="n">
        <f aca="false">S39</f>
        <v>0</v>
      </c>
      <c r="T44" s="8" t="n">
        <f aca="false">T7+T41</f>
        <v>185</v>
      </c>
      <c r="U44" s="8" t="n">
        <f aca="false">U7+U41</f>
        <v>31642</v>
      </c>
      <c r="V44" s="8" t="n">
        <v>0</v>
      </c>
      <c r="W44" s="8" t="n">
        <f aca="false">W7+W41</f>
        <v>33716.6</v>
      </c>
      <c r="X44" s="8" t="n">
        <f aca="false">X7+X41</f>
        <v>0</v>
      </c>
      <c r="Y44" s="8" t="n">
        <f aca="false">Y7+Y41</f>
        <v>33716.6</v>
      </c>
      <c r="Z44" s="11"/>
      <c r="AA44" s="12" t="n">
        <f aca="false">MIN(AA10:AA39)</f>
        <v>35</v>
      </c>
      <c r="AB44" s="12" t="n">
        <f aca="false">MIN(AB10:AB39)</f>
        <v>21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11990</v>
      </c>
      <c r="E45" s="8"/>
      <c r="F45" s="8" t="n">
        <f aca="false">F44*$D$2</f>
        <v>11990</v>
      </c>
      <c r="G45" s="8" t="n">
        <f aca="false">G44*$D$2</f>
        <v>41060.4335</v>
      </c>
      <c r="H45" s="12" t="n">
        <f aca="false">H44*$D$2</f>
        <v>7575.02617</v>
      </c>
      <c r="I45" s="8" t="n">
        <f aca="false">I44*$D$2</f>
        <v>48635.45967</v>
      </c>
      <c r="J45" s="8" t="n">
        <f aca="false">J44*$D$2</f>
        <v>30231.41643</v>
      </c>
      <c r="K45" s="8" t="n">
        <f aca="false">K44*$D$2</f>
        <v>78866.8761</v>
      </c>
      <c r="L45" s="8" t="n">
        <f aca="false">L44*$D$2</f>
        <v>30231.41643</v>
      </c>
      <c r="M45" s="8" t="n">
        <f aca="false">M44*$D$2</f>
        <v>3615.1271</v>
      </c>
      <c r="N45" s="8" t="n">
        <f aca="false">N44*$D$2</f>
        <v>2089.7977485</v>
      </c>
      <c r="O45" s="8" t="n">
        <f aca="false">O44*$D$2</f>
        <v>1525.3293515</v>
      </c>
      <c r="P45" s="8" t="n">
        <f aca="false">P44*$D$2</f>
        <v>0</v>
      </c>
      <c r="Q45" s="8" t="n">
        <f aca="false">Q44*$D$2</f>
        <v>132.8945</v>
      </c>
      <c r="R45" s="8" t="n">
        <f aca="false">R44*$D$2</f>
        <v>1658.2238515</v>
      </c>
      <c r="S45" s="8" t="n">
        <f aca="false">S44*$D$2</f>
        <v>0</v>
      </c>
      <c r="T45" s="8" t="n">
        <f aca="false">T44*$D$2</f>
        <v>366.9475</v>
      </c>
      <c r="U45" s="8" t="n">
        <f aca="false">U44*$D$2</f>
        <v>62761.907</v>
      </c>
      <c r="V45" s="8" t="n">
        <v>0</v>
      </c>
      <c r="W45" s="8" t="n">
        <f aca="false">W44*$D$2</f>
        <v>66876.8761</v>
      </c>
      <c r="X45" s="8" t="n">
        <f aca="false">X44*$D$2</f>
        <v>0</v>
      </c>
      <c r="Y45" s="8" t="n">
        <f aca="false">Y44*$D$2</f>
        <v>66876.8761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5"/>
      <c r="B46" s="35"/>
      <c r="C46" s="37"/>
      <c r="D46" s="37"/>
      <c r="E46" s="37"/>
      <c r="F46" s="37"/>
      <c r="G46" s="37"/>
      <c r="H46" s="40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9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19463.5744895387</v>
      </c>
      <c r="G47" s="8" t="n">
        <f aca="false">G8+G41</f>
        <v>37374</v>
      </c>
      <c r="H47" s="12" t="n">
        <f aca="false">H8+H41</f>
        <v>5623.32</v>
      </c>
      <c r="I47" s="8" t="n">
        <f aca="false">I8+I41</f>
        <v>42990.42</v>
      </c>
      <c r="J47" s="8" t="n">
        <f aca="false">J8+J41</f>
        <v>20488.9761986388</v>
      </c>
      <c r="K47" s="8" t="n">
        <f aca="false">K8+K41</f>
        <v>63470.9961986388</v>
      </c>
      <c r="L47" s="8" t="n">
        <f aca="false">L8+L41</f>
        <v>19456.8744895387</v>
      </c>
      <c r="M47" s="8" t="n">
        <f aca="false">M8+M41</f>
        <v>3352.56</v>
      </c>
      <c r="N47" s="8" t="n">
        <f aca="false">N8+N41</f>
        <v>1113.336</v>
      </c>
      <c r="O47" s="8" t="n">
        <f aca="false">O8+O41</f>
        <v>1589.984</v>
      </c>
      <c r="P47" s="8" t="n">
        <f aca="false">P8+P41</f>
        <v>789</v>
      </c>
      <c r="Q47" s="8" t="n">
        <f aca="false">Q8+Q41</f>
        <v>213.2</v>
      </c>
      <c r="R47" s="8" t="n">
        <f aca="false">R8+R41</f>
        <v>2984.174</v>
      </c>
      <c r="S47" s="8"/>
      <c r="T47" s="8" t="n">
        <f aca="false">T8+T41</f>
        <v>185</v>
      </c>
      <c r="U47" s="8" t="n">
        <f aca="false">U8+U41</f>
        <v>38443.96</v>
      </c>
      <c r="V47" s="8" t="s">
        <v>69</v>
      </c>
      <c r="W47" s="8" t="n">
        <f aca="false">W8+W41</f>
        <v>42983.72</v>
      </c>
      <c r="X47" s="8" t="n">
        <f aca="false">X8+X41</f>
        <v>1032.10170910008</v>
      </c>
      <c r="Y47" s="8" t="n">
        <f aca="false">Y8+Y41</f>
        <v>44015.8217091001</v>
      </c>
      <c r="Z47" s="33" t="n">
        <f aca="false">Z8+Z41</f>
        <v>8.5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38606</v>
      </c>
      <c r="E48" s="8" t="n">
        <f aca="false">E39</f>
        <v>220075</v>
      </c>
      <c r="F48" s="8" t="n">
        <f aca="false">F47*$D$2</f>
        <v>38606</v>
      </c>
      <c r="G48" s="8" t="n">
        <f aca="false">G47*$D$2</f>
        <v>74131.329</v>
      </c>
      <c r="H48" s="12" t="n">
        <f aca="false">H47*$D$2</f>
        <v>11153.85522</v>
      </c>
      <c r="I48" s="8" t="n">
        <f aca="false">I47*$D$2</f>
        <v>85271.49807</v>
      </c>
      <c r="J48" s="8" t="n">
        <f aca="false">J47*$D$2</f>
        <v>40639.88429</v>
      </c>
      <c r="K48" s="8" t="n">
        <f aca="false">K47*$D$2</f>
        <v>125894.72096</v>
      </c>
      <c r="L48" s="8" t="n">
        <f aca="false">L47*$D$2</f>
        <v>38592.71055</v>
      </c>
      <c r="M48" s="8" t="n">
        <f aca="false">M47*$D$2</f>
        <v>6649.80276</v>
      </c>
      <c r="N48" s="8" t="n">
        <f aca="false">N47*$D$2</f>
        <v>2208.301956</v>
      </c>
      <c r="O48" s="8" t="n">
        <f aca="false">O47*$D$2</f>
        <v>3153.733264</v>
      </c>
      <c r="P48" s="8" t="n">
        <f aca="false">P47*$D$2</f>
        <v>1564.9815</v>
      </c>
      <c r="Q48" s="8" t="n">
        <f aca="false">Q47*$D$2</f>
        <v>422.8822</v>
      </c>
      <c r="R48" s="8" t="n">
        <f aca="false">R47*$D$2</f>
        <v>5919.109129</v>
      </c>
      <c r="S48" s="8" t="n">
        <f aca="false">S47*$D$2</f>
        <v>0</v>
      </c>
      <c r="T48" s="8" t="n">
        <f aca="false">T47*$D$2</f>
        <v>366.9475</v>
      </c>
      <c r="U48" s="8" t="n">
        <f aca="false">U47*$D$2</f>
        <v>76253.59466</v>
      </c>
      <c r="V48" s="8" t="e">
        <f aca="false">V47*$D$2</f>
        <v>#VALUE!</v>
      </c>
      <c r="W48" s="8" t="n">
        <f aca="false">W47*$D$2</f>
        <v>85258.20862</v>
      </c>
      <c r="X48" s="8" t="n">
        <f aca="false">X47*$D$2</f>
        <v>2047.17374</v>
      </c>
      <c r="Y48" s="8" t="n">
        <f aca="false">Y47*$D$2</f>
        <v>87305.38236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5"/>
      <c r="B49" s="35"/>
      <c r="C49" s="37"/>
      <c r="D49" s="35"/>
      <c r="E49" s="37"/>
      <c r="F49" s="35"/>
      <c r="G49" s="35"/>
      <c r="H49" s="38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7"/>
      <c r="T49" s="35"/>
      <c r="U49" s="35"/>
      <c r="V49" s="37"/>
      <c r="W49" s="35"/>
      <c r="X49" s="35"/>
      <c r="Y49" s="35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4" t="str">
        <f aca="false">"4/10/97 thru 5/8/97"</f>
        <v>4/10/97 thru 5/8/97</v>
      </c>
      <c r="B50" s="45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Z50" s="106" t="n">
        <v>34790</v>
      </c>
      <c r="AA50" s="12" t="n">
        <v>56</v>
      </c>
      <c r="AB50" s="12" t="n">
        <v>32</v>
      </c>
      <c r="AC50" s="13" t="s">
        <v>68</v>
      </c>
      <c r="AD50" s="14"/>
      <c r="AE50" s="14"/>
    </row>
    <row r="51" customFormat="false" ht="11.1" hidden="false" customHeight="true" outlineLevel="0" collapsed="false">
      <c r="A51" s="7"/>
      <c r="B51" s="32" t="n">
        <f aca="false" t="array" ref="B51:C51">MAY!$B$16:$C$16</f>
        <v>6920.72</v>
      </c>
      <c r="C51" s="8" t="n">
        <v>366699</v>
      </c>
      <c r="D51" s="43"/>
      <c r="E51" s="8" t="n">
        <f aca="false">C51-152000</f>
        <v>214699</v>
      </c>
      <c r="F51" s="7"/>
      <c r="G51" s="7"/>
      <c r="H51" s="43"/>
      <c r="I51" s="9"/>
      <c r="J51" s="7"/>
      <c r="K51" s="46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 t="n">
        <v>67</v>
      </c>
      <c r="AB51" s="12" t="n">
        <v>40</v>
      </c>
      <c r="AC51" s="13" t="s">
        <v>70</v>
      </c>
      <c r="AD51" s="14"/>
      <c r="AE51" s="14"/>
    </row>
    <row r="52" customFormat="false" ht="11.1" hidden="false" customHeight="true" outlineLevel="0" collapsed="false">
      <c r="B52" s="43"/>
      <c r="C52" s="8"/>
      <c r="D52" s="8"/>
      <c r="E52" s="8"/>
      <c r="F52" s="43"/>
      <c r="G52" s="43"/>
      <c r="H52" s="9"/>
      <c r="I52" s="43"/>
      <c r="J52" s="43"/>
      <c r="K52" s="43"/>
      <c r="L52" s="43"/>
      <c r="M52" s="33"/>
      <c r="N52" s="33"/>
      <c r="O52" s="33"/>
      <c r="P52" s="43"/>
      <c r="Q52" s="43"/>
      <c r="R52" s="43"/>
      <c r="S52" s="8"/>
      <c r="T52" s="43"/>
      <c r="U52" s="43"/>
      <c r="V52" s="8"/>
      <c r="W52" s="43"/>
      <c r="X52" s="43"/>
      <c r="Y52" s="43"/>
      <c r="Z52" s="11"/>
      <c r="AA52" s="12" t="n">
        <v>36</v>
      </c>
      <c r="AB52" s="12" t="n">
        <v>22</v>
      </c>
      <c r="AC52" s="13" t="s">
        <v>71</v>
      </c>
      <c r="AD52" s="47"/>
      <c r="AE52" s="47"/>
    </row>
    <row r="53" customFormat="false" ht="11.1" hidden="false" customHeight="true" outlineLevel="0" collapsed="false">
      <c r="A53" s="43"/>
      <c r="B53" s="11" t="n">
        <f aca="false">B51-B19</f>
        <v>1.85000000000036</v>
      </c>
      <c r="C53" s="8"/>
      <c r="D53" s="8" t="n">
        <f aca="false">C51-C19</f>
        <v>7988</v>
      </c>
      <c r="E53" s="8"/>
      <c r="F53" s="43"/>
      <c r="G53" s="43"/>
      <c r="H53" s="9"/>
      <c r="I53" s="43"/>
      <c r="J53" s="43"/>
      <c r="K53" s="43"/>
      <c r="L53" s="43"/>
      <c r="M53" s="33"/>
      <c r="N53" s="33"/>
      <c r="O53" s="33"/>
      <c r="P53" s="43"/>
      <c r="Q53" s="43"/>
      <c r="R53" s="43"/>
      <c r="S53" s="8"/>
      <c r="T53" s="43"/>
      <c r="U53" s="43"/>
      <c r="V53" s="8"/>
      <c r="W53" s="43"/>
      <c r="X53" s="43"/>
      <c r="Z53" s="106" t="n">
        <v>35156</v>
      </c>
      <c r="AA53" s="12" t="n">
        <v>60</v>
      </c>
      <c r="AB53" s="12" t="n">
        <v>32</v>
      </c>
      <c r="AC53" s="13" t="s">
        <v>68</v>
      </c>
      <c r="AD53" s="47"/>
      <c r="AE53" s="47"/>
    </row>
    <row r="54" customFormat="false" ht="11.1" hidden="false" customHeight="true" outlineLevel="0" collapsed="false">
      <c r="A54" s="43"/>
      <c r="B54" s="43"/>
      <c r="C54" s="8"/>
      <c r="D54" s="43"/>
      <c r="E54" s="8"/>
      <c r="F54" s="43"/>
      <c r="G54" s="48"/>
      <c r="H54" s="9"/>
      <c r="I54" s="43"/>
      <c r="J54" s="43"/>
      <c r="K54" s="43"/>
      <c r="L54" s="43"/>
      <c r="M54" s="33"/>
      <c r="N54" s="33"/>
      <c r="O54" s="33"/>
      <c r="P54" s="43"/>
      <c r="Q54" s="43"/>
      <c r="R54" s="43"/>
      <c r="S54" s="8"/>
      <c r="T54" s="43"/>
      <c r="U54" s="43"/>
      <c r="V54" s="8"/>
      <c r="W54" s="43"/>
      <c r="X54" s="43"/>
      <c r="Y54" s="43"/>
      <c r="Z54" s="11"/>
      <c r="AA54" s="12" t="n">
        <v>76</v>
      </c>
      <c r="AB54" s="12" t="n">
        <v>42</v>
      </c>
      <c r="AC54" s="13" t="s">
        <v>70</v>
      </c>
      <c r="AD54" s="47"/>
      <c r="AE54" s="47"/>
    </row>
    <row r="55" customFormat="false" ht="11.1" hidden="false" customHeight="true" outlineLevel="0" collapsed="false">
      <c r="AA55" s="5" t="n">
        <v>41</v>
      </c>
      <c r="AB55" s="5" t="n">
        <v>21</v>
      </c>
      <c r="AC55" s="13" t="s">
        <v>71</v>
      </c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1" ySplit="7" topLeftCell="B10" activePane="bottomRight" state="frozen"/>
      <selection pane="topLeft" activeCell="A3" activeCellId="0" sqref="A3"/>
      <selection pane="topRight" activeCell="B3" activeCellId="0" sqref="B3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6.82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6.66"/>
    <col collapsed="false" customWidth="true" hidden="false" outlineLevel="0" max="20" min="20" style="49" width="5.82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72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73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73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107"/>
      <c r="W6" s="75"/>
      <c r="X6" s="75"/>
      <c r="Y6" s="75"/>
      <c r="Z6" s="60"/>
      <c r="AA6" s="62"/>
      <c r="AB6" s="62"/>
      <c r="AC6" s="62"/>
      <c r="AD6" s="78"/>
      <c r="AE6" s="78"/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 t="n">
        <f aca="false" t="array" ref="F7:Y7">APR!$F$44:$Y$44</f>
        <v>6044.87017897656</v>
      </c>
      <c r="G7" s="57" t="n">
        <v>20701</v>
      </c>
      <c r="H7" s="61" t="n">
        <v>3819.02</v>
      </c>
      <c r="I7" s="57" t="n">
        <v>24520.02</v>
      </c>
      <c r="J7" s="57" t="n">
        <v>15241.4501789766</v>
      </c>
      <c r="K7" s="57" t="n">
        <v>39761.4701789766</v>
      </c>
      <c r="L7" s="57" t="n">
        <v>15241.4501789766</v>
      </c>
      <c r="M7" s="57" t="n">
        <v>1822.6</v>
      </c>
      <c r="N7" s="57" t="n">
        <v>1053.591</v>
      </c>
      <c r="O7" s="57" t="n">
        <v>769.009</v>
      </c>
      <c r="P7" s="57" t="n">
        <v>0</v>
      </c>
      <c r="Q7" s="57" t="n">
        <v>67</v>
      </c>
      <c r="R7" s="57" t="n">
        <v>836.009</v>
      </c>
      <c r="S7" s="57" t="n">
        <v>0</v>
      </c>
      <c r="T7" s="57" t="n">
        <v>185</v>
      </c>
      <c r="U7" s="57" t="n">
        <v>31642</v>
      </c>
      <c r="V7" s="57" t="n">
        <v>0</v>
      </c>
      <c r="W7" s="57" t="n">
        <v>33716.6</v>
      </c>
      <c r="X7" s="57" t="n">
        <v>0</v>
      </c>
      <c r="Y7" s="57" t="n">
        <v>33716.6</v>
      </c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APR!$B$39:$C$39</f>
        <v>6921.95</v>
      </c>
      <c r="C8" s="57" t="n">
        <v>372075</v>
      </c>
      <c r="D8" s="57" t="n">
        <f aca="false" t="array" ref="D8:E8">APR!$D$48:$E$48</f>
        <v>38606</v>
      </c>
      <c r="E8" s="57" t="n">
        <v>220075</v>
      </c>
      <c r="F8" s="57" t="n">
        <f aca="false" t="array" ref="F8:U8">APR!$F$47:$U$47</f>
        <v>19463.5744895387</v>
      </c>
      <c r="G8" s="57" t="n">
        <v>37374</v>
      </c>
      <c r="H8" s="61" t="n">
        <v>5623.32</v>
      </c>
      <c r="I8" s="57" t="n">
        <v>42990.42</v>
      </c>
      <c r="J8" s="57" t="n">
        <v>20488.9761986388</v>
      </c>
      <c r="K8" s="57" t="n">
        <v>63470.9961986388</v>
      </c>
      <c r="L8" s="57" t="n">
        <v>19456.8744895387</v>
      </c>
      <c r="M8" s="57" t="n">
        <v>3352.56</v>
      </c>
      <c r="N8" s="57" t="n">
        <v>1113.336</v>
      </c>
      <c r="O8" s="57" t="n">
        <v>1589.984</v>
      </c>
      <c r="P8" s="57" t="n">
        <v>789</v>
      </c>
      <c r="Q8" s="57" t="n">
        <v>213.2</v>
      </c>
      <c r="R8" s="57" t="n">
        <v>2984.174</v>
      </c>
      <c r="S8" s="57" t="n">
        <v>0</v>
      </c>
      <c r="T8" s="57" t="n">
        <v>185</v>
      </c>
      <c r="U8" s="57" t="n">
        <v>38443.96</v>
      </c>
      <c r="V8" s="57" t="str">
        <f aca="false">APR!$V$47</f>
        <v> </v>
      </c>
      <c r="W8" s="57" t="n">
        <f aca="false" t="array" ref="W8:Z8">APR!$W$47:$Z$47</f>
        <v>42983.72</v>
      </c>
      <c r="X8" s="57" t="n">
        <v>1032.10170910008</v>
      </c>
      <c r="Y8" s="57" t="n">
        <v>44015.8217091001</v>
      </c>
      <c r="Z8" s="81" t="n">
        <v>8.5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6921.75</v>
      </c>
      <c r="C10" s="57" t="n">
        <v>371199</v>
      </c>
      <c r="D10" s="61" t="n">
        <f aca="false">C10-C8</f>
        <v>-876</v>
      </c>
      <c r="E10" s="57" t="n">
        <f aca="false">C10-152000</f>
        <v>219199</v>
      </c>
      <c r="F10" s="56" t="n">
        <f aca="false">D10/$D$2</f>
        <v>-441.643559364759</v>
      </c>
      <c r="G10" s="56" t="n">
        <v>1740</v>
      </c>
      <c r="H10" s="58" t="n">
        <v>338</v>
      </c>
      <c r="I10" s="56" t="n">
        <f aca="false">G10+H10</f>
        <v>2078</v>
      </c>
      <c r="J10" s="81" t="n">
        <f aca="false">IF(L10&gt;0,L10)</f>
        <v>801.356440635241</v>
      </c>
      <c r="K10" s="56" t="n">
        <f aca="false">I10+J10</f>
        <v>2879.35644063524</v>
      </c>
      <c r="L10" s="56" t="n">
        <f aca="false">F10-(I10-W10)</f>
        <v>801.356440635241</v>
      </c>
      <c r="M10" s="56" t="n">
        <v>167</v>
      </c>
      <c r="N10" s="56" t="n">
        <f aca="false">(31+30)*1.05</f>
        <v>64.05</v>
      </c>
      <c r="O10" s="56" t="n">
        <f aca="false">M10-N10</f>
        <v>102.95</v>
      </c>
      <c r="P10" s="56" t="n">
        <v>0</v>
      </c>
      <c r="Q10" s="56" t="n">
        <v>12</v>
      </c>
      <c r="R10" s="56" t="n">
        <f aca="false">SUM(O10:Q10)</f>
        <v>114.95</v>
      </c>
      <c r="S10" s="57"/>
      <c r="T10" s="56" t="n">
        <v>12</v>
      </c>
      <c r="U10" s="56" t="n">
        <v>3130</v>
      </c>
      <c r="V10" s="57" t="n">
        <v>18477</v>
      </c>
      <c r="W10" s="56" t="n">
        <f aca="false">R10+T10+N10+U10</f>
        <v>3321</v>
      </c>
      <c r="X10" s="56" t="n">
        <f aca="false">IF(L10&lt;0,L10*-1,0)</f>
        <v>0</v>
      </c>
      <c r="Y10" s="56" t="n">
        <f aca="false">W10+X10</f>
        <v>3321</v>
      </c>
      <c r="Z10" s="60" t="n">
        <v>0</v>
      </c>
      <c r="AA10" s="61" t="n">
        <v>71</v>
      </c>
      <c r="AB10" s="61" t="n">
        <v>40</v>
      </c>
      <c r="AC10" s="62" t="n">
        <v>1</v>
      </c>
      <c r="AD10" s="79"/>
      <c r="AE10" s="82"/>
      <c r="AF10" s="79"/>
    </row>
    <row r="11" customFormat="false" ht="11.1" hidden="false" customHeight="true" outlineLevel="0" collapsed="false">
      <c r="A11" s="62" t="n">
        <f aca="false">A10+1</f>
        <v>2</v>
      </c>
      <c r="B11" s="80" t="n">
        <v>6921.42</v>
      </c>
      <c r="C11" s="57" t="n">
        <v>369754</v>
      </c>
      <c r="D11" s="61" t="n">
        <f aca="false">C11-C10</f>
        <v>-1445</v>
      </c>
      <c r="E11" s="57" t="n">
        <f aca="false">C11-152000</f>
        <v>217754</v>
      </c>
      <c r="F11" s="56" t="n">
        <f aca="false">D11/$D$2</f>
        <v>-728.510209226115</v>
      </c>
      <c r="G11" s="56" t="n">
        <v>1790</v>
      </c>
      <c r="H11" s="58" t="n">
        <v>299</v>
      </c>
      <c r="I11" s="56" t="n">
        <f aca="false">G11+H11</f>
        <v>2089</v>
      </c>
      <c r="J11" s="81" t="n">
        <f aca="false">IF(L11&gt;0,L11,0)</f>
        <v>608.489790773885</v>
      </c>
      <c r="K11" s="56" t="n">
        <f aca="false">I11+J11</f>
        <v>2697.48979077388</v>
      </c>
      <c r="L11" s="56" t="n">
        <f aca="false">F11-(I11-W11)</f>
        <v>608.489790773885</v>
      </c>
      <c r="M11" s="56" t="n">
        <v>175</v>
      </c>
      <c r="N11" s="56" t="n">
        <f aca="false">(34+35)*1.05</f>
        <v>72.45</v>
      </c>
      <c r="O11" s="56" t="n">
        <f aca="false">M11-N11</f>
        <v>102.55</v>
      </c>
      <c r="P11" s="56" t="n">
        <v>0</v>
      </c>
      <c r="Q11" s="56" t="n">
        <v>12</v>
      </c>
      <c r="R11" s="56" t="n">
        <f aca="false">SUM(O11:Q11)</f>
        <v>114.55</v>
      </c>
      <c r="S11" s="57"/>
      <c r="T11" s="56" t="n">
        <v>19</v>
      </c>
      <c r="U11" s="56" t="n">
        <v>3220</v>
      </c>
      <c r="V11" s="57" t="n">
        <v>18477</v>
      </c>
      <c r="W11" s="56" t="n">
        <f aca="false">R11+T11+N11+U11</f>
        <v>3426</v>
      </c>
      <c r="X11" s="56" t="n">
        <f aca="false">IF(L11&lt;0,L11*-1,0)</f>
        <v>0</v>
      </c>
      <c r="Y11" s="56" t="n">
        <f aca="false">W11+X11</f>
        <v>3426</v>
      </c>
      <c r="Z11" s="60" t="n">
        <v>0</v>
      </c>
      <c r="AA11" s="61" t="n">
        <v>75</v>
      </c>
      <c r="AB11" s="61" t="n">
        <v>40</v>
      </c>
      <c r="AC11" s="62" t="n">
        <f aca="false">AC10+1</f>
        <v>2</v>
      </c>
      <c r="AD11" s="79"/>
      <c r="AE11" s="82"/>
      <c r="AF11" s="79"/>
    </row>
    <row r="12" customFormat="false" ht="11.1" hidden="false" customHeight="true" outlineLevel="0" collapsed="false">
      <c r="A12" s="62" t="n">
        <f aca="false">A11+1</f>
        <v>3</v>
      </c>
      <c r="B12" s="80" t="n">
        <v>6921.37</v>
      </c>
      <c r="C12" s="57" t="n">
        <v>369535</v>
      </c>
      <c r="D12" s="61" t="n">
        <f aca="false">C12-C11</f>
        <v>-219</v>
      </c>
      <c r="E12" s="57" t="n">
        <f aca="false">C12-152000</f>
        <v>217535</v>
      </c>
      <c r="F12" s="56" t="n">
        <f aca="false">D12/$D$2</f>
        <v>-110.41088984119</v>
      </c>
      <c r="G12" s="56" t="n">
        <v>2300</v>
      </c>
      <c r="H12" s="58" t="n">
        <v>359</v>
      </c>
      <c r="I12" s="56" t="n">
        <f aca="false">G12+H12</f>
        <v>2659</v>
      </c>
      <c r="J12" s="81" t="n">
        <f aca="false">IF(L12&gt;0,L12,0)</f>
        <v>656.58911015881</v>
      </c>
      <c r="K12" s="56" t="n">
        <f aca="false">I12+J12</f>
        <v>3315.58911015881</v>
      </c>
      <c r="L12" s="56" t="n">
        <f aca="false">F12-(I12-W12)</f>
        <v>656.58911015881</v>
      </c>
      <c r="M12" s="56" t="n">
        <v>194</v>
      </c>
      <c r="N12" s="56" t="n">
        <f aca="false">(36+35)*1.05</f>
        <v>74.55</v>
      </c>
      <c r="O12" s="56" t="n">
        <f aca="false">M12-N12</f>
        <v>119.45</v>
      </c>
      <c r="P12" s="56" t="n">
        <v>0</v>
      </c>
      <c r="Q12" s="56" t="n">
        <v>12</v>
      </c>
      <c r="R12" s="56" t="n">
        <f aca="false">SUM(O12:Q12)</f>
        <v>131.45</v>
      </c>
      <c r="S12" s="57"/>
      <c r="T12" s="56" t="n">
        <v>0</v>
      </c>
      <c r="U12" s="56" t="n">
        <v>3220</v>
      </c>
      <c r="V12" s="57" t="n">
        <v>18477</v>
      </c>
      <c r="W12" s="56" t="n">
        <f aca="false">R12+T12+N12+U12</f>
        <v>3426</v>
      </c>
      <c r="X12" s="56" t="n">
        <f aca="false">IF(L12&lt;0,L12*-1,0)</f>
        <v>0</v>
      </c>
      <c r="Y12" s="56" t="n">
        <f aca="false">W12+X12</f>
        <v>3426</v>
      </c>
      <c r="Z12" s="60" t="n">
        <v>0</v>
      </c>
      <c r="AA12" s="61" t="n">
        <v>73</v>
      </c>
      <c r="AB12" s="61" t="n">
        <v>39</v>
      </c>
      <c r="AC12" s="62" t="n">
        <f aca="false">AC11+1</f>
        <v>3</v>
      </c>
      <c r="AD12" s="79"/>
      <c r="AE12" s="82"/>
      <c r="AF12" s="79"/>
    </row>
    <row r="13" customFormat="false" ht="11.1" hidden="false" customHeight="true" outlineLevel="0" collapsed="false">
      <c r="A13" s="62" t="n">
        <f aca="false">A12+1</f>
        <v>4</v>
      </c>
      <c r="B13" s="80" t="n">
        <v>6921.37</v>
      </c>
      <c r="C13" s="57" t="n">
        <v>369535</v>
      </c>
      <c r="D13" s="61" t="n">
        <f aca="false">C13-C12</f>
        <v>0</v>
      </c>
      <c r="E13" s="57" t="n">
        <f aca="false">C13-152000</f>
        <v>217535</v>
      </c>
      <c r="F13" s="56" t="n">
        <f aca="false">D13/$D$2</f>
        <v>0</v>
      </c>
      <c r="G13" s="56" t="n">
        <v>2540</v>
      </c>
      <c r="H13" s="58" t="n">
        <v>329</v>
      </c>
      <c r="I13" s="56" t="n">
        <f aca="false">G13+H13</f>
        <v>2869</v>
      </c>
      <c r="J13" s="81" t="n">
        <f aca="false">IF(L13&gt;0,L13,0)</f>
        <v>587.1</v>
      </c>
      <c r="K13" s="56" t="n">
        <f aca="false">I13+J13</f>
        <v>3456.1</v>
      </c>
      <c r="L13" s="56" t="n">
        <f aca="false">F13-(I13-W13)</f>
        <v>587.1</v>
      </c>
      <c r="M13" s="56" t="n">
        <v>210</v>
      </c>
      <c r="N13" s="56" t="n">
        <f aca="false">(35+35)*1.05</f>
        <v>73.5</v>
      </c>
      <c r="O13" s="56" t="n">
        <f aca="false">M13-N13</f>
        <v>136.5</v>
      </c>
      <c r="P13" s="56" t="n">
        <v>0</v>
      </c>
      <c r="Q13" s="56" t="n">
        <v>20</v>
      </c>
      <c r="R13" s="56" t="n">
        <f aca="false">SUM(O13:Q13)</f>
        <v>156.5</v>
      </c>
      <c r="S13" s="57"/>
      <c r="T13" s="56" t="n">
        <v>6.1</v>
      </c>
      <c r="U13" s="56" t="n">
        <v>3220</v>
      </c>
      <c r="V13" s="57" t="n">
        <v>18477</v>
      </c>
      <c r="W13" s="56" t="n">
        <f aca="false">R13+T13+N13+U13</f>
        <v>3456.1</v>
      </c>
      <c r="X13" s="56" t="n">
        <f aca="false">IF(L13&lt;0,L13*-1,0)</f>
        <v>0</v>
      </c>
      <c r="Y13" s="56" t="n">
        <f aca="false">W13+X13</f>
        <v>3456.1</v>
      </c>
      <c r="Z13" s="60" t="n">
        <v>0</v>
      </c>
      <c r="AA13" s="61" t="n">
        <v>71</v>
      </c>
      <c r="AB13" s="61" t="n">
        <v>39</v>
      </c>
      <c r="AC13" s="62" t="n">
        <f aca="false">AC12+1</f>
        <v>4</v>
      </c>
      <c r="AD13" s="79"/>
      <c r="AE13" s="82"/>
      <c r="AF13" s="79"/>
    </row>
    <row r="14" customFormat="false" ht="11.1" hidden="false" customHeight="true" outlineLevel="0" collapsed="false">
      <c r="A14" s="62" t="n">
        <f aca="false">A13+1</f>
        <v>5</v>
      </c>
      <c r="B14" s="80" t="n">
        <v>6921.32</v>
      </c>
      <c r="C14" s="57" t="n">
        <v>369316</v>
      </c>
      <c r="D14" s="61" t="n">
        <f aca="false">C14-C13</f>
        <v>-219</v>
      </c>
      <c r="E14" s="57" t="n">
        <f aca="false">C14-152000</f>
        <v>217316</v>
      </c>
      <c r="F14" s="56" t="n">
        <f aca="false">D14/$D$2</f>
        <v>-110.41088984119</v>
      </c>
      <c r="G14" s="56" t="n">
        <v>2500.03</v>
      </c>
      <c r="H14" s="58" t="n">
        <v>262</v>
      </c>
      <c r="I14" s="56" t="n">
        <f aca="false">G14+H14</f>
        <v>2762.03</v>
      </c>
      <c r="J14" s="81" t="n">
        <f aca="false">IF(L14&gt;0,L14,0)</f>
        <v>638.55911015881</v>
      </c>
      <c r="K14" s="56" t="n">
        <f aca="false">I14+J14</f>
        <v>3400.58911015881</v>
      </c>
      <c r="L14" s="56" t="n">
        <f aca="false">F14-(I14-W14)</f>
        <v>638.55911015881</v>
      </c>
      <c r="M14" s="56" t="n">
        <v>228</v>
      </c>
      <c r="N14" s="56" t="n">
        <f aca="false">(34+35)*1.05</f>
        <v>72.45</v>
      </c>
      <c r="O14" s="56" t="n">
        <f aca="false">M14-N14</f>
        <v>155.55</v>
      </c>
      <c r="P14" s="56" t="n">
        <v>0</v>
      </c>
      <c r="Q14" s="56" t="n">
        <v>37</v>
      </c>
      <c r="R14" s="56" t="n">
        <f aca="false">SUM(O14:Q14)</f>
        <v>192.55</v>
      </c>
      <c r="S14" s="57"/>
      <c r="T14" s="56" t="n">
        <v>26</v>
      </c>
      <c r="U14" s="56" t="n">
        <v>3220</v>
      </c>
      <c r="V14" s="57" t="n">
        <v>18477</v>
      </c>
      <c r="W14" s="56" t="n">
        <f aca="false">R14+T14+N14+U14</f>
        <v>3511</v>
      </c>
      <c r="X14" s="56" t="n">
        <f aca="false">IF(L14&lt;0,L14*-1,0)</f>
        <v>0</v>
      </c>
      <c r="Y14" s="56" t="n">
        <f aca="false">W14+X14</f>
        <v>3511</v>
      </c>
      <c r="Z14" s="60" t="n">
        <v>0.51</v>
      </c>
      <c r="AA14" s="61" t="n">
        <v>66</v>
      </c>
      <c r="AB14" s="61" t="n">
        <v>37</v>
      </c>
      <c r="AC14" s="62" t="n">
        <f aca="false">AC13+1</f>
        <v>5</v>
      </c>
      <c r="AD14" s="79"/>
      <c r="AE14" s="82"/>
      <c r="AF14" s="79"/>
    </row>
    <row r="15" customFormat="false" ht="11.1" hidden="false" customHeight="true" outlineLevel="0" collapsed="false">
      <c r="A15" s="62" t="n">
        <f aca="false">A14+1</f>
        <v>6</v>
      </c>
      <c r="B15" s="80" t="n">
        <v>6921.18</v>
      </c>
      <c r="C15" s="57" t="n">
        <v>368703</v>
      </c>
      <c r="D15" s="61" t="n">
        <f aca="false">C15-C14</f>
        <v>-613</v>
      </c>
      <c r="E15" s="57" t="n">
        <f aca="false">C15-152000</f>
        <v>216703</v>
      </c>
      <c r="F15" s="56" t="n">
        <f aca="false">D15/$D$2</f>
        <v>-309.049659692463</v>
      </c>
      <c r="G15" s="56" t="n">
        <v>2400</v>
      </c>
      <c r="H15" s="58" t="n">
        <v>219</v>
      </c>
      <c r="I15" s="56" t="n">
        <f aca="false">G15+H15</f>
        <v>2619</v>
      </c>
      <c r="J15" s="81" t="n">
        <f aca="false">IF(L15&gt;0,L15,0)</f>
        <v>710.050340307537</v>
      </c>
      <c r="K15" s="56" t="n">
        <f aca="false">I15+J15</f>
        <v>3329.05034030754</v>
      </c>
      <c r="L15" s="56" t="n">
        <f aca="false">F15-(I15-W15)</f>
        <v>710.050340307537</v>
      </c>
      <c r="M15" s="56" t="n">
        <v>242</v>
      </c>
      <c r="N15" s="56" t="n">
        <f aca="false">(37+37)*1.05</f>
        <v>77.7</v>
      </c>
      <c r="O15" s="56" t="n">
        <f aca="false">M15-N15</f>
        <v>164.3</v>
      </c>
      <c r="P15" s="56" t="n">
        <v>0</v>
      </c>
      <c r="Q15" s="56" t="n">
        <v>42</v>
      </c>
      <c r="R15" s="56" t="n">
        <f aca="false">SUM(O15:Q15)</f>
        <v>206.3</v>
      </c>
      <c r="S15" s="57"/>
      <c r="T15" s="56" t="n">
        <v>4.1</v>
      </c>
      <c r="U15" s="56" t="n">
        <v>3350</v>
      </c>
      <c r="V15" s="57" t="n">
        <v>18477</v>
      </c>
      <c r="W15" s="56" t="n">
        <f aca="false">R15+T15+N15+U15</f>
        <v>3638.1</v>
      </c>
      <c r="X15" s="56" t="n">
        <f aca="false">IF(L15&lt;0,L15*-1,0)</f>
        <v>0</v>
      </c>
      <c r="Y15" s="56" t="n">
        <f aca="false">W15+X15</f>
        <v>3638.1</v>
      </c>
      <c r="Z15" s="60" t="n">
        <v>0.26</v>
      </c>
      <c r="AA15" s="61" t="n">
        <v>59</v>
      </c>
      <c r="AB15" s="61" t="n">
        <v>39</v>
      </c>
      <c r="AC15" s="62" t="n">
        <f aca="false">AC14+1</f>
        <v>6</v>
      </c>
      <c r="AD15" s="78"/>
      <c r="AE15" s="82"/>
      <c r="AF15" s="79"/>
    </row>
    <row r="16" customFormat="false" ht="11.1" hidden="false" customHeight="true" outlineLevel="0" collapsed="false">
      <c r="A16" s="62" t="n">
        <f aca="false">A15+1</f>
        <v>7</v>
      </c>
      <c r="B16" s="80" t="n">
        <v>6920.72</v>
      </c>
      <c r="C16" s="57" t="n">
        <v>366699</v>
      </c>
      <c r="D16" s="61" t="n">
        <f aca="false">C16-C15</f>
        <v>-2004</v>
      </c>
      <c r="E16" s="57" t="n">
        <f aca="false">C16-152000</f>
        <v>214699</v>
      </c>
      <c r="F16" s="56" t="n">
        <f aca="false">D16/$D$2</f>
        <v>-1010.33526594404</v>
      </c>
      <c r="G16" s="56" t="n">
        <v>1960</v>
      </c>
      <c r="H16" s="58" t="n">
        <v>158</v>
      </c>
      <c r="I16" s="56" t="n">
        <f aca="false">G16+H16</f>
        <v>2118</v>
      </c>
      <c r="J16" s="81" t="n">
        <f aca="false">IF(L16&gt;0,L16,0)</f>
        <v>527.864734055962</v>
      </c>
      <c r="K16" s="56" t="n">
        <f aca="false">I16+J16</f>
        <v>2645.86473405596</v>
      </c>
      <c r="L16" s="56" t="n">
        <f aca="false">F16-(I16-W16)</f>
        <v>527.864734055962</v>
      </c>
      <c r="M16" s="56" t="n">
        <v>248</v>
      </c>
      <c r="N16" s="56" t="n">
        <f aca="false">(36+35)*1.05</f>
        <v>74.55</v>
      </c>
      <c r="O16" s="56" t="n">
        <f aca="false">M16-N16</f>
        <v>173.45</v>
      </c>
      <c r="P16" s="56" t="n">
        <v>0</v>
      </c>
      <c r="Q16" s="56" t="n">
        <v>44</v>
      </c>
      <c r="R16" s="56" t="n">
        <f aca="false">SUM(O16:Q16)</f>
        <v>217.45</v>
      </c>
      <c r="S16" s="57"/>
      <c r="T16" s="56" t="n">
        <v>4.2</v>
      </c>
      <c r="U16" s="56" t="n">
        <v>3360</v>
      </c>
      <c r="V16" s="57" t="n">
        <v>18477</v>
      </c>
      <c r="W16" s="56" t="n">
        <f aca="false">R16+T16+N16+U16</f>
        <v>3656.2</v>
      </c>
      <c r="X16" s="56" t="n">
        <f aca="false">IF(L16&lt;0,L16*-1,0)</f>
        <v>0</v>
      </c>
      <c r="Y16" s="56" t="n">
        <f aca="false">W16+X16</f>
        <v>3656.2</v>
      </c>
      <c r="Z16" s="60" t="n">
        <v>0</v>
      </c>
      <c r="AA16" s="61" t="n">
        <v>65</v>
      </c>
      <c r="AB16" s="61" t="n">
        <v>38</v>
      </c>
      <c r="AC16" s="62" t="n">
        <f aca="false">AC15+1</f>
        <v>7</v>
      </c>
      <c r="AD16" s="78"/>
      <c r="AE16" s="82"/>
      <c r="AF16" s="79"/>
    </row>
    <row r="17" customFormat="false" ht="11.1" hidden="false" customHeight="true" outlineLevel="0" collapsed="false">
      <c r="A17" s="62" t="n">
        <f aca="false">A16+1</f>
        <v>8</v>
      </c>
      <c r="B17" s="80" t="n">
        <v>6920.35</v>
      </c>
      <c r="C17" s="57" t="n">
        <v>365093</v>
      </c>
      <c r="D17" s="61" t="n">
        <f aca="false">C17-C16</f>
        <v>-1606</v>
      </c>
      <c r="E17" s="57" t="n">
        <f aca="false">C17-152000</f>
        <v>213093</v>
      </c>
      <c r="F17" s="56" t="n">
        <f aca="false">D17/$D$2</f>
        <v>-809.679858835392</v>
      </c>
      <c r="G17" s="56" t="n">
        <v>1760</v>
      </c>
      <c r="H17" s="58" t="n">
        <v>124</v>
      </c>
      <c r="I17" s="56" t="n">
        <f aca="false">G17+H17</f>
        <v>1884</v>
      </c>
      <c r="J17" s="81" t="n">
        <f aca="false">IF(L17&gt;0,L17,0)</f>
        <v>418.320141164608</v>
      </c>
      <c r="K17" s="56" t="n">
        <f aca="false">I17+J17</f>
        <v>2302.32014116461</v>
      </c>
      <c r="L17" s="56" t="n">
        <f aca="false">F17-(I17-W17)</f>
        <v>418.320141164608</v>
      </c>
      <c r="M17" s="56" t="n">
        <v>269</v>
      </c>
      <c r="N17" s="56" t="n">
        <f aca="false">(32+32)*1.05</f>
        <v>67.2</v>
      </c>
      <c r="O17" s="56" t="n">
        <f aca="false">M17-N17</f>
        <v>201.8</v>
      </c>
      <c r="P17" s="56" t="n">
        <v>0</v>
      </c>
      <c r="Q17" s="56" t="n">
        <v>46</v>
      </c>
      <c r="R17" s="56" t="n">
        <f aca="false">SUM(O17:Q17)</f>
        <v>247.8</v>
      </c>
      <c r="S17" s="57"/>
      <c r="T17" s="56" t="n">
        <v>17</v>
      </c>
      <c r="U17" s="56" t="n">
        <v>2780</v>
      </c>
      <c r="V17" s="57" t="n">
        <v>18477</v>
      </c>
      <c r="W17" s="56" t="n">
        <f aca="false">R17+T17+N17+U17</f>
        <v>3112</v>
      </c>
      <c r="X17" s="56" t="n">
        <f aca="false">IF(L17&lt;0,L17*-1,0)</f>
        <v>0</v>
      </c>
      <c r="Y17" s="56" t="n">
        <f aca="false">W17+X17</f>
        <v>3112</v>
      </c>
      <c r="Z17" s="60" t="n">
        <v>0</v>
      </c>
      <c r="AA17" s="61" t="n">
        <v>67</v>
      </c>
      <c r="AB17" s="61" t="n">
        <v>38</v>
      </c>
      <c r="AC17" s="62" t="n">
        <f aca="false">AC16+1</f>
        <v>8</v>
      </c>
      <c r="AD17" s="78"/>
      <c r="AE17" s="82"/>
      <c r="AF17" s="79"/>
    </row>
    <row r="18" customFormat="false" ht="11.1" hidden="false" customHeight="true" outlineLevel="0" collapsed="false">
      <c r="A18" s="62" t="n">
        <f aca="false">A17+1</f>
        <v>9</v>
      </c>
      <c r="B18" s="80" t="n">
        <v>6920.09</v>
      </c>
      <c r="C18" s="57" t="n">
        <v>363964</v>
      </c>
      <c r="D18" s="61" t="n">
        <f aca="false">C18-C17</f>
        <v>-1129</v>
      </c>
      <c r="E18" s="57" t="n">
        <f aca="false">C18-152000</f>
        <v>211964</v>
      </c>
      <c r="F18" s="56" t="n">
        <f aca="false">D18/$D$2</f>
        <v>-569.195865893622</v>
      </c>
      <c r="G18" s="56" t="n">
        <v>1510</v>
      </c>
      <c r="H18" s="58" t="n">
        <v>81</v>
      </c>
      <c r="I18" s="56" t="n">
        <f aca="false">G18+H18</f>
        <v>1591</v>
      </c>
      <c r="J18" s="81" t="n">
        <f aca="false">IF(L18&gt;0,L18,0)</f>
        <v>367.804134106378</v>
      </c>
      <c r="K18" s="56" t="n">
        <f aca="false">I18+J18</f>
        <v>1958.80413410638</v>
      </c>
      <c r="L18" s="56" t="n">
        <f aca="false">F18-(I18-W18)</f>
        <v>367.804134106378</v>
      </c>
      <c r="M18" s="56" t="n">
        <v>239</v>
      </c>
      <c r="N18" s="56" t="n">
        <f aca="false">(16+17)*1.05</f>
        <v>34.65</v>
      </c>
      <c r="O18" s="56" t="n">
        <f aca="false">M18-N18</f>
        <v>204.35</v>
      </c>
      <c r="P18" s="56" t="n">
        <v>0</v>
      </c>
      <c r="Q18" s="56" t="n">
        <v>48</v>
      </c>
      <c r="R18" s="56" t="n">
        <f aca="false">SUM(O18:Q18)</f>
        <v>252.35</v>
      </c>
      <c r="S18" s="57"/>
      <c r="T18" s="56" t="n">
        <v>31</v>
      </c>
      <c r="U18" s="56" t="n">
        <v>2210</v>
      </c>
      <c r="V18" s="57" t="n">
        <v>18477</v>
      </c>
      <c r="W18" s="56" t="n">
        <f aca="false">R18+T18+N18+U18</f>
        <v>2528</v>
      </c>
      <c r="X18" s="56" t="n">
        <f aca="false">IF(L18&lt;0,L18*-1,0)</f>
        <v>0</v>
      </c>
      <c r="Y18" s="56" t="n">
        <f aca="false">W18+X18</f>
        <v>2528</v>
      </c>
      <c r="Z18" s="60" t="n">
        <v>0</v>
      </c>
      <c r="AA18" s="61" t="n">
        <v>70</v>
      </c>
      <c r="AB18" s="61" t="n">
        <v>39</v>
      </c>
      <c r="AC18" s="62" t="n">
        <f aca="false">AC17+1</f>
        <v>9</v>
      </c>
      <c r="AD18" s="78"/>
      <c r="AE18" s="82"/>
      <c r="AF18" s="79"/>
    </row>
    <row r="19" customFormat="false" ht="11.1" hidden="false" customHeight="true" outlineLevel="0" collapsed="false">
      <c r="A19" s="62" t="n">
        <f aca="false">A18+1</f>
        <v>10</v>
      </c>
      <c r="B19" s="80" t="n">
        <v>6920.02</v>
      </c>
      <c r="C19" s="57" t="n">
        <v>363660</v>
      </c>
      <c r="D19" s="61" t="n">
        <f aca="false">C19-C18</f>
        <v>-304</v>
      </c>
      <c r="E19" s="57" t="n">
        <f aca="false">C19-152000</f>
        <v>211660</v>
      </c>
      <c r="F19" s="56" t="n">
        <f aca="false">D19/$D$2</f>
        <v>-153.264431560373</v>
      </c>
      <c r="G19" s="56" t="n">
        <v>1660</v>
      </c>
      <c r="H19" s="58" t="n">
        <v>108</v>
      </c>
      <c r="I19" s="56" t="n">
        <f aca="false">G19+H19</f>
        <v>1768</v>
      </c>
      <c r="J19" s="81" t="n">
        <f aca="false">IF(L19&gt;0,L19,0)</f>
        <v>226.735568439627</v>
      </c>
      <c r="K19" s="56" t="n">
        <f aca="false">I19+J19</f>
        <v>1994.73556843963</v>
      </c>
      <c r="L19" s="56" t="n">
        <f aca="false">F19-(I19-W19)</f>
        <v>226.735568439627</v>
      </c>
      <c r="M19" s="56" t="n">
        <v>242</v>
      </c>
      <c r="N19" s="56" t="n">
        <f aca="false">(9.5+10)*1.05</f>
        <v>20.475</v>
      </c>
      <c r="O19" s="56" t="n">
        <f aca="false">M19-N19</f>
        <v>221.525</v>
      </c>
      <c r="P19" s="56" t="n">
        <v>0</v>
      </c>
      <c r="Q19" s="56" t="n">
        <v>49</v>
      </c>
      <c r="R19" s="56" t="n">
        <f aca="false">SUM(O19:Q19)</f>
        <v>270.525</v>
      </c>
      <c r="S19" s="57"/>
      <c r="T19" s="56" t="n">
        <v>27</v>
      </c>
      <c r="U19" s="56" t="n">
        <v>1830</v>
      </c>
      <c r="V19" s="57" t="n">
        <v>18477</v>
      </c>
      <c r="W19" s="56" t="n">
        <f aca="false">R19+T19+N19+U19</f>
        <v>2148</v>
      </c>
      <c r="X19" s="56" t="n">
        <f aca="false">IF(L19&lt;0,L19*-1,0)</f>
        <v>0</v>
      </c>
      <c r="Y19" s="56" t="n">
        <f aca="false">W19+X19</f>
        <v>2148</v>
      </c>
      <c r="Z19" s="60" t="n">
        <v>0</v>
      </c>
      <c r="AA19" s="61" t="n">
        <v>70</v>
      </c>
      <c r="AB19" s="61" t="n">
        <v>40</v>
      </c>
      <c r="AC19" s="62" t="n">
        <f aca="false">AC18+1</f>
        <v>10</v>
      </c>
      <c r="AD19" s="78"/>
      <c r="AE19" s="82"/>
      <c r="AF19" s="79"/>
    </row>
    <row r="20" customFormat="false" ht="11.1" hidden="false" customHeight="true" outlineLevel="0" collapsed="false">
      <c r="A20" s="62" t="n">
        <f aca="false">A19+1</f>
        <v>11</v>
      </c>
      <c r="B20" s="80" t="n">
        <v>6920.34</v>
      </c>
      <c r="C20" s="57" t="n">
        <v>365049</v>
      </c>
      <c r="D20" s="61" t="n">
        <f aca="false">C20-C19</f>
        <v>1389</v>
      </c>
      <c r="E20" s="57" t="n">
        <f aca="false">C20-152000</f>
        <v>213049</v>
      </c>
      <c r="F20" s="56" t="n">
        <f aca="false">D20/$D$2</f>
        <v>700.277287622889</v>
      </c>
      <c r="G20" s="56" t="n">
        <v>1990</v>
      </c>
      <c r="H20" s="58" t="n">
        <v>146</v>
      </c>
      <c r="I20" s="56" t="n">
        <f aca="false">G20+H20</f>
        <v>2136</v>
      </c>
      <c r="J20" s="81" t="n">
        <f aca="false">IF(L20&gt;0,L20,0)</f>
        <v>297.277287622889</v>
      </c>
      <c r="K20" s="56" t="n">
        <f aca="false">I20+J20</f>
        <v>2433.27728762289</v>
      </c>
      <c r="L20" s="56" t="n">
        <f aca="false">F20-(I20-W20)</f>
        <v>297.277287622889</v>
      </c>
      <c r="M20" s="56" t="n">
        <v>264</v>
      </c>
      <c r="N20" s="56" t="n">
        <f aca="false">(22+24)*1.05</f>
        <v>48.3</v>
      </c>
      <c r="O20" s="56" t="n">
        <f aca="false">M20-N20</f>
        <v>215.7</v>
      </c>
      <c r="P20" s="56" t="n">
        <v>33</v>
      </c>
      <c r="Q20" s="56" t="n">
        <v>53</v>
      </c>
      <c r="R20" s="56" t="n">
        <f aca="false">SUM(O20:Q20)</f>
        <v>301.7</v>
      </c>
      <c r="S20" s="57"/>
      <c r="T20" s="56" t="n">
        <v>43</v>
      </c>
      <c r="U20" s="56" t="n">
        <v>1340</v>
      </c>
      <c r="V20" s="57" t="n">
        <v>18477</v>
      </c>
      <c r="W20" s="56" t="n">
        <f aca="false">R20+T20+N20+U20</f>
        <v>1733</v>
      </c>
      <c r="X20" s="56" t="n">
        <f aca="false">IF(L20&lt;0,L20*-1,0)</f>
        <v>0</v>
      </c>
      <c r="Y20" s="56" t="n">
        <f aca="false">W20+X20</f>
        <v>1733</v>
      </c>
      <c r="Z20" s="60" t="n">
        <v>0</v>
      </c>
      <c r="AA20" s="61" t="n">
        <v>66</v>
      </c>
      <c r="AB20" s="61" t="n">
        <v>36</v>
      </c>
      <c r="AC20" s="62" t="n">
        <f aca="false">AC19+1</f>
        <v>11</v>
      </c>
      <c r="AD20" s="78"/>
      <c r="AE20" s="82"/>
      <c r="AF20" s="79"/>
    </row>
    <row r="21" customFormat="false" ht="11.1" hidden="false" customHeight="true" outlineLevel="0" collapsed="false">
      <c r="A21" s="62" t="n">
        <f aca="false">A20+1</f>
        <v>12</v>
      </c>
      <c r="B21" s="80" t="n">
        <v>6920.84</v>
      </c>
      <c r="C21" s="57" t="n">
        <v>367220</v>
      </c>
      <c r="D21" s="61" t="n">
        <f aca="false">C21-C20</f>
        <v>2171</v>
      </c>
      <c r="E21" s="57" t="n">
        <f aca="false">C21-152000</f>
        <v>215220</v>
      </c>
      <c r="F21" s="56" t="n">
        <f aca="false">D21/$D$2</f>
        <v>1094.52987143937</v>
      </c>
      <c r="G21" s="56" t="n">
        <v>2110</v>
      </c>
      <c r="H21" s="58" t="n">
        <v>150</v>
      </c>
      <c r="I21" s="56" t="n">
        <f aca="false">G21+H21</f>
        <v>2260</v>
      </c>
      <c r="J21" s="81" t="n">
        <f aca="false">IF(L21&gt;0,L21,0)</f>
        <v>246.529871439375</v>
      </c>
      <c r="K21" s="56" t="n">
        <f aca="false">I21+J21</f>
        <v>2506.52987143937</v>
      </c>
      <c r="L21" s="56" t="n">
        <f aca="false">F21-(I21-W21)</f>
        <v>246.529871439375</v>
      </c>
      <c r="M21" s="56" t="n">
        <v>290</v>
      </c>
      <c r="N21" s="56" t="n">
        <f aca="false">(32+32)*1.05</f>
        <v>67.2</v>
      </c>
      <c r="O21" s="56" t="n">
        <f aca="false">M21-N21</f>
        <v>222.8</v>
      </c>
      <c r="P21" s="56" t="n">
        <v>46</v>
      </c>
      <c r="Q21" s="56" t="n">
        <v>54</v>
      </c>
      <c r="R21" s="56" t="n">
        <f aca="false">SUM(O21:Q21)</f>
        <v>322.8</v>
      </c>
      <c r="S21" s="57"/>
      <c r="T21" s="56" t="n">
        <v>59</v>
      </c>
      <c r="U21" s="56" t="n">
        <v>963</v>
      </c>
      <c r="V21" s="57" t="n">
        <v>18477</v>
      </c>
      <c r="W21" s="56" t="n">
        <f aca="false">R21+T21+N21+U21</f>
        <v>1412</v>
      </c>
      <c r="X21" s="56" t="n">
        <f aca="false">IF(L21&lt;0,L21*-1,0)</f>
        <v>0</v>
      </c>
      <c r="Y21" s="56" t="n">
        <f aca="false">W21+X21</f>
        <v>1412</v>
      </c>
      <c r="Z21" s="60" t="n">
        <v>0</v>
      </c>
      <c r="AA21" s="61" t="n">
        <v>69</v>
      </c>
      <c r="AB21" s="61" t="n">
        <v>40</v>
      </c>
      <c r="AC21" s="62" t="n">
        <f aca="false">AC20+1</f>
        <v>12</v>
      </c>
      <c r="AD21" s="78"/>
      <c r="AE21" s="82"/>
      <c r="AF21" s="79"/>
    </row>
    <row r="22" customFormat="false" ht="11.1" hidden="false" customHeight="true" outlineLevel="0" collapsed="false">
      <c r="A22" s="62" t="n">
        <f aca="false">A21+1</f>
        <v>13</v>
      </c>
      <c r="B22" s="80" t="n">
        <v>6921.35</v>
      </c>
      <c r="C22" s="57" t="n">
        <v>369447</v>
      </c>
      <c r="D22" s="61" t="n">
        <f aca="false">C22-C21</f>
        <v>2227</v>
      </c>
      <c r="E22" s="57" t="n">
        <f aca="false">C22-152000</f>
        <v>217447</v>
      </c>
      <c r="F22" s="56" t="n">
        <f aca="false">D22/$D$2</f>
        <v>1122.7627930426</v>
      </c>
      <c r="G22" s="56" t="n">
        <v>2140</v>
      </c>
      <c r="H22" s="58" t="n">
        <v>156</v>
      </c>
      <c r="I22" s="56" t="n">
        <f aca="false">G22+H22</f>
        <v>2296</v>
      </c>
      <c r="J22" s="81" t="n">
        <f aca="false">IF(L22&gt;0,L22,0)</f>
        <v>127.762793042602</v>
      </c>
      <c r="K22" s="56" t="n">
        <f aca="false">I22+J22</f>
        <v>2423.7627930426</v>
      </c>
      <c r="L22" s="56" t="n">
        <f aca="false">F22-(I22-W22)</f>
        <v>127.762793042602</v>
      </c>
      <c r="M22" s="56" t="n">
        <v>312</v>
      </c>
      <c r="N22" s="56" t="n">
        <f aca="false">(36+36)*1.05</f>
        <v>75.6</v>
      </c>
      <c r="O22" s="56" t="n">
        <f aca="false">M22-N22</f>
        <v>236.4</v>
      </c>
      <c r="P22" s="56" t="n">
        <v>46</v>
      </c>
      <c r="Q22" s="56" t="n">
        <v>55</v>
      </c>
      <c r="R22" s="56" t="n">
        <f aca="false">SUM(O22:Q22)</f>
        <v>337.4</v>
      </c>
      <c r="S22" s="57"/>
      <c r="T22" s="56" t="n">
        <v>51</v>
      </c>
      <c r="U22" s="56" t="n">
        <v>837</v>
      </c>
      <c r="V22" s="57" t="n">
        <v>18477</v>
      </c>
      <c r="W22" s="56" t="n">
        <f aca="false">R22+T22+N22+U22</f>
        <v>1301</v>
      </c>
      <c r="X22" s="56" t="n">
        <f aca="false">IF(L22&lt;0,L22*-1,0)</f>
        <v>0</v>
      </c>
      <c r="Y22" s="56" t="n">
        <f aca="false">W22+X22</f>
        <v>1301</v>
      </c>
      <c r="Z22" s="60" t="n">
        <v>0</v>
      </c>
      <c r="AA22" s="61" t="n">
        <v>66</v>
      </c>
      <c r="AB22" s="61" t="n">
        <v>42</v>
      </c>
      <c r="AC22" s="62" t="n">
        <f aca="false">AC21+1</f>
        <v>13</v>
      </c>
      <c r="AD22" s="78"/>
      <c r="AE22" s="82"/>
      <c r="AF22" s="79"/>
    </row>
    <row r="23" customFormat="false" ht="11.1" hidden="false" customHeight="true" outlineLevel="0" collapsed="false">
      <c r="A23" s="62" t="n">
        <f aca="false">A22+1</f>
        <v>14</v>
      </c>
      <c r="B23" s="80" t="n">
        <v>6921.85</v>
      </c>
      <c r="C23" s="57" t="n">
        <v>371637</v>
      </c>
      <c r="D23" s="61" t="n">
        <f aca="false">C23-C22</f>
        <v>2190</v>
      </c>
      <c r="E23" s="57" t="n">
        <f aca="false">C23-152000</f>
        <v>219637</v>
      </c>
      <c r="F23" s="56" t="n">
        <f aca="false">D23/$D$2</f>
        <v>1104.1088984119</v>
      </c>
      <c r="G23" s="56" t="n">
        <v>2180</v>
      </c>
      <c r="H23" s="58" t="n">
        <v>137</v>
      </c>
      <c r="I23" s="56" t="n">
        <f aca="false">G23+H23</f>
        <v>2317</v>
      </c>
      <c r="J23" s="81" t="n">
        <f aca="false">IF(L23&gt;0,L23,0)</f>
        <v>129.108898411898</v>
      </c>
      <c r="K23" s="56" t="n">
        <f aca="false">I23+J23</f>
        <v>2446.1088984119</v>
      </c>
      <c r="L23" s="56" t="n">
        <f aca="false">F23-(I23-W23)</f>
        <v>129.108898411898</v>
      </c>
      <c r="M23" s="56" t="n">
        <v>292</v>
      </c>
      <c r="N23" s="56" t="n">
        <f aca="false">(28+28)*1.05</f>
        <v>58.8</v>
      </c>
      <c r="O23" s="56" t="n">
        <f aca="false">M23-N23</f>
        <v>233.2</v>
      </c>
      <c r="P23" s="56" t="n">
        <v>78</v>
      </c>
      <c r="Q23" s="56" t="n">
        <v>55</v>
      </c>
      <c r="R23" s="56" t="n">
        <f aca="false">SUM(O23:Q23)</f>
        <v>366.2</v>
      </c>
      <c r="S23" s="57"/>
      <c r="T23" s="56" t="n">
        <v>78</v>
      </c>
      <c r="U23" s="56" t="n">
        <v>839</v>
      </c>
      <c r="V23" s="57" t="n">
        <v>18477</v>
      </c>
      <c r="W23" s="56" t="n">
        <f aca="false">R23+T23+N23+U23</f>
        <v>1342</v>
      </c>
      <c r="X23" s="56" t="n">
        <f aca="false">IF(L23&lt;0,L23*-1,0)</f>
        <v>0</v>
      </c>
      <c r="Y23" s="56" t="n">
        <f aca="false">W23+X23</f>
        <v>1342</v>
      </c>
      <c r="Z23" s="60" t="n">
        <v>0</v>
      </c>
      <c r="AA23" s="61" t="n">
        <v>67</v>
      </c>
      <c r="AB23" s="61" t="n">
        <v>35</v>
      </c>
      <c r="AC23" s="62" t="n">
        <f aca="false">AC22+1</f>
        <v>14</v>
      </c>
      <c r="AD23" s="78"/>
      <c r="AE23" s="82"/>
      <c r="AF23" s="79"/>
    </row>
    <row r="24" customFormat="false" ht="11.1" hidden="false" customHeight="true" outlineLevel="0" collapsed="false">
      <c r="A24" s="62" t="n">
        <f aca="false">A23+1</f>
        <v>15</v>
      </c>
      <c r="B24" s="80" t="n">
        <v>6922</v>
      </c>
      <c r="C24" s="57" t="n">
        <v>372294</v>
      </c>
      <c r="D24" s="61" t="n">
        <f aca="false">C24-C23</f>
        <v>657</v>
      </c>
      <c r="E24" s="57" t="n">
        <f aca="false">C24-152000</f>
        <v>220294</v>
      </c>
      <c r="F24" s="56" t="n">
        <f aca="false">D24/$D$2</f>
        <v>331.232669523569</v>
      </c>
      <c r="G24" s="56" t="n">
        <v>1680</v>
      </c>
      <c r="H24" s="58" t="n">
        <v>71</v>
      </c>
      <c r="I24" s="56" t="n">
        <f aca="false">G24+H24</f>
        <v>1751</v>
      </c>
      <c r="J24" s="81" t="n">
        <f aca="false">IF(L24&gt;0,L24,0)</f>
        <v>180.232669523569</v>
      </c>
      <c r="K24" s="103" t="n">
        <f aca="false">I24+J24</f>
        <v>1931.23266952357</v>
      </c>
      <c r="L24" s="56" t="n">
        <f aca="false">F24-(I24-W24)</f>
        <v>180.232669523569</v>
      </c>
      <c r="M24" s="56" t="n">
        <v>296</v>
      </c>
      <c r="N24" s="56" t="n">
        <f aca="false">(26+25)*1.05</f>
        <v>53.55</v>
      </c>
      <c r="O24" s="56" t="n">
        <f aca="false">M24-N24</f>
        <v>242.45</v>
      </c>
      <c r="P24" s="56" t="n">
        <v>107</v>
      </c>
      <c r="Q24" s="56" t="n">
        <v>53</v>
      </c>
      <c r="R24" s="56" t="n">
        <f aca="false">SUM(O24:Q24)</f>
        <v>402.45</v>
      </c>
      <c r="S24" s="57"/>
      <c r="T24" s="56" t="n">
        <v>74</v>
      </c>
      <c r="U24" s="56" t="n">
        <v>1070</v>
      </c>
      <c r="V24" s="57" t="n">
        <v>18477</v>
      </c>
      <c r="W24" s="56" t="n">
        <f aca="false">R24+T24+N24+U24</f>
        <v>1600</v>
      </c>
      <c r="X24" s="56" t="n">
        <f aca="false">IF(L24&lt;0,L24*-1,0)</f>
        <v>0</v>
      </c>
      <c r="Y24" s="56" t="n">
        <f aca="false">W24+X24</f>
        <v>1600</v>
      </c>
      <c r="Z24" s="60" t="n">
        <v>0</v>
      </c>
      <c r="AA24" s="61" t="n">
        <v>65</v>
      </c>
      <c r="AB24" s="61" t="n">
        <v>30</v>
      </c>
      <c r="AC24" s="62" t="n">
        <f aca="false">AC23+1</f>
        <v>15</v>
      </c>
      <c r="AD24" s="78"/>
      <c r="AE24" s="82"/>
      <c r="AF24" s="79"/>
    </row>
    <row r="25" customFormat="false" ht="11.1" hidden="false" customHeight="true" outlineLevel="0" collapsed="false">
      <c r="A25" s="62" t="n">
        <f aca="false">A24+1</f>
        <v>16</v>
      </c>
      <c r="B25" s="80" t="n">
        <v>6922</v>
      </c>
      <c r="C25" s="57" t="n">
        <v>372294</v>
      </c>
      <c r="D25" s="61" t="n">
        <f aca="false">C25-C24</f>
        <v>0</v>
      </c>
      <c r="E25" s="57" t="n">
        <f aca="false">C25-152000</f>
        <v>220294</v>
      </c>
      <c r="F25" s="56" t="n">
        <f aca="false">D25/$D$2</f>
        <v>0</v>
      </c>
      <c r="G25" s="56" t="n">
        <v>1640</v>
      </c>
      <c r="H25" s="58" t="n">
        <v>65</v>
      </c>
      <c r="I25" s="56" t="n">
        <f aca="false">G25+H25</f>
        <v>1705</v>
      </c>
      <c r="J25" s="81" t="n">
        <f aca="false">IF(L25&gt;0,L25,0)</f>
        <v>36</v>
      </c>
      <c r="K25" s="56" t="n">
        <f aca="false">I25+J25</f>
        <v>1741</v>
      </c>
      <c r="L25" s="56" t="n">
        <f aca="false">F25-(I25-W25)</f>
        <v>36</v>
      </c>
      <c r="M25" s="56" t="n">
        <v>268</v>
      </c>
      <c r="N25" s="56" t="n">
        <f aca="false">(13+12)*1.05</f>
        <v>26.25</v>
      </c>
      <c r="O25" s="56" t="n">
        <f aca="false">M25-N25</f>
        <v>241.75</v>
      </c>
      <c r="P25" s="56" t="n">
        <v>112</v>
      </c>
      <c r="Q25" s="56" t="n">
        <v>58</v>
      </c>
      <c r="R25" s="56" t="n">
        <f aca="false">SUM(O25:Q25)</f>
        <v>411.75</v>
      </c>
      <c r="S25" s="57"/>
      <c r="T25" s="56" t="n">
        <v>123</v>
      </c>
      <c r="U25" s="56" t="n">
        <v>1180</v>
      </c>
      <c r="V25" s="57" t="n">
        <v>18477</v>
      </c>
      <c r="W25" s="56" t="n">
        <f aca="false">R25+T25+N25+U25</f>
        <v>1741</v>
      </c>
      <c r="X25" s="56" t="n">
        <f aca="false">IF(L25&lt;0,L25*-1,0)</f>
        <v>0</v>
      </c>
      <c r="Y25" s="56" t="n">
        <f aca="false">W25+X25</f>
        <v>1741</v>
      </c>
      <c r="Z25" s="60" t="n">
        <v>0</v>
      </c>
      <c r="AA25" s="61" t="n">
        <v>76</v>
      </c>
      <c r="AB25" s="61" t="n">
        <v>39</v>
      </c>
      <c r="AC25" s="62" t="n">
        <f aca="false">AC24+1</f>
        <v>16</v>
      </c>
      <c r="AD25" s="78"/>
      <c r="AE25" s="91"/>
      <c r="AF25" s="79"/>
    </row>
    <row r="26" customFormat="false" ht="11.1" hidden="false" customHeight="true" outlineLevel="0" collapsed="false">
      <c r="A26" s="62" t="n">
        <f aca="false">A25+1</f>
        <v>17</v>
      </c>
      <c r="B26" s="80" t="n">
        <v>6922.1</v>
      </c>
      <c r="C26" s="57" t="n">
        <v>372735</v>
      </c>
      <c r="D26" s="61" t="n">
        <f aca="false">C26-C25</f>
        <v>441</v>
      </c>
      <c r="E26" s="57" t="n">
        <f aca="false">C26-152000</f>
        <v>220735</v>
      </c>
      <c r="F26" s="56" t="n">
        <f aca="false">D26/$D$2</f>
        <v>222.33425762541</v>
      </c>
      <c r="G26" s="56" t="n">
        <v>1820</v>
      </c>
      <c r="H26" s="58" t="n">
        <v>69</v>
      </c>
      <c r="I26" s="56" t="n">
        <f aca="false">G26+H26</f>
        <v>1889</v>
      </c>
      <c r="J26" s="81" t="n">
        <f aca="false">IF(L26&gt;0,L26,0)</f>
        <v>102.33425762541</v>
      </c>
      <c r="K26" s="103" t="n">
        <f aca="false">I26+J26</f>
        <v>1991.33425762541</v>
      </c>
      <c r="L26" s="56" t="n">
        <f aca="false">F26-(I26-W26)</f>
        <v>102.33425762541</v>
      </c>
      <c r="M26" s="56" t="n">
        <v>282</v>
      </c>
      <c r="N26" s="56" t="n">
        <f aca="false">(12+11)*1.05</f>
        <v>24.15</v>
      </c>
      <c r="O26" s="56" t="n">
        <f aca="false">M26-N26</f>
        <v>257.85</v>
      </c>
      <c r="P26" s="56" t="n">
        <v>113</v>
      </c>
      <c r="Q26" s="56" t="n">
        <v>62</v>
      </c>
      <c r="R26" s="56" t="n">
        <f aca="false">SUM(O26:Q26)</f>
        <v>432.85</v>
      </c>
      <c r="S26" s="57"/>
      <c r="T26" s="56" t="n">
        <v>122</v>
      </c>
      <c r="U26" s="56" t="n">
        <v>1190</v>
      </c>
      <c r="V26" s="57" t="n">
        <v>18477</v>
      </c>
      <c r="W26" s="56" t="n">
        <f aca="false">R26+T26+N26+U26</f>
        <v>1769</v>
      </c>
      <c r="X26" s="56" t="n">
        <f aca="false">IF(L26&lt;0,L26*-1,0)</f>
        <v>0</v>
      </c>
      <c r="Y26" s="56" t="n">
        <f aca="false">W26+X26</f>
        <v>1769</v>
      </c>
      <c r="Z26" s="60" t="n">
        <v>0</v>
      </c>
      <c r="AA26" s="61" t="n">
        <v>79</v>
      </c>
      <c r="AB26" s="61" t="n">
        <v>41</v>
      </c>
      <c r="AC26" s="62" t="n">
        <f aca="false">AC25+1</f>
        <v>17</v>
      </c>
      <c r="AD26" s="78"/>
      <c r="AE26" s="82"/>
      <c r="AF26" s="79"/>
    </row>
    <row r="27" customFormat="false" ht="11.1" hidden="false" customHeight="true" outlineLevel="0" collapsed="false">
      <c r="A27" s="62" t="n">
        <f aca="false">A26+1</f>
        <v>18</v>
      </c>
      <c r="B27" s="80" t="n">
        <v>6922.43</v>
      </c>
      <c r="C27" s="57" t="n">
        <v>374192</v>
      </c>
      <c r="D27" s="61" t="n">
        <f aca="false">C27-C26</f>
        <v>1457</v>
      </c>
      <c r="E27" s="57" t="n">
        <f aca="false">C27-152000</f>
        <v>222192</v>
      </c>
      <c r="F27" s="56" t="n">
        <f aca="false">D27/$D$2</f>
        <v>734.560120998235</v>
      </c>
      <c r="G27" s="56" t="n">
        <v>2390</v>
      </c>
      <c r="H27" s="58" t="n">
        <v>116</v>
      </c>
      <c r="I27" s="56" t="n">
        <f aca="false">G27+H27</f>
        <v>2506</v>
      </c>
      <c r="J27" s="81" t="n">
        <f aca="false">IF(L27&gt;0,L27,0)</f>
        <v>18.5601209982354</v>
      </c>
      <c r="K27" s="56" t="n">
        <f aca="false">I27+J27</f>
        <v>2524.56012099824</v>
      </c>
      <c r="L27" s="56" t="n">
        <f aca="false">F27-(I27-W27)</f>
        <v>18.5601209982354</v>
      </c>
      <c r="M27" s="56" t="n">
        <v>272</v>
      </c>
      <c r="N27" s="56" t="n">
        <f aca="false">(10+10)*1.05</f>
        <v>21</v>
      </c>
      <c r="O27" s="56" t="n">
        <f aca="false">M27-N27</f>
        <v>251</v>
      </c>
      <c r="P27" s="56" t="n">
        <v>110</v>
      </c>
      <c r="Q27" s="56" t="n">
        <v>64</v>
      </c>
      <c r="R27" s="56" t="n">
        <f aca="false">SUM(O27:Q27)</f>
        <v>425</v>
      </c>
      <c r="S27" s="57"/>
      <c r="T27" s="56" t="n">
        <v>154</v>
      </c>
      <c r="U27" s="56" t="n">
        <v>1190</v>
      </c>
      <c r="V27" s="57" t="n">
        <v>18477</v>
      </c>
      <c r="W27" s="56" t="n">
        <f aca="false">R27+T27+N27+U27</f>
        <v>1790</v>
      </c>
      <c r="X27" s="56" t="n">
        <f aca="false">IF(L27&lt;0,L27*-1,0)</f>
        <v>0</v>
      </c>
      <c r="Y27" s="56" t="n">
        <f aca="false">W27+X27</f>
        <v>1790</v>
      </c>
      <c r="Z27" s="60" t="n">
        <v>0</v>
      </c>
      <c r="AA27" s="61" t="n">
        <v>80</v>
      </c>
      <c r="AB27" s="61" t="n">
        <v>49</v>
      </c>
      <c r="AC27" s="62" t="n">
        <f aca="false">AC26+1</f>
        <v>18</v>
      </c>
      <c r="AD27" s="78"/>
      <c r="AE27" s="82"/>
      <c r="AF27" s="79"/>
    </row>
    <row r="28" customFormat="false" ht="11.1" hidden="false" customHeight="true" outlineLevel="0" collapsed="false">
      <c r="A28" s="62" t="n">
        <f aca="false">A27+1</f>
        <v>19</v>
      </c>
      <c r="B28" s="80" t="n">
        <v>6922.88</v>
      </c>
      <c r="C28" s="97" t="n">
        <v>376179</v>
      </c>
      <c r="D28" s="61" t="n">
        <f aca="false">C28-C27</f>
        <v>1987</v>
      </c>
      <c r="E28" s="57" t="n">
        <f aca="false">C28-152000</f>
        <v>224179</v>
      </c>
      <c r="F28" s="56" t="n">
        <f aca="false">D28/$D$2</f>
        <v>1001.7645576002</v>
      </c>
      <c r="G28" s="56" t="n">
        <v>2660</v>
      </c>
      <c r="H28" s="58" t="n">
        <v>130</v>
      </c>
      <c r="I28" s="56" t="n">
        <f aca="false">G28+H28</f>
        <v>2790</v>
      </c>
      <c r="J28" s="81" t="n">
        <f aca="false">IF(L28&gt;0,L28,0)</f>
        <v>70.7645576002017</v>
      </c>
      <c r="K28" s="56" t="n">
        <f aca="false">I28+J28</f>
        <v>2860.7645576002</v>
      </c>
      <c r="L28" s="56" t="n">
        <f aca="false">F28-(I28-W28)</f>
        <v>70.7645576002017</v>
      </c>
      <c r="M28" s="56" t="n">
        <v>312</v>
      </c>
      <c r="N28" s="56" t="n">
        <f aca="false">(24+23)*1.05</f>
        <v>49.35</v>
      </c>
      <c r="O28" s="56" t="n">
        <f aca="false">M28-N28</f>
        <v>262.65</v>
      </c>
      <c r="P28" s="56" t="n">
        <v>110</v>
      </c>
      <c r="Q28" s="56" t="n">
        <v>68</v>
      </c>
      <c r="R28" s="56" t="n">
        <f aca="false">SUM(O28:Q28)</f>
        <v>440.65</v>
      </c>
      <c r="S28" s="57"/>
      <c r="T28" s="56" t="n">
        <v>179</v>
      </c>
      <c r="U28" s="56" t="n">
        <v>1190</v>
      </c>
      <c r="V28" s="57" t="n">
        <v>18477</v>
      </c>
      <c r="W28" s="56" t="n">
        <f aca="false">R28+T28+N28+U28</f>
        <v>1859</v>
      </c>
      <c r="X28" s="56" t="n">
        <f aca="false">IF(L28&lt;0,L28*-1,0)</f>
        <v>0</v>
      </c>
      <c r="Y28" s="56" t="n">
        <f aca="false">W28+X28</f>
        <v>1859</v>
      </c>
      <c r="Z28" s="60" t="n">
        <v>0</v>
      </c>
      <c r="AA28" s="61" t="n">
        <v>78</v>
      </c>
      <c r="AB28" s="61" t="n">
        <v>48</v>
      </c>
      <c r="AC28" s="62" t="n">
        <f aca="false">AC27+1</f>
        <v>19</v>
      </c>
      <c r="AD28" s="78"/>
      <c r="AE28" s="82"/>
      <c r="AF28" s="79"/>
    </row>
    <row r="29" customFormat="false" ht="11.1" hidden="false" customHeight="true" outlineLevel="0" collapsed="false">
      <c r="A29" s="62" t="n">
        <f aca="false">A28+1</f>
        <v>20</v>
      </c>
      <c r="B29" s="80" t="n">
        <v>6923.21</v>
      </c>
      <c r="C29" s="57" t="n">
        <v>377643</v>
      </c>
      <c r="D29" s="61" t="n">
        <f aca="false">C29-C28</f>
        <v>1464</v>
      </c>
      <c r="E29" s="57" t="n">
        <f aca="false">C29-152000</f>
        <v>225643</v>
      </c>
      <c r="F29" s="56" t="n">
        <f aca="false">D29/$D$2</f>
        <v>738.089236198639</v>
      </c>
      <c r="G29" s="56" t="n">
        <v>2690</v>
      </c>
      <c r="H29" s="58" t="n">
        <v>107</v>
      </c>
      <c r="I29" s="56" t="n">
        <f aca="false">G29+H29</f>
        <v>2797</v>
      </c>
      <c r="J29" s="81" t="n">
        <f aca="false">IF(L29&gt;0,L29,0)</f>
        <v>85.0892361986388</v>
      </c>
      <c r="K29" s="56" t="n">
        <f aca="false">I29+J29</f>
        <v>2882.08923619864</v>
      </c>
      <c r="L29" s="56" t="n">
        <f aca="false">F29-(I29-W29)</f>
        <v>85.0892361986388</v>
      </c>
      <c r="M29" s="56" t="n">
        <v>307</v>
      </c>
      <c r="N29" s="56" t="n">
        <f aca="false">(28+28)*1.05</f>
        <v>58.8</v>
      </c>
      <c r="O29" s="56" t="n">
        <f aca="false">M29-N29</f>
        <v>248.2</v>
      </c>
      <c r="P29" s="56" t="n">
        <v>125</v>
      </c>
      <c r="Q29" s="56" t="n">
        <v>71</v>
      </c>
      <c r="R29" s="56" t="n">
        <f aca="false">SUM(O29:Q29)</f>
        <v>444.2</v>
      </c>
      <c r="S29" s="57"/>
      <c r="T29" s="56" t="n">
        <v>191</v>
      </c>
      <c r="U29" s="56" t="n">
        <v>1450</v>
      </c>
      <c r="V29" s="57" t="n">
        <v>18477</v>
      </c>
      <c r="W29" s="56" t="n">
        <f aca="false">R29+T29+N29+U29</f>
        <v>2144</v>
      </c>
      <c r="X29" s="56" t="n">
        <f aca="false">IF(L29&lt;0,L29*-1,0)</f>
        <v>0</v>
      </c>
      <c r="Y29" s="56" t="n">
        <f aca="false">W29+X29</f>
        <v>2144</v>
      </c>
      <c r="Z29" s="60" t="n">
        <v>0.11</v>
      </c>
      <c r="AA29" s="61" t="n">
        <v>75</v>
      </c>
      <c r="AB29" s="61" t="n">
        <v>51</v>
      </c>
      <c r="AC29" s="62" t="n">
        <f aca="false">AC28+1</f>
        <v>20</v>
      </c>
      <c r="AD29" s="78"/>
      <c r="AE29" s="82"/>
      <c r="AF29" s="79"/>
    </row>
    <row r="30" customFormat="false" ht="11.1" hidden="false" customHeight="true" outlineLevel="0" collapsed="false">
      <c r="A30" s="62" t="n">
        <f aca="false">A29+1</f>
        <v>21</v>
      </c>
      <c r="B30" s="108" t="n">
        <v>6923.53</v>
      </c>
      <c r="C30" s="57" t="n">
        <v>379068</v>
      </c>
      <c r="D30" s="61" t="n">
        <f aca="false">C30-C29</f>
        <v>1425</v>
      </c>
      <c r="E30" s="57" t="n">
        <f aca="false">C30-152000</f>
        <v>227068</v>
      </c>
      <c r="F30" s="56" t="n">
        <f aca="false">D30/$D$2</f>
        <v>718.427022939249</v>
      </c>
      <c r="G30" s="56" t="n">
        <v>3100</v>
      </c>
      <c r="H30" s="58" t="n">
        <v>132</v>
      </c>
      <c r="I30" s="56" t="n">
        <f aca="false">G30+H30</f>
        <v>3232</v>
      </c>
      <c r="J30" s="81" t="n">
        <f aca="false">IF(L30&gt;0,L30,0)</f>
        <v>30.4270229392488</v>
      </c>
      <c r="K30" s="56" t="n">
        <f aca="false">I30+J30</f>
        <v>3262.42702293925</v>
      </c>
      <c r="L30" s="56" t="n">
        <f aca="false">F30-(I30-W30)</f>
        <v>30.4270229392488</v>
      </c>
      <c r="M30" s="56" t="n">
        <v>299</v>
      </c>
      <c r="N30" s="56" t="n">
        <f aca="false">(28+27)*1.05</f>
        <v>57.75</v>
      </c>
      <c r="O30" s="56" t="n">
        <f aca="false">M30-N30</f>
        <v>241.25</v>
      </c>
      <c r="P30" s="56" t="n">
        <v>131</v>
      </c>
      <c r="Q30" s="56" t="n">
        <v>73</v>
      </c>
      <c r="R30" s="56" t="n">
        <f aca="false">SUM(O30:Q30)</f>
        <v>445.25</v>
      </c>
      <c r="S30" s="57"/>
      <c r="T30" s="56" t="n">
        <v>171</v>
      </c>
      <c r="U30" s="56" t="n">
        <v>1870</v>
      </c>
      <c r="V30" s="57" t="n">
        <v>18477</v>
      </c>
      <c r="W30" s="56" t="n">
        <f aca="false">R30+T30+N30+U30</f>
        <v>2544</v>
      </c>
      <c r="X30" s="56" t="n">
        <f aca="false">IF(L30&lt;0,L30*-1,0)</f>
        <v>0</v>
      </c>
      <c r="Y30" s="56" t="n">
        <f aca="false">W30+X30</f>
        <v>2544</v>
      </c>
      <c r="Z30" s="60" t="n">
        <v>0</v>
      </c>
      <c r="AA30" s="61" t="n">
        <v>72</v>
      </c>
      <c r="AB30" s="61" t="n">
        <v>45</v>
      </c>
      <c r="AC30" s="62" t="n">
        <f aca="false">AC29+1</f>
        <v>21</v>
      </c>
      <c r="AD30" s="78"/>
      <c r="AE30" s="82"/>
      <c r="AF30" s="79"/>
    </row>
    <row r="31" customFormat="false" ht="11.1" hidden="false" customHeight="true" outlineLevel="0" collapsed="false">
      <c r="A31" s="62" t="n">
        <f aca="false">A30+1</f>
        <v>22</v>
      </c>
      <c r="B31" s="80" t="n">
        <v>6923.56</v>
      </c>
      <c r="C31" s="57" t="n">
        <v>379201</v>
      </c>
      <c r="D31" s="61" t="n">
        <f aca="false">C31-C30</f>
        <v>133</v>
      </c>
      <c r="E31" s="57" t="n">
        <f aca="false">C31-152000</f>
        <v>227201</v>
      </c>
      <c r="F31" s="56" t="n">
        <f aca="false">D31/$D$2</f>
        <v>67.0531888076632</v>
      </c>
      <c r="G31" s="56" t="n">
        <v>3030</v>
      </c>
      <c r="H31" s="58" t="n">
        <v>110</v>
      </c>
      <c r="I31" s="56" t="n">
        <f aca="false">G31+H31</f>
        <v>3140</v>
      </c>
      <c r="J31" s="81" t="n">
        <f aca="false">IF(L31&gt;0,L31,0)</f>
        <v>66.0531888076632</v>
      </c>
      <c r="K31" s="56" t="n">
        <f aca="false">I31+J31</f>
        <v>3206.05318880766</v>
      </c>
      <c r="L31" s="56" t="n">
        <f aca="false">F31-(I31-W31)</f>
        <v>66.0531888076632</v>
      </c>
      <c r="M31" s="56" t="n">
        <v>317</v>
      </c>
      <c r="N31" s="56" t="n">
        <f aca="false">(28+30)*1.05</f>
        <v>60.9</v>
      </c>
      <c r="O31" s="56" t="n">
        <f aca="false">M31-N31</f>
        <v>256.1</v>
      </c>
      <c r="P31" s="56" t="n">
        <v>130</v>
      </c>
      <c r="Q31" s="56" t="n">
        <v>73</v>
      </c>
      <c r="R31" s="103" t="n">
        <f aca="false">SUM(O31:Q31)</f>
        <v>459.1</v>
      </c>
      <c r="S31" s="57"/>
      <c r="T31" s="56" t="n">
        <v>209</v>
      </c>
      <c r="U31" s="56" t="n">
        <v>2410</v>
      </c>
      <c r="V31" s="57" t="n">
        <v>18477</v>
      </c>
      <c r="W31" s="56" t="n">
        <f aca="false">R31+T31+N31+U31</f>
        <v>3139</v>
      </c>
      <c r="X31" s="56" t="n">
        <f aca="false">IF(L31&lt;0,L31*-1,0)</f>
        <v>0</v>
      </c>
      <c r="Y31" s="56" t="n">
        <f aca="false">W31+X31</f>
        <v>3139</v>
      </c>
      <c r="Z31" s="60" t="n">
        <v>0</v>
      </c>
      <c r="AA31" s="61" t="n">
        <v>68</v>
      </c>
      <c r="AB31" s="61" t="n">
        <v>38</v>
      </c>
      <c r="AC31" s="62" t="n">
        <f aca="false">AC30+1</f>
        <v>22</v>
      </c>
      <c r="AD31" s="78"/>
      <c r="AE31" s="82"/>
      <c r="AF31" s="79"/>
    </row>
    <row r="32" customFormat="false" ht="11.1" hidden="false" customHeight="true" outlineLevel="0" collapsed="false">
      <c r="A32" s="62" t="n">
        <f aca="false">A31+1</f>
        <v>23</v>
      </c>
      <c r="B32" s="80" t="n">
        <v>6923.25</v>
      </c>
      <c r="C32" s="57" t="n">
        <v>377821</v>
      </c>
      <c r="D32" s="61" t="n">
        <f aca="false">C32-C31</f>
        <v>-1380</v>
      </c>
      <c r="E32" s="57" t="n">
        <f aca="false">C32-152000</f>
        <v>225821</v>
      </c>
      <c r="F32" s="56" t="n">
        <f aca="false">D32/$D$2</f>
        <v>-695.739853793799</v>
      </c>
      <c r="G32" s="56" t="n">
        <v>2410</v>
      </c>
      <c r="H32" s="58" t="n">
        <v>58</v>
      </c>
      <c r="I32" s="56" t="n">
        <f aca="false">G32+H32</f>
        <v>2468</v>
      </c>
      <c r="J32" s="81" t="n">
        <f aca="false">IF(L32&gt;0,L32,0)</f>
        <v>102.260146206201</v>
      </c>
      <c r="K32" s="56" t="n">
        <f aca="false">I32+J32</f>
        <v>2570.2601462062</v>
      </c>
      <c r="L32" s="56" t="n">
        <f aca="false">F32-(I32-W32)</f>
        <v>102.260146206201</v>
      </c>
      <c r="M32" s="56" t="n">
        <v>289</v>
      </c>
      <c r="N32" s="56" t="n">
        <f aca="false">(16+17)*1.05</f>
        <v>34.65</v>
      </c>
      <c r="O32" s="56" t="n">
        <f aca="false">M32-N32</f>
        <v>254.35</v>
      </c>
      <c r="P32" s="56" t="n">
        <v>130</v>
      </c>
      <c r="Q32" s="56" t="n">
        <v>75</v>
      </c>
      <c r="R32" s="56" t="n">
        <f aca="false">SUM(O32:Q32)</f>
        <v>459.35</v>
      </c>
      <c r="S32" s="57"/>
      <c r="T32" s="56" t="n">
        <v>222</v>
      </c>
      <c r="U32" s="56" t="n">
        <v>2550</v>
      </c>
      <c r="V32" s="57" t="n">
        <v>18477</v>
      </c>
      <c r="W32" s="56" t="n">
        <f aca="false">R32+T32+N32+U32</f>
        <v>3266</v>
      </c>
      <c r="X32" s="56" t="n">
        <f aca="false">IF(L32&lt;0,L32*-1,0)</f>
        <v>0</v>
      </c>
      <c r="Y32" s="56" t="n">
        <f aca="false">W32+X32</f>
        <v>3266</v>
      </c>
      <c r="Z32" s="60" t="n">
        <v>0</v>
      </c>
      <c r="AA32" s="61" t="n">
        <v>70</v>
      </c>
      <c r="AB32" s="61" t="n">
        <v>38</v>
      </c>
      <c r="AC32" s="62" t="n">
        <f aca="false">AC31+1</f>
        <v>23</v>
      </c>
      <c r="AD32" s="78"/>
      <c r="AE32" s="82"/>
      <c r="AF32" s="79"/>
    </row>
    <row r="33" customFormat="false" ht="11.1" hidden="false" customHeight="true" outlineLevel="0" collapsed="false">
      <c r="A33" s="62" t="n">
        <f aca="false">A32+1</f>
        <v>24</v>
      </c>
      <c r="B33" s="80" t="n">
        <v>6923.07</v>
      </c>
      <c r="C33" s="57" t="n">
        <v>377020</v>
      </c>
      <c r="D33" s="61" t="n">
        <f aca="false">C33-C32</f>
        <v>-801</v>
      </c>
      <c r="E33" s="57" t="n">
        <f aca="false">C33-152000</f>
        <v>225020</v>
      </c>
      <c r="F33" s="56" t="n">
        <f aca="false">D33/$D$2</f>
        <v>-403.831610789009</v>
      </c>
      <c r="G33" s="56" t="n">
        <v>2290</v>
      </c>
      <c r="H33" s="58" t="n">
        <v>56</v>
      </c>
      <c r="I33" s="56" t="n">
        <f aca="false">G33+H33</f>
        <v>2346</v>
      </c>
      <c r="J33" s="81" t="n">
        <f aca="false">IF(L33&gt;0,L33,0)</f>
        <v>116.168389210991</v>
      </c>
      <c r="K33" s="56" t="n">
        <f aca="false">I33+J33</f>
        <v>2462.16838921099</v>
      </c>
      <c r="L33" s="56" t="n">
        <f aca="false">F33-(I33-W33)</f>
        <v>116.168389210991</v>
      </c>
      <c r="M33" s="56" t="n">
        <v>286</v>
      </c>
      <c r="N33" s="56" t="n">
        <f aca="false">(6.5+5.9)*1.05</f>
        <v>13.02</v>
      </c>
      <c r="O33" s="56" t="n">
        <f aca="false">M33-N33</f>
        <v>272.98</v>
      </c>
      <c r="P33" s="56" t="n">
        <v>130</v>
      </c>
      <c r="Q33" s="56" t="n">
        <v>77</v>
      </c>
      <c r="R33" s="56" t="n">
        <f aca="false">SUM(O33:Q33)</f>
        <v>479.98</v>
      </c>
      <c r="S33" s="57"/>
      <c r="T33" s="56" t="n">
        <v>203</v>
      </c>
      <c r="U33" s="56" t="n">
        <v>2170</v>
      </c>
      <c r="V33" s="57" t="n">
        <v>18477</v>
      </c>
      <c r="W33" s="56" t="n">
        <f aca="false">R33+T33+N33+U33</f>
        <v>2866</v>
      </c>
      <c r="X33" s="56" t="n">
        <f aca="false">IF(L33&lt;0,L33*-1,0)</f>
        <v>0</v>
      </c>
      <c r="Y33" s="56" t="n">
        <f aca="false">W33+X33</f>
        <v>2866</v>
      </c>
      <c r="Z33" s="60" t="n">
        <v>0</v>
      </c>
      <c r="AA33" s="61" t="n">
        <v>73</v>
      </c>
      <c r="AB33" s="61" t="n">
        <v>45</v>
      </c>
      <c r="AC33" s="62" t="n">
        <f aca="false">AC32+1</f>
        <v>24</v>
      </c>
      <c r="AD33" s="78"/>
      <c r="AE33" s="82"/>
      <c r="AF33" s="79"/>
    </row>
    <row r="34" customFormat="false" ht="11.1" hidden="false" customHeight="true" outlineLevel="0" collapsed="false">
      <c r="A34" s="62" t="n">
        <f aca="false">A33+1</f>
        <v>25</v>
      </c>
      <c r="B34" s="80" t="n">
        <v>6922.83</v>
      </c>
      <c r="C34" s="57" t="n">
        <v>375958</v>
      </c>
      <c r="D34" s="61" t="n">
        <f aca="false">C34-C33</f>
        <v>-1062</v>
      </c>
      <c r="E34" s="57" t="n">
        <f aca="false">C34-152000</f>
        <v>223958</v>
      </c>
      <c r="F34" s="56" t="n">
        <f aca="false">D34/$D$2</f>
        <v>-535.417191832619</v>
      </c>
      <c r="G34" s="56" t="n">
        <v>2050</v>
      </c>
      <c r="H34" s="58" t="n">
        <v>73</v>
      </c>
      <c r="I34" s="56" t="n">
        <f aca="false">G34+H34</f>
        <v>2123</v>
      </c>
      <c r="J34" s="81" t="n">
        <f aca="false">IF(L34&gt;0,L34,0)</f>
        <v>0</v>
      </c>
      <c r="K34" s="56" t="n">
        <f aca="false">I34+J34</f>
        <v>2123</v>
      </c>
      <c r="L34" s="56" t="n">
        <f aca="false">F34-(I34-W34)</f>
        <v>-101.417191832619</v>
      </c>
      <c r="M34" s="56" t="n">
        <v>269</v>
      </c>
      <c r="N34" s="56" t="n">
        <f aca="false">(12+13)*1.05</f>
        <v>26.25</v>
      </c>
      <c r="O34" s="56" t="n">
        <f aca="false">M34-N34</f>
        <v>242.75</v>
      </c>
      <c r="P34" s="56" t="n">
        <v>130</v>
      </c>
      <c r="Q34" s="56" t="n">
        <v>76</v>
      </c>
      <c r="R34" s="56" t="n">
        <f aca="false">SUM(O34:Q34)</f>
        <v>448.75</v>
      </c>
      <c r="S34" s="57"/>
      <c r="T34" s="56" t="n">
        <v>212</v>
      </c>
      <c r="U34" s="56" t="n">
        <v>1870</v>
      </c>
      <c r="V34" s="57" t="n">
        <v>18477</v>
      </c>
      <c r="W34" s="56" t="n">
        <f aca="false">R34+T34+N34+U34</f>
        <v>2557</v>
      </c>
      <c r="X34" s="56" t="n">
        <f aca="false">IF(L34&lt;0,L34*-1,0)</f>
        <v>101.417191832619</v>
      </c>
      <c r="Y34" s="56" t="n">
        <f aca="false">W34+X34</f>
        <v>2658.41719183262</v>
      </c>
      <c r="Z34" s="60" t="n">
        <v>0</v>
      </c>
      <c r="AA34" s="61" t="n">
        <v>79</v>
      </c>
      <c r="AB34" s="61" t="n">
        <v>47</v>
      </c>
      <c r="AC34" s="62" t="n">
        <f aca="false">AC33+1</f>
        <v>25</v>
      </c>
      <c r="AD34" s="78"/>
      <c r="AE34" s="82"/>
      <c r="AF34" s="79"/>
    </row>
    <row r="35" customFormat="false" ht="11.1" hidden="false" customHeight="true" outlineLevel="0" collapsed="false">
      <c r="A35" s="62" t="n">
        <f aca="false">A34+1</f>
        <v>26</v>
      </c>
      <c r="B35" s="80" t="n">
        <v>6922.87</v>
      </c>
      <c r="C35" s="57" t="n">
        <v>376135</v>
      </c>
      <c r="D35" s="61" t="n">
        <f aca="false">C35-C34</f>
        <v>177</v>
      </c>
      <c r="E35" s="57" t="n">
        <f aca="false">C35-152000</f>
        <v>224135</v>
      </c>
      <c r="F35" s="56" t="n">
        <f aca="false">D35/$D$2</f>
        <v>89.2361986387698</v>
      </c>
      <c r="G35" s="56" t="n">
        <v>2160</v>
      </c>
      <c r="H35" s="58" t="n">
        <v>71</v>
      </c>
      <c r="I35" s="56" t="n">
        <f aca="false">G35+H35</f>
        <v>2231</v>
      </c>
      <c r="J35" s="81" t="n">
        <f aca="false">IF(L35&gt;0,L35,0)</f>
        <v>39.2361986387698</v>
      </c>
      <c r="K35" s="56" t="n">
        <f aca="false">I35+J35</f>
        <v>2270.23619863877</v>
      </c>
      <c r="L35" s="56" t="n">
        <f aca="false">F35-(I35-W35)</f>
        <v>39.2361986387698</v>
      </c>
      <c r="M35" s="56" t="n">
        <v>318</v>
      </c>
      <c r="N35" s="56" t="n">
        <f aca="false">(23+23)*1.05</f>
        <v>48.3</v>
      </c>
      <c r="O35" s="56" t="n">
        <f aca="false">M35-N35</f>
        <v>269.7</v>
      </c>
      <c r="P35" s="56" t="n">
        <v>129</v>
      </c>
      <c r="Q35" s="56" t="n">
        <v>78</v>
      </c>
      <c r="R35" s="56" t="n">
        <f aca="false">SUM(O35:Q35)</f>
        <v>476.7</v>
      </c>
      <c r="S35" s="57"/>
      <c r="T35" s="56" t="n">
        <v>236</v>
      </c>
      <c r="U35" s="56" t="n">
        <v>1420</v>
      </c>
      <c r="V35" s="57" t="n">
        <v>18477</v>
      </c>
      <c r="W35" s="56" t="n">
        <f aca="false">R35+T35+N35+U35</f>
        <v>2181</v>
      </c>
      <c r="X35" s="56" t="n">
        <f aca="false">IF(L35&lt;0,L35*-1,0)</f>
        <v>0</v>
      </c>
      <c r="Y35" s="56" t="n">
        <f aca="false">W35+X35</f>
        <v>2181</v>
      </c>
      <c r="Z35" s="60" t="n">
        <v>0</v>
      </c>
      <c r="AA35" s="61" t="n">
        <v>78</v>
      </c>
      <c r="AB35" s="61" t="n">
        <v>50</v>
      </c>
      <c r="AC35" s="62" t="n">
        <f aca="false">AC34+1</f>
        <v>26</v>
      </c>
      <c r="AD35" s="78"/>
      <c r="AE35" s="82"/>
      <c r="AF35" s="79"/>
    </row>
    <row r="36" customFormat="false" ht="11.1" hidden="false" customHeight="true" outlineLevel="0" collapsed="false">
      <c r="A36" s="62" t="n">
        <f aca="false">A35+1</f>
        <v>27</v>
      </c>
      <c r="B36" s="80" t="n">
        <v>6923.15</v>
      </c>
      <c r="C36" s="57" t="n">
        <v>377376</v>
      </c>
      <c r="D36" s="61" t="n">
        <f aca="false">C36-C35</f>
        <v>1241</v>
      </c>
      <c r="E36" s="57" t="n">
        <f aca="false">C36-152000</f>
        <v>225376</v>
      </c>
      <c r="F36" s="56" t="n">
        <f aca="false">D36/$D$2</f>
        <v>625.661709100076</v>
      </c>
      <c r="G36" s="56" t="n">
        <v>2350</v>
      </c>
      <c r="H36" s="58" t="n">
        <v>71</v>
      </c>
      <c r="I36" s="56" t="n">
        <f aca="false">G36+H36</f>
        <v>2421</v>
      </c>
      <c r="J36" s="81" t="n">
        <f aca="false">IF(L36&gt;0,L36,0)</f>
        <v>0</v>
      </c>
      <c r="K36" s="56" t="n">
        <f aca="false">I36+J36</f>
        <v>2421</v>
      </c>
      <c r="L36" s="56" t="n">
        <f aca="false">F36-(I36-W36)</f>
        <v>-0.338290899924345</v>
      </c>
      <c r="M36" s="56" t="n">
        <v>326</v>
      </c>
      <c r="N36" s="56" t="n">
        <f aca="false">(26+28)*1.05</f>
        <v>56.7</v>
      </c>
      <c r="O36" s="56" t="n">
        <f aca="false">M36-N36</f>
        <v>269.3</v>
      </c>
      <c r="P36" s="56" t="n">
        <v>130</v>
      </c>
      <c r="Q36" s="56" t="n">
        <v>83</v>
      </c>
      <c r="R36" s="56" t="n">
        <f aca="false">SUM(O36:Q36)</f>
        <v>482.3</v>
      </c>
      <c r="S36" s="57"/>
      <c r="T36" s="56" t="n">
        <v>216</v>
      </c>
      <c r="U36" s="56" t="n">
        <v>1040</v>
      </c>
      <c r="V36" s="57" t="n">
        <v>18477</v>
      </c>
      <c r="W36" s="56" t="n">
        <f aca="false">R36+T36+N36+U36</f>
        <v>1795</v>
      </c>
      <c r="X36" s="56" t="n">
        <f aca="false">IF(L36&lt;0,L36*-1,0)</f>
        <v>0.338290899924345</v>
      </c>
      <c r="Y36" s="56" t="n">
        <f aca="false">W36+X36</f>
        <v>1795.33829089992</v>
      </c>
      <c r="Z36" s="60" t="n">
        <v>0</v>
      </c>
      <c r="AA36" s="61" t="n">
        <v>79</v>
      </c>
      <c r="AB36" s="61" t="n">
        <v>42</v>
      </c>
      <c r="AC36" s="62" t="n">
        <f aca="false">AC35+1</f>
        <v>27</v>
      </c>
      <c r="AD36" s="78"/>
      <c r="AE36" s="82"/>
      <c r="AF36" s="79"/>
    </row>
    <row r="37" customFormat="false" ht="11.1" hidden="false" customHeight="true" outlineLevel="0" collapsed="false">
      <c r="A37" s="62" t="n">
        <v>28</v>
      </c>
      <c r="B37" s="80" t="n">
        <v>6923.4</v>
      </c>
      <c r="C37" s="57" t="n">
        <v>378489</v>
      </c>
      <c r="D37" s="61" t="n">
        <f aca="false">C37-C36</f>
        <v>1113</v>
      </c>
      <c r="E37" s="57" t="n">
        <f aca="false">C37-152000</f>
        <v>226489</v>
      </c>
      <c r="F37" s="56" t="n">
        <f aca="false">D37/$D$2</f>
        <v>561.129316864129</v>
      </c>
      <c r="G37" s="56" t="n">
        <v>2520</v>
      </c>
      <c r="H37" s="58" t="n">
        <v>65</v>
      </c>
      <c r="I37" s="56" t="n">
        <f aca="false">G37+H37</f>
        <v>2585</v>
      </c>
      <c r="J37" s="81" t="n">
        <f aca="false">IF(L37&gt;0,L37,0)</f>
        <v>0</v>
      </c>
      <c r="K37" s="56" t="n">
        <f aca="false">I37+J37</f>
        <v>2585</v>
      </c>
      <c r="L37" s="56" t="n">
        <f aca="false">F37-(I37-W37)</f>
        <v>-144.870683135871</v>
      </c>
      <c r="M37" s="56" t="n">
        <v>327</v>
      </c>
      <c r="N37" s="56" t="n">
        <f aca="false">(25+25)*1.05</f>
        <v>52.5</v>
      </c>
      <c r="O37" s="56" t="n">
        <f aca="false">M37-N37</f>
        <v>274.5</v>
      </c>
      <c r="P37" s="56" t="n">
        <v>154</v>
      </c>
      <c r="Q37" s="56" t="n">
        <v>87</v>
      </c>
      <c r="R37" s="56" t="n">
        <f aca="false">SUM(O37:Q37)</f>
        <v>515.5</v>
      </c>
      <c r="S37" s="57"/>
      <c r="T37" s="56" t="n">
        <v>231</v>
      </c>
      <c r="U37" s="56" t="n">
        <v>1080</v>
      </c>
      <c r="V37" s="57" t="n">
        <v>18477</v>
      </c>
      <c r="W37" s="56" t="n">
        <f aca="false">R37+T37+N37+U37</f>
        <v>1879</v>
      </c>
      <c r="X37" s="56" t="n">
        <f aca="false">IF(L37&lt;0,L37*-1,0)</f>
        <v>144.870683135871</v>
      </c>
      <c r="Y37" s="56" t="n">
        <f aca="false">W37+X37</f>
        <v>2023.87068313587</v>
      </c>
      <c r="Z37" s="60" t="n">
        <v>0</v>
      </c>
      <c r="AA37" s="61" t="n">
        <v>83</v>
      </c>
      <c r="AB37" s="61" t="n">
        <v>47</v>
      </c>
      <c r="AC37" s="62" t="n">
        <v>28</v>
      </c>
      <c r="AD37" s="78"/>
      <c r="AE37" s="82"/>
      <c r="AF37" s="79"/>
    </row>
    <row r="38" customFormat="false" ht="11.1" hidden="false" customHeight="true" outlineLevel="0" collapsed="false">
      <c r="A38" s="62" t="n">
        <v>29</v>
      </c>
      <c r="B38" s="80" t="n">
        <v>6923.61</v>
      </c>
      <c r="C38" s="57" t="n">
        <v>379424</v>
      </c>
      <c r="D38" s="61" t="n">
        <f aca="false">C38-C37</f>
        <v>935</v>
      </c>
      <c r="E38" s="57" t="n">
        <f aca="false">C38-152000</f>
        <v>227424</v>
      </c>
      <c r="F38" s="56" t="n">
        <f aca="false">D38/$D$2</f>
        <v>471.388958911016</v>
      </c>
      <c r="G38" s="56" t="n">
        <v>2540</v>
      </c>
      <c r="H38" s="58" t="n">
        <v>59</v>
      </c>
      <c r="I38" s="56" t="n">
        <f aca="false">G38+H38</f>
        <v>2599</v>
      </c>
      <c r="J38" s="81" t="n">
        <f aca="false">IF(L38&gt;0,L38,0)</f>
        <v>16.3889589110159</v>
      </c>
      <c r="K38" s="56" t="n">
        <f aca="false">I38+J38</f>
        <v>2615.38895891102</v>
      </c>
      <c r="L38" s="56" t="n">
        <f aca="false">F38-(I38-W38)</f>
        <v>16.3889589110159</v>
      </c>
      <c r="M38" s="56" t="n">
        <v>320</v>
      </c>
      <c r="N38" s="56" t="n">
        <f aca="false">(23+23)*1.05</f>
        <v>48.3</v>
      </c>
      <c r="O38" s="56" t="n">
        <f aca="false">M38-N38</f>
        <v>271.7</v>
      </c>
      <c r="P38" s="56" t="n">
        <v>169</v>
      </c>
      <c r="Q38" s="56" t="n">
        <v>87</v>
      </c>
      <c r="R38" s="56" t="n">
        <f aca="false">SUM(O38:Q38)</f>
        <v>527.7</v>
      </c>
      <c r="S38" s="57"/>
      <c r="T38" s="56" t="n">
        <v>208</v>
      </c>
      <c r="U38" s="56" t="n">
        <v>1360</v>
      </c>
      <c r="V38" s="57" t="n">
        <v>18477</v>
      </c>
      <c r="W38" s="56" t="n">
        <f aca="false">R38+T38+N38+U38</f>
        <v>2144</v>
      </c>
      <c r="X38" s="56" t="n">
        <f aca="false">IF(L38&lt;0,L38*-1,0)</f>
        <v>0</v>
      </c>
      <c r="Y38" s="56" t="n">
        <f aca="false">W38+X38</f>
        <v>2144</v>
      </c>
      <c r="Z38" s="60" t="n">
        <v>0</v>
      </c>
      <c r="AA38" s="61" t="n">
        <v>82</v>
      </c>
      <c r="AB38" s="61" t="n">
        <v>50</v>
      </c>
      <c r="AC38" s="62" t="n">
        <v>29</v>
      </c>
      <c r="AD38" s="78"/>
      <c r="AE38" s="82"/>
      <c r="AF38" s="79"/>
    </row>
    <row r="39" customFormat="false" ht="11.1" hidden="false" customHeight="true" outlineLevel="0" collapsed="false">
      <c r="A39" s="62" t="n">
        <v>30</v>
      </c>
      <c r="B39" s="80" t="n">
        <v>6923.8</v>
      </c>
      <c r="C39" s="57" t="n">
        <v>380270</v>
      </c>
      <c r="D39" s="61" t="n">
        <f aca="false">C39-C38</f>
        <v>846</v>
      </c>
      <c r="E39" s="57" t="n">
        <f aca="false">C39-152000</f>
        <v>228270</v>
      </c>
      <c r="F39" s="56" t="n">
        <f aca="false">D39/$D$2</f>
        <v>426.518779934459</v>
      </c>
      <c r="G39" s="56" t="n">
        <v>2590</v>
      </c>
      <c r="H39" s="58" t="n">
        <v>52</v>
      </c>
      <c r="I39" s="56" t="n">
        <f aca="false">G39+H39</f>
        <v>2642</v>
      </c>
      <c r="J39" s="81" t="n">
        <f aca="false">IF(L39&gt;0,L39,0)</f>
        <v>26.5187799344593</v>
      </c>
      <c r="K39" s="56" t="n">
        <f aca="false">I39+J39</f>
        <v>2668.51877993446</v>
      </c>
      <c r="L39" s="56" t="n">
        <f aca="false">F39-(I39-W39)</f>
        <v>26.5187799344593</v>
      </c>
      <c r="M39" s="56" t="n">
        <v>319</v>
      </c>
      <c r="N39" s="56" t="n">
        <f aca="false">(18+18)*1.05</f>
        <v>37.8</v>
      </c>
      <c r="O39" s="56" t="n">
        <f aca="false">M39-N39</f>
        <v>281.2</v>
      </c>
      <c r="P39" s="56" t="n">
        <v>169</v>
      </c>
      <c r="Q39" s="56" t="n">
        <v>83</v>
      </c>
      <c r="R39" s="56" t="n">
        <f aca="false">SUM(O39:Q39)</f>
        <v>533.2</v>
      </c>
      <c r="S39" s="57"/>
      <c r="T39" s="56" t="n">
        <v>211</v>
      </c>
      <c r="U39" s="56" t="n">
        <v>1460</v>
      </c>
      <c r="V39" s="57" t="n">
        <v>18477</v>
      </c>
      <c r="W39" s="56" t="n">
        <f aca="false">R39+T39+N39+U39</f>
        <v>2242</v>
      </c>
      <c r="X39" s="56" t="n">
        <f aca="false">IF(L39&lt;0,L39*-1,0)</f>
        <v>0</v>
      </c>
      <c r="Y39" s="56" t="n">
        <f aca="false">W39+X39</f>
        <v>2242</v>
      </c>
      <c r="Z39" s="60" t="n">
        <v>0</v>
      </c>
      <c r="AA39" s="61" t="n">
        <v>78</v>
      </c>
      <c r="AB39" s="61" t="n">
        <v>49</v>
      </c>
      <c r="AC39" s="62" t="n">
        <v>30</v>
      </c>
      <c r="AD39" s="78"/>
      <c r="AE39" s="82"/>
      <c r="AF39" s="79"/>
    </row>
    <row r="40" customFormat="false" ht="11.1" hidden="false" customHeight="true" outlineLevel="0" collapsed="false">
      <c r="A40" s="62" t="n">
        <v>31</v>
      </c>
      <c r="B40" s="80" t="n">
        <v>6923.83</v>
      </c>
      <c r="C40" s="57" t="n">
        <v>380403</v>
      </c>
      <c r="D40" s="61" t="n">
        <f aca="false">C40-C39</f>
        <v>133</v>
      </c>
      <c r="E40" s="57" t="n">
        <f aca="false">C40-152000</f>
        <v>228403</v>
      </c>
      <c r="F40" s="56" t="n">
        <f aca="false">D40/$D$2</f>
        <v>67.0531888076632</v>
      </c>
      <c r="G40" s="56" t="n">
        <v>2240</v>
      </c>
      <c r="H40" s="58" t="n">
        <v>42</v>
      </c>
      <c r="I40" s="56" t="n">
        <f aca="false">G40+H40</f>
        <v>2282</v>
      </c>
      <c r="J40" s="81" t="n">
        <f aca="false">IF(L40&gt;0,L40,0)</f>
        <v>44.0531888076632</v>
      </c>
      <c r="K40" s="56" t="n">
        <f aca="false">I40+J40</f>
        <v>2326.05318880766</v>
      </c>
      <c r="L40" s="56" t="n">
        <f aca="false">F40-(I40-W40)</f>
        <v>44.0531888076632</v>
      </c>
      <c r="M40" s="56" t="n">
        <v>302</v>
      </c>
      <c r="N40" s="56" t="n">
        <f aca="false">(11+12)*1.05</f>
        <v>24.15</v>
      </c>
      <c r="O40" s="56" t="n">
        <f aca="false">M40-N40</f>
        <v>277.85</v>
      </c>
      <c r="P40" s="56" t="n">
        <v>169</v>
      </c>
      <c r="Q40" s="56" t="n">
        <v>76</v>
      </c>
      <c r="R40" s="56" t="n">
        <f aca="false">SUM(O40:Q40)</f>
        <v>522.85</v>
      </c>
      <c r="S40" s="57"/>
      <c r="T40" s="56" t="n">
        <v>182</v>
      </c>
      <c r="U40" s="56" t="n">
        <v>1530</v>
      </c>
      <c r="V40" s="57" t="n">
        <v>18477</v>
      </c>
      <c r="W40" s="56" t="n">
        <f aca="false">R40+T40+N40+U40</f>
        <v>2259</v>
      </c>
      <c r="X40" s="56" t="n">
        <f aca="false">IF(L40&lt;0,L40*-1,0)</f>
        <v>0</v>
      </c>
      <c r="Y40" s="56" t="n">
        <f aca="false">W40+X40</f>
        <v>2259</v>
      </c>
      <c r="Z40" s="60" t="n">
        <v>0</v>
      </c>
      <c r="AA40" s="61" t="n">
        <v>80</v>
      </c>
      <c r="AB40" s="61" t="n">
        <v>48</v>
      </c>
      <c r="AC40" s="62" t="n">
        <v>31</v>
      </c>
      <c r="AD40" s="78"/>
      <c r="AE40" s="82"/>
      <c r="AF40" s="79"/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5"/>
      <c r="T41" s="83"/>
      <c r="U41" s="83"/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4198.63876985127</v>
      </c>
      <c r="G42" s="57" t="n">
        <f aca="false">SUM(G10:G40)</f>
        <v>68740.03</v>
      </c>
      <c r="H42" s="57" t="n">
        <f aca="false">SUM(H10:H40)</f>
        <v>4213</v>
      </c>
      <c r="I42" s="57" t="n">
        <f aca="false">SUM(I10:I40)</f>
        <v>72953.03</v>
      </c>
      <c r="J42" s="57" t="n">
        <f aca="false">SUM(J10:J40)</f>
        <v>7277.63493571969</v>
      </c>
      <c r="K42" s="57" t="n">
        <f aca="false">SUM(K10:K40)</f>
        <v>80230.6649357197</v>
      </c>
      <c r="L42" s="57" t="n">
        <f aca="false">SUM(L10:L40)</f>
        <v>7031.00876985127</v>
      </c>
      <c r="M42" s="57" t="n">
        <f aca="false">SUM(M10:M40)</f>
        <v>8481</v>
      </c>
      <c r="N42" s="57" t="n">
        <f aca="false">SUM(N10:N40)</f>
        <v>1574.895</v>
      </c>
      <c r="O42" s="57" t="n">
        <f aca="false">SUM(O10:O40)</f>
        <v>6906.105</v>
      </c>
      <c r="P42" s="57" t="n">
        <f aca="false">SUM(P10:P40)</f>
        <v>2451</v>
      </c>
      <c r="Q42" s="57" t="n">
        <f aca="false">SUM(Q10:Q40)</f>
        <v>1783</v>
      </c>
      <c r="R42" s="57" t="n">
        <f aca="false">SUM(R10:R40)</f>
        <v>11140.105</v>
      </c>
      <c r="S42" s="57"/>
      <c r="T42" s="57" t="n">
        <f aca="false">SUM(T10:T40)</f>
        <v>3521.4</v>
      </c>
      <c r="U42" s="57" t="n">
        <f aca="false">SUM(U10:U40)</f>
        <v>59549</v>
      </c>
      <c r="V42" s="57"/>
      <c r="W42" s="57" t="n">
        <f aca="false">SUM(W10:W40)</f>
        <v>75785.4</v>
      </c>
      <c r="X42" s="57" t="n">
        <f aca="false">SUM(X10:X40)</f>
        <v>246.626165868414</v>
      </c>
      <c r="Y42" s="57" t="n">
        <f aca="false">SUM(Y10:Y40)</f>
        <v>76032.0261658684</v>
      </c>
      <c r="Z42" s="60" t="n">
        <f aca="false">SUM(Z10:Z40)</f>
        <v>0.88</v>
      </c>
      <c r="AA42" s="61" t="n">
        <f aca="false">AVERAGE(AA10:AA40)</f>
        <v>72.5806451612903</v>
      </c>
      <c r="AB42" s="61" t="n">
        <f aca="false">AVERAGE(AB10:AB40)</f>
        <v>41.9032258064516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8328</v>
      </c>
      <c r="E43" s="57"/>
      <c r="F43" s="57" t="n">
        <f aca="false">F42*$D$2</f>
        <v>8328</v>
      </c>
      <c r="G43" s="57" t="n">
        <f aca="false">G42*$D$2</f>
        <v>136345.849505</v>
      </c>
      <c r="H43" s="57" t="n">
        <f aca="false">H42*$D$2</f>
        <v>8356.4855</v>
      </c>
      <c r="I43" s="57" t="n">
        <f aca="false">I42*$D$2</f>
        <v>144702.335005</v>
      </c>
      <c r="J43" s="57" t="n">
        <f aca="false">J42*$D$2</f>
        <v>14435.188895</v>
      </c>
      <c r="K43" s="57" t="n">
        <f aca="false">K42*$D$2</f>
        <v>159137.5239</v>
      </c>
      <c r="L43" s="57" t="n">
        <f aca="false">L42*$D$2</f>
        <v>13946.005895</v>
      </c>
      <c r="M43" s="57" t="n">
        <f aca="false">M42*$D$2</f>
        <v>16822.0635</v>
      </c>
      <c r="N43" s="57" t="n">
        <f aca="false">N42*$D$2</f>
        <v>3123.8042325</v>
      </c>
      <c r="O43" s="57" t="n">
        <f aca="false">O42*$D$2</f>
        <v>13698.2592675</v>
      </c>
      <c r="P43" s="57" t="n">
        <f aca="false">P42*$D$2</f>
        <v>4861.5585</v>
      </c>
      <c r="Q43" s="57" t="n">
        <f aca="false">Q42*$D$2</f>
        <v>3536.5805</v>
      </c>
      <c r="R43" s="57" t="n">
        <f aca="false">R42*$D$2</f>
        <v>22096.3982675</v>
      </c>
      <c r="S43" s="57"/>
      <c r="T43" s="57" t="n">
        <f aca="false">T42*$D$2</f>
        <v>6984.6969</v>
      </c>
      <c r="U43" s="57" t="n">
        <f aca="false">U42*$D$2</f>
        <v>118115.4415</v>
      </c>
      <c r="V43" s="57"/>
      <c r="W43" s="109" t="n">
        <f aca="false">W42*$D$2</f>
        <v>150320.3409</v>
      </c>
      <c r="X43" s="57" t="n">
        <f aca="false">X42*$D$2</f>
        <v>489.183</v>
      </c>
      <c r="Y43" s="57" t="n">
        <f aca="false">Y42*$D$2</f>
        <v>150809.5239</v>
      </c>
      <c r="Z43" s="60"/>
      <c r="AA43" s="61" t="n">
        <f aca="false">MAX(AA10:AA40)</f>
        <v>83</v>
      </c>
      <c r="AB43" s="61" t="n">
        <f aca="false">MAX(AB10:AB40)</f>
        <v>51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 t="n">
        <f aca="false">F7+F42</f>
        <v>10243.5089488278</v>
      </c>
      <c r="G45" s="57" t="n">
        <f aca="false">G7+G42</f>
        <v>89441.03</v>
      </c>
      <c r="H45" s="57" t="n">
        <f aca="false">H7+H42</f>
        <v>8032.02</v>
      </c>
      <c r="I45" s="57" t="n">
        <f aca="false">I7+I42</f>
        <v>97473.05</v>
      </c>
      <c r="J45" s="57" t="n">
        <f aca="false">J7+J42</f>
        <v>22519.0851146962</v>
      </c>
      <c r="K45" s="57" t="n">
        <f aca="false">K7+K42</f>
        <v>119992.135114696</v>
      </c>
      <c r="L45" s="57" t="n">
        <f aca="false">L7+L42</f>
        <v>22272.4589488278</v>
      </c>
      <c r="M45" s="57" t="n">
        <f aca="false">M7+M42</f>
        <v>10303.6</v>
      </c>
      <c r="N45" s="57" t="n">
        <f aca="false">N7+N42</f>
        <v>2628.486</v>
      </c>
      <c r="O45" s="57" t="n">
        <f aca="false">O7+O42</f>
        <v>7675.114</v>
      </c>
      <c r="P45" s="57" t="n">
        <f aca="false">P7+P42</f>
        <v>2451</v>
      </c>
      <c r="Q45" s="57" t="n">
        <f aca="false">Q7+Q42</f>
        <v>1850</v>
      </c>
      <c r="R45" s="57" t="n">
        <f aca="false">R7+R42</f>
        <v>11976.114</v>
      </c>
      <c r="S45" s="57" t="n">
        <f aca="false">S7+S42</f>
        <v>0</v>
      </c>
      <c r="T45" s="57" t="n">
        <f aca="false">T7+T42</f>
        <v>3706.4</v>
      </c>
      <c r="U45" s="57" t="n">
        <f aca="false">U7+U42</f>
        <v>91191</v>
      </c>
      <c r="V45" s="57"/>
      <c r="W45" s="57" t="n">
        <f aca="false">W7+W42</f>
        <v>109502</v>
      </c>
      <c r="X45" s="57" t="n">
        <f aca="false">X7+X42</f>
        <v>246.626165868414</v>
      </c>
      <c r="Y45" s="57" t="n">
        <f aca="false">Y7+Y42</f>
        <v>109748.626165868</v>
      </c>
      <c r="Z45" s="60"/>
      <c r="AA45" s="61" t="n">
        <f aca="false">MIN(AA10:AA40)</f>
        <v>59</v>
      </c>
      <c r="AB45" s="61" t="n">
        <f aca="false">MIN(AB10:AB40)</f>
        <v>30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 t="n">
        <f aca="false">F45*$D$2</f>
        <v>20318</v>
      </c>
      <c r="G46" s="57" t="n">
        <f aca="false">G45*$D$2</f>
        <v>177406.283005</v>
      </c>
      <c r="H46" s="57" t="n">
        <f aca="false">H45*$D$2</f>
        <v>15931.51167</v>
      </c>
      <c r="I46" s="57" t="n">
        <f aca="false">I45*$D$2</f>
        <v>193337.794675</v>
      </c>
      <c r="J46" s="57" t="n">
        <f aca="false">J45*$D$2</f>
        <v>44666.605325</v>
      </c>
      <c r="K46" s="57" t="n">
        <f aca="false">K45*$D$2</f>
        <v>238004.4</v>
      </c>
      <c r="L46" s="57" t="n">
        <f aca="false">L45*$D$2</f>
        <v>44177.422325</v>
      </c>
      <c r="M46" s="57" t="n">
        <f aca="false">M45*$D$2</f>
        <v>20437.1906</v>
      </c>
      <c r="N46" s="57" t="n">
        <f aca="false">N45*$D$2</f>
        <v>5213.601981</v>
      </c>
      <c r="O46" s="57" t="n">
        <f aca="false">O45*$D$2</f>
        <v>15223.588619</v>
      </c>
      <c r="P46" s="57" t="n">
        <f aca="false">P45*$D$2</f>
        <v>4861.5585</v>
      </c>
      <c r="Q46" s="57" t="n">
        <f aca="false">Q45*$D$2</f>
        <v>3669.475</v>
      </c>
      <c r="R46" s="57" t="n">
        <f aca="false">R45*$D$2</f>
        <v>23754.622119</v>
      </c>
      <c r="S46" s="57" t="n">
        <f aca="false">S45*$D$2</f>
        <v>0</v>
      </c>
      <c r="T46" s="57" t="n">
        <f aca="false">T45*$D$2</f>
        <v>7351.6444</v>
      </c>
      <c r="U46" s="57" t="n">
        <f aca="false">U45*$D$2</f>
        <v>180877.3485</v>
      </c>
      <c r="V46" s="57"/>
      <c r="W46" s="57" t="n">
        <f aca="false">W45*$D$2</f>
        <v>217197.217</v>
      </c>
      <c r="X46" s="57" t="n">
        <f aca="false">X45*$D$2</f>
        <v>489.183</v>
      </c>
      <c r="Y46" s="57" t="n">
        <f aca="false">Y45*$D$2</f>
        <v>217686.4</v>
      </c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23662.21325939</v>
      </c>
      <c r="G48" s="57" t="n">
        <f aca="false">G8+G42</f>
        <v>106114.03</v>
      </c>
      <c r="H48" s="61" t="n">
        <f aca="false">H8+H42</f>
        <v>9836.32</v>
      </c>
      <c r="I48" s="57" t="n">
        <f aca="false">I8+I42</f>
        <v>115943.45</v>
      </c>
      <c r="J48" s="57" t="n">
        <f aca="false">J8+J42</f>
        <v>27766.6111343585</v>
      </c>
      <c r="K48" s="57" t="n">
        <f aca="false">K8+K42</f>
        <v>143701.661134358</v>
      </c>
      <c r="L48" s="57" t="n">
        <f aca="false">L8+L42</f>
        <v>26487.88325939</v>
      </c>
      <c r="M48" s="57" t="n">
        <f aca="false">M8+M42</f>
        <v>11833.56</v>
      </c>
      <c r="N48" s="57" t="n">
        <f aca="false">N8+N42</f>
        <v>2688.231</v>
      </c>
      <c r="O48" s="57" t="n">
        <f aca="false">O8+O42</f>
        <v>8496.089</v>
      </c>
      <c r="P48" s="57" t="n">
        <f aca="false">P8+P42</f>
        <v>3240</v>
      </c>
      <c r="Q48" s="57" t="n">
        <f aca="false">Q8+Q42</f>
        <v>1996.2</v>
      </c>
      <c r="R48" s="57" t="n">
        <f aca="false">R8+R42</f>
        <v>14124.279</v>
      </c>
      <c r="S48" s="57"/>
      <c r="T48" s="57" t="n">
        <f aca="false">T8+T42</f>
        <v>3706.4</v>
      </c>
      <c r="U48" s="57" t="n">
        <f aca="false">U8+U42</f>
        <v>97992.96</v>
      </c>
      <c r="V48" s="57" t="n">
        <f aca="false">V40</f>
        <v>18477</v>
      </c>
      <c r="W48" s="57" t="n">
        <f aca="false">W8+W42</f>
        <v>118769.12</v>
      </c>
      <c r="X48" s="57" t="n">
        <f aca="false">X8+X42</f>
        <v>1278.72787496849</v>
      </c>
      <c r="Y48" s="57" t="n">
        <f aca="false">Y8+Y42</f>
        <v>120047.847874969</v>
      </c>
      <c r="Z48" s="81" t="n">
        <f aca="false">Z8+Z42</f>
        <v>9.38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46934</v>
      </c>
      <c r="E49" s="57" t="n">
        <f aca="false">E40</f>
        <v>228403</v>
      </c>
      <c r="F49" s="57" t="n">
        <f aca="false">F48*$D$2</f>
        <v>46934</v>
      </c>
      <c r="G49" s="57" t="n">
        <f aca="false">G48*$D$2</f>
        <v>210477.178505</v>
      </c>
      <c r="H49" s="61" t="n">
        <f aca="false">H48*$D$2</f>
        <v>19510.34072</v>
      </c>
      <c r="I49" s="57" t="n">
        <f aca="false">I48*$D$2</f>
        <v>229973.833075</v>
      </c>
      <c r="J49" s="57" t="n">
        <f aca="false">J48*$D$2</f>
        <v>55075.073185</v>
      </c>
      <c r="K49" s="57" t="n">
        <f aca="false">K48*$D$2</f>
        <v>285032.24486</v>
      </c>
      <c r="L49" s="57" t="n">
        <f aca="false">L48*$D$2</f>
        <v>52538.716445</v>
      </c>
      <c r="M49" s="57" t="n">
        <f aca="false">M48*$D$2</f>
        <v>23471.86626</v>
      </c>
      <c r="N49" s="57" t="n">
        <f aca="false">N48*$D$2</f>
        <v>5332.1061885</v>
      </c>
      <c r="O49" s="57" t="n">
        <f aca="false">O48*$D$2</f>
        <v>16851.9925315</v>
      </c>
      <c r="P49" s="57" t="n">
        <f aca="false">P48*$D$2</f>
        <v>6426.54</v>
      </c>
      <c r="Q49" s="57" t="n">
        <f aca="false">Q48*$D$2</f>
        <v>3959.4627</v>
      </c>
      <c r="R49" s="57" t="n">
        <f aca="false">R48*$D$2</f>
        <v>28015.5073965</v>
      </c>
      <c r="S49" s="57" t="n">
        <f aca="false">S48*$D$2</f>
        <v>0</v>
      </c>
      <c r="T49" s="57" t="n">
        <f aca="false">T48*$D$2</f>
        <v>7351.6444</v>
      </c>
      <c r="U49" s="57" t="n">
        <f aca="false">U48*$D$2</f>
        <v>194369.03616</v>
      </c>
      <c r="V49" s="57" t="n">
        <f aca="false">V48*$D$2</f>
        <v>36649.1295</v>
      </c>
      <c r="W49" s="57" t="n">
        <f aca="false">W48*$D$2</f>
        <v>235578.54952</v>
      </c>
      <c r="X49" s="57" t="n">
        <f aca="false">X48*$D$2</f>
        <v>2536.35674</v>
      </c>
      <c r="Y49" s="57" t="n">
        <f aca="false">Y48*$D$2</f>
        <v>238114.90626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110" t="str">
        <f aca="false">"JUN 12"</f>
        <v>JUN 12</v>
      </c>
      <c r="B51" s="93"/>
      <c r="C51" s="57"/>
      <c r="D51" s="56"/>
      <c r="E51" s="57"/>
      <c r="F51" s="56"/>
      <c r="G51" s="56"/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6923.71</v>
      </c>
      <c r="C52" s="57" t="n">
        <v>379869</v>
      </c>
      <c r="D52" s="90"/>
      <c r="E52" s="57" t="n">
        <f aca="false">C52-152000</f>
        <v>227869</v>
      </c>
      <c r="F52" s="56"/>
      <c r="G52" s="90"/>
      <c r="H52" s="90"/>
      <c r="I52" s="97"/>
      <c r="J52" s="56"/>
      <c r="K52" s="46"/>
      <c r="L52" s="56" t="s">
        <v>74</v>
      </c>
      <c r="M52" s="56"/>
      <c r="N52" s="111" t="n">
        <v>2999</v>
      </c>
      <c r="O52" s="112"/>
      <c r="P52" s="113"/>
      <c r="Q52" s="113"/>
      <c r="R52" s="111" t="n">
        <v>33728</v>
      </c>
      <c r="S52" s="112"/>
      <c r="T52" s="111" t="n">
        <v>14392</v>
      </c>
      <c r="U52" s="56"/>
      <c r="V52" s="57"/>
      <c r="W52" s="109"/>
      <c r="X52" s="56"/>
      <c r="Y52" s="56"/>
      <c r="Z52" s="114" t="n">
        <v>3.9</v>
      </c>
      <c r="AA52" s="115" t="n">
        <v>75</v>
      </c>
      <c r="AB52" s="115" t="n">
        <v>43</v>
      </c>
      <c r="AC52" s="62"/>
      <c r="AD52" s="63"/>
      <c r="AE52" s="63"/>
    </row>
    <row r="53" customFormat="false" ht="11.1" hidden="false" customHeight="true" outlineLevel="0" collapsed="false">
      <c r="A53" s="90" t="str">
        <f aca="false">"5/8/97 thru 6/12/97"</f>
        <v>5/8/97 thru 6/12/97</v>
      </c>
      <c r="B53" s="90"/>
      <c r="C53" s="57"/>
      <c r="D53" s="57"/>
      <c r="E53" s="57"/>
      <c r="F53" s="90"/>
      <c r="G53" s="90"/>
      <c r="H53" s="58"/>
      <c r="I53" s="57"/>
      <c r="J53" s="90"/>
      <c r="K53" s="90"/>
      <c r="L53" s="81" t="s">
        <v>75</v>
      </c>
      <c r="M53" s="0"/>
      <c r="N53" s="97" t="n">
        <f aca="false">N43-N52</f>
        <v>124.8042325</v>
      </c>
      <c r="O53" s="81"/>
      <c r="P53" s="90"/>
      <c r="Q53" s="90"/>
      <c r="R53" s="97" t="n">
        <f aca="false">R43-R52</f>
        <v>-11631.6017325</v>
      </c>
      <c r="S53" s="57"/>
      <c r="T53" s="116" t="n">
        <f aca="false">T43-T52</f>
        <v>-7407.3031</v>
      </c>
      <c r="U53" s="117"/>
      <c r="V53" s="57"/>
      <c r="W53" s="90"/>
      <c r="X53" s="90"/>
      <c r="Y53" s="90"/>
      <c r="Z53" s="60" t="n">
        <f aca="false">Z48-Z52</f>
        <v>5.48</v>
      </c>
      <c r="AA53" s="61" t="n">
        <f aca="false">AA42-AA52</f>
        <v>-2.41935483870968</v>
      </c>
      <c r="AB53" s="61" t="n">
        <f aca="false">AB42-AB52</f>
        <v>-1.09677419354838</v>
      </c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B52-B17</f>
        <v>3.35999999999967</v>
      </c>
      <c r="C54" s="57"/>
      <c r="D54" s="57" t="n">
        <f aca="false">C52-C17</f>
        <v>14776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7"/>
      <c r="T54" s="90" t="s">
        <v>76</v>
      </c>
      <c r="U54" s="57" t="n">
        <f aca="false">SUM(N53:T53)</f>
        <v>-18914.1006</v>
      </c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0"/>
      <c r="C55" s="57"/>
      <c r="D55" s="0"/>
      <c r="E55" s="57"/>
      <c r="F55" s="90"/>
      <c r="G55" s="118"/>
      <c r="H55" s="119"/>
      <c r="I55" s="120"/>
      <c r="J55" s="90"/>
      <c r="K55" s="90"/>
      <c r="L55" s="90"/>
      <c r="M55" s="81"/>
      <c r="N55" s="81"/>
      <c r="O55" s="81"/>
      <c r="P55" s="90"/>
      <c r="Q55" s="90"/>
      <c r="R55" s="90"/>
      <c r="S55" s="57"/>
      <c r="T55" s="90"/>
      <c r="U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K10" activePane="bottomRight" state="frozen"/>
      <selection pane="topLeft" activeCell="A1" activeCellId="0" sqref="A1"/>
      <selection pane="topRight" activeCell="K1" activeCellId="0" sqref="K1"/>
      <selection pane="bottomLeft" activeCell="A10" activeCellId="0" sqref="A10"/>
      <selection pane="bottomRight" activeCell="R10" activeCellId="0" sqref="R1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7.66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6.66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6.66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4"/>
      <c r="AE1" s="14"/>
    </row>
    <row r="2" customFormat="false" ht="14.1" hidden="false" customHeight="true" outlineLevel="0" collapsed="false">
      <c r="A2" s="7" t="s">
        <v>1</v>
      </c>
      <c r="B2" s="7"/>
      <c r="C2" s="8"/>
      <c r="D2" s="15" t="n">
        <v>1.9835</v>
      </c>
      <c r="E2" s="8"/>
      <c r="F2" s="7"/>
      <c r="G2" s="7"/>
      <c r="H2" s="9"/>
      <c r="I2" s="7"/>
      <c r="J2" s="7"/>
      <c r="K2" s="104" t="s">
        <v>77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7"/>
      <c r="X2" s="7"/>
      <c r="Y2" s="7"/>
      <c r="Z2" s="11"/>
      <c r="AA2" s="12"/>
      <c r="AB2" s="12"/>
      <c r="AC2" s="13"/>
      <c r="AD2" s="14"/>
      <c r="AE2" s="14"/>
    </row>
    <row r="3" customFormat="false" ht="11.1" hidden="false" customHeight="true" outlineLevel="0" collapsed="false">
      <c r="A3" s="7"/>
      <c r="B3" s="7"/>
      <c r="C3" s="8"/>
      <c r="D3" s="16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4"/>
      <c r="AE3" s="14"/>
    </row>
    <row r="4" customFormat="false" ht="11.1" hidden="false" customHeight="true" outlineLevel="0" collapsed="false">
      <c r="A4" s="17" t="s">
        <v>3</v>
      </c>
      <c r="B4" s="17" t="s">
        <v>4</v>
      </c>
      <c r="C4" s="18" t="s">
        <v>4</v>
      </c>
      <c r="D4" s="17" t="s">
        <v>5</v>
      </c>
      <c r="E4" s="18" t="s">
        <v>6</v>
      </c>
      <c r="F4" s="17" t="s">
        <v>7</v>
      </c>
      <c r="G4" s="17" t="s">
        <v>8</v>
      </c>
      <c r="H4" s="19" t="s">
        <v>9</v>
      </c>
      <c r="I4" s="17" t="s">
        <v>10</v>
      </c>
      <c r="J4" s="17" t="s">
        <v>11</v>
      </c>
      <c r="K4" s="17" t="s">
        <v>12</v>
      </c>
      <c r="L4" s="17" t="s">
        <v>11</v>
      </c>
      <c r="M4" s="20" t="s">
        <v>13</v>
      </c>
      <c r="N4" s="20"/>
      <c r="O4" s="20"/>
      <c r="P4" s="17" t="s">
        <v>16</v>
      </c>
      <c r="Q4" s="17" t="s">
        <v>15</v>
      </c>
      <c r="R4" s="17" t="s">
        <v>12</v>
      </c>
      <c r="S4" s="18" t="s">
        <v>16</v>
      </c>
      <c r="T4" s="17" t="s">
        <v>17</v>
      </c>
      <c r="U4" s="17" t="s">
        <v>18</v>
      </c>
      <c r="V4" s="18" t="s">
        <v>19</v>
      </c>
      <c r="W4" s="17" t="s">
        <v>10</v>
      </c>
      <c r="X4" s="17" t="s">
        <v>11</v>
      </c>
      <c r="Y4" s="17" t="s">
        <v>12</v>
      </c>
      <c r="Z4" s="21" t="s">
        <v>20</v>
      </c>
      <c r="AA4" s="22" t="s">
        <v>21</v>
      </c>
      <c r="AB4" s="22" t="s">
        <v>22</v>
      </c>
      <c r="AC4" s="22" t="s">
        <v>3</v>
      </c>
      <c r="AD4" s="14"/>
      <c r="AE4" s="14"/>
    </row>
    <row r="5" customFormat="false" ht="11.1" hidden="false" customHeight="true" outlineLevel="0" collapsed="false">
      <c r="A5" s="23" t="s">
        <v>78</v>
      </c>
      <c r="B5" s="17" t="s">
        <v>24</v>
      </c>
      <c r="C5" s="18" t="s">
        <v>5</v>
      </c>
      <c r="D5" s="17" t="s">
        <v>25</v>
      </c>
      <c r="E5" s="18" t="s">
        <v>26</v>
      </c>
      <c r="F5" s="17" t="s">
        <v>27</v>
      </c>
      <c r="G5" s="17" t="s">
        <v>28</v>
      </c>
      <c r="H5" s="19" t="s">
        <v>29</v>
      </c>
      <c r="I5" s="17" t="s">
        <v>30</v>
      </c>
      <c r="J5" s="17" t="s">
        <v>30</v>
      </c>
      <c r="K5" s="17" t="s">
        <v>30</v>
      </c>
      <c r="L5" s="17" t="s">
        <v>31</v>
      </c>
      <c r="M5" s="17" t="s">
        <v>32</v>
      </c>
      <c r="N5" s="17" t="s">
        <v>33</v>
      </c>
      <c r="O5" s="17" t="s">
        <v>66</v>
      </c>
      <c r="P5" s="17" t="s">
        <v>67</v>
      </c>
      <c r="Q5" s="17" t="s">
        <v>36</v>
      </c>
      <c r="R5" s="17" t="s">
        <v>16</v>
      </c>
      <c r="S5" s="18" t="s">
        <v>37</v>
      </c>
      <c r="T5" s="17" t="s">
        <v>38</v>
      </c>
      <c r="U5" s="17" t="s">
        <v>39</v>
      </c>
      <c r="V5" s="18" t="s">
        <v>40</v>
      </c>
      <c r="W5" s="17" t="s">
        <v>41</v>
      </c>
      <c r="X5" s="17" t="s">
        <v>41</v>
      </c>
      <c r="Y5" s="17" t="s">
        <v>41</v>
      </c>
      <c r="Z5" s="25"/>
      <c r="AA5" s="22" t="s">
        <v>42</v>
      </c>
      <c r="AB5" s="22" t="s">
        <v>42</v>
      </c>
      <c r="AC5" s="26" t="s">
        <v>78</v>
      </c>
      <c r="AD5" s="14"/>
      <c r="AE5" s="14"/>
    </row>
    <row r="6" customFormat="false" ht="11.1" hidden="false" customHeight="true" outlineLevel="0" collapsed="false">
      <c r="A6" s="27"/>
      <c r="B6" s="27"/>
      <c r="C6" s="28"/>
      <c r="D6" s="27"/>
      <c r="E6" s="28"/>
      <c r="F6" s="27"/>
      <c r="G6" s="27"/>
      <c r="H6" s="29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  <c r="T6" s="27"/>
      <c r="U6" s="27"/>
      <c r="V6" s="28"/>
      <c r="W6" s="27"/>
      <c r="X6" s="27"/>
      <c r="Y6" s="27"/>
      <c r="Z6" s="11"/>
      <c r="AA6" s="13"/>
      <c r="AB6" s="13"/>
      <c r="AC6" s="13"/>
      <c r="AF6" s="121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 t="n">
        <f aca="false" t="array" ref="F7:Y7">MAY!$F$45:$Y$45</f>
        <v>10243.5089488278</v>
      </c>
      <c r="G7" s="8" t="n">
        <v>89441.03</v>
      </c>
      <c r="H7" s="12" t="n">
        <v>8032.02</v>
      </c>
      <c r="I7" s="8" t="n">
        <v>97473.05</v>
      </c>
      <c r="J7" s="8" t="n">
        <v>22519.0851146962</v>
      </c>
      <c r="K7" s="8" t="n">
        <v>119992.135114696</v>
      </c>
      <c r="L7" s="8" t="n">
        <v>22272.4589488278</v>
      </c>
      <c r="M7" s="8" t="n">
        <v>10303.6</v>
      </c>
      <c r="N7" s="8" t="n">
        <v>2628.486</v>
      </c>
      <c r="O7" s="8" t="n">
        <v>7675.114</v>
      </c>
      <c r="P7" s="8" t="n">
        <v>2451</v>
      </c>
      <c r="Q7" s="8" t="n">
        <v>1850</v>
      </c>
      <c r="R7" s="8" t="n">
        <v>11976.114</v>
      </c>
      <c r="S7" s="8" t="n">
        <v>0</v>
      </c>
      <c r="T7" s="8" t="n">
        <v>3706.4</v>
      </c>
      <c r="U7" s="8" t="n">
        <v>91191</v>
      </c>
      <c r="V7" s="8" t="n">
        <v>0</v>
      </c>
      <c r="W7" s="8" t="n">
        <v>109502</v>
      </c>
      <c r="X7" s="8" t="n">
        <v>246.626165868414</v>
      </c>
      <c r="Y7" s="8" t="n">
        <v>109748.626165868</v>
      </c>
      <c r="Z7" s="11"/>
      <c r="AA7" s="12"/>
      <c r="AB7" s="12"/>
      <c r="AC7" s="13"/>
      <c r="AD7" s="34"/>
      <c r="AF7" s="122"/>
    </row>
    <row r="8" s="1" customFormat="true" ht="11.1" hidden="false" customHeight="true" outlineLevel="0" collapsed="false">
      <c r="A8" s="8" t="s">
        <v>44</v>
      </c>
      <c r="B8" s="32" t="n">
        <f aca="false" t="array" ref="B8:C8">MAY!$B$40:$C$40</f>
        <v>6923.83</v>
      </c>
      <c r="C8" s="8" t="n">
        <v>380403</v>
      </c>
      <c r="D8" s="8" t="n">
        <f aca="false" t="array" ref="D8:E8">MAY!$D$49:$E$49</f>
        <v>46934</v>
      </c>
      <c r="E8" s="8" t="n">
        <v>228403</v>
      </c>
      <c r="F8" s="8" t="n">
        <f aca="false" t="array" ref="F8:Z8">MAY!$F$48:$Z$48</f>
        <v>23662.21325939</v>
      </c>
      <c r="G8" s="8" t="n">
        <v>106114.03</v>
      </c>
      <c r="H8" s="12" t="n">
        <v>9836.32</v>
      </c>
      <c r="I8" s="8" t="n">
        <v>115943.45</v>
      </c>
      <c r="J8" s="8" t="n">
        <v>27766.6111343585</v>
      </c>
      <c r="K8" s="8" t="n">
        <v>143701.661134358</v>
      </c>
      <c r="L8" s="8" t="n">
        <v>26487.88325939</v>
      </c>
      <c r="M8" s="8" t="n">
        <v>11833.56</v>
      </c>
      <c r="N8" s="8" t="n">
        <v>2688.231</v>
      </c>
      <c r="O8" s="8" t="n">
        <v>8496.089</v>
      </c>
      <c r="P8" s="8" t="n">
        <v>3240</v>
      </c>
      <c r="Q8" s="8" t="n">
        <v>1996.2</v>
      </c>
      <c r="R8" s="8" t="n">
        <v>14124.279</v>
      </c>
      <c r="S8" s="8" t="n">
        <v>0</v>
      </c>
      <c r="T8" s="8" t="n">
        <v>3706.4</v>
      </c>
      <c r="U8" s="8" t="n">
        <v>97992.96</v>
      </c>
      <c r="V8" s="8" t="n">
        <v>18477</v>
      </c>
      <c r="W8" s="8" t="n">
        <v>118769.12</v>
      </c>
      <c r="X8" s="8" t="n">
        <v>1278.72787496849</v>
      </c>
      <c r="Y8" s="8" t="n">
        <v>120047.847874969</v>
      </c>
      <c r="Z8" s="33" t="n">
        <v>9.38</v>
      </c>
      <c r="AA8" s="12"/>
      <c r="AB8" s="12"/>
      <c r="AC8" s="13"/>
      <c r="AD8" s="123"/>
      <c r="AE8" s="123"/>
    </row>
    <row r="9" customFormat="false" ht="3" hidden="false" customHeight="true" outlineLevel="0" collapsed="false">
      <c r="A9" s="35"/>
      <c r="B9" s="36"/>
      <c r="C9" s="37"/>
      <c r="D9" s="35"/>
      <c r="E9" s="37"/>
      <c r="F9" s="35"/>
      <c r="G9" s="35"/>
      <c r="H9" s="38"/>
      <c r="I9" s="35"/>
      <c r="J9" s="35"/>
      <c r="K9" s="35"/>
      <c r="L9" s="35"/>
      <c r="M9" s="35"/>
      <c r="N9" s="35" t="n">
        <v>0</v>
      </c>
      <c r="O9" s="35"/>
      <c r="P9" s="35"/>
      <c r="Q9" s="35" t="n">
        <v>0</v>
      </c>
      <c r="R9" s="35"/>
      <c r="S9" s="37"/>
      <c r="T9" s="35"/>
      <c r="U9" s="35"/>
      <c r="V9" s="37"/>
      <c r="W9" s="35"/>
      <c r="X9" s="35"/>
      <c r="Y9" s="35"/>
      <c r="Z9" s="39"/>
      <c r="AA9" s="40"/>
      <c r="AB9" s="40"/>
      <c r="AC9" s="41"/>
      <c r="AD9" s="14"/>
      <c r="AE9" s="14"/>
    </row>
    <row r="10" customFormat="false" ht="11.1" hidden="false" customHeight="true" outlineLevel="0" collapsed="false">
      <c r="A10" s="13" t="n">
        <v>1</v>
      </c>
      <c r="B10" s="32" t="n">
        <v>6923.88</v>
      </c>
      <c r="C10" s="8" t="n">
        <v>380626</v>
      </c>
      <c r="D10" s="12" t="n">
        <f aca="false">C10-C8</f>
        <v>223</v>
      </c>
      <c r="E10" s="8" t="n">
        <f aca="false">C10-152000</f>
        <v>228626</v>
      </c>
      <c r="F10" s="7" t="n">
        <f aca="false">D10/$D$2</f>
        <v>112.427527098563</v>
      </c>
      <c r="G10" s="7" t="n">
        <v>2110</v>
      </c>
      <c r="H10" s="9" t="n">
        <v>35</v>
      </c>
      <c r="I10" s="7" t="n">
        <f aca="false">G10+H10</f>
        <v>2145</v>
      </c>
      <c r="J10" s="105" t="n">
        <f aca="false">IF(L10&gt;0,L10,0)</f>
        <v>13.4275270985631</v>
      </c>
      <c r="K10" s="7" t="n">
        <f aca="false">I10+J10</f>
        <v>2158.42752709856</v>
      </c>
      <c r="L10" s="7" t="n">
        <f aca="false">F10-(I10-W10)</f>
        <v>13.4275270985631</v>
      </c>
      <c r="M10" s="7" t="n">
        <v>303</v>
      </c>
      <c r="N10" s="56" t="n">
        <f aca="false">(14+15)*1.05</f>
        <v>30.45</v>
      </c>
      <c r="O10" s="7" t="n">
        <f aca="false">M10-N10</f>
        <v>272.55</v>
      </c>
      <c r="P10" s="7" t="n">
        <v>169</v>
      </c>
      <c r="Q10" s="7" t="n">
        <v>79</v>
      </c>
      <c r="R10" s="7" t="n">
        <f aca="false">SUM(O10:Q10)</f>
        <v>520.55</v>
      </c>
      <c r="S10" s="8" t="n">
        <v>0</v>
      </c>
      <c r="T10" s="7" t="n">
        <v>195</v>
      </c>
      <c r="U10" s="7" t="n">
        <v>1300</v>
      </c>
      <c r="V10" s="8" t="n">
        <v>18477</v>
      </c>
      <c r="W10" s="7" t="n">
        <f aca="false">N10+R10+T10+U10</f>
        <v>2046</v>
      </c>
      <c r="X10" s="7" t="n">
        <f aca="false">IF(L10&lt;0,L10*-1,0)</f>
        <v>0</v>
      </c>
      <c r="Y10" s="7" t="n">
        <f aca="false">W10+X10</f>
        <v>2046</v>
      </c>
      <c r="Z10" s="11" t="n">
        <v>0</v>
      </c>
      <c r="AA10" s="12" t="n">
        <v>84</v>
      </c>
      <c r="AB10" s="12" t="n">
        <v>51</v>
      </c>
      <c r="AC10" s="13" t="n">
        <v>1</v>
      </c>
      <c r="AD10" s="12"/>
      <c r="AE10" s="12"/>
      <c r="AF10" s="124"/>
      <c r="AG10" s="7"/>
    </row>
    <row r="11" customFormat="false" ht="11.1" hidden="false" customHeight="true" outlineLevel="0" collapsed="false">
      <c r="A11" s="13" t="n">
        <f aca="false">A10+1</f>
        <v>2</v>
      </c>
      <c r="B11" s="32" t="n">
        <v>6924.05</v>
      </c>
      <c r="C11" s="8" t="n">
        <v>381384</v>
      </c>
      <c r="D11" s="12" t="n">
        <f aca="false">C11-C10</f>
        <v>758</v>
      </c>
      <c r="E11" s="8" t="n">
        <f aca="false">C11-152000</f>
        <v>229384</v>
      </c>
      <c r="F11" s="7" t="n">
        <f aca="false">D11/$D$2</f>
        <v>382.152760272246</v>
      </c>
      <c r="G11" s="7" t="n">
        <v>2230</v>
      </c>
      <c r="H11" s="9" t="n">
        <v>31</v>
      </c>
      <c r="I11" s="7" t="n">
        <f aca="false">G11+H11</f>
        <v>2261</v>
      </c>
      <c r="J11" s="105" t="n">
        <f aca="false">IF(L11&gt;0,L11,0)</f>
        <v>29.152760272246</v>
      </c>
      <c r="K11" s="7" t="n">
        <f aca="false">I11+J11</f>
        <v>2290.15276027225</v>
      </c>
      <c r="L11" s="7" t="n">
        <f aca="false">F11-(I11-W11)</f>
        <v>29.152760272246</v>
      </c>
      <c r="M11" s="7" t="n">
        <v>338</v>
      </c>
      <c r="N11" s="56" t="n">
        <f aca="false">(24+24)*1.05</f>
        <v>50.4</v>
      </c>
      <c r="O11" s="7" t="n">
        <f aca="false">M11-N11</f>
        <v>287.6</v>
      </c>
      <c r="P11" s="7" t="n">
        <v>170</v>
      </c>
      <c r="Q11" s="7" t="n">
        <v>82</v>
      </c>
      <c r="R11" s="7" t="n">
        <f aca="false">SUM(O11:Q11)</f>
        <v>539.6</v>
      </c>
      <c r="S11" s="57"/>
      <c r="T11" s="7" t="n">
        <v>198</v>
      </c>
      <c r="U11" s="7" t="n">
        <v>1120</v>
      </c>
      <c r="V11" s="8" t="n">
        <v>18477</v>
      </c>
      <c r="W11" s="7" t="n">
        <f aca="false">N11+R11+T11+U11</f>
        <v>1908</v>
      </c>
      <c r="X11" s="7" t="n">
        <f aca="false">IF(L11&lt;0,L11*-1,0)</f>
        <v>0</v>
      </c>
      <c r="Y11" s="7" t="n">
        <f aca="false">W11+X11</f>
        <v>1908</v>
      </c>
      <c r="Z11" s="11" t="n">
        <v>0</v>
      </c>
      <c r="AA11" s="12" t="n">
        <v>86</v>
      </c>
      <c r="AB11" s="12" t="n">
        <v>48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32" t="n">
        <v>6924.18</v>
      </c>
      <c r="C12" s="8" t="n">
        <v>381967</v>
      </c>
      <c r="D12" s="12" t="n">
        <f aca="false">C12-C11</f>
        <v>583</v>
      </c>
      <c r="E12" s="8" t="n">
        <f aca="false">C12-152000</f>
        <v>229967</v>
      </c>
      <c r="F12" s="7" t="n">
        <f aca="false">D12/$D$2</f>
        <v>293.924880262163</v>
      </c>
      <c r="G12" s="7" t="n">
        <v>2190</v>
      </c>
      <c r="H12" s="9" t="n">
        <v>36</v>
      </c>
      <c r="I12" s="7" t="n">
        <f aca="false">G12+H12</f>
        <v>2226</v>
      </c>
      <c r="J12" s="105" t="n">
        <f aca="false">IF(L12&gt;0,L12,0)</f>
        <v>48.9248802621628</v>
      </c>
      <c r="K12" s="7" t="n">
        <f aca="false">I12+J12</f>
        <v>2274.92488026216</v>
      </c>
      <c r="L12" s="7" t="n">
        <f aca="false">F12-(I12-W12)</f>
        <v>48.9248802621628</v>
      </c>
      <c r="M12" s="7" t="n">
        <v>324</v>
      </c>
      <c r="N12" s="7" t="n">
        <f aca="false">(26+26)*1.05</f>
        <v>54.6</v>
      </c>
      <c r="O12" s="7" t="n">
        <f aca="false">M12-N12</f>
        <v>269.4</v>
      </c>
      <c r="P12" s="7" t="n">
        <v>170</v>
      </c>
      <c r="Q12" s="7" t="n">
        <v>84</v>
      </c>
      <c r="R12" s="7" t="n">
        <f aca="false">SUM(O12:Q12)</f>
        <v>523.4</v>
      </c>
      <c r="S12" s="57"/>
      <c r="T12" s="7" t="n">
        <v>183</v>
      </c>
      <c r="U12" s="7" t="n">
        <v>1220</v>
      </c>
      <c r="V12" s="8" t="n">
        <v>18477</v>
      </c>
      <c r="W12" s="7" t="n">
        <f aca="false">N12+R12+T12+U12</f>
        <v>1981</v>
      </c>
      <c r="X12" s="7" t="n">
        <f aca="false">IF(L12&lt;0,L12*-1,0)</f>
        <v>0</v>
      </c>
      <c r="Y12" s="7" t="n">
        <f aca="false">W12+X12</f>
        <v>1981</v>
      </c>
      <c r="Z12" s="11" t="n">
        <v>0</v>
      </c>
      <c r="AA12" s="12" t="n">
        <v>81</v>
      </c>
      <c r="AB12" s="12" t="n">
        <v>52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32" t="n">
        <v>6924.18</v>
      </c>
      <c r="C13" s="8" t="n">
        <v>381967</v>
      </c>
      <c r="D13" s="12" t="n">
        <f aca="false">C13-C12</f>
        <v>0</v>
      </c>
      <c r="E13" s="8" t="n">
        <f aca="false">C13-152000</f>
        <v>229967</v>
      </c>
      <c r="F13" s="7" t="n">
        <f aca="false">D13/$D$2</f>
        <v>0</v>
      </c>
      <c r="G13" s="7" t="n">
        <v>1870</v>
      </c>
      <c r="H13" s="9" t="n">
        <v>21</v>
      </c>
      <c r="I13" s="7" t="n">
        <f aca="false">G13+H13</f>
        <v>1891</v>
      </c>
      <c r="J13" s="105" t="n">
        <f aca="false">IF(L13&gt;0,L13,0)</f>
        <v>3</v>
      </c>
      <c r="K13" s="7" t="n">
        <f aca="false">I13+J13</f>
        <v>1894</v>
      </c>
      <c r="L13" s="7" t="n">
        <f aca="false">F13-(I13-W13)</f>
        <v>3</v>
      </c>
      <c r="M13" s="7" t="n">
        <v>343</v>
      </c>
      <c r="N13" s="7" t="n">
        <f aca="false">(27+26)*1.05</f>
        <v>55.65</v>
      </c>
      <c r="O13" s="7" t="n">
        <f aca="false">M13-N13</f>
        <v>287.35</v>
      </c>
      <c r="P13" s="7" t="n">
        <v>331</v>
      </c>
      <c r="Q13" s="7" t="n">
        <v>85</v>
      </c>
      <c r="R13" s="7" t="n">
        <f aca="false">SUM(O13:Q13)</f>
        <v>703.35</v>
      </c>
      <c r="S13" s="57"/>
      <c r="T13" s="7" t="n">
        <v>150</v>
      </c>
      <c r="U13" s="7" t="n">
        <v>985</v>
      </c>
      <c r="V13" s="8" t="n">
        <v>18477</v>
      </c>
      <c r="W13" s="7" t="n">
        <f aca="false">N13+R13+T13+U13</f>
        <v>1894</v>
      </c>
      <c r="X13" s="7" t="n">
        <f aca="false">IF(L13&lt;0,L13*-1,0)</f>
        <v>0</v>
      </c>
      <c r="Y13" s="7" t="n">
        <f aca="false">W13+X13</f>
        <v>1894</v>
      </c>
      <c r="Z13" s="11" t="n">
        <v>0</v>
      </c>
      <c r="AA13" s="12" t="n">
        <v>64</v>
      </c>
      <c r="AB13" s="12" t="n">
        <v>44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32" t="n">
        <v>6924.01</v>
      </c>
      <c r="C14" s="8" t="n">
        <v>381205</v>
      </c>
      <c r="D14" s="12" t="n">
        <f aca="false">C14-C13</f>
        <v>-762</v>
      </c>
      <c r="E14" s="8" t="n">
        <f aca="false">C14-152000</f>
        <v>229205</v>
      </c>
      <c r="F14" s="7" t="n">
        <f aca="false">D14/$D$2</f>
        <v>-384.169397529619</v>
      </c>
      <c r="G14" s="7" t="n">
        <v>1420</v>
      </c>
      <c r="H14" s="9" t="n">
        <v>18</v>
      </c>
      <c r="I14" s="7" t="n">
        <f aca="false">G14+H14</f>
        <v>1438</v>
      </c>
      <c r="J14" s="105" t="n">
        <f aca="false">IF(L14&gt;0,L14,0)</f>
        <v>0</v>
      </c>
      <c r="K14" s="7" t="n">
        <f aca="false">I14+J14</f>
        <v>1438</v>
      </c>
      <c r="L14" s="7" t="n">
        <f aca="false">F14-(I14-W14)</f>
        <v>-38.1693975296193</v>
      </c>
      <c r="M14" s="7" t="n">
        <v>316</v>
      </c>
      <c r="N14" s="7" t="n">
        <f aca="false">(25+23)*1.05</f>
        <v>50.4</v>
      </c>
      <c r="O14" s="7" t="n">
        <f aca="false">M14-N14</f>
        <v>265.6</v>
      </c>
      <c r="P14" s="7" t="n">
        <v>406</v>
      </c>
      <c r="Q14" s="7" t="n">
        <v>85</v>
      </c>
      <c r="R14" s="7" t="n">
        <f aca="false">SUM(O14:Q14)</f>
        <v>756.6</v>
      </c>
      <c r="S14" s="57"/>
      <c r="T14" s="7" t="n">
        <v>171</v>
      </c>
      <c r="U14" s="7" t="n">
        <v>806</v>
      </c>
      <c r="V14" s="8" t="n">
        <v>18477</v>
      </c>
      <c r="W14" s="7" t="n">
        <f aca="false">N14+R14+T14+U14</f>
        <v>1784</v>
      </c>
      <c r="X14" s="7" t="n">
        <f aca="false">IF(L14&lt;0,L14*-1,0)</f>
        <v>38.1693975296193</v>
      </c>
      <c r="Y14" s="7" t="n">
        <f aca="false">W14+X14</f>
        <v>1822.16939752962</v>
      </c>
      <c r="Z14" s="11" t="n">
        <v>0</v>
      </c>
      <c r="AA14" s="12" t="n">
        <v>69</v>
      </c>
      <c r="AB14" s="12" t="n">
        <v>37</v>
      </c>
      <c r="AC14" s="13" t="n"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32" t="n">
        <v>6923.72</v>
      </c>
      <c r="C15" s="8" t="n">
        <v>379914</v>
      </c>
      <c r="D15" s="12" t="n">
        <f aca="false">C15-C14</f>
        <v>-1291</v>
      </c>
      <c r="E15" s="8" t="n">
        <f aca="false">C15-152000</f>
        <v>227914</v>
      </c>
      <c r="F15" s="7" t="n">
        <f aca="false">D15/$D$2</f>
        <v>-650.869674817242</v>
      </c>
      <c r="G15" s="7" t="n">
        <v>1190</v>
      </c>
      <c r="H15" s="9" t="n">
        <v>13</v>
      </c>
      <c r="I15" s="7" t="n">
        <f aca="false">G15+H15</f>
        <v>1203</v>
      </c>
      <c r="J15" s="105" t="n">
        <f aca="false">IF(L15&gt;0,L15,0)</f>
        <v>0</v>
      </c>
      <c r="K15" s="7" t="n">
        <f aca="false">I15+J15</f>
        <v>1203</v>
      </c>
      <c r="L15" s="7" t="n">
        <f aca="false">F15-(I15-W15)</f>
        <v>-91.8696748172422</v>
      </c>
      <c r="M15" s="7" t="n">
        <v>309</v>
      </c>
      <c r="N15" s="7" t="n">
        <f aca="false">(19+19)*1.05</f>
        <v>39.9</v>
      </c>
      <c r="O15" s="7" t="n">
        <f aca="false">M15-N15</f>
        <v>269.1</v>
      </c>
      <c r="P15" s="7" t="n">
        <v>409</v>
      </c>
      <c r="Q15" s="7" t="n">
        <v>88</v>
      </c>
      <c r="R15" s="7" t="n">
        <f aca="false">SUM(O15:Q15)</f>
        <v>766.1</v>
      </c>
      <c r="S15" s="57"/>
      <c r="T15" s="7" t="n">
        <v>150</v>
      </c>
      <c r="U15" s="7" t="n">
        <v>806</v>
      </c>
      <c r="V15" s="8" t="n">
        <v>18477</v>
      </c>
      <c r="W15" s="7" t="n">
        <f aca="false">N15+R15+T15+U15</f>
        <v>1762</v>
      </c>
      <c r="X15" s="7" t="n">
        <f aca="false">IF(L15&lt;0,L15*-1,0)</f>
        <v>91.8696748172422</v>
      </c>
      <c r="Y15" s="7" t="n">
        <f aca="false">W15+X15</f>
        <v>1853.86967481724</v>
      </c>
      <c r="Z15" s="11" t="n">
        <v>0</v>
      </c>
      <c r="AA15" s="12" t="n">
        <v>79</v>
      </c>
      <c r="AB15" s="12" t="n">
        <v>47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32" t="n">
        <v>6923.43</v>
      </c>
      <c r="C16" s="8" t="n">
        <v>378623</v>
      </c>
      <c r="D16" s="12" t="n">
        <f aca="false">C16-C15</f>
        <v>-1291</v>
      </c>
      <c r="E16" s="8" t="n">
        <f aca="false">C16-152000</f>
        <v>226623</v>
      </c>
      <c r="F16" s="7" t="n">
        <f aca="false">D16/$D$2</f>
        <v>-650.869674817242</v>
      </c>
      <c r="G16" s="7" t="n">
        <v>1110</v>
      </c>
      <c r="H16" s="9" t="n">
        <v>3.1</v>
      </c>
      <c r="I16" s="7" t="n">
        <f aca="false">G16+H16</f>
        <v>1113.1</v>
      </c>
      <c r="J16" s="105" t="n">
        <f aca="false">IF(L16&gt;0,L16,0)</f>
        <v>0</v>
      </c>
      <c r="K16" s="7" t="n">
        <f aca="false">I16+J16</f>
        <v>1113.1</v>
      </c>
      <c r="L16" s="7" t="n">
        <f aca="false">F16-(I16-W16)</f>
        <v>-32.9696748172421</v>
      </c>
      <c r="M16" s="7" t="n">
        <v>305</v>
      </c>
      <c r="N16" s="7" t="n">
        <f aca="false">(17+18)*1.05</f>
        <v>36.75</v>
      </c>
      <c r="O16" s="7" t="n">
        <f aca="false">M16-N16</f>
        <v>268.25</v>
      </c>
      <c r="P16" s="7" t="n">
        <v>406</v>
      </c>
      <c r="Q16" s="7" t="n">
        <v>87</v>
      </c>
      <c r="R16" s="7" t="n">
        <f aca="false">SUM(O16:Q16)</f>
        <v>761.25</v>
      </c>
      <c r="S16" s="57"/>
      <c r="T16" s="7" t="n">
        <v>125</v>
      </c>
      <c r="U16" s="7" t="n">
        <v>808</v>
      </c>
      <c r="V16" s="8" t="n">
        <v>18477</v>
      </c>
      <c r="W16" s="7" t="n">
        <f aca="false">N16+R16+T16+U16</f>
        <v>1731</v>
      </c>
      <c r="X16" s="7" t="n">
        <f aca="false">IF(L16&lt;0,L16*-1,0)</f>
        <v>32.9696748172421</v>
      </c>
      <c r="Y16" s="7" t="n">
        <f aca="false">W16+X16</f>
        <v>1763.96967481724</v>
      </c>
      <c r="Z16" s="11" t="n">
        <v>0</v>
      </c>
      <c r="AA16" s="12" t="n">
        <v>78</v>
      </c>
      <c r="AB16" s="12" t="n">
        <v>52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32" t="n">
        <v>6923.13</v>
      </c>
      <c r="C17" s="8" t="n">
        <v>377287</v>
      </c>
      <c r="D17" s="12" t="n">
        <f aca="false">C17-C16</f>
        <v>-1336</v>
      </c>
      <c r="E17" s="8" t="n">
        <f aca="false">C17-152000</f>
        <v>225287</v>
      </c>
      <c r="F17" s="7" t="n">
        <f aca="false">D17/$D$2</f>
        <v>-673.556843962692</v>
      </c>
      <c r="G17" s="7" t="n">
        <v>1040</v>
      </c>
      <c r="H17" s="9" t="n">
        <v>2.1</v>
      </c>
      <c r="I17" s="7" t="n">
        <f aca="false">G17+H17</f>
        <v>1042.1</v>
      </c>
      <c r="J17" s="105" t="n">
        <f aca="false">IF(L17&gt;0,L17,0)</f>
        <v>30.3431560373079</v>
      </c>
      <c r="K17" s="7" t="n">
        <f aca="false">I17+J17</f>
        <v>1072.44315603731</v>
      </c>
      <c r="L17" s="7" t="n">
        <f aca="false">F17-(I17-W17)</f>
        <v>30.3431560373079</v>
      </c>
      <c r="M17" s="7" t="n">
        <v>316</v>
      </c>
      <c r="N17" s="7" t="n">
        <f aca="false">(25+26)*1.05</f>
        <v>53.55</v>
      </c>
      <c r="O17" s="7" t="n">
        <f aca="false">M17-N17</f>
        <v>262.45</v>
      </c>
      <c r="P17" s="7" t="n">
        <v>404</v>
      </c>
      <c r="Q17" s="7" t="n">
        <v>86</v>
      </c>
      <c r="R17" s="7" t="n">
        <f aca="false">SUM(O17:Q17)</f>
        <v>752.45</v>
      </c>
      <c r="S17" s="57"/>
      <c r="T17" s="7" t="n">
        <v>132</v>
      </c>
      <c r="U17" s="7" t="n">
        <v>808</v>
      </c>
      <c r="V17" s="8" t="n">
        <v>18477</v>
      </c>
      <c r="W17" s="7" t="n">
        <f aca="false">N17+R17+T17+U17</f>
        <v>1746</v>
      </c>
      <c r="X17" s="7" t="n">
        <f aca="false">IF(L17&lt;0,L17*-1,0)</f>
        <v>0</v>
      </c>
      <c r="Y17" s="7" t="n">
        <f aca="false">W17+X17</f>
        <v>1746</v>
      </c>
      <c r="Z17" s="11" t="n">
        <v>0</v>
      </c>
      <c r="AA17" s="12" t="n">
        <v>72</v>
      </c>
      <c r="AB17" s="12" t="n">
        <v>39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32" t="n">
        <v>6922.75</v>
      </c>
      <c r="C18" s="8" t="n">
        <v>375605</v>
      </c>
      <c r="D18" s="12" t="n">
        <f aca="false">C18-C17</f>
        <v>-1682</v>
      </c>
      <c r="E18" s="8" t="n">
        <f aca="false">C18-152000</f>
        <v>223605</v>
      </c>
      <c r="F18" s="7" t="n">
        <f aca="false">D18/$D$2</f>
        <v>-847.995966725485</v>
      </c>
      <c r="G18" s="7" t="n">
        <v>984</v>
      </c>
      <c r="H18" s="9" t="n">
        <v>1.7</v>
      </c>
      <c r="I18" s="7" t="n">
        <f aca="false">G18+H18</f>
        <v>985.7</v>
      </c>
      <c r="J18" s="105" t="n">
        <f aca="false">IF(L18&gt;0,L18,0)</f>
        <v>0</v>
      </c>
      <c r="K18" s="7" t="n">
        <f aca="false">I18+J18</f>
        <v>985.7</v>
      </c>
      <c r="L18" s="7" t="n">
        <f aca="false">F18-(I18-W18)</f>
        <v>-118.695966725485</v>
      </c>
      <c r="M18" s="7" t="n">
        <v>302</v>
      </c>
      <c r="N18" s="7" t="n">
        <f aca="false">(33+34)*1.05</f>
        <v>70.35</v>
      </c>
      <c r="O18" s="7" t="n">
        <f aca="false">M18-N18</f>
        <v>231.65</v>
      </c>
      <c r="P18" s="7" t="n">
        <v>405</v>
      </c>
      <c r="Q18" s="7" t="n">
        <v>86</v>
      </c>
      <c r="R18" s="7" t="n">
        <f aca="false">SUM(O18:Q18)</f>
        <v>722.65</v>
      </c>
      <c r="S18" s="57"/>
      <c r="T18" s="7" t="n">
        <v>115</v>
      </c>
      <c r="U18" s="7" t="n">
        <v>807</v>
      </c>
      <c r="V18" s="8" t="n">
        <v>18477</v>
      </c>
      <c r="W18" s="7" t="n">
        <f aca="false">N18+R18+T18+U18</f>
        <v>1715</v>
      </c>
      <c r="X18" s="7" t="n">
        <f aca="false">IF(L18&lt;0,L18*-1,0)</f>
        <v>118.695966725485</v>
      </c>
      <c r="Y18" s="7" t="n">
        <f aca="false">W18+X18</f>
        <v>1833.69596672549</v>
      </c>
      <c r="Z18" s="11" t="n">
        <v>0</v>
      </c>
      <c r="AA18" s="12" t="n">
        <v>75</v>
      </c>
      <c r="AB18" s="12" t="n">
        <v>46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32" t="n">
        <v>6922.4</v>
      </c>
      <c r="C19" s="8" t="n">
        <v>374060</v>
      </c>
      <c r="D19" s="12" t="n">
        <f aca="false">C19-C18</f>
        <v>-1545</v>
      </c>
      <c r="E19" s="8" t="n">
        <f aca="false">C19-152000</f>
        <v>222060</v>
      </c>
      <c r="F19" s="7" t="n">
        <f aca="false">D19/$D$2</f>
        <v>-778.926140660449</v>
      </c>
      <c r="G19" s="7" t="n">
        <v>947</v>
      </c>
      <c r="H19" s="9" t="n">
        <v>1.5</v>
      </c>
      <c r="I19" s="7" t="n">
        <f aca="false">G19+H19</f>
        <v>948.5</v>
      </c>
      <c r="J19" s="105" t="n">
        <f aca="false">IF(L19&gt;0,L19,0)</f>
        <v>0</v>
      </c>
      <c r="K19" s="7" t="n">
        <f aca="false">I19+J19</f>
        <v>948.5</v>
      </c>
      <c r="L19" s="7" t="n">
        <f aca="false">F19-(I19-W19)</f>
        <v>-60.4261406604487</v>
      </c>
      <c r="M19" s="7" t="n">
        <v>272</v>
      </c>
      <c r="N19" s="7" t="n">
        <f aca="false">(31+31)*1.05</f>
        <v>65.1</v>
      </c>
      <c r="O19" s="7" t="n">
        <f aca="false">M19-N19</f>
        <v>206.9</v>
      </c>
      <c r="P19" s="7" t="n">
        <v>404</v>
      </c>
      <c r="Q19" s="7" t="n">
        <v>86</v>
      </c>
      <c r="R19" s="7" t="n">
        <f aca="false">SUM(O19:Q19)</f>
        <v>696.9</v>
      </c>
      <c r="S19" s="57"/>
      <c r="T19" s="7" t="n">
        <v>98</v>
      </c>
      <c r="U19" s="7" t="n">
        <v>807</v>
      </c>
      <c r="V19" s="8" t="n">
        <v>18477</v>
      </c>
      <c r="W19" s="7" t="n">
        <f aca="false">N19+R19+T19+U19</f>
        <v>1667</v>
      </c>
      <c r="X19" s="7" t="n">
        <f aca="false">IF(L19&lt;0,L19*-1,0)</f>
        <v>60.4261406604487</v>
      </c>
      <c r="Y19" s="7" t="n">
        <f aca="false">W19+X19</f>
        <v>1727.42614066045</v>
      </c>
      <c r="Z19" s="11" t="n">
        <v>0</v>
      </c>
      <c r="AA19" s="12" t="n">
        <v>72</v>
      </c>
      <c r="AB19" s="12" t="n">
        <v>46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32" t="n">
        <v>6922.12</v>
      </c>
      <c r="C20" s="8" t="n">
        <v>372823</v>
      </c>
      <c r="D20" s="12" t="n">
        <f aca="false">C20-C19</f>
        <v>-1237</v>
      </c>
      <c r="E20" s="8" t="n">
        <f aca="false">C20-152000</f>
        <v>220823</v>
      </c>
      <c r="F20" s="7" t="n">
        <f aca="false">D20/$D$2</f>
        <v>-623.645071842702</v>
      </c>
      <c r="G20" s="7" t="n">
        <v>873</v>
      </c>
      <c r="H20" s="9" t="n">
        <v>1.5</v>
      </c>
      <c r="I20" s="7" t="n">
        <f aca="false">G20+H20</f>
        <v>874.5</v>
      </c>
      <c r="J20" s="105" t="n">
        <f aca="false">IF(L20&gt;0,L20,0)</f>
        <v>44.8549281572978</v>
      </c>
      <c r="K20" s="7" t="n">
        <f aca="false">I20+J20</f>
        <v>919.354928157298</v>
      </c>
      <c r="L20" s="7" t="n">
        <f aca="false">F20-(I20-W20)</f>
        <v>44.8549281572978</v>
      </c>
      <c r="M20" s="7" t="n">
        <v>269</v>
      </c>
      <c r="N20" s="7" t="n">
        <f aca="false">(28+29)*1.05</f>
        <v>59.85</v>
      </c>
      <c r="O20" s="7" t="n">
        <f aca="false">M20-N20</f>
        <v>209.15</v>
      </c>
      <c r="P20" s="7" t="n">
        <v>273</v>
      </c>
      <c r="Q20" s="7" t="n">
        <v>88</v>
      </c>
      <c r="R20" s="7" t="n">
        <f aca="false">SUM(O20:Q20)</f>
        <v>570.15</v>
      </c>
      <c r="S20" s="57"/>
      <c r="T20" s="7" t="n">
        <v>106</v>
      </c>
      <c r="U20" s="7" t="n">
        <v>807</v>
      </c>
      <c r="V20" s="8" t="n">
        <v>18477</v>
      </c>
      <c r="W20" s="7" t="n">
        <f aca="false">N20+R20+T20+U20</f>
        <v>1543</v>
      </c>
      <c r="X20" s="7" t="n">
        <f aca="false">IF(L20&lt;0,L20*-1,0)</f>
        <v>0</v>
      </c>
      <c r="Y20" s="7" t="n">
        <f aca="false">W20+X20</f>
        <v>1543</v>
      </c>
      <c r="Z20" s="11" t="n">
        <v>0</v>
      </c>
      <c r="AA20" s="12" t="n">
        <v>73</v>
      </c>
      <c r="AB20" s="12" t="n">
        <v>43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32" t="n">
        <v>6921.9</v>
      </c>
      <c r="C21" s="8" t="n">
        <v>371856</v>
      </c>
      <c r="D21" s="12" t="n">
        <f aca="false">C21-C20</f>
        <v>-967</v>
      </c>
      <c r="E21" s="8" t="n">
        <f aca="false">C21-152000</f>
        <v>219856</v>
      </c>
      <c r="F21" s="7" t="n">
        <f aca="false">D21/$D$2</f>
        <v>-487.522056970002</v>
      </c>
      <c r="G21" s="7" t="n">
        <v>796</v>
      </c>
      <c r="H21" s="9" t="n">
        <v>1.3</v>
      </c>
      <c r="I21" s="7" t="n">
        <f aca="false">G21+H21</f>
        <v>797.3</v>
      </c>
      <c r="J21" s="105" t="n">
        <f aca="false">IF(L21&gt;0,L21,0)</f>
        <v>12.1779430299976</v>
      </c>
      <c r="K21" s="7" t="n">
        <f aca="false">I21+J21</f>
        <v>809.477943029997</v>
      </c>
      <c r="L21" s="7" t="n">
        <f aca="false">F21-(I21-W21)</f>
        <v>12.1779430299976</v>
      </c>
      <c r="M21" s="7" t="n">
        <v>266</v>
      </c>
      <c r="N21" s="7" t="n">
        <f aca="false">(29+29)*1.05</f>
        <v>60.9</v>
      </c>
      <c r="O21" s="7" t="n">
        <f aca="false">M21-N21</f>
        <v>205.1</v>
      </c>
      <c r="P21" s="7" t="n">
        <v>168</v>
      </c>
      <c r="Q21" s="7" t="n">
        <v>74</v>
      </c>
      <c r="R21" s="7" t="n">
        <f aca="false">SUM(O21:Q21)</f>
        <v>447.1</v>
      </c>
      <c r="S21" s="57"/>
      <c r="T21" s="7" t="n">
        <v>96</v>
      </c>
      <c r="U21" s="7" t="n">
        <v>693</v>
      </c>
      <c r="V21" s="8" t="n">
        <v>18477</v>
      </c>
      <c r="W21" s="7" t="n">
        <f aca="false">N21+R21+T21+U21</f>
        <v>1297</v>
      </c>
      <c r="X21" s="7" t="n">
        <f aca="false">IF(L21&lt;0,L21*-1,0)</f>
        <v>0</v>
      </c>
      <c r="Y21" s="7" t="n">
        <f aca="false">W21+X21</f>
        <v>1297</v>
      </c>
      <c r="Z21" s="11" t="n">
        <v>0</v>
      </c>
      <c r="AA21" s="12" t="n">
        <v>80</v>
      </c>
      <c r="AB21" s="12" t="n">
        <v>45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32" t="n">
        <v>6921.72</v>
      </c>
      <c r="C22" s="8" t="n">
        <v>371067</v>
      </c>
      <c r="D22" s="12" t="n">
        <f aca="false">C22-C21</f>
        <v>-789</v>
      </c>
      <c r="E22" s="8" t="n">
        <f aca="false">C22-152000</f>
        <v>219067</v>
      </c>
      <c r="F22" s="7" t="n">
        <f aca="false">D22/$D$2</f>
        <v>-397.781699016889</v>
      </c>
      <c r="G22" s="7" t="n">
        <v>892</v>
      </c>
      <c r="H22" s="9" t="n">
        <v>1.2</v>
      </c>
      <c r="I22" s="7" t="n">
        <f aca="false">G22+H22</f>
        <v>893.2</v>
      </c>
      <c r="J22" s="105" t="n">
        <f aca="false">IF(L22&gt;0,L22,0)</f>
        <v>0</v>
      </c>
      <c r="K22" s="7" t="n">
        <f aca="false">I22+J22</f>
        <v>893.2</v>
      </c>
      <c r="L22" s="7" t="n">
        <f aca="false">F22-(I22-W22)</f>
        <v>-76.9816990168894</v>
      </c>
      <c r="M22" s="7" t="n">
        <v>258</v>
      </c>
      <c r="N22" s="7" t="n">
        <f aca="false">(24+25)*1.05</f>
        <v>51.45</v>
      </c>
      <c r="O22" s="7" t="n">
        <f aca="false">M22-N22</f>
        <v>206.55</v>
      </c>
      <c r="P22" s="7" t="n">
        <v>168</v>
      </c>
      <c r="Q22" s="7" t="n">
        <v>86</v>
      </c>
      <c r="R22" s="7" t="n">
        <f aca="false">SUM(O22:Q22)</f>
        <v>460.55</v>
      </c>
      <c r="S22" s="57"/>
      <c r="T22" s="7" t="n">
        <v>96</v>
      </c>
      <c r="U22" s="7" t="n">
        <v>606</v>
      </c>
      <c r="V22" s="8" t="n">
        <v>18477</v>
      </c>
      <c r="W22" s="7" t="n">
        <f aca="false">N22+R22+T22+U22</f>
        <v>1214</v>
      </c>
      <c r="X22" s="7" t="n">
        <f aca="false">IF(L22&lt;0,L22*-1,0)</f>
        <v>76.9816990168894</v>
      </c>
      <c r="Y22" s="7" t="n">
        <f aca="false">W22+X22</f>
        <v>1290.98169901689</v>
      </c>
      <c r="Z22" s="11" t="n">
        <v>0</v>
      </c>
      <c r="AA22" s="12" t="n">
        <v>70</v>
      </c>
      <c r="AB22" s="12" t="n">
        <v>51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32" t="n">
        <v>6921.65</v>
      </c>
      <c r="C23" s="8" t="n">
        <v>370761</v>
      </c>
      <c r="D23" s="12" t="n">
        <f aca="false">C23-C22</f>
        <v>-306</v>
      </c>
      <c r="E23" s="8" t="n">
        <f aca="false">C23-152000</f>
        <v>218761</v>
      </c>
      <c r="F23" s="7" t="n">
        <f aca="false">D23/$D$2</f>
        <v>-154.27275018906</v>
      </c>
      <c r="G23" s="7" t="n">
        <v>912</v>
      </c>
      <c r="H23" s="9" t="n">
        <v>1.1</v>
      </c>
      <c r="I23" s="7" t="n">
        <f aca="false">G23+H23</f>
        <v>913.1</v>
      </c>
      <c r="J23" s="105" t="n">
        <f aca="false">IF(L23&gt;0,L23,0)</f>
        <v>0</v>
      </c>
      <c r="K23" s="7" t="n">
        <f aca="false">I23+J23</f>
        <v>913.1</v>
      </c>
      <c r="L23" s="7" t="n">
        <f aca="false">F23-(I23-W23)</f>
        <v>-6.37275018905976</v>
      </c>
      <c r="M23" s="7" t="n">
        <v>250</v>
      </c>
      <c r="N23" s="7" t="n">
        <f aca="false">(23+21)*1.05</f>
        <v>46.2</v>
      </c>
      <c r="O23" s="7" t="n">
        <f aca="false">M23-N23</f>
        <v>203.8</v>
      </c>
      <c r="P23" s="7" t="n">
        <v>168</v>
      </c>
      <c r="Q23" s="7" t="n">
        <v>86</v>
      </c>
      <c r="R23" s="7" t="n">
        <f aca="false">SUM(O23:Q23)</f>
        <v>457.8</v>
      </c>
      <c r="S23" s="57"/>
      <c r="T23" s="7" t="n">
        <v>96</v>
      </c>
      <c r="U23" s="7" t="n">
        <v>461</v>
      </c>
      <c r="V23" s="8" t="n">
        <v>18477</v>
      </c>
      <c r="W23" s="7" t="n">
        <f aca="false">N23+R23+T23+U23</f>
        <v>1061</v>
      </c>
      <c r="X23" s="7" t="n">
        <f aca="false">IF(L23&lt;0,L23*-1,0)</f>
        <v>6.37275018905976</v>
      </c>
      <c r="Y23" s="7" t="n">
        <f aca="false">W23+X23</f>
        <v>1067.37275018906</v>
      </c>
      <c r="Z23" s="11" t="n">
        <v>0</v>
      </c>
      <c r="AA23" s="12" t="n">
        <v>75</v>
      </c>
      <c r="AB23" s="12" t="n">
        <v>45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32" t="n">
        <v>6921.55</v>
      </c>
      <c r="C24" s="8" t="n">
        <v>370323</v>
      </c>
      <c r="D24" s="12" t="n">
        <f aca="false">C24-C23</f>
        <v>-438</v>
      </c>
      <c r="E24" s="8" t="n">
        <f aca="false">C24-152000</f>
        <v>218323</v>
      </c>
      <c r="F24" s="7" t="n">
        <f aca="false">D24/$D$2</f>
        <v>-220.82177968238</v>
      </c>
      <c r="G24" s="7" t="n">
        <v>907</v>
      </c>
      <c r="H24" s="9" t="n">
        <v>1.1</v>
      </c>
      <c r="I24" s="7" t="n">
        <f aca="false">G24+H24</f>
        <v>908.1</v>
      </c>
      <c r="J24" s="105" t="n">
        <f aca="false">IF(L24&gt;0,L24,0)</f>
        <v>0</v>
      </c>
      <c r="K24" s="7" t="n">
        <f aca="false">I24+J24</f>
        <v>908.1</v>
      </c>
      <c r="L24" s="7" t="n">
        <f aca="false">F24-(I24-W24)</f>
        <v>-110.92177968238</v>
      </c>
      <c r="M24" s="7" t="n">
        <v>261</v>
      </c>
      <c r="N24" s="7" t="n">
        <f aca="false">(25+25)*1.05</f>
        <v>52.5</v>
      </c>
      <c r="O24" s="7" t="n">
        <f aca="false">M24-N24</f>
        <v>208.5</v>
      </c>
      <c r="P24" s="7" t="n">
        <v>168</v>
      </c>
      <c r="Q24" s="7" t="n">
        <v>81</v>
      </c>
      <c r="R24" s="7" t="n">
        <f aca="false">SUM(O24:Q24)</f>
        <v>457.5</v>
      </c>
      <c r="S24" s="57"/>
      <c r="T24" s="7" t="n">
        <v>113</v>
      </c>
      <c r="U24" s="7" t="n">
        <v>395</v>
      </c>
      <c r="V24" s="8" t="n">
        <v>18477</v>
      </c>
      <c r="W24" s="7" t="n">
        <f aca="false">N24+R24+T24+U24</f>
        <v>1018</v>
      </c>
      <c r="X24" s="7" t="n">
        <f aca="false">IF(L24&lt;0,L24*-1,0)</f>
        <v>110.92177968238</v>
      </c>
      <c r="Y24" s="7" t="n">
        <f aca="false">W24+X24</f>
        <v>1128.92177968238</v>
      </c>
      <c r="Z24" s="11" t="n">
        <v>0</v>
      </c>
      <c r="AA24" s="12" t="n">
        <v>76</v>
      </c>
      <c r="AB24" s="12" t="n">
        <v>40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32" t="n">
        <v>6921.55</v>
      </c>
      <c r="C25" s="8" t="n">
        <v>370323</v>
      </c>
      <c r="D25" s="12" t="n">
        <f aca="false">C25-C24</f>
        <v>0</v>
      </c>
      <c r="E25" s="8" t="n">
        <f aca="false">C25-152000</f>
        <v>218323</v>
      </c>
      <c r="F25" s="7" t="n">
        <f aca="false">D25/$D$2</f>
        <v>0</v>
      </c>
      <c r="G25" s="7" t="n">
        <v>919</v>
      </c>
      <c r="H25" s="9" t="n">
        <v>1</v>
      </c>
      <c r="I25" s="7" t="n">
        <f aca="false">G25+H25</f>
        <v>920</v>
      </c>
      <c r="J25" s="105" t="n">
        <f aca="false">IF(L25&gt;0,L25,0)</f>
        <v>0</v>
      </c>
      <c r="K25" s="7" t="n">
        <f aca="false">I25+J25</f>
        <v>920</v>
      </c>
      <c r="L25" s="7" t="n">
        <f aca="false">F25-(I25-W25)</f>
        <v>-80</v>
      </c>
      <c r="M25" s="7" t="n">
        <v>270</v>
      </c>
      <c r="N25" s="7" t="n">
        <f aca="false">(28+29)*1.05</f>
        <v>59.85</v>
      </c>
      <c r="O25" s="7" t="n">
        <f aca="false">M25-N25</f>
        <v>210.15</v>
      </c>
      <c r="P25" s="7" t="n">
        <v>169</v>
      </c>
      <c r="Q25" s="7" t="n">
        <v>53</v>
      </c>
      <c r="R25" s="7" t="n">
        <f aca="false">SUM(O25:Q25)</f>
        <v>432.15</v>
      </c>
      <c r="S25" s="57"/>
      <c r="T25" s="7" t="n">
        <v>69</v>
      </c>
      <c r="U25" s="7" t="n">
        <v>279</v>
      </c>
      <c r="V25" s="8" t="n">
        <v>18477</v>
      </c>
      <c r="W25" s="7" t="n">
        <f aca="false">N25+R25+T25+U25</f>
        <v>840</v>
      </c>
      <c r="X25" s="7" t="n">
        <f aca="false">IF(L25&lt;0,L25*-1,0)</f>
        <v>80</v>
      </c>
      <c r="Y25" s="7" t="n">
        <f aca="false">W25+X25</f>
        <v>920</v>
      </c>
      <c r="Z25" s="11" t="n">
        <v>0.03</v>
      </c>
      <c r="AA25" s="12" t="n">
        <v>83</v>
      </c>
      <c r="AB25" s="12" t="n">
        <v>46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32" t="n">
        <v>6921.6</v>
      </c>
      <c r="C26" s="8" t="n">
        <v>370542</v>
      </c>
      <c r="D26" s="12" t="n">
        <f aca="false">C26-C25</f>
        <v>219</v>
      </c>
      <c r="E26" s="8" t="n">
        <f aca="false">C26-152000</f>
        <v>218542</v>
      </c>
      <c r="F26" s="7" t="n">
        <f aca="false">D26/$D$2</f>
        <v>110.41088984119</v>
      </c>
      <c r="G26" s="7" t="n">
        <v>924</v>
      </c>
      <c r="H26" s="9" t="n">
        <v>1</v>
      </c>
      <c r="I26" s="7" t="n">
        <f aca="false">G26+H26</f>
        <v>925</v>
      </c>
      <c r="J26" s="105" t="n">
        <f aca="false">IF(L26&gt;0,L26,0)</f>
        <v>11.4108898411898</v>
      </c>
      <c r="K26" s="7" t="n">
        <f aca="false">I26+J26</f>
        <v>936.41088984119</v>
      </c>
      <c r="L26" s="7" t="n">
        <f aca="false">F26-(I26-W26)</f>
        <v>11.4108898411898</v>
      </c>
      <c r="M26" s="7" t="n">
        <v>269</v>
      </c>
      <c r="N26" s="7" t="n">
        <f aca="false">(33+33)*1.05</f>
        <v>69.3</v>
      </c>
      <c r="O26" s="7" t="n">
        <f aca="false">M26-N26</f>
        <v>199.7</v>
      </c>
      <c r="P26" s="7" t="n">
        <v>169</v>
      </c>
      <c r="Q26" s="7" t="n">
        <v>70</v>
      </c>
      <c r="R26" s="7" t="n">
        <f aca="false">SUM(O26:Q26)</f>
        <v>438.7</v>
      </c>
      <c r="S26" s="57"/>
      <c r="T26" s="7" t="n">
        <v>98</v>
      </c>
      <c r="U26" s="7" t="n">
        <v>220</v>
      </c>
      <c r="V26" s="8" t="n">
        <v>18477</v>
      </c>
      <c r="W26" s="7" t="n">
        <f aca="false">N26+R26+T26+U26</f>
        <v>826</v>
      </c>
      <c r="X26" s="7" t="n">
        <f aca="false">IF(L26&lt;0,L26*-1,0)</f>
        <v>0</v>
      </c>
      <c r="Y26" s="7" t="n">
        <f aca="false">W26+X26</f>
        <v>826</v>
      </c>
      <c r="Z26" s="11" t="n">
        <v>0</v>
      </c>
      <c r="AA26" s="12" t="n">
        <v>65</v>
      </c>
      <c r="AB26" s="12" t="n">
        <v>40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32" t="n">
        <v>6921.6</v>
      </c>
      <c r="C27" s="8" t="n">
        <v>370542</v>
      </c>
      <c r="D27" s="12" t="n">
        <f aca="false">C27-C26</f>
        <v>0</v>
      </c>
      <c r="E27" s="8" t="n">
        <f aca="false">C27-152000</f>
        <v>218542</v>
      </c>
      <c r="F27" s="7" t="n">
        <f aca="false">D27/$D$2</f>
        <v>0</v>
      </c>
      <c r="G27" s="7" t="n">
        <v>806</v>
      </c>
      <c r="H27" s="9" t="n">
        <v>0</v>
      </c>
      <c r="I27" s="7" t="n">
        <f aca="false">G27+H27</f>
        <v>806</v>
      </c>
      <c r="J27" s="105" t="n">
        <f aca="false">IF(L27&gt;0,L27,0)</f>
        <v>0</v>
      </c>
      <c r="K27" s="7" t="n">
        <f aca="false">I27+J27</f>
        <v>806</v>
      </c>
      <c r="L27" s="7" t="n">
        <f aca="false">F27-(I27-W27)</f>
        <v>-7</v>
      </c>
      <c r="M27" s="7" t="n">
        <v>256</v>
      </c>
      <c r="N27" s="7" t="n">
        <f aca="false">(22+22)*1.05</f>
        <v>46.2</v>
      </c>
      <c r="O27" s="7" t="n">
        <f aca="false">M27-N27</f>
        <v>209.8</v>
      </c>
      <c r="P27" s="7" t="n">
        <v>168</v>
      </c>
      <c r="Q27" s="7" t="n">
        <v>69</v>
      </c>
      <c r="R27" s="7" t="n">
        <f aca="false">SUM(O27:Q27)</f>
        <v>446.8</v>
      </c>
      <c r="S27" s="57" t="n">
        <v>0</v>
      </c>
      <c r="T27" s="7" t="n">
        <v>131</v>
      </c>
      <c r="U27" s="7" t="n">
        <v>175</v>
      </c>
      <c r="V27" s="8" t="n">
        <f aca="false">18477-120</f>
        <v>18357</v>
      </c>
      <c r="W27" s="7" t="n">
        <f aca="false">N27+R27+T27+U27</f>
        <v>799</v>
      </c>
      <c r="X27" s="7" t="n">
        <f aca="false">IF(L27&lt;0,L27*-1,0)</f>
        <v>7</v>
      </c>
      <c r="Y27" s="7" t="n">
        <f aca="false">W27+X27</f>
        <v>806</v>
      </c>
      <c r="Z27" s="11" t="n">
        <v>0</v>
      </c>
      <c r="AA27" s="12" t="n">
        <v>76</v>
      </c>
      <c r="AB27" s="12" t="n">
        <v>40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32" t="n">
        <v>6921.59</v>
      </c>
      <c r="C28" s="8" t="n">
        <v>370498</v>
      </c>
      <c r="D28" s="12" t="n">
        <f aca="false">C28-C27</f>
        <v>-44</v>
      </c>
      <c r="E28" s="8" t="n">
        <f aca="false">C28-152000</f>
        <v>218498</v>
      </c>
      <c r="F28" s="7" t="n">
        <f aca="false">D28/$D$2</f>
        <v>-22.1830098311066</v>
      </c>
      <c r="G28" s="7" t="n">
        <v>799</v>
      </c>
      <c r="H28" s="9" t="n">
        <v>0</v>
      </c>
      <c r="I28" s="7" t="n">
        <f aca="false">G28+H28</f>
        <v>799</v>
      </c>
      <c r="J28" s="105" t="n">
        <f aca="false">IF(L28&gt;0,L28,0)</f>
        <v>0</v>
      </c>
      <c r="K28" s="7" t="n">
        <f aca="false">I28+J28</f>
        <v>799</v>
      </c>
      <c r="L28" s="7" t="n">
        <f aca="false">F28-(I28-W28)</f>
        <v>-33.1830098311066</v>
      </c>
      <c r="M28" s="7" t="n">
        <v>285</v>
      </c>
      <c r="N28" s="7" t="n">
        <f aca="false">(32+34)*1.05</f>
        <v>69.3</v>
      </c>
      <c r="O28" s="7" t="n">
        <f aca="false">M28-N28</f>
        <v>215.7</v>
      </c>
      <c r="P28" s="7" t="n">
        <v>168</v>
      </c>
      <c r="Q28" s="7" t="n">
        <v>69</v>
      </c>
      <c r="R28" s="7" t="n">
        <f aca="false">SUM(O28:Q28)</f>
        <v>452.7</v>
      </c>
      <c r="S28" s="57" t="n">
        <v>0</v>
      </c>
      <c r="T28" s="7" t="n">
        <v>146</v>
      </c>
      <c r="U28" s="7" t="n">
        <v>120</v>
      </c>
      <c r="V28" s="8" t="n">
        <f aca="false">V27-U28</f>
        <v>18237</v>
      </c>
      <c r="W28" s="7" t="n">
        <f aca="false">N28+R28+T28+U28</f>
        <v>788</v>
      </c>
      <c r="X28" s="7" t="n">
        <f aca="false">IF(L28&lt;0,L28*-1,0)</f>
        <v>33.1830098311066</v>
      </c>
      <c r="Y28" s="7" t="n">
        <f aca="false">W28+X28</f>
        <v>821.183009831107</v>
      </c>
      <c r="Z28" s="11" t="n">
        <v>0</v>
      </c>
      <c r="AA28" s="12" t="n">
        <v>86</v>
      </c>
      <c r="AB28" s="12" t="n">
        <v>48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32" t="n">
        <v>6921.59</v>
      </c>
      <c r="C29" s="8" t="n">
        <v>370498</v>
      </c>
      <c r="D29" s="12" t="n">
        <f aca="false">C29-C28</f>
        <v>0</v>
      </c>
      <c r="E29" s="8" t="n">
        <f aca="false">C29-152000</f>
        <v>218498</v>
      </c>
      <c r="F29" s="7" t="n">
        <f aca="false">D29/$D$2</f>
        <v>0</v>
      </c>
      <c r="G29" s="7" t="n">
        <v>861</v>
      </c>
      <c r="H29" s="9" t="n">
        <v>0</v>
      </c>
      <c r="I29" s="7" t="n">
        <f aca="false">G29+H29</f>
        <v>861</v>
      </c>
      <c r="J29" s="105" t="n">
        <f aca="false">IF(L29&gt;0,L29,0)</f>
        <v>0</v>
      </c>
      <c r="K29" s="7" t="n">
        <f aca="false">I29+J29</f>
        <v>861</v>
      </c>
      <c r="L29" s="7" t="n">
        <f aca="false">F29-(I29-W29)</f>
        <v>-83</v>
      </c>
      <c r="M29" s="7" t="n">
        <v>265</v>
      </c>
      <c r="N29" s="125" t="n">
        <f aca="false">(26+27)*1.05</f>
        <v>55.65</v>
      </c>
      <c r="O29" s="7" t="n">
        <f aca="false">M29-N29</f>
        <v>209.35</v>
      </c>
      <c r="P29" s="7" t="n">
        <v>169</v>
      </c>
      <c r="Q29" s="7" t="n">
        <v>69</v>
      </c>
      <c r="R29" s="7" t="n">
        <f aca="false">SUM(O29:Q29)</f>
        <v>447.35</v>
      </c>
      <c r="S29" s="57" t="n">
        <v>0</v>
      </c>
      <c r="T29" s="7" t="n">
        <v>157</v>
      </c>
      <c r="U29" s="7" t="n">
        <v>118</v>
      </c>
      <c r="V29" s="8" t="n">
        <f aca="false">V28-U29</f>
        <v>18119</v>
      </c>
      <c r="W29" s="7" t="n">
        <f aca="false">N29+R29+T29+U29</f>
        <v>778</v>
      </c>
      <c r="X29" s="7" t="n">
        <f aca="false">IF(L29&lt;0,L29*-1,0)</f>
        <v>83</v>
      </c>
      <c r="Y29" s="7" t="n">
        <f aca="false">W29+X29</f>
        <v>861</v>
      </c>
      <c r="Z29" s="11" t="n">
        <v>0</v>
      </c>
      <c r="AA29" s="12" t="n">
        <v>84</v>
      </c>
      <c r="AB29" s="12" t="n">
        <v>51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32" t="n">
        <v>6921.58</v>
      </c>
      <c r="C30" s="8" t="n">
        <v>370454</v>
      </c>
      <c r="D30" s="12" t="n">
        <f aca="false">C30-C29</f>
        <v>-44</v>
      </c>
      <c r="E30" s="8" t="n">
        <f aca="false">C30-152000</f>
        <v>218454</v>
      </c>
      <c r="F30" s="7" t="n">
        <f aca="false">D30/$D$2</f>
        <v>-22.1830098311066</v>
      </c>
      <c r="G30" s="7" t="n">
        <v>835</v>
      </c>
      <c r="H30" s="9" t="n">
        <v>0</v>
      </c>
      <c r="I30" s="7" t="n">
        <f aca="false">G30+H30</f>
        <v>835</v>
      </c>
      <c r="J30" s="105" t="n">
        <f aca="false">IF(L30&gt;0,L30,0)</f>
        <v>0</v>
      </c>
      <c r="K30" s="7" t="n">
        <f aca="false">I30+J30</f>
        <v>835</v>
      </c>
      <c r="L30" s="7" t="n">
        <f aca="false">F30-(I30-W30)</f>
        <v>-54.1830098311066</v>
      </c>
      <c r="M30" s="7" t="n">
        <v>286</v>
      </c>
      <c r="N30" s="7" t="n">
        <f aca="false">(28+29)*1.05</f>
        <v>59.85</v>
      </c>
      <c r="O30" s="7" t="n">
        <f aca="false">M30-N30</f>
        <v>226.15</v>
      </c>
      <c r="P30" s="7" t="n">
        <v>168</v>
      </c>
      <c r="Q30" s="7" t="n">
        <v>69</v>
      </c>
      <c r="R30" s="7" t="n">
        <f aca="false">SUM(O30:Q30)</f>
        <v>463.15</v>
      </c>
      <c r="S30" s="57" t="n">
        <v>0</v>
      </c>
      <c r="T30" s="7" t="n">
        <v>162</v>
      </c>
      <c r="U30" s="7" t="n">
        <v>118</v>
      </c>
      <c r="V30" s="8" t="n">
        <f aca="false">V29-U30</f>
        <v>18001</v>
      </c>
      <c r="W30" s="7" t="n">
        <f aca="false">N30+R30+T30+U30</f>
        <v>803</v>
      </c>
      <c r="X30" s="7" t="n">
        <f aca="false">IF(L30&lt;0,L30*-1,0)</f>
        <v>54.1830098311066</v>
      </c>
      <c r="Y30" s="7" t="n">
        <f aca="false">W30+X30</f>
        <v>857.183009831107</v>
      </c>
      <c r="Z30" s="11" t="n">
        <v>0</v>
      </c>
      <c r="AA30" s="12" t="n">
        <v>85</v>
      </c>
      <c r="AB30" s="12" t="n">
        <v>52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32" t="n">
        <v>6921.58</v>
      </c>
      <c r="C31" s="8" t="n">
        <v>370454</v>
      </c>
      <c r="D31" s="12" t="n">
        <f aca="false">C31-C30</f>
        <v>0</v>
      </c>
      <c r="E31" s="8" t="n">
        <f aca="false">C31-152000</f>
        <v>218454</v>
      </c>
      <c r="F31" s="7" t="n">
        <f aca="false">D31/$D$2</f>
        <v>0</v>
      </c>
      <c r="G31" s="7" t="n">
        <v>835</v>
      </c>
      <c r="H31" s="9" t="n">
        <v>0</v>
      </c>
      <c r="I31" s="7" t="n">
        <f aca="false">G31+H31</f>
        <v>835</v>
      </c>
      <c r="J31" s="105" t="n">
        <f aca="false">IF(L31&gt;0,L31,0)</f>
        <v>0</v>
      </c>
      <c r="K31" s="7" t="n">
        <f aca="false">I31+J31</f>
        <v>835</v>
      </c>
      <c r="L31" s="7" t="n">
        <f aca="false">F31-(I31-W31)</f>
        <v>-18</v>
      </c>
      <c r="M31" s="7" t="n">
        <v>273</v>
      </c>
      <c r="N31" s="7" t="n">
        <f aca="false">(31+31)*1.05</f>
        <v>65.1</v>
      </c>
      <c r="O31" s="7" t="n">
        <f aca="false">M31-N31</f>
        <v>207.9</v>
      </c>
      <c r="P31" s="7" t="n">
        <v>168</v>
      </c>
      <c r="Q31" s="7" t="n">
        <v>69</v>
      </c>
      <c r="R31" s="7" t="n">
        <f aca="false">SUM(O31:Q31)</f>
        <v>444.9</v>
      </c>
      <c r="S31" s="57" t="n">
        <v>0</v>
      </c>
      <c r="T31" s="7" t="n">
        <v>189</v>
      </c>
      <c r="U31" s="7" t="n">
        <v>118</v>
      </c>
      <c r="V31" s="8" t="n">
        <f aca="false">V30-U31</f>
        <v>17883</v>
      </c>
      <c r="W31" s="7" t="n">
        <f aca="false">N31+R31+T31+U31</f>
        <v>817</v>
      </c>
      <c r="X31" s="7" t="n">
        <f aca="false">IF(L31&lt;0,L31*-1,0)</f>
        <v>18</v>
      </c>
      <c r="Y31" s="7" t="n">
        <f aca="false">W31+X31</f>
        <v>835</v>
      </c>
      <c r="Z31" s="11" t="n">
        <v>0</v>
      </c>
      <c r="AA31" s="12" t="n">
        <v>86</v>
      </c>
      <c r="AB31" s="12" t="n">
        <v>48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32" t="n">
        <v>6921.58</v>
      </c>
      <c r="C32" s="8" t="n">
        <v>370454</v>
      </c>
      <c r="D32" s="12" t="n">
        <f aca="false">C32-C31</f>
        <v>0</v>
      </c>
      <c r="E32" s="8" t="n">
        <f aca="false">C32-152000</f>
        <v>218454</v>
      </c>
      <c r="F32" s="7" t="n">
        <f aca="false">D32/$D$2</f>
        <v>0</v>
      </c>
      <c r="G32" s="7" t="n">
        <v>809</v>
      </c>
      <c r="H32" s="9" t="n">
        <v>0</v>
      </c>
      <c r="I32" s="7" t="n">
        <f aca="false">G32+H32</f>
        <v>809</v>
      </c>
      <c r="J32" s="105" t="n">
        <f aca="false">IF(L32&gt;0,L32,0)</f>
        <v>53</v>
      </c>
      <c r="K32" s="7" t="n">
        <f aca="false">I32+J32</f>
        <v>862</v>
      </c>
      <c r="L32" s="7" t="n">
        <f aca="false">F32-(I32-W32)</f>
        <v>53</v>
      </c>
      <c r="M32" s="7" t="n">
        <v>296</v>
      </c>
      <c r="N32" s="7" t="n">
        <f aca="false">(36+37)*1.05</f>
        <v>76.65</v>
      </c>
      <c r="O32" s="7" t="n">
        <f aca="false">M32-N32</f>
        <v>219.35</v>
      </c>
      <c r="P32" s="7" t="n">
        <v>167</v>
      </c>
      <c r="Q32" s="7" t="n">
        <v>69</v>
      </c>
      <c r="R32" s="7" t="n">
        <f aca="false">SUM(O32:Q32)</f>
        <v>455.35</v>
      </c>
      <c r="S32" s="57" t="n">
        <v>0</v>
      </c>
      <c r="T32" s="7" t="n">
        <v>211</v>
      </c>
      <c r="U32" s="7" t="n">
        <v>119</v>
      </c>
      <c r="V32" s="8" t="n">
        <f aca="false">V31-U32</f>
        <v>17764</v>
      </c>
      <c r="W32" s="7" t="n">
        <f aca="false">N32+R32+T32+U32</f>
        <v>862</v>
      </c>
      <c r="X32" s="7" t="n">
        <f aca="false">IF(L32&lt;0,L32*-1,0)</f>
        <v>0</v>
      </c>
      <c r="Y32" s="7" t="n">
        <f aca="false">W32+X32</f>
        <v>862</v>
      </c>
      <c r="Z32" s="11" t="n">
        <v>0</v>
      </c>
      <c r="AA32" s="12" t="n">
        <v>86</v>
      </c>
      <c r="AB32" s="12" t="n">
        <v>48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32" t="n">
        <v>6921.43</v>
      </c>
      <c r="C33" s="8" t="n">
        <v>369798</v>
      </c>
      <c r="D33" s="12" t="n">
        <f aca="false">C33-C32</f>
        <v>-656</v>
      </c>
      <c r="E33" s="8" t="n">
        <f aca="false">C33-152000</f>
        <v>217798</v>
      </c>
      <c r="F33" s="7" t="n">
        <f aca="false">D33/$D$2</f>
        <v>-330.728510209226</v>
      </c>
      <c r="G33" s="7" t="n">
        <v>749</v>
      </c>
      <c r="H33" s="9" t="n">
        <v>0</v>
      </c>
      <c r="I33" s="7" t="n">
        <f aca="false">G33+H33</f>
        <v>749</v>
      </c>
      <c r="J33" s="105" t="n">
        <f aca="false">IF(L33&gt;0,L33,0)</f>
        <v>0</v>
      </c>
      <c r="K33" s="7" t="n">
        <f aca="false">I33+J33</f>
        <v>749</v>
      </c>
      <c r="L33" s="7" t="n">
        <f aca="false">F33-(I33-W33)</f>
        <v>-200.728510209226</v>
      </c>
      <c r="M33" s="7" t="n">
        <v>313</v>
      </c>
      <c r="N33" s="7" t="n">
        <f aca="false">(41+40)*1.05</f>
        <v>85.05</v>
      </c>
      <c r="O33" s="7" t="n">
        <f aca="false">M33-N33</f>
        <v>227.95</v>
      </c>
      <c r="P33" s="7" t="n">
        <v>168</v>
      </c>
      <c r="Q33" s="7" t="n">
        <v>72</v>
      </c>
      <c r="R33" s="7" t="n">
        <f aca="false">SUM(O33:Q33)</f>
        <v>467.95</v>
      </c>
      <c r="S33" s="57" t="n">
        <v>0</v>
      </c>
      <c r="T33" s="7" t="n">
        <v>206</v>
      </c>
      <c r="U33" s="7" t="n">
        <v>120</v>
      </c>
      <c r="V33" s="8" t="n">
        <f aca="false">V32-U33</f>
        <v>17644</v>
      </c>
      <c r="W33" s="7" t="n">
        <f aca="false">N33+R33+T33+U33</f>
        <v>879</v>
      </c>
      <c r="X33" s="7" t="n">
        <f aca="false">IF(L33&lt;0,L33*-1,0)</f>
        <v>200.728510209226</v>
      </c>
      <c r="Y33" s="7" t="n">
        <f aca="false">W33+X33</f>
        <v>1079.72851020923</v>
      </c>
      <c r="Z33" s="11" t="n">
        <v>0</v>
      </c>
      <c r="AA33" s="12" t="n">
        <v>85</v>
      </c>
      <c r="AB33" s="12" t="n">
        <v>49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32" t="n">
        <v>6921.28</v>
      </c>
      <c r="C34" s="8" t="n">
        <v>369141</v>
      </c>
      <c r="D34" s="12" t="n">
        <f aca="false">C34-C33</f>
        <v>-657</v>
      </c>
      <c r="E34" s="8" t="n">
        <f aca="false">C34-152000</f>
        <v>217141</v>
      </c>
      <c r="F34" s="7" t="n">
        <f aca="false">D34/$D$2</f>
        <v>-331.232669523569</v>
      </c>
      <c r="G34" s="7" t="n">
        <v>673</v>
      </c>
      <c r="H34" s="9" t="n">
        <v>0</v>
      </c>
      <c r="I34" s="7" t="n">
        <f aca="false">G34+H34</f>
        <v>673</v>
      </c>
      <c r="J34" s="105" t="n">
        <f aca="false">IF(L34&gt;0,L34,0)</f>
        <v>0</v>
      </c>
      <c r="K34" s="7" t="n">
        <f aca="false">I34+J34</f>
        <v>673</v>
      </c>
      <c r="L34" s="7" t="n">
        <f aca="false">F34-(I34-W34)</f>
        <v>-83.2326695235694</v>
      </c>
      <c r="M34" s="7" t="n">
        <v>319</v>
      </c>
      <c r="N34" s="7" t="n">
        <f aca="false">(39+39)*1.05</f>
        <v>81.9</v>
      </c>
      <c r="O34" s="7" t="n">
        <f aca="false">M34-N34</f>
        <v>237.1</v>
      </c>
      <c r="P34" s="7" t="n">
        <v>167</v>
      </c>
      <c r="Q34" s="7" t="n">
        <v>75</v>
      </c>
      <c r="R34" s="7" t="n">
        <f aca="false">SUM(O34:Q34)</f>
        <v>479.1</v>
      </c>
      <c r="S34" s="57" t="n">
        <v>0</v>
      </c>
      <c r="T34" s="7" t="n">
        <v>240</v>
      </c>
      <c r="U34" s="7" t="n">
        <v>120</v>
      </c>
      <c r="V34" s="8" t="n">
        <f aca="false">V33-U34</f>
        <v>17524</v>
      </c>
      <c r="W34" s="7" t="n">
        <f aca="false">N34+R34+T34+U34</f>
        <v>921</v>
      </c>
      <c r="X34" s="7" t="n">
        <f aca="false">IF(L34&lt;0,L34*-1,0)</f>
        <v>83.2326695235694</v>
      </c>
      <c r="Y34" s="7" t="n">
        <f aca="false">W34+X34</f>
        <v>1004.23266952357</v>
      </c>
      <c r="Z34" s="11" t="n">
        <v>0</v>
      </c>
      <c r="AA34" s="12" t="n">
        <v>89</v>
      </c>
      <c r="AB34" s="12" t="n">
        <v>50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32" t="n">
        <v>6921.14</v>
      </c>
      <c r="C35" s="8" t="n">
        <v>368528</v>
      </c>
      <c r="D35" s="12" t="n">
        <f aca="false">C35-C34</f>
        <v>-613</v>
      </c>
      <c r="E35" s="8" t="n">
        <f aca="false">C35-152000</f>
        <v>216528</v>
      </c>
      <c r="F35" s="7" t="n">
        <f aca="false">D35/$D$2</f>
        <v>-309.049659692463</v>
      </c>
      <c r="G35" s="7" t="n">
        <v>634</v>
      </c>
      <c r="H35" s="9" t="n">
        <v>0</v>
      </c>
      <c r="I35" s="7" t="n">
        <f aca="false">G35+H35</f>
        <v>634</v>
      </c>
      <c r="J35" s="105" t="n">
        <f aca="false">IF(L35&gt;0,L35,0)</f>
        <v>0</v>
      </c>
      <c r="K35" s="7" t="n">
        <f aca="false">I35+J35</f>
        <v>634</v>
      </c>
      <c r="L35" s="7" t="n">
        <f aca="false">F35-(I35-W35)</f>
        <v>-8.0496596924628</v>
      </c>
      <c r="M35" s="7" t="n">
        <v>318</v>
      </c>
      <c r="N35" s="126" t="n">
        <f aca="false">(39+38)*1.05</f>
        <v>80.85</v>
      </c>
      <c r="O35" s="7" t="n">
        <f aca="false">M35-N35</f>
        <v>237.15</v>
      </c>
      <c r="P35" s="7" t="n">
        <v>168</v>
      </c>
      <c r="Q35" s="7" t="n">
        <v>76</v>
      </c>
      <c r="R35" s="7" t="n">
        <f aca="false">SUM(O35:Q35)</f>
        <v>481.15</v>
      </c>
      <c r="S35" s="57" t="n">
        <v>0</v>
      </c>
      <c r="T35" s="127" t="n">
        <v>252</v>
      </c>
      <c r="U35" s="7" t="n">
        <v>121</v>
      </c>
      <c r="V35" s="8" t="n">
        <f aca="false">V34-U35</f>
        <v>17403</v>
      </c>
      <c r="W35" s="7" t="n">
        <f aca="false">N35+R35+T35+U35</f>
        <v>935</v>
      </c>
      <c r="X35" s="7" t="n">
        <f aca="false">IF(L35&lt;0,L35*-1,0)</f>
        <v>8.0496596924628</v>
      </c>
      <c r="Y35" s="7" t="n">
        <f aca="false">W35+X35</f>
        <v>943.049659692463</v>
      </c>
      <c r="Z35" s="11" t="n">
        <v>0</v>
      </c>
      <c r="AA35" s="12" t="n">
        <v>87</v>
      </c>
      <c r="AB35" s="12" t="n">
        <v>56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2" t="n">
        <v>6920.99</v>
      </c>
      <c r="C36" s="8" t="n">
        <v>367871</v>
      </c>
      <c r="D36" s="12" t="n">
        <f aca="false">C36-C35</f>
        <v>-657</v>
      </c>
      <c r="E36" s="8" t="n">
        <f aca="false">C36-152000</f>
        <v>215871</v>
      </c>
      <c r="F36" s="7" t="n">
        <f aca="false">D36/$D$2</f>
        <v>-331.232669523569</v>
      </c>
      <c r="G36" s="7" t="n">
        <v>624</v>
      </c>
      <c r="H36" s="9" t="n">
        <v>0</v>
      </c>
      <c r="I36" s="7" t="n">
        <f aca="false">G36+H36</f>
        <v>624</v>
      </c>
      <c r="J36" s="105" t="n">
        <f aca="false">IF(L36&gt;0,L36,0)</f>
        <v>0</v>
      </c>
      <c r="K36" s="7" t="n">
        <f aca="false">I36+J36</f>
        <v>624</v>
      </c>
      <c r="L36" s="7" t="n">
        <f aca="false">F36-(I36-W36)</f>
        <v>-5.23266952356943</v>
      </c>
      <c r="M36" s="7" t="n">
        <v>320</v>
      </c>
      <c r="N36" s="7" t="n">
        <f aca="false">(36+35)*1.05</f>
        <v>74.55</v>
      </c>
      <c r="O36" s="7" t="n">
        <f aca="false">M36-N36</f>
        <v>245.45</v>
      </c>
      <c r="P36" s="7" t="n">
        <v>168</v>
      </c>
      <c r="Q36" s="7" t="n">
        <v>80</v>
      </c>
      <c r="R36" s="7" t="n">
        <f aca="false">SUM(O36:Q36)</f>
        <v>493.45</v>
      </c>
      <c r="S36" s="57" t="n">
        <v>0</v>
      </c>
      <c r="T36" s="7" t="n">
        <v>261</v>
      </c>
      <c r="U36" s="7" t="n">
        <v>121</v>
      </c>
      <c r="V36" s="8" t="n">
        <f aca="false">V35-U36</f>
        <v>17282</v>
      </c>
      <c r="W36" s="7" t="n">
        <f aca="false">N36+R36+T36+U36</f>
        <v>950</v>
      </c>
      <c r="X36" s="7" t="n">
        <f aca="false">IF(L36&lt;0,L36*-1,0)</f>
        <v>5.23266952356943</v>
      </c>
      <c r="Y36" s="7" t="n">
        <f aca="false">W36+X36</f>
        <v>955.23266952357</v>
      </c>
      <c r="Z36" s="11" t="n">
        <v>0</v>
      </c>
      <c r="AA36" s="12" t="n">
        <v>91</v>
      </c>
      <c r="AB36" s="12" t="n">
        <v>53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32" t="n">
        <v>6920.82</v>
      </c>
      <c r="C37" s="8" t="n">
        <v>367133</v>
      </c>
      <c r="D37" s="12" t="n">
        <f aca="false">C37-C36</f>
        <v>-738</v>
      </c>
      <c r="E37" s="8" t="n">
        <f aca="false">C37-152000</f>
        <v>215133</v>
      </c>
      <c r="F37" s="7" t="n">
        <f aca="false">D37/$D$2</f>
        <v>-372.069573985379</v>
      </c>
      <c r="G37" s="7" t="n">
        <v>609</v>
      </c>
      <c r="H37" s="9" t="n">
        <v>0</v>
      </c>
      <c r="I37" s="7" t="n">
        <f aca="false">G37+H37</f>
        <v>609</v>
      </c>
      <c r="J37" s="105" t="n">
        <f aca="false">IF(L37&gt;0,L37,0)</f>
        <v>0</v>
      </c>
      <c r="K37" s="7" t="n">
        <f aca="false">I37+J37</f>
        <v>609</v>
      </c>
      <c r="L37" s="7" t="n">
        <f aca="false">F37-(I37-W37)</f>
        <v>-49.0695739853794</v>
      </c>
      <c r="M37" s="7" t="n">
        <v>309</v>
      </c>
      <c r="N37" s="7" t="n">
        <f aca="false">(34+34)*1.05</f>
        <v>71.4</v>
      </c>
      <c r="O37" s="7" t="n">
        <f aca="false">M37-N37</f>
        <v>237.6</v>
      </c>
      <c r="P37" s="7" t="n">
        <v>168</v>
      </c>
      <c r="Q37" s="7" t="n">
        <v>80</v>
      </c>
      <c r="R37" s="7" t="n">
        <f aca="false">SUM(O37:Q37)</f>
        <v>485.6</v>
      </c>
      <c r="S37" s="57" t="n">
        <v>0</v>
      </c>
      <c r="T37" s="7" t="n">
        <v>253</v>
      </c>
      <c r="U37" s="7" t="n">
        <v>122</v>
      </c>
      <c r="V37" s="8" t="n">
        <f aca="false">V36-U37</f>
        <v>17160</v>
      </c>
      <c r="W37" s="7" t="n">
        <f aca="false">N37+R37+T37+U37</f>
        <v>932</v>
      </c>
      <c r="X37" s="7" t="n">
        <f aca="false">IF(L37&lt;0,L37*-1,0)</f>
        <v>49.0695739853794</v>
      </c>
      <c r="Y37" s="7" t="n">
        <f aca="false">W37+X37</f>
        <v>981.069573985379</v>
      </c>
      <c r="Z37" s="11" t="n">
        <v>0</v>
      </c>
      <c r="AA37" s="12" t="n">
        <v>94</v>
      </c>
      <c r="AB37" s="12" t="n">
        <v>56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32" t="n">
        <v>6920.6</v>
      </c>
      <c r="C38" s="8" t="n">
        <v>366178</v>
      </c>
      <c r="D38" s="12" t="n">
        <f aca="false">C38-C37</f>
        <v>-955</v>
      </c>
      <c r="E38" s="8" t="n">
        <f aca="false">C38-152000</f>
        <v>214178</v>
      </c>
      <c r="F38" s="7" t="n">
        <f aca="false">D38/$D$2</f>
        <v>-481.472145197883</v>
      </c>
      <c r="G38" s="7" t="n">
        <v>585</v>
      </c>
      <c r="H38" s="9" t="n">
        <v>0</v>
      </c>
      <c r="I38" s="7" t="n">
        <f aca="false">G38+H38</f>
        <v>585</v>
      </c>
      <c r="J38" s="105" t="n">
        <f aca="false">IF(L38&gt;0,L38,0)</f>
        <v>0</v>
      </c>
      <c r="K38" s="7" t="n">
        <f aca="false">I38+J38</f>
        <v>585</v>
      </c>
      <c r="L38" s="7" t="n">
        <f aca="false">F38-(I38-W38)</f>
        <v>-115.472145197883</v>
      </c>
      <c r="M38" s="7" t="n">
        <v>307</v>
      </c>
      <c r="N38" s="7" t="n">
        <f aca="false">(33+35)*1.05</f>
        <v>71.4</v>
      </c>
      <c r="O38" s="7" t="n">
        <f aca="false">M38-N38</f>
        <v>235.6</v>
      </c>
      <c r="P38" s="7" t="n">
        <v>167</v>
      </c>
      <c r="Q38" s="7" t="n">
        <v>80</v>
      </c>
      <c r="R38" s="7" t="n">
        <f aca="false">SUM(O38:Q38)</f>
        <v>482.6</v>
      </c>
      <c r="S38" s="57" t="n">
        <v>0</v>
      </c>
      <c r="T38" s="7" t="n">
        <v>275</v>
      </c>
      <c r="U38" s="7" t="n">
        <v>122</v>
      </c>
      <c r="V38" s="8" t="n">
        <f aca="false">V37-U38</f>
        <v>17038</v>
      </c>
      <c r="W38" s="7" t="n">
        <f aca="false">N38+R38+T38+U38</f>
        <v>951</v>
      </c>
      <c r="X38" s="7" t="n">
        <f aca="false">IF(L38&lt;0,L38*-1,0)</f>
        <v>115.472145197883</v>
      </c>
      <c r="Y38" s="7" t="n">
        <f aca="false">W38+X38</f>
        <v>1066.47214519788</v>
      </c>
      <c r="Z38" s="11" t="n">
        <v>0</v>
      </c>
      <c r="AA38" s="12" t="n">
        <v>97</v>
      </c>
      <c r="AB38" s="12" t="n">
        <v>59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32" t="n">
        <v>6920.4</v>
      </c>
      <c r="C39" s="8" t="n">
        <v>365310</v>
      </c>
      <c r="D39" s="12" t="n">
        <f aca="false">C39-C38</f>
        <v>-868</v>
      </c>
      <c r="E39" s="8" t="n">
        <f aca="false">C39-152000</f>
        <v>213310</v>
      </c>
      <c r="F39" s="7" t="n">
        <f aca="false">D39/$D$2</f>
        <v>-437.610284850013</v>
      </c>
      <c r="G39" s="7" t="n">
        <v>551</v>
      </c>
      <c r="H39" s="9" t="n">
        <v>0</v>
      </c>
      <c r="I39" s="7" t="n">
        <f aca="false">G39+H39</f>
        <v>551</v>
      </c>
      <c r="J39" s="105" t="n">
        <f aca="false">IF(L39&gt;0,L39,0)</f>
        <v>0</v>
      </c>
      <c r="K39" s="7" t="n">
        <f aca="false">I39+J39</f>
        <v>551</v>
      </c>
      <c r="L39" s="7" t="n">
        <f aca="false">F39-(I39-W39)</f>
        <v>-37.6102848500126</v>
      </c>
      <c r="M39" s="7" t="n">
        <v>314</v>
      </c>
      <c r="N39" s="7" t="n">
        <f aca="false">(28+29)*1.05</f>
        <v>59.85</v>
      </c>
      <c r="O39" s="7" t="n">
        <f aca="false">M39-N39</f>
        <v>254.15</v>
      </c>
      <c r="P39" s="7" t="n">
        <v>167</v>
      </c>
      <c r="Q39" s="7" t="n">
        <v>80</v>
      </c>
      <c r="R39" s="7" t="n">
        <f aca="false">SUM(O39:Q39)</f>
        <v>501.15</v>
      </c>
      <c r="S39" s="57" t="n">
        <v>0</v>
      </c>
      <c r="T39" s="7" t="n">
        <v>270</v>
      </c>
      <c r="U39" s="7" t="n">
        <v>120</v>
      </c>
      <c r="V39" s="8" t="n">
        <f aca="false">V38-U39</f>
        <v>16918</v>
      </c>
      <c r="W39" s="7" t="n">
        <f aca="false">N39+R39+T39+U39</f>
        <v>951</v>
      </c>
      <c r="X39" s="7" t="n">
        <f aca="false">IF(L39&lt;0,L39*-1,0)</f>
        <v>37.6102848500126</v>
      </c>
      <c r="Y39" s="7" t="n">
        <f aca="false">W39+X39</f>
        <v>988.610284850013</v>
      </c>
      <c r="Z39" s="11" t="n">
        <v>0</v>
      </c>
      <c r="AA39" s="12" t="n">
        <v>97</v>
      </c>
      <c r="AB39" s="12" t="n">
        <v>60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5"/>
      <c r="B40" s="35"/>
      <c r="C40" s="37"/>
      <c r="D40" s="35"/>
      <c r="E40" s="37"/>
      <c r="F40" s="35"/>
      <c r="G40" s="35"/>
      <c r="H40" s="38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7"/>
      <c r="T40" s="35"/>
      <c r="U40" s="35"/>
      <c r="V40" s="35"/>
      <c r="W40" s="35"/>
      <c r="X40" s="35"/>
      <c r="Y40" s="35"/>
      <c r="Z40" s="39"/>
      <c r="AA40" s="40"/>
      <c r="AB40" s="40"/>
      <c r="AC40" s="41"/>
      <c r="AD40" s="14"/>
      <c r="AE40" s="14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-7609.27653138392</v>
      </c>
      <c r="G41" s="8" t="n">
        <f aca="false">SUM(G10:G39)</f>
        <v>30684</v>
      </c>
      <c r="H41" s="8" t="n">
        <f aca="false">SUM(H10:H39)</f>
        <v>170.6</v>
      </c>
      <c r="I41" s="8" t="n">
        <f aca="false">SUM(I10:I39)</f>
        <v>30854.6</v>
      </c>
      <c r="J41" s="8" t="n">
        <f aca="false">SUM(J10:J39)</f>
        <v>246.292084698765</v>
      </c>
      <c r="K41" s="8" t="n">
        <f aca="false">SUM(K10:K39)</f>
        <v>31100.8920846988</v>
      </c>
      <c r="L41" s="8" t="n">
        <f aca="false">SUM(L10:L39)</f>
        <v>-1064.87653138392</v>
      </c>
      <c r="M41" s="8" t="n">
        <f aca="false">SUM(M10:M39)</f>
        <v>8832</v>
      </c>
      <c r="N41" s="8" t="n">
        <f aca="false">SUM(N10:N39)</f>
        <v>1804.95</v>
      </c>
      <c r="O41" s="8" t="n">
        <f aca="false">SUM(O10:O39)</f>
        <v>7027.05</v>
      </c>
      <c r="P41" s="8" t="n">
        <f aca="false">SUM(P10:P39)</f>
        <v>6738</v>
      </c>
      <c r="Q41" s="8" t="n">
        <f aca="false">SUM(Q10:Q39)</f>
        <v>2343</v>
      </c>
      <c r="R41" s="8" t="n">
        <f aca="false">SUM(R10:R39)</f>
        <v>16108.05</v>
      </c>
      <c r="S41" s="8" t="n">
        <f aca="false">S39</f>
        <v>0</v>
      </c>
      <c r="T41" s="8" t="n">
        <f aca="false">SUM(T10:T39)</f>
        <v>4944</v>
      </c>
      <c r="U41" s="8" t="n">
        <f aca="false">SUM(U10:U39)</f>
        <v>14542</v>
      </c>
      <c r="V41" s="8"/>
      <c r="W41" s="8" t="n">
        <f aca="false">SUM(W10:W39)</f>
        <v>37399</v>
      </c>
      <c r="X41" s="8" t="n">
        <f aca="false">SUM(X10:X39)</f>
        <v>1311.16861608268</v>
      </c>
      <c r="Y41" s="8" t="n">
        <f aca="false">SUM(Y10:Y39)</f>
        <v>38710.1686160827</v>
      </c>
      <c r="Z41" s="11" t="n">
        <f aca="false">SUM(Z10:Z39)</f>
        <v>0.03</v>
      </c>
      <c r="AA41" s="12" t="n">
        <f aca="false">AVERAGE(AA10:AA39)</f>
        <v>80.8333333333333</v>
      </c>
      <c r="AB41" s="12" t="n">
        <f aca="false">AVERAGE(AB10:AB39)</f>
        <v>48.0666666666667</v>
      </c>
      <c r="AC41" s="13"/>
      <c r="AD41" s="14"/>
      <c r="AE41" s="14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-15093</v>
      </c>
      <c r="E42" s="8"/>
      <c r="F42" s="8" t="n">
        <f aca="false">F41*$D$2</f>
        <v>-15093</v>
      </c>
      <c r="G42" s="8" t="n">
        <f aca="false">G41*$D$2</f>
        <v>60861.714</v>
      </c>
      <c r="H42" s="8" t="n">
        <f aca="false">H41*$D$2</f>
        <v>338.3851</v>
      </c>
      <c r="I42" s="8" t="n">
        <f aca="false">I41*$D$2</f>
        <v>61200.0991</v>
      </c>
      <c r="J42" s="8" t="n">
        <f aca="false">J41*$D$2</f>
        <v>488.520350000001</v>
      </c>
      <c r="K42" s="8" t="n">
        <f aca="false">K41*$D$2</f>
        <v>61688.61945</v>
      </c>
      <c r="L42" s="8" t="n">
        <f aca="false">L41*$D$2</f>
        <v>-2112.1826</v>
      </c>
      <c r="M42" s="8" t="n">
        <f aca="false">M41*$D$2</f>
        <v>17518.272</v>
      </c>
      <c r="N42" s="8" t="n">
        <f aca="false">N41*$D$2</f>
        <v>3580.118325</v>
      </c>
      <c r="O42" s="8" t="n">
        <f aca="false">O41*$D$2</f>
        <v>13938.153675</v>
      </c>
      <c r="P42" s="8" t="n">
        <f aca="false">P41*$D$2</f>
        <v>13364.823</v>
      </c>
      <c r="Q42" s="8" t="n">
        <f aca="false">Q41*$D$2</f>
        <v>4647.3405</v>
      </c>
      <c r="R42" s="8" t="n">
        <f aca="false">R41*$D$2</f>
        <v>31950.317175</v>
      </c>
      <c r="S42" s="8" t="n">
        <f aca="false">S41*$D$2</f>
        <v>0</v>
      </c>
      <c r="T42" s="8" t="n">
        <f aca="false">T41*$D$2</f>
        <v>9806.424</v>
      </c>
      <c r="U42" s="8" t="n">
        <f aca="false">U41*$D$2</f>
        <v>28844.057</v>
      </c>
      <c r="V42" s="8"/>
      <c r="W42" s="8" t="n">
        <f aca="false">W41*$D$2</f>
        <v>74180.9165</v>
      </c>
      <c r="X42" s="8" t="n">
        <f aca="false">X41*$D$2</f>
        <v>2600.70295</v>
      </c>
      <c r="Y42" s="8" t="n">
        <f aca="false">Y41*$D$2</f>
        <v>76781.61945</v>
      </c>
      <c r="Z42" s="11"/>
      <c r="AA42" s="12" t="n">
        <f aca="false">MAX(AA10:AA39)</f>
        <v>97</v>
      </c>
      <c r="AB42" s="12" t="n">
        <f aca="false">MAX(AB10:AB39)</f>
        <v>60</v>
      </c>
      <c r="AC42" s="13" t="s">
        <v>47</v>
      </c>
      <c r="AD42" s="14"/>
      <c r="AE42" s="14"/>
    </row>
    <row r="43" customFormat="false" ht="3" hidden="false" customHeight="true" outlineLevel="0" collapsed="false">
      <c r="A43" s="35"/>
      <c r="B43" s="35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5"/>
      <c r="W43" s="37"/>
      <c r="X43" s="37"/>
      <c r="Y43" s="37"/>
      <c r="Z43" s="11"/>
      <c r="AA43" s="12"/>
      <c r="AB43" s="12"/>
      <c r="AC43" s="13"/>
      <c r="AD43" s="14"/>
      <c r="AE43" s="14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2634.23241744391</v>
      </c>
      <c r="G44" s="8" t="n">
        <f aca="false">G7+G41</f>
        <v>120125.03</v>
      </c>
      <c r="H44" s="12" t="n">
        <f aca="false">H7+H41</f>
        <v>8202.62</v>
      </c>
      <c r="I44" s="8" t="n">
        <f aca="false">I7+I41</f>
        <v>128327.65</v>
      </c>
      <c r="J44" s="8" t="n">
        <f aca="false">J7+J41</f>
        <v>22765.377199395</v>
      </c>
      <c r="K44" s="8" t="n">
        <f aca="false">K7+K41</f>
        <v>151093.027199395</v>
      </c>
      <c r="L44" s="8" t="n">
        <f aca="false">L7+L41</f>
        <v>21207.5824174439</v>
      </c>
      <c r="M44" s="8" t="n">
        <f aca="false">M7+M41</f>
        <v>19135.6</v>
      </c>
      <c r="N44" s="8" t="n">
        <f aca="false">N7+N41</f>
        <v>4433.436</v>
      </c>
      <c r="O44" s="8" t="n">
        <f aca="false">O7+O41</f>
        <v>14702.164</v>
      </c>
      <c r="P44" s="8" t="n">
        <f aca="false">P7+P41</f>
        <v>9189</v>
      </c>
      <c r="Q44" s="8" t="n">
        <f aca="false">Q7+Q41</f>
        <v>4193</v>
      </c>
      <c r="R44" s="8" t="n">
        <f aca="false">R7+R41</f>
        <v>28084.164</v>
      </c>
      <c r="S44" s="8" t="n">
        <f aca="false">S39</f>
        <v>0</v>
      </c>
      <c r="T44" s="8" t="n">
        <f aca="false">T7+T41</f>
        <v>8650.4</v>
      </c>
      <c r="U44" s="8" t="n">
        <f aca="false">U7+U41</f>
        <v>105733</v>
      </c>
      <c r="V44" s="8" t="n">
        <v>0</v>
      </c>
      <c r="W44" s="8" t="n">
        <f aca="false">W7+W41</f>
        <v>146901</v>
      </c>
      <c r="X44" s="8" t="n">
        <f aca="false">X7+X41</f>
        <v>1557.7947819511</v>
      </c>
      <c r="Y44" s="8" t="n">
        <f aca="false">Y7+Y41</f>
        <v>148458.794781951</v>
      </c>
      <c r="Z44" s="11"/>
      <c r="AA44" s="12" t="n">
        <f aca="false">MIN(AA10:AA39)</f>
        <v>64</v>
      </c>
      <c r="AB44" s="12" t="n">
        <f aca="false">MIN(AB10:AB39)</f>
        <v>37</v>
      </c>
      <c r="AC44" s="13" t="s">
        <v>49</v>
      </c>
      <c r="AD44" s="14"/>
      <c r="AE44" s="14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-15093</v>
      </c>
      <c r="E45" s="8"/>
      <c r="F45" s="8" t="n">
        <f aca="false">F44*$D$2</f>
        <v>5225</v>
      </c>
      <c r="G45" s="8" t="n">
        <f aca="false">G44*$D$2</f>
        <v>238267.997005</v>
      </c>
      <c r="H45" s="12" t="n">
        <f aca="false">H44*$D$2</f>
        <v>16269.89677</v>
      </c>
      <c r="I45" s="8" t="n">
        <f aca="false">I44*$D$2</f>
        <v>254537.893775</v>
      </c>
      <c r="J45" s="8" t="n">
        <f aca="false">J44*$D$2</f>
        <v>45155.125675</v>
      </c>
      <c r="K45" s="8" t="n">
        <f aca="false">K44*$D$2</f>
        <v>299693.01945</v>
      </c>
      <c r="L45" s="8" t="n">
        <f aca="false">L44*$D$2</f>
        <v>42065.239725</v>
      </c>
      <c r="M45" s="8" t="n">
        <f aca="false">M44*$D$2</f>
        <v>37955.4626</v>
      </c>
      <c r="N45" s="8" t="n">
        <f aca="false">N44*$D$2</f>
        <v>8793.720306</v>
      </c>
      <c r="O45" s="8" t="n">
        <f aca="false">O44*$D$2</f>
        <v>29161.742294</v>
      </c>
      <c r="P45" s="8" t="n">
        <f aca="false">P44*$D$2</f>
        <v>18226.3815</v>
      </c>
      <c r="Q45" s="8" t="n">
        <f aca="false">Q44*$D$2</f>
        <v>8316.8155</v>
      </c>
      <c r="R45" s="8" t="n">
        <f aca="false">R44*$D$2</f>
        <v>55704.939294</v>
      </c>
      <c r="S45" s="8" t="n">
        <f aca="false">S44*$D$2</f>
        <v>0</v>
      </c>
      <c r="T45" s="8" t="n">
        <f aca="false">T44*$D$2</f>
        <v>17158.0684</v>
      </c>
      <c r="U45" s="8" t="n">
        <f aca="false">U44*$D$2</f>
        <v>209721.4055</v>
      </c>
      <c r="V45" s="8" t="n">
        <v>0</v>
      </c>
      <c r="W45" s="8" t="n">
        <f aca="false">W44*$D$2</f>
        <v>291378.1335</v>
      </c>
      <c r="X45" s="8" t="n">
        <f aca="false">X44*$D$2</f>
        <v>3089.88595</v>
      </c>
      <c r="Y45" s="8" t="n">
        <f aca="false">Y44*$D$2</f>
        <v>294468.01945</v>
      </c>
      <c r="Z45" s="11"/>
      <c r="AA45" s="12"/>
      <c r="AB45" s="12"/>
      <c r="AC45" s="13"/>
      <c r="AD45" s="14"/>
      <c r="AE45" s="14"/>
    </row>
    <row r="46" customFormat="false" ht="3" hidden="false" customHeight="true" outlineLevel="0" collapsed="false">
      <c r="A46" s="35"/>
      <c r="B46" s="35"/>
      <c r="C46" s="37"/>
      <c r="D46" s="37"/>
      <c r="E46" s="37"/>
      <c r="F46" s="37"/>
      <c r="G46" s="37"/>
      <c r="H46" s="40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9"/>
      <c r="AA46" s="12"/>
      <c r="AB46" s="12"/>
      <c r="AC46" s="13"/>
      <c r="AD46" s="14"/>
      <c r="AE46" s="14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16052.9367280061</v>
      </c>
      <c r="G47" s="8" t="n">
        <f aca="false">G8+G41</f>
        <v>136798.03</v>
      </c>
      <c r="H47" s="12" t="n">
        <f aca="false">H8+H41</f>
        <v>10006.92</v>
      </c>
      <c r="I47" s="8" t="n">
        <f aca="false">I8+I41</f>
        <v>146798.05</v>
      </c>
      <c r="J47" s="8" t="n">
        <f aca="false">J8+J41</f>
        <v>28012.9032190572</v>
      </c>
      <c r="K47" s="8" t="n">
        <f aca="false">K8+K41</f>
        <v>174802.553219057</v>
      </c>
      <c r="L47" s="8" t="n">
        <f aca="false">L8+L41</f>
        <v>25423.006728006</v>
      </c>
      <c r="M47" s="8" t="n">
        <f aca="false">M8+M41</f>
        <v>20665.56</v>
      </c>
      <c r="N47" s="8" t="n">
        <f aca="false">N8+N41</f>
        <v>4493.181</v>
      </c>
      <c r="O47" s="8" t="n">
        <f aca="false">O8+O41</f>
        <v>15523.139</v>
      </c>
      <c r="P47" s="8" t="n">
        <f aca="false">P8+P41</f>
        <v>9978</v>
      </c>
      <c r="Q47" s="8" t="n">
        <f aca="false">Q8+Q41</f>
        <v>4339.2</v>
      </c>
      <c r="R47" s="8" t="n">
        <f aca="false">R8+R41</f>
        <v>30232.329</v>
      </c>
      <c r="S47" s="8" t="n">
        <f aca="false">S39</f>
        <v>0</v>
      </c>
      <c r="T47" s="8" t="n">
        <f aca="false">T8+T41</f>
        <v>8650.4</v>
      </c>
      <c r="U47" s="8" t="n">
        <f aca="false">U8+U41</f>
        <v>112534.96</v>
      </c>
      <c r="V47" s="8" t="n">
        <f aca="false">V39</f>
        <v>16918</v>
      </c>
      <c r="W47" s="8" t="n">
        <f aca="false">W8+W41</f>
        <v>156168.12</v>
      </c>
      <c r="X47" s="8" t="n">
        <f aca="false">X8+X41</f>
        <v>2589.89649105117</v>
      </c>
      <c r="Y47" s="8" t="n">
        <f aca="false">Y8+Y41</f>
        <v>158758.016491051</v>
      </c>
      <c r="Z47" s="33" t="n">
        <f aca="false">Z8+Z41</f>
        <v>9.41</v>
      </c>
      <c r="AA47" s="12"/>
      <c r="AB47" s="12"/>
      <c r="AC47" s="13"/>
      <c r="AD47" s="14"/>
      <c r="AE47" s="14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31841</v>
      </c>
      <c r="E48" s="8" t="n">
        <f aca="false">E39</f>
        <v>213310</v>
      </c>
      <c r="F48" s="8" t="n">
        <f aca="false">F47*$D$2</f>
        <v>31841</v>
      </c>
      <c r="G48" s="8" t="n">
        <f aca="false">G47*$D$2</f>
        <v>271338.892505</v>
      </c>
      <c r="H48" s="12" t="n">
        <f aca="false">H47*$D$2</f>
        <v>19848.72582</v>
      </c>
      <c r="I48" s="8" t="n">
        <f aca="false">I47*$D$2</f>
        <v>291173.932175</v>
      </c>
      <c r="J48" s="8" t="n">
        <f aca="false">J47*$D$2</f>
        <v>55563.593535</v>
      </c>
      <c r="K48" s="8" t="n">
        <f aca="false">K47*$D$2</f>
        <v>346720.86431</v>
      </c>
      <c r="L48" s="8" t="n">
        <f aca="false">L47*$D$2</f>
        <v>50426.533845</v>
      </c>
      <c r="M48" s="8" t="n">
        <f aca="false">M47*$D$2</f>
        <v>40990.13826</v>
      </c>
      <c r="N48" s="8" t="n">
        <f aca="false">N47*$D$2</f>
        <v>8912.2245135</v>
      </c>
      <c r="O48" s="8" t="n">
        <f aca="false">O47*$D$2</f>
        <v>30790.1462065</v>
      </c>
      <c r="P48" s="8" t="n">
        <f aca="false">P47*$D$2</f>
        <v>19791.363</v>
      </c>
      <c r="Q48" s="8" t="n">
        <f aca="false">Q47*$D$2</f>
        <v>8606.8032</v>
      </c>
      <c r="R48" s="8" t="n">
        <f aca="false">R47*$D$2</f>
        <v>59965.8245715</v>
      </c>
      <c r="S48" s="8" t="n">
        <f aca="false">S47*$D$2</f>
        <v>0</v>
      </c>
      <c r="T48" s="8" t="n">
        <f aca="false">T47*$D$2</f>
        <v>17158.0684</v>
      </c>
      <c r="U48" s="8" t="n">
        <f aca="false">U47*$D$2</f>
        <v>223213.09316</v>
      </c>
      <c r="V48" s="8" t="n">
        <f aca="false">V47*$D$2</f>
        <v>33556.853</v>
      </c>
      <c r="W48" s="8" t="n">
        <f aca="false">W47*$D$2</f>
        <v>309759.46602</v>
      </c>
      <c r="X48" s="8" t="n">
        <f aca="false">X47*$D$2</f>
        <v>5137.05969</v>
      </c>
      <c r="Y48" s="8" t="n">
        <f aca="false">Y47*$D$2</f>
        <v>314896.52571</v>
      </c>
      <c r="Z48" s="11"/>
      <c r="AA48" s="12"/>
      <c r="AB48" s="12"/>
      <c r="AC48" s="13"/>
      <c r="AD48" s="14"/>
      <c r="AE48" s="14"/>
    </row>
    <row r="49" customFormat="false" ht="3" hidden="false" customHeight="true" outlineLevel="0" collapsed="false">
      <c r="A49" s="35"/>
      <c r="B49" s="35"/>
      <c r="C49" s="37"/>
      <c r="D49" s="35"/>
      <c r="E49" s="37"/>
      <c r="F49" s="35"/>
      <c r="G49" s="35"/>
      <c r="H49" s="38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7"/>
      <c r="T49" s="35"/>
      <c r="U49" s="35"/>
      <c r="V49" s="37"/>
      <c r="W49" s="35"/>
      <c r="X49" s="35"/>
      <c r="Y49" s="35"/>
      <c r="Z49" s="11"/>
      <c r="AA49" s="12"/>
      <c r="AB49" s="12"/>
      <c r="AC49" s="13"/>
      <c r="AD49" s="14"/>
      <c r="AE49" s="14"/>
    </row>
    <row r="50" customFormat="false" ht="14.1" hidden="false" customHeight="true" outlineLevel="0" collapsed="false">
      <c r="A50" s="44" t="str">
        <f aca="false">"6/12/97 thru 7/10/97"</f>
        <v>6/12/97 thru 7/10/97</v>
      </c>
      <c r="B50" s="45"/>
      <c r="C50" s="8"/>
      <c r="D50" s="7"/>
      <c r="E50" s="8"/>
      <c r="F50" s="7"/>
      <c r="G50" s="128" t="s">
        <v>79</v>
      </c>
      <c r="H50" s="9"/>
      <c r="I50" s="7"/>
      <c r="J50" s="7"/>
      <c r="K50" s="129" t="n">
        <f aca="false">67300+112800+78200</f>
        <v>258300</v>
      </c>
      <c r="L50" s="7"/>
      <c r="M50" s="7"/>
      <c r="N50" s="7"/>
      <c r="O50" s="7"/>
      <c r="P50" s="7"/>
      <c r="Q50" s="7"/>
      <c r="R50" s="7" t="s">
        <v>80</v>
      </c>
      <c r="S50" s="8" t="n">
        <f aca="false">72000-R45</f>
        <v>16295.060706</v>
      </c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4"/>
      <c r="AE50" s="14"/>
    </row>
    <row r="51" customFormat="false" ht="11.1" hidden="false" customHeight="true" outlineLevel="0" collapsed="false">
      <c r="A51" s="7"/>
      <c r="B51" s="32" t="n">
        <v>6923.37</v>
      </c>
      <c r="C51" s="8" t="n">
        <v>378356</v>
      </c>
      <c r="D51" s="43"/>
      <c r="E51" s="8" t="n">
        <f aca="false">C51-152000</f>
        <v>226356</v>
      </c>
      <c r="F51" s="7"/>
      <c r="G51" s="7" t="s">
        <v>81</v>
      </c>
      <c r="H51" s="43"/>
      <c r="I51" s="9"/>
      <c r="J51" s="7"/>
      <c r="K51" s="46" t="n">
        <f aca="false">K45/K50</f>
        <v>1.16025172067364</v>
      </c>
      <c r="L51" s="7"/>
      <c r="M51" s="7"/>
      <c r="N51" s="7"/>
      <c r="O51" s="7"/>
      <c r="P51" s="7" t="s">
        <v>82</v>
      </c>
      <c r="Q51" s="7"/>
      <c r="R51" s="7" t="s">
        <v>83</v>
      </c>
      <c r="S51" s="8" t="n">
        <f aca="false">1357+340</f>
        <v>1697</v>
      </c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4"/>
      <c r="AE51" s="14"/>
    </row>
    <row r="52" customFormat="false" ht="11.1" hidden="false" customHeight="true" outlineLevel="0" collapsed="false">
      <c r="B52" s="43"/>
      <c r="C52" s="8"/>
      <c r="D52" s="8"/>
      <c r="E52" s="8"/>
      <c r="F52" s="43"/>
      <c r="G52" s="128" t="s">
        <v>84</v>
      </c>
      <c r="H52" s="9"/>
      <c r="I52" s="43"/>
      <c r="J52" s="43"/>
      <c r="K52" s="129" t="n">
        <f aca="false">19700+67300+112800+78200</f>
        <v>278000</v>
      </c>
      <c r="L52" s="43"/>
      <c r="M52" s="33"/>
      <c r="N52" s="33"/>
      <c r="O52" s="33"/>
      <c r="P52" s="43"/>
      <c r="Q52" s="43"/>
      <c r="R52" s="7" t="s">
        <v>85</v>
      </c>
      <c r="S52" s="8" t="n">
        <v>3400</v>
      </c>
      <c r="T52" s="43"/>
      <c r="U52" s="43"/>
      <c r="V52" s="8"/>
      <c r="W52" s="43"/>
      <c r="X52" s="43"/>
      <c r="Y52" s="43"/>
      <c r="Z52" s="11"/>
      <c r="AA52" s="12"/>
      <c r="AB52" s="12"/>
      <c r="AC52" s="13"/>
      <c r="AD52" s="47"/>
      <c r="AE52" s="47"/>
    </row>
    <row r="53" customFormat="false" ht="11.1" hidden="false" customHeight="true" outlineLevel="0" collapsed="false">
      <c r="A53" s="43"/>
      <c r="B53" s="11" t="n">
        <f aca="false">B51-B21</f>
        <v>1.47000000000025</v>
      </c>
      <c r="C53" s="8"/>
      <c r="D53" s="8" t="n">
        <f aca="false">C51-C21</f>
        <v>6500</v>
      </c>
      <c r="E53" s="8"/>
      <c r="F53" s="43"/>
      <c r="G53" s="128" t="s">
        <v>86</v>
      </c>
      <c r="H53" s="9"/>
      <c r="I53" s="43"/>
      <c r="J53" s="43"/>
      <c r="K53" s="31" t="n">
        <f aca="false">59486+K45</f>
        <v>359179.01945</v>
      </c>
      <c r="L53" s="43"/>
      <c r="M53" s="33"/>
      <c r="N53" s="33"/>
      <c r="O53" s="33"/>
      <c r="P53" s="43"/>
      <c r="Q53" s="43"/>
      <c r="R53" s="43" t="s">
        <v>87</v>
      </c>
      <c r="S53" s="8" t="n">
        <v>2700</v>
      </c>
      <c r="T53" s="43"/>
      <c r="U53" s="43"/>
      <c r="V53" s="8"/>
      <c r="W53" s="43"/>
      <c r="X53" s="43"/>
      <c r="Y53" s="43"/>
      <c r="Z53" s="11"/>
      <c r="AA53" s="12"/>
      <c r="AB53" s="12"/>
      <c r="AC53" s="13"/>
      <c r="AD53" s="47"/>
      <c r="AE53" s="47"/>
    </row>
    <row r="54" customFormat="false" ht="11.1" hidden="false" customHeight="true" outlineLevel="0" collapsed="false">
      <c r="A54" s="43"/>
      <c r="B54" s="43"/>
      <c r="C54" s="8"/>
      <c r="D54" s="43"/>
      <c r="E54" s="8"/>
      <c r="F54" s="43"/>
      <c r="G54" s="7" t="s">
        <v>88</v>
      </c>
      <c r="H54" s="9"/>
      <c r="I54" s="43"/>
      <c r="J54" s="43"/>
      <c r="K54" s="46" t="n">
        <f aca="false">K53/K52</f>
        <v>1.29201086133094</v>
      </c>
      <c r="L54" s="43"/>
      <c r="M54" s="33"/>
      <c r="N54" s="33"/>
      <c r="O54" s="33"/>
      <c r="P54" s="43"/>
      <c r="Q54" s="43"/>
      <c r="R54" s="43" t="s">
        <v>76</v>
      </c>
      <c r="S54" s="8" t="n">
        <f aca="false">SUM(S50:S53)</f>
        <v>24092.060706</v>
      </c>
      <c r="T54" s="43"/>
      <c r="U54" s="43"/>
      <c r="V54" s="8"/>
      <c r="W54" s="43"/>
      <c r="X54" s="43"/>
      <c r="Y54" s="43"/>
      <c r="Z54" s="11"/>
      <c r="AA54" s="12"/>
      <c r="AB54" s="12"/>
      <c r="AC54" s="13"/>
      <c r="AD54" s="47"/>
      <c r="AE54" s="47"/>
    </row>
    <row r="55" customFormat="false" ht="11.1" hidden="false" customHeight="true" outlineLevel="0" collapsed="false">
      <c r="R55" s="43" t="s">
        <v>89</v>
      </c>
      <c r="S55" s="8" t="n">
        <f aca="false">S54/$D$2</f>
        <v>12146.2368066549</v>
      </c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7.66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6.66"/>
    <col collapsed="false" customWidth="true" hidden="false" outlineLevel="0" max="19" min="19" style="50" width="7.66"/>
    <col collapsed="false" customWidth="true" hidden="false" outlineLevel="0" max="20" min="20" style="49" width="7.66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90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91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91</v>
      </c>
      <c r="AD5" s="63"/>
      <c r="AE5" s="6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130" t="s">
        <v>92</v>
      </c>
      <c r="R6" s="75"/>
      <c r="S6" s="107" t="n">
        <f aca="false">(JUN!$S$55)</f>
        <v>12146.2368066549</v>
      </c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 t="n">
        <f aca="false" t="array" ref="F7:Y7">JUN!$F$44:$Y$44</f>
        <v>2634.23241744391</v>
      </c>
      <c r="G7" s="57" t="n">
        <v>120125.03</v>
      </c>
      <c r="H7" s="61" t="n">
        <v>8202.62</v>
      </c>
      <c r="I7" s="57" t="n">
        <v>128327.65</v>
      </c>
      <c r="J7" s="57" t="n">
        <v>22765.377199395</v>
      </c>
      <c r="K7" s="57" t="n">
        <v>151093.027199395</v>
      </c>
      <c r="L7" s="57" t="n">
        <v>21207.5824174439</v>
      </c>
      <c r="M7" s="57" t="n">
        <v>19135.6</v>
      </c>
      <c r="N7" s="57" t="n">
        <v>4433.436</v>
      </c>
      <c r="O7" s="57" t="n">
        <v>14702.164</v>
      </c>
      <c r="P7" s="57" t="n">
        <v>9189</v>
      </c>
      <c r="Q7" s="57" t="n">
        <v>4193</v>
      </c>
      <c r="R7" s="57" t="n">
        <v>28084.164</v>
      </c>
      <c r="S7" s="57" t="n">
        <v>0</v>
      </c>
      <c r="T7" s="57" t="n">
        <v>8650.4</v>
      </c>
      <c r="U7" s="57" t="n">
        <v>105733</v>
      </c>
      <c r="V7" s="57" t="n">
        <v>0</v>
      </c>
      <c r="W7" s="57" t="n">
        <v>146901</v>
      </c>
      <c r="X7" s="57" t="n">
        <v>1557.7947819511</v>
      </c>
      <c r="Y7" s="57" t="n">
        <v>148458.794781951</v>
      </c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JUN!$B$39:$C$39</f>
        <v>6920.4</v>
      </c>
      <c r="C8" s="57" t="n">
        <v>365310</v>
      </c>
      <c r="D8" s="57" t="n">
        <f aca="false" t="array" ref="D8:E8">JUN!$D$48:$E$48</f>
        <v>31841</v>
      </c>
      <c r="E8" s="57" t="n">
        <v>213310</v>
      </c>
      <c r="F8" s="57" t="n">
        <f aca="false" t="array" ref="F8:Z8">JUN!$F$47:$Z$47</f>
        <v>16052.9367280061</v>
      </c>
      <c r="G8" s="57" t="n">
        <v>136798.03</v>
      </c>
      <c r="H8" s="61" t="n">
        <v>10006.92</v>
      </c>
      <c r="I8" s="57" t="n">
        <v>146798.05</v>
      </c>
      <c r="J8" s="57" t="n">
        <v>28012.9032190572</v>
      </c>
      <c r="K8" s="57" t="n">
        <v>174802.553219057</v>
      </c>
      <c r="L8" s="57" t="n">
        <v>25423.006728006</v>
      </c>
      <c r="M8" s="57" t="n">
        <v>20665.56</v>
      </c>
      <c r="N8" s="57" t="n">
        <v>4493.181</v>
      </c>
      <c r="O8" s="57" t="n">
        <v>15523.139</v>
      </c>
      <c r="P8" s="57" t="n">
        <v>9978</v>
      </c>
      <c r="Q8" s="57" t="n">
        <v>4339.2</v>
      </c>
      <c r="R8" s="57" t="n">
        <v>30232.329</v>
      </c>
      <c r="S8" s="57" t="n">
        <v>0</v>
      </c>
      <c r="T8" s="57" t="n">
        <v>8650.4</v>
      </c>
      <c r="U8" s="57" t="n">
        <v>112534.96</v>
      </c>
      <c r="V8" s="57" t="n">
        <v>16918</v>
      </c>
      <c r="W8" s="57" t="n">
        <v>156168.12</v>
      </c>
      <c r="X8" s="57" t="n">
        <v>2589.89649105117</v>
      </c>
      <c r="Y8" s="57" t="n">
        <v>158758.016491051</v>
      </c>
      <c r="Z8" s="81" t="n">
        <v>9.41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6920.17</v>
      </c>
      <c r="C10" s="57" t="n">
        <v>364311</v>
      </c>
      <c r="D10" s="61" t="n">
        <f aca="false">C10-C8</f>
        <v>-999</v>
      </c>
      <c r="E10" s="57" t="n">
        <f aca="false">C10-152000</f>
        <v>212311</v>
      </c>
      <c r="F10" s="56" t="n">
        <f aca="false">D10/$D$2</f>
        <v>-503.655155028989</v>
      </c>
      <c r="G10" s="56" t="n">
        <v>507</v>
      </c>
      <c r="H10" s="58" t="n">
        <v>0</v>
      </c>
      <c r="I10" s="56" t="n">
        <f aca="false">G10+H10</f>
        <v>507</v>
      </c>
      <c r="J10" s="81" t="n">
        <f aca="false">IF(L10&gt;0,L10,0)</f>
        <v>0</v>
      </c>
      <c r="K10" s="56" t="n">
        <f aca="false">I10+J10</f>
        <v>507</v>
      </c>
      <c r="L10" s="56" t="n">
        <f aca="false">F10-(I10-W10)</f>
        <v>-47.6551550289892</v>
      </c>
      <c r="M10" s="56" t="n">
        <v>320</v>
      </c>
      <c r="N10" s="56" t="n">
        <f aca="false">(30+31)*1.05</f>
        <v>64.05</v>
      </c>
      <c r="O10" s="56" t="n">
        <f aca="false">M10-N10</f>
        <v>255.95</v>
      </c>
      <c r="P10" s="56" t="n">
        <v>167</v>
      </c>
      <c r="Q10" s="56" t="n">
        <v>80</v>
      </c>
      <c r="R10" s="56" t="n">
        <f aca="false">SUM(O10:Q10)</f>
        <v>502.95</v>
      </c>
      <c r="S10" s="57" t="n">
        <f aca="false">(I10-R10)+S6</f>
        <v>12150.2868066549</v>
      </c>
      <c r="T10" s="56" t="n">
        <v>278</v>
      </c>
      <c r="U10" s="56" t="n">
        <v>118</v>
      </c>
      <c r="V10" s="57" t="n">
        <f aca="false">V8-U10</f>
        <v>16800</v>
      </c>
      <c r="W10" s="56" t="n">
        <f aca="false">R10+T10+N10+U10</f>
        <v>963</v>
      </c>
      <c r="X10" s="56" t="n">
        <f aca="false">IF(L10&lt;0,L10*-1,0)</f>
        <v>47.6551550289892</v>
      </c>
      <c r="Y10" s="56" t="n">
        <f aca="false">W10+X10</f>
        <v>1010.65515502899</v>
      </c>
      <c r="Z10" s="60" t="n">
        <v>0</v>
      </c>
      <c r="AA10" s="131" t="n">
        <v>96</v>
      </c>
      <c r="AB10" s="131" t="n">
        <v>56</v>
      </c>
      <c r="AC10" s="62" t="n">
        <v>1</v>
      </c>
      <c r="AD10" s="79"/>
      <c r="AE10" s="82"/>
      <c r="AF10" s="79"/>
    </row>
    <row r="11" customFormat="false" ht="11.1" hidden="false" customHeight="true" outlineLevel="0" collapsed="false">
      <c r="A11" s="62" t="n">
        <f aca="false">A10+1</f>
        <v>2</v>
      </c>
      <c r="B11" s="80" t="n">
        <v>6919.94</v>
      </c>
      <c r="C11" s="57" t="n">
        <v>363315</v>
      </c>
      <c r="D11" s="61" t="n">
        <f aca="false">C11-C10</f>
        <v>-996</v>
      </c>
      <c r="E11" s="57" t="n">
        <f aca="false">C11-152000</f>
        <v>211315</v>
      </c>
      <c r="F11" s="56" t="n">
        <f aca="false">D11/$D$2</f>
        <v>-502.142677085959</v>
      </c>
      <c r="G11" s="56" t="n">
        <v>476</v>
      </c>
      <c r="H11" s="58" t="n">
        <v>0</v>
      </c>
      <c r="I11" s="56" t="n">
        <f aca="false">G11+H11</f>
        <v>476</v>
      </c>
      <c r="J11" s="81" t="n">
        <f aca="false">IF(L11&gt;0,L11,0)</f>
        <v>6.85732291404082</v>
      </c>
      <c r="K11" s="56" t="n">
        <f aca="false">I11+J11</f>
        <v>482.857322914041</v>
      </c>
      <c r="L11" s="56" t="n">
        <f aca="false">F11-(I11-W11)</f>
        <v>6.85732291404082</v>
      </c>
      <c r="M11" s="56" t="n">
        <v>326</v>
      </c>
      <c r="N11" s="56" t="n">
        <f aca="false">(34+33)*1.05</f>
        <v>70.35</v>
      </c>
      <c r="O11" s="56" t="n">
        <f aca="false">M11-N11</f>
        <v>255.65</v>
      </c>
      <c r="P11" s="56" t="n">
        <v>166</v>
      </c>
      <c r="Q11" s="56" t="n">
        <v>79</v>
      </c>
      <c r="R11" s="56" t="n">
        <f aca="false">SUM(O11:Q11)</f>
        <v>500.65</v>
      </c>
      <c r="S11" s="57" t="n">
        <f aca="false">(I11-R11)+S10</f>
        <v>12125.6368066549</v>
      </c>
      <c r="T11" s="56" t="n">
        <v>295</v>
      </c>
      <c r="U11" s="56" t="n">
        <v>119</v>
      </c>
      <c r="V11" s="57" t="n">
        <f aca="false">V10-U11</f>
        <v>16681</v>
      </c>
      <c r="W11" s="56" t="n">
        <f aca="false">R11+T11+N11+U11</f>
        <v>985</v>
      </c>
      <c r="X11" s="56" t="n">
        <f aca="false">IF(L11&lt;0,L11*-1,0)</f>
        <v>0</v>
      </c>
      <c r="Y11" s="56" t="n">
        <f aca="false">W11+X11</f>
        <v>985</v>
      </c>
      <c r="Z11" s="60" t="n">
        <v>0</v>
      </c>
      <c r="AA11" s="61" t="n">
        <v>93</v>
      </c>
      <c r="AB11" s="61" t="n">
        <v>59</v>
      </c>
      <c r="AC11" s="62" t="n">
        <f aca="false">AC10+1</f>
        <v>2</v>
      </c>
      <c r="AD11" s="79"/>
      <c r="AE11" s="82"/>
      <c r="AF11" s="79"/>
    </row>
    <row r="12" customFormat="false" ht="11.1" hidden="false" customHeight="true" outlineLevel="0" collapsed="false">
      <c r="A12" s="62" t="n">
        <f aca="false">A11+1</f>
        <v>3</v>
      </c>
      <c r="B12" s="80" t="n">
        <v>6919.64</v>
      </c>
      <c r="C12" s="57" t="n">
        <v>362023</v>
      </c>
      <c r="D12" s="61" t="n">
        <f aca="false">C12-C11</f>
        <v>-1292</v>
      </c>
      <c r="E12" s="57" t="n">
        <f aca="false">C12-152000</f>
        <v>210023</v>
      </c>
      <c r="F12" s="56" t="n">
        <f aca="false">D12/$D$2</f>
        <v>-651.373834131586</v>
      </c>
      <c r="G12" s="56" t="n">
        <v>439</v>
      </c>
      <c r="H12" s="58" t="n">
        <v>0</v>
      </c>
      <c r="I12" s="56" t="n">
        <f aca="false">G12+H12</f>
        <v>439</v>
      </c>
      <c r="J12" s="81" t="n">
        <f aca="false">IF(L12&gt;0,L12,0)</f>
        <v>0</v>
      </c>
      <c r="K12" s="56" t="n">
        <f aca="false">I12+J12</f>
        <v>439</v>
      </c>
      <c r="L12" s="56" t="n">
        <f aca="false">F12-(I12-W12)</f>
        <v>-106.373834131586</v>
      </c>
      <c r="M12" s="56" t="n">
        <v>333</v>
      </c>
      <c r="N12" s="56" t="n">
        <f aca="false">(36+37)*1.05</f>
        <v>76.65</v>
      </c>
      <c r="O12" s="56" t="n">
        <f aca="false">M12-N12</f>
        <v>256.35</v>
      </c>
      <c r="P12" s="56" t="n">
        <v>168</v>
      </c>
      <c r="Q12" s="56" t="n">
        <v>79</v>
      </c>
      <c r="R12" s="56" t="n">
        <f aca="false">SUM(O12:Q12)</f>
        <v>503.35</v>
      </c>
      <c r="S12" s="57" t="n">
        <f aca="false">(I12-R12)+S11</f>
        <v>12061.2868066549</v>
      </c>
      <c r="T12" s="56" t="n">
        <v>284</v>
      </c>
      <c r="U12" s="56" t="n">
        <v>120</v>
      </c>
      <c r="V12" s="57" t="n">
        <f aca="false">V11-U12</f>
        <v>16561</v>
      </c>
      <c r="W12" s="56" t="n">
        <f aca="false">R12+T12+N12+U12</f>
        <v>984</v>
      </c>
      <c r="X12" s="56" t="n">
        <f aca="false">IF(L12&lt;0,L12*-1,0)</f>
        <v>106.373834131586</v>
      </c>
      <c r="Y12" s="56" t="n">
        <f aca="false">W12+X12</f>
        <v>1090.37383413159</v>
      </c>
      <c r="Z12" s="60" t="n">
        <v>0.06</v>
      </c>
      <c r="AA12" s="61" t="n">
        <v>93</v>
      </c>
      <c r="AB12" s="61" t="n">
        <v>60</v>
      </c>
      <c r="AC12" s="62" t="n">
        <f aca="false">AC11+1</f>
        <v>3</v>
      </c>
      <c r="AD12" s="79"/>
      <c r="AE12" s="82"/>
      <c r="AF12" s="79"/>
    </row>
    <row r="13" customFormat="false" ht="11.1" hidden="false" customHeight="true" outlineLevel="0" collapsed="false">
      <c r="A13" s="62" t="n">
        <f aca="false">A12+1</f>
        <v>4</v>
      </c>
      <c r="B13" s="80" t="n">
        <v>6919.39</v>
      </c>
      <c r="C13" s="57" t="n">
        <v>360946</v>
      </c>
      <c r="D13" s="61" t="n">
        <f aca="false">C13-C12</f>
        <v>-1077</v>
      </c>
      <c r="E13" s="57" t="n">
        <f aca="false">C13-152000</f>
        <v>208946</v>
      </c>
      <c r="F13" s="56" t="n">
        <f aca="false">D13/$D$2</f>
        <v>-542.979581547769</v>
      </c>
      <c r="G13" s="56" t="n">
        <v>433</v>
      </c>
      <c r="H13" s="58" t="n">
        <v>0</v>
      </c>
      <c r="I13" s="56" t="n">
        <f aca="false">G13+H13</f>
        <v>433</v>
      </c>
      <c r="J13" s="81" t="n">
        <f aca="false">IF(L13&gt;0,L13,0)</f>
        <v>0</v>
      </c>
      <c r="K13" s="56" t="n">
        <f aca="false">I13+J13</f>
        <v>433</v>
      </c>
      <c r="L13" s="56" t="n">
        <f aca="false">F13-(I13-W13)</f>
        <v>-23.979581547769</v>
      </c>
      <c r="M13" s="56" t="n">
        <v>317</v>
      </c>
      <c r="N13" s="56" t="n">
        <f aca="false">(34+36)*1.05</f>
        <v>73.5</v>
      </c>
      <c r="O13" s="56" t="n">
        <f aca="false">M13-N13</f>
        <v>243.5</v>
      </c>
      <c r="P13" s="56" t="n">
        <v>169</v>
      </c>
      <c r="Q13" s="56" t="n">
        <v>80</v>
      </c>
      <c r="R13" s="56" t="n">
        <f aca="false">SUM(O13:Q13)</f>
        <v>492.5</v>
      </c>
      <c r="S13" s="57" t="n">
        <f aca="false">(I13-R13)+S12</f>
        <v>12001.7868066549</v>
      </c>
      <c r="T13" s="56" t="n">
        <v>267</v>
      </c>
      <c r="U13" s="56" t="n">
        <v>119</v>
      </c>
      <c r="V13" s="57" t="n">
        <f aca="false">V12-U13</f>
        <v>16442</v>
      </c>
      <c r="W13" s="56" t="n">
        <f aca="false">R13+T13+N13+U13</f>
        <v>952</v>
      </c>
      <c r="X13" s="56" t="n">
        <f aca="false">IF(L13&lt;0,L13*-1,0)</f>
        <v>23.979581547769</v>
      </c>
      <c r="Y13" s="56" t="n">
        <f aca="false">W13+X13</f>
        <v>975.979581547769</v>
      </c>
      <c r="Z13" s="60" t="n">
        <v>0</v>
      </c>
      <c r="AA13" s="61" t="n">
        <v>91</v>
      </c>
      <c r="AB13" s="61" t="n">
        <v>57</v>
      </c>
      <c r="AC13" s="62" t="n">
        <f aca="false">AC12+1</f>
        <v>4</v>
      </c>
      <c r="AD13" s="79"/>
      <c r="AE13" s="82"/>
      <c r="AF13" s="79"/>
    </row>
    <row r="14" customFormat="false" ht="11.1" hidden="false" customHeight="true" outlineLevel="0" collapsed="false">
      <c r="A14" s="62" t="n">
        <f aca="false">A13+1</f>
        <v>5</v>
      </c>
      <c r="B14" s="80" t="n">
        <v>6919.14</v>
      </c>
      <c r="C14" s="57" t="n">
        <v>359870</v>
      </c>
      <c r="D14" s="61" t="n">
        <f aca="false">C14-C13</f>
        <v>-1076</v>
      </c>
      <c r="E14" s="57" t="n">
        <f aca="false">C14-152000</f>
        <v>207870</v>
      </c>
      <c r="F14" s="56" t="n">
        <f aca="false">D14/$D$2</f>
        <v>-542.475422233426</v>
      </c>
      <c r="G14" s="56" t="n">
        <v>409</v>
      </c>
      <c r="H14" s="58" t="n">
        <v>0</v>
      </c>
      <c r="I14" s="56" t="n">
        <f aca="false">G14+H14</f>
        <v>409</v>
      </c>
      <c r="J14" s="81" t="n">
        <f aca="false">IF(L14&gt;0,L14,0)</f>
        <v>0</v>
      </c>
      <c r="K14" s="56" t="n">
        <f aca="false">I14+J14</f>
        <v>409</v>
      </c>
      <c r="L14" s="56" t="n">
        <f aca="false">F14-(I14-W14)</f>
        <v>-7.47542223342578</v>
      </c>
      <c r="M14" s="56" t="n">
        <v>315</v>
      </c>
      <c r="N14" s="56" t="n">
        <f aca="false">(32+32)*1.05</f>
        <v>67.2</v>
      </c>
      <c r="O14" s="56" t="n">
        <f aca="false">M14-N14</f>
        <v>247.8</v>
      </c>
      <c r="P14" s="56" t="n">
        <v>169</v>
      </c>
      <c r="Q14" s="56" t="n">
        <v>80</v>
      </c>
      <c r="R14" s="56" t="n">
        <f aca="false">SUM(O14:Q14)</f>
        <v>496.8</v>
      </c>
      <c r="S14" s="57" t="n">
        <f aca="false">(I14-R14)+S13</f>
        <v>11913.9868066549</v>
      </c>
      <c r="T14" s="56" t="n">
        <v>261</v>
      </c>
      <c r="U14" s="56" t="n">
        <v>119</v>
      </c>
      <c r="V14" s="57" t="n">
        <f aca="false">V13-U14</f>
        <v>16323</v>
      </c>
      <c r="W14" s="56" t="n">
        <f aca="false">R14+T14+N14+U14</f>
        <v>944</v>
      </c>
      <c r="X14" s="56" t="n">
        <f aca="false">IF(L14&lt;0,L14*-1,0)</f>
        <v>7.47542223342578</v>
      </c>
      <c r="Y14" s="56" t="n">
        <f aca="false">W14+X14</f>
        <v>951.475422233426</v>
      </c>
      <c r="Z14" s="60" t="n">
        <v>0.02</v>
      </c>
      <c r="AA14" s="61" t="n">
        <v>90</v>
      </c>
      <c r="AB14" s="61" t="n">
        <v>61</v>
      </c>
      <c r="AC14" s="62" t="n">
        <f aca="false">AC13+1</f>
        <v>5</v>
      </c>
      <c r="AD14" s="79"/>
      <c r="AE14" s="82"/>
      <c r="AF14" s="79"/>
    </row>
    <row r="15" customFormat="false" ht="11.1" hidden="false" customHeight="true" outlineLevel="0" collapsed="false">
      <c r="A15" s="62" t="n">
        <f aca="false">A14+1</f>
        <v>6</v>
      </c>
      <c r="B15" s="80" t="n">
        <v>6918.89</v>
      </c>
      <c r="C15" s="57" t="n">
        <v>358797</v>
      </c>
      <c r="D15" s="61" t="n">
        <f aca="false">C15-C14</f>
        <v>-1073</v>
      </c>
      <c r="E15" s="57" t="n">
        <f aca="false">C15-152000</f>
        <v>206797</v>
      </c>
      <c r="F15" s="56" t="n">
        <f aca="false">D15/$D$2</f>
        <v>-540.962944290396</v>
      </c>
      <c r="G15" s="56" t="n">
        <v>400</v>
      </c>
      <c r="H15" s="58" t="n">
        <v>0</v>
      </c>
      <c r="I15" s="56" t="n">
        <f aca="false">G15+H15</f>
        <v>400</v>
      </c>
      <c r="J15" s="81" t="n">
        <f aca="false">IF(L15&gt;0,L15,0)</f>
        <v>13.0370557096043</v>
      </c>
      <c r="K15" s="56" t="n">
        <f aca="false">I15+J15</f>
        <v>413.037055709604</v>
      </c>
      <c r="L15" s="56" t="n">
        <f aca="false">F15-(I15-W15)</f>
        <v>13.0370557096043</v>
      </c>
      <c r="M15" s="56" t="n">
        <v>308</v>
      </c>
      <c r="N15" s="56" t="n">
        <f aca="false">(32+32)*1.05</f>
        <v>67.2</v>
      </c>
      <c r="O15" s="56" t="n">
        <f aca="false">M15-N15</f>
        <v>240.8</v>
      </c>
      <c r="P15" s="56" t="n">
        <v>169</v>
      </c>
      <c r="Q15" s="56" t="n">
        <v>79</v>
      </c>
      <c r="R15" s="56" t="n">
        <f aca="false">SUM(O15:Q15)</f>
        <v>488.8</v>
      </c>
      <c r="S15" s="57" t="n">
        <f aca="false">(I15-R15)+S14</f>
        <v>11825.1868066549</v>
      </c>
      <c r="T15" s="56" t="n">
        <v>279</v>
      </c>
      <c r="U15" s="56" t="n">
        <v>119</v>
      </c>
      <c r="V15" s="57" t="n">
        <f aca="false">V14-U15</f>
        <v>16204</v>
      </c>
      <c r="W15" s="56" t="n">
        <f aca="false">R15+T15+N15+U15</f>
        <v>954</v>
      </c>
      <c r="X15" s="56" t="n">
        <f aca="false">IF(L15&lt;0,L15*-1,0)</f>
        <v>0</v>
      </c>
      <c r="Y15" s="56" t="n">
        <f aca="false">W15+X15</f>
        <v>954</v>
      </c>
      <c r="Z15" s="60" t="n">
        <v>0</v>
      </c>
      <c r="AA15" s="61" t="n">
        <v>87</v>
      </c>
      <c r="AB15" s="61" t="n">
        <v>60</v>
      </c>
      <c r="AC15" s="62" t="n">
        <f aca="false">AC14+1</f>
        <v>6</v>
      </c>
      <c r="AD15" s="78"/>
      <c r="AE15" s="82"/>
      <c r="AF15" s="79"/>
    </row>
    <row r="16" customFormat="false" ht="11.1" hidden="false" customHeight="true" outlineLevel="0" collapsed="false">
      <c r="A16" s="62" t="n">
        <f aca="false">A15+1</f>
        <v>7</v>
      </c>
      <c r="B16" s="80" t="n">
        <v>6918.57</v>
      </c>
      <c r="C16" s="57" t="n">
        <v>357429</v>
      </c>
      <c r="D16" s="61" t="n">
        <f aca="false">C16-C15</f>
        <v>-1368</v>
      </c>
      <c r="E16" s="57" t="n">
        <f aca="false">C16-152000</f>
        <v>205429</v>
      </c>
      <c r="F16" s="56" t="n">
        <f aca="false">D16/$D$2</f>
        <v>-689.689942021679</v>
      </c>
      <c r="G16" s="56" t="n">
        <v>384</v>
      </c>
      <c r="H16" s="58" t="n">
        <v>0</v>
      </c>
      <c r="I16" s="56" t="n">
        <f aca="false">G16+H16</f>
        <v>384</v>
      </c>
      <c r="J16" s="81" t="n">
        <f aca="false">IF(L16&gt;0,L16,0)</f>
        <v>0</v>
      </c>
      <c r="K16" s="56" t="n">
        <f aca="false">I16+J16</f>
        <v>384</v>
      </c>
      <c r="L16" s="56" t="n">
        <f aca="false">F16-(I16-W16)</f>
        <v>-115.689942021679</v>
      </c>
      <c r="M16" s="56" t="n">
        <v>309</v>
      </c>
      <c r="N16" s="56" t="n">
        <f aca="false">(31+32)*1.05</f>
        <v>66.15</v>
      </c>
      <c r="O16" s="56" t="n">
        <f aca="false">M16-N16</f>
        <v>242.85</v>
      </c>
      <c r="P16" s="56" t="n">
        <v>169</v>
      </c>
      <c r="Q16" s="56" t="n">
        <v>81</v>
      </c>
      <c r="R16" s="56" t="n">
        <f aca="false">SUM(O16:Q16)</f>
        <v>492.85</v>
      </c>
      <c r="S16" s="57" t="n">
        <f aca="false">(I16-R16)+S15</f>
        <v>11716.3368066549</v>
      </c>
      <c r="T16" s="56" t="n">
        <v>280</v>
      </c>
      <c r="U16" s="56" t="n">
        <v>119</v>
      </c>
      <c r="V16" s="57" t="n">
        <f aca="false">V15-U16</f>
        <v>16085</v>
      </c>
      <c r="W16" s="56" t="n">
        <f aca="false">R16+T16+N16+U16</f>
        <v>958</v>
      </c>
      <c r="X16" s="56" t="n">
        <f aca="false">IF(L16&lt;0,L16*-1,0)</f>
        <v>115.689942021679</v>
      </c>
      <c r="Y16" s="56" t="n">
        <f aca="false">W16+X16</f>
        <v>1073.68994202168</v>
      </c>
      <c r="Z16" s="60" t="n">
        <v>0.04</v>
      </c>
      <c r="AA16" s="131" t="n">
        <v>78</v>
      </c>
      <c r="AB16" s="131" t="n">
        <v>63</v>
      </c>
      <c r="AC16" s="62" t="n">
        <f aca="false">AC15+1</f>
        <v>7</v>
      </c>
      <c r="AD16" s="78"/>
      <c r="AE16" s="82"/>
      <c r="AF16" s="79"/>
    </row>
    <row r="17" customFormat="false" ht="11.1" hidden="false" customHeight="true" outlineLevel="0" collapsed="false">
      <c r="A17" s="62" t="n">
        <f aca="false">A16+1</f>
        <v>8</v>
      </c>
      <c r="B17" s="80" t="n">
        <v>6918.28</v>
      </c>
      <c r="C17" s="57" t="n">
        <v>356361</v>
      </c>
      <c r="D17" s="61" t="n">
        <f aca="false">C17-C16</f>
        <v>-1068</v>
      </c>
      <c r="E17" s="57" t="n">
        <f aca="false">C17-152000</f>
        <v>204361</v>
      </c>
      <c r="F17" s="56" t="n">
        <f aca="false">D17/$D$2</f>
        <v>-538.442147718679</v>
      </c>
      <c r="G17" s="56" t="n">
        <v>452</v>
      </c>
      <c r="H17" s="58" t="n">
        <v>0</v>
      </c>
      <c r="I17" s="56" t="n">
        <f aca="false">G17+H17</f>
        <v>452</v>
      </c>
      <c r="J17" s="81" t="n">
        <f aca="false">IF(L17&gt;0,L17,0)</f>
        <v>0</v>
      </c>
      <c r="K17" s="56" t="n">
        <f aca="false">I17+J17</f>
        <v>452</v>
      </c>
      <c r="L17" s="56" t="n">
        <f aca="false">F17-(I17-W17)</f>
        <v>-56.4421477186791</v>
      </c>
      <c r="M17" s="56" t="n">
        <v>302</v>
      </c>
      <c r="N17" s="56" t="n">
        <f aca="false">(35+31)*1.05</f>
        <v>69.3</v>
      </c>
      <c r="O17" s="56" t="n">
        <f aca="false">M17-N17</f>
        <v>232.7</v>
      </c>
      <c r="P17" s="56" t="n">
        <v>169</v>
      </c>
      <c r="Q17" s="56" t="n">
        <v>81</v>
      </c>
      <c r="R17" s="56" t="n">
        <f aca="false">SUM(O17:Q17)</f>
        <v>482.7</v>
      </c>
      <c r="S17" s="57" t="n">
        <f aca="false">(I17-R17)+S16</f>
        <v>11685.6368066549</v>
      </c>
      <c r="T17" s="56" t="n">
        <v>263</v>
      </c>
      <c r="U17" s="56" t="n">
        <v>119</v>
      </c>
      <c r="V17" s="57" t="n">
        <f aca="false">V16-U17</f>
        <v>15966</v>
      </c>
      <c r="W17" s="56" t="n">
        <f aca="false">R17+T17+N17+U17</f>
        <v>934</v>
      </c>
      <c r="X17" s="56" t="n">
        <f aca="false">IF(L17&lt;0,L17*-1,0)</f>
        <v>56.4421477186791</v>
      </c>
      <c r="Y17" s="56" t="n">
        <f aca="false">W17+X17</f>
        <v>990.442147718679</v>
      </c>
      <c r="Z17" s="60" t="n">
        <v>0.02</v>
      </c>
      <c r="AA17" s="61" t="n">
        <v>85</v>
      </c>
      <c r="AB17" s="61" t="n">
        <v>52</v>
      </c>
      <c r="AC17" s="62" t="n">
        <f aca="false">AC16+1</f>
        <v>8</v>
      </c>
      <c r="AD17" s="78"/>
      <c r="AE17" s="82"/>
      <c r="AF17" s="79"/>
    </row>
    <row r="18" customFormat="false" ht="11.1" hidden="false" customHeight="true" outlineLevel="0" collapsed="false">
      <c r="A18" s="62" t="n">
        <f aca="false">A17+1</f>
        <v>9</v>
      </c>
      <c r="B18" s="80" t="n">
        <v>6917.99</v>
      </c>
      <c r="C18" s="57" t="n">
        <v>354951</v>
      </c>
      <c r="D18" s="61" t="n">
        <f aca="false">C18-C17</f>
        <v>-1410</v>
      </c>
      <c r="E18" s="57" t="n">
        <f aca="false">C18-152000</f>
        <v>202951</v>
      </c>
      <c r="F18" s="56" t="n">
        <f aca="false">D18/$D$2</f>
        <v>-710.864633224099</v>
      </c>
      <c r="G18" s="56" t="n">
        <v>468</v>
      </c>
      <c r="H18" s="58" t="n">
        <v>0</v>
      </c>
      <c r="I18" s="56" t="n">
        <f aca="false">G18+H18</f>
        <v>468</v>
      </c>
      <c r="J18" s="81" t="n">
        <f aca="false">IF(L18&gt;0,L18,0)</f>
        <v>0</v>
      </c>
      <c r="K18" s="56" t="n">
        <f aca="false">I18+J18</f>
        <v>468</v>
      </c>
      <c r="L18" s="56" t="n">
        <f aca="false">F18-(I18-W18)</f>
        <v>-259.864633224099</v>
      </c>
      <c r="M18" s="56" t="n">
        <v>301</v>
      </c>
      <c r="N18" s="56" t="n">
        <f aca="false">(37+35)*1.05</f>
        <v>75.6</v>
      </c>
      <c r="O18" s="56" t="n">
        <f aca="false">M18-N18</f>
        <v>225.4</v>
      </c>
      <c r="P18" s="56" t="n">
        <v>169</v>
      </c>
      <c r="Q18" s="56" t="n">
        <v>81</v>
      </c>
      <c r="R18" s="56" t="n">
        <f aca="false">SUM(O18:Q18)</f>
        <v>475.4</v>
      </c>
      <c r="S18" s="57" t="n">
        <f aca="false">(I18-R18)+S17</f>
        <v>11678.2368066549</v>
      </c>
      <c r="T18" s="56" t="n">
        <v>249</v>
      </c>
      <c r="U18" s="56" t="n">
        <v>119</v>
      </c>
      <c r="V18" s="57" t="n">
        <f aca="false">V17-U18</f>
        <v>15847</v>
      </c>
      <c r="W18" s="56" t="n">
        <f aca="false">R18+T18+N18+U18</f>
        <v>919</v>
      </c>
      <c r="X18" s="56" t="n">
        <f aca="false">IF(L18&lt;0,L18*-1,0)</f>
        <v>259.864633224099</v>
      </c>
      <c r="Y18" s="56" t="n">
        <f aca="false">W18+X18</f>
        <v>1178.8646332241</v>
      </c>
      <c r="Z18" s="60" t="n">
        <v>0</v>
      </c>
      <c r="AA18" s="90" t="n">
        <v>79</v>
      </c>
      <c r="AB18" s="61" t="n">
        <v>57</v>
      </c>
      <c r="AC18" s="62" t="n">
        <f aca="false">AC17+1</f>
        <v>9</v>
      </c>
      <c r="AD18" s="78"/>
      <c r="AE18" s="82"/>
      <c r="AF18" s="79"/>
    </row>
    <row r="19" customFormat="false" ht="11.1" hidden="false" customHeight="true" outlineLevel="0" collapsed="false">
      <c r="A19" s="62" t="n">
        <f aca="false">A18+1</f>
        <v>10</v>
      </c>
      <c r="B19" s="80" t="n">
        <v>6917.79</v>
      </c>
      <c r="C19" s="57" t="n">
        <v>354103</v>
      </c>
      <c r="D19" s="61" t="n">
        <f aca="false">C19-C18</f>
        <v>-848</v>
      </c>
      <c r="E19" s="57" t="n">
        <f aca="false">C19-152000</f>
        <v>202103</v>
      </c>
      <c r="F19" s="56" t="n">
        <f aca="false">D19/$D$2</f>
        <v>-427.527098563146</v>
      </c>
      <c r="G19" s="56" t="n">
        <v>453</v>
      </c>
      <c r="H19" s="58" t="n">
        <v>0</v>
      </c>
      <c r="I19" s="56" t="n">
        <f aca="false">G19+H19</f>
        <v>453</v>
      </c>
      <c r="J19" s="81" t="n">
        <f aca="false">IF(L19&gt;0,L19,0)</f>
        <v>8.47290143685405</v>
      </c>
      <c r="K19" s="56" t="n">
        <f aca="false">I19+J19</f>
        <v>461.472901436854</v>
      </c>
      <c r="L19" s="56" t="n">
        <f aca="false">F19-(I19-W19)</f>
        <v>8.47290143685405</v>
      </c>
      <c r="M19" s="56" t="n">
        <v>297</v>
      </c>
      <c r="N19" s="56" t="n">
        <f aca="false">(33+34)*1.05</f>
        <v>70.35</v>
      </c>
      <c r="O19" s="56" t="n">
        <f aca="false">M19-N19</f>
        <v>226.65</v>
      </c>
      <c r="P19" s="56" t="n">
        <v>170</v>
      </c>
      <c r="Q19" s="56" t="n">
        <v>81</v>
      </c>
      <c r="R19" s="56" t="n">
        <f aca="false">SUM(O19:Q19)</f>
        <v>477.65</v>
      </c>
      <c r="S19" s="57" t="n">
        <f aca="false">(I19-R19)+S18</f>
        <v>11653.5868066549</v>
      </c>
      <c r="T19" s="56" t="n">
        <v>222</v>
      </c>
      <c r="U19" s="56" t="n">
        <v>119</v>
      </c>
      <c r="V19" s="57" t="n">
        <f aca="false">V18-U19</f>
        <v>15728</v>
      </c>
      <c r="W19" s="56" t="n">
        <f aca="false">R19+T19+N19+U19</f>
        <v>889</v>
      </c>
      <c r="X19" s="56" t="n">
        <f aca="false">IF(L19&lt;0,L19*-1,0)</f>
        <v>0</v>
      </c>
      <c r="Y19" s="56" t="n">
        <f aca="false">W19+X19</f>
        <v>889</v>
      </c>
      <c r="Z19" s="60" t="n">
        <v>0.17</v>
      </c>
      <c r="AA19" s="61" t="n">
        <v>87</v>
      </c>
      <c r="AB19" s="61" t="n">
        <v>56</v>
      </c>
      <c r="AC19" s="62" t="n">
        <f aca="false">AC18+1</f>
        <v>10</v>
      </c>
      <c r="AD19" s="78"/>
      <c r="AE19" s="82"/>
      <c r="AF19" s="79"/>
    </row>
    <row r="20" customFormat="false" ht="11.1" hidden="false" customHeight="true" outlineLevel="0" collapsed="false">
      <c r="A20" s="62" t="n">
        <f aca="false">A19+1</f>
        <v>11</v>
      </c>
      <c r="B20" s="80" t="n">
        <v>6917.59</v>
      </c>
      <c r="C20" s="57" t="n">
        <v>353255</v>
      </c>
      <c r="D20" s="61" t="n">
        <f aca="false">C20-C19</f>
        <v>-848</v>
      </c>
      <c r="E20" s="57" t="n">
        <f aca="false">C20-152000</f>
        <v>201255</v>
      </c>
      <c r="F20" s="56" t="n">
        <f aca="false">D20/$D$2</f>
        <v>-427.527098563146</v>
      </c>
      <c r="G20" s="56" t="n">
        <v>428</v>
      </c>
      <c r="H20" s="58" t="n">
        <v>0</v>
      </c>
      <c r="I20" s="56" t="n">
        <f aca="false">G20+H20</f>
        <v>428</v>
      </c>
      <c r="J20" s="81" t="n">
        <f aca="false">IF(L20&gt;0,L20,0)</f>
        <v>0</v>
      </c>
      <c r="K20" s="56" t="n">
        <f aca="false">I20+J20</f>
        <v>428</v>
      </c>
      <c r="L20" s="56" t="n">
        <f aca="false">F20-(I20-W20)</f>
        <v>-10.527098563146</v>
      </c>
      <c r="M20" s="56" t="n">
        <v>257</v>
      </c>
      <c r="N20" s="56" t="n">
        <f aca="false">(28+26)*1.05</f>
        <v>56.7</v>
      </c>
      <c r="O20" s="56" t="n">
        <f aca="false">M20-N20</f>
        <v>200.3</v>
      </c>
      <c r="P20" s="56" t="n">
        <v>170</v>
      </c>
      <c r="Q20" s="56" t="n">
        <v>81</v>
      </c>
      <c r="R20" s="56" t="n">
        <f aca="false">SUM(O20:Q20)</f>
        <v>451.3</v>
      </c>
      <c r="S20" s="57" t="n">
        <f aca="false">(I20-R20)+S19</f>
        <v>11630.2868066549</v>
      </c>
      <c r="T20" s="56" t="n">
        <v>218</v>
      </c>
      <c r="U20" s="56" t="n">
        <v>119</v>
      </c>
      <c r="V20" s="57" t="n">
        <f aca="false">V19-U20</f>
        <v>15609</v>
      </c>
      <c r="W20" s="56" t="n">
        <f aca="false">R20+T20+N20+U20</f>
        <v>845</v>
      </c>
      <c r="X20" s="56" t="n">
        <f aca="false">IF(L20&lt;0,L20*-1,0)</f>
        <v>10.527098563146</v>
      </c>
      <c r="Y20" s="56" t="n">
        <f aca="false">W20+X20</f>
        <v>855.527098563146</v>
      </c>
      <c r="Z20" s="60" t="n">
        <v>0</v>
      </c>
      <c r="AA20" s="61" t="n">
        <v>93</v>
      </c>
      <c r="AB20" s="61" t="n">
        <v>55</v>
      </c>
      <c r="AC20" s="62" t="n">
        <f aca="false">AC19+1</f>
        <v>11</v>
      </c>
      <c r="AD20" s="78"/>
      <c r="AE20" s="82"/>
      <c r="AF20" s="79"/>
      <c r="AG20" s="132"/>
      <c r="AH20" s="132"/>
      <c r="AI20" s="132"/>
    </row>
    <row r="21" customFormat="false" ht="11.1" hidden="false" customHeight="true" outlineLevel="0" collapsed="false">
      <c r="A21" s="62" t="n">
        <f aca="false">A20+1</f>
        <v>12</v>
      </c>
      <c r="B21" s="80" t="n">
        <v>6917.32</v>
      </c>
      <c r="C21" s="57" t="n">
        <v>352111</v>
      </c>
      <c r="D21" s="61" t="n">
        <f aca="false">C21-C20</f>
        <v>-1144</v>
      </c>
      <c r="E21" s="57" t="n">
        <f aca="false">C21-152000</f>
        <v>200111</v>
      </c>
      <c r="F21" s="56" t="n">
        <f aca="false">D21/$D$2</f>
        <v>-576.758255608772</v>
      </c>
      <c r="G21" s="56" t="n">
        <v>351</v>
      </c>
      <c r="H21" s="58" t="n">
        <v>0</v>
      </c>
      <c r="I21" s="56" t="n">
        <f aca="false">G21+H21</f>
        <v>351</v>
      </c>
      <c r="J21" s="81" t="n">
        <f aca="false">IF(L21&gt;0,L21,0)</f>
        <v>0</v>
      </c>
      <c r="K21" s="56" t="n">
        <f aca="false">I21+J21</f>
        <v>351</v>
      </c>
      <c r="L21" s="56" t="n">
        <f aca="false">F21-(I21-W21)</f>
        <v>-69.7582556087724</v>
      </c>
      <c r="M21" s="56" t="n">
        <v>272</v>
      </c>
      <c r="N21" s="56" t="n">
        <f aca="false">(20+21)*1.05</f>
        <v>43.05</v>
      </c>
      <c r="O21" s="56" t="n">
        <f aca="false">M21-N21</f>
        <v>228.95</v>
      </c>
      <c r="P21" s="56" t="n">
        <v>170</v>
      </c>
      <c r="Q21" s="56" t="n">
        <v>80</v>
      </c>
      <c r="R21" s="56" t="n">
        <f aca="false">SUM(O21:Q21)</f>
        <v>478.95</v>
      </c>
      <c r="S21" s="57" t="n">
        <f aca="false">(I21-R21)+S20</f>
        <v>11502.3368066549</v>
      </c>
      <c r="T21" s="56" t="n">
        <v>217</v>
      </c>
      <c r="U21" s="56" t="n">
        <v>119</v>
      </c>
      <c r="V21" s="57" t="n">
        <f aca="false">V20-U21</f>
        <v>15490</v>
      </c>
      <c r="W21" s="56" t="n">
        <f aca="false">R21+T21+N21+U21</f>
        <v>858</v>
      </c>
      <c r="X21" s="56" t="n">
        <f aca="false">IF(L21&lt;0,L21*-1,0)</f>
        <v>69.7582556087724</v>
      </c>
      <c r="Y21" s="56" t="n">
        <f aca="false">W21+X21</f>
        <v>927.758255608772</v>
      </c>
      <c r="Z21" s="60" t="n">
        <v>0</v>
      </c>
      <c r="AA21" s="61" t="n">
        <v>94</v>
      </c>
      <c r="AB21" s="61" t="n">
        <v>55</v>
      </c>
      <c r="AC21" s="62" t="n">
        <f aca="false">AC20+1</f>
        <v>12</v>
      </c>
      <c r="AD21" s="78"/>
      <c r="AE21" s="78"/>
      <c r="AF21" s="78"/>
    </row>
    <row r="22" customFormat="false" ht="11.1" hidden="false" customHeight="true" outlineLevel="0" collapsed="false">
      <c r="A22" s="62" t="n">
        <f aca="false">A21+1</f>
        <v>13</v>
      </c>
      <c r="B22" s="80" t="n">
        <v>6917.02</v>
      </c>
      <c r="C22" s="57" t="n">
        <v>350839</v>
      </c>
      <c r="D22" s="61" t="n">
        <f aca="false">C22-C21</f>
        <v>-1272</v>
      </c>
      <c r="E22" s="57" t="n">
        <f aca="false">C22-152000</f>
        <v>198839</v>
      </c>
      <c r="F22" s="56" t="n">
        <f aca="false">D22/$D$2</f>
        <v>-641.290647844719</v>
      </c>
      <c r="G22" s="56" t="n">
        <v>310</v>
      </c>
      <c r="H22" s="58" t="n">
        <v>0</v>
      </c>
      <c r="I22" s="56" t="n">
        <f aca="false">G22+H22</f>
        <v>310</v>
      </c>
      <c r="J22" s="81" t="n">
        <f aca="false">IF(L22&gt;0,L22,0)</f>
        <v>0</v>
      </c>
      <c r="K22" s="56" t="n">
        <f aca="false">I22+J22</f>
        <v>310</v>
      </c>
      <c r="L22" s="56" t="n">
        <f aca="false">F22-(I22-W22)</f>
        <v>-57.2906478447189</v>
      </c>
      <c r="M22" s="56" t="n">
        <v>278</v>
      </c>
      <c r="N22" s="56" t="n">
        <f aca="false">(28+27)*1.05</f>
        <v>57.75</v>
      </c>
      <c r="O22" s="56" t="n">
        <f aca="false">M22-N22</f>
        <v>220.25</v>
      </c>
      <c r="P22" s="56" t="n">
        <v>169</v>
      </c>
      <c r="Q22" s="56" t="n">
        <v>81</v>
      </c>
      <c r="R22" s="56" t="n">
        <f aca="false">SUM(O22:Q22)</f>
        <v>470.25</v>
      </c>
      <c r="S22" s="57" t="n">
        <f aca="false">(I22-R22)+S21</f>
        <v>11342.0868066549</v>
      </c>
      <c r="T22" s="56" t="n">
        <v>248</v>
      </c>
      <c r="U22" s="56" t="n">
        <v>118</v>
      </c>
      <c r="V22" s="57" t="n">
        <f aca="false">V21-U22</f>
        <v>15372</v>
      </c>
      <c r="W22" s="56" t="n">
        <f aca="false">R22+T22+N22+U22</f>
        <v>894</v>
      </c>
      <c r="X22" s="56" t="n">
        <f aca="false">IF(L22&lt;0,L22*-1,0)</f>
        <v>57.2906478447189</v>
      </c>
      <c r="Y22" s="56" t="n">
        <f aca="false">W22+X22</f>
        <v>951.290647844719</v>
      </c>
      <c r="Z22" s="60" t="n">
        <v>0</v>
      </c>
      <c r="AA22" s="61" t="n">
        <v>94</v>
      </c>
      <c r="AB22" s="61" t="n">
        <v>59</v>
      </c>
      <c r="AC22" s="62" t="n">
        <f aca="false">AC21+1</f>
        <v>13</v>
      </c>
      <c r="AD22" s="78"/>
      <c r="AE22" s="78"/>
      <c r="AF22" s="78"/>
    </row>
    <row r="23" customFormat="false" ht="11.1" hidden="false" customHeight="true" outlineLevel="0" collapsed="false">
      <c r="A23" s="62" t="n">
        <f aca="false">A22+1</f>
        <v>14</v>
      </c>
      <c r="B23" s="80" t="n">
        <v>6916.69</v>
      </c>
      <c r="C23" s="57" t="n">
        <v>349450</v>
      </c>
      <c r="D23" s="61" t="n">
        <f aca="false">C23-C22</f>
        <v>-1389</v>
      </c>
      <c r="E23" s="57" t="n">
        <f aca="false">C23-152000</f>
        <v>197450</v>
      </c>
      <c r="F23" s="56" t="n">
        <f aca="false">D23/$D$2</f>
        <v>-700.277287622889</v>
      </c>
      <c r="G23" s="56" t="n">
        <v>276</v>
      </c>
      <c r="H23" s="58" t="n">
        <v>0</v>
      </c>
      <c r="I23" s="56" t="n">
        <f aca="false">G23+H23</f>
        <v>276</v>
      </c>
      <c r="J23" s="81" t="n">
        <f aca="false">IF(L23&gt;0,L23,0)</f>
        <v>0</v>
      </c>
      <c r="K23" s="56" t="n">
        <f aca="false">I23+J23</f>
        <v>276</v>
      </c>
      <c r="L23" s="56" t="n">
        <f aca="false">F23-(I23-W23)</f>
        <v>-71.2772876228888</v>
      </c>
      <c r="M23" s="56" t="n">
        <v>287</v>
      </c>
      <c r="N23" s="56" t="n">
        <f aca="false">(30+31)*1.05</f>
        <v>64.05</v>
      </c>
      <c r="O23" s="56" t="n">
        <f aca="false">M23-N23</f>
        <v>222.95</v>
      </c>
      <c r="P23" s="56" t="n">
        <v>169</v>
      </c>
      <c r="Q23" s="56" t="n">
        <v>84</v>
      </c>
      <c r="R23" s="56" t="n">
        <f aca="false">SUM(O23:Q23)</f>
        <v>475.95</v>
      </c>
      <c r="S23" s="57" t="n">
        <f aca="false">(I23-R23)+S22</f>
        <v>11142.1368066549</v>
      </c>
      <c r="T23" s="56" t="n">
        <v>247</v>
      </c>
      <c r="U23" s="56" t="n">
        <v>118</v>
      </c>
      <c r="V23" s="57" t="n">
        <f aca="false">V22-U23</f>
        <v>15254</v>
      </c>
      <c r="W23" s="56" t="n">
        <f aca="false">R23+T23+N23+U23</f>
        <v>905</v>
      </c>
      <c r="X23" s="56" t="n">
        <f aca="false">IF(L23&lt;0,L23*-1,0)</f>
        <v>71.2772876228888</v>
      </c>
      <c r="Y23" s="56" t="n">
        <f aca="false">W23+X23</f>
        <v>976.277287622889</v>
      </c>
      <c r="Z23" s="60" t="n">
        <v>0</v>
      </c>
      <c r="AA23" s="61" t="n">
        <v>96</v>
      </c>
      <c r="AB23" s="61" t="n">
        <v>56</v>
      </c>
      <c r="AC23" s="62" t="n">
        <f aca="false">AC22+1</f>
        <v>14</v>
      </c>
      <c r="AD23" s="78"/>
      <c r="AE23" s="78"/>
      <c r="AF23" s="78"/>
    </row>
    <row r="24" customFormat="false" ht="11.1" hidden="false" customHeight="true" outlineLevel="0" collapsed="false">
      <c r="A24" s="62" t="n">
        <f aca="false">A23+1</f>
        <v>15</v>
      </c>
      <c r="B24" s="80" t="n">
        <v>6916.37</v>
      </c>
      <c r="C24" s="57" t="n">
        <v>348103</v>
      </c>
      <c r="D24" s="61" t="n">
        <f aca="false">C24-C23</f>
        <v>-1347</v>
      </c>
      <c r="E24" s="57" t="n">
        <f aca="false">C24-152000</f>
        <v>196103</v>
      </c>
      <c r="F24" s="56" t="n">
        <f aca="false">D24/$D$2</f>
        <v>-679.102596420469</v>
      </c>
      <c r="G24" s="56" t="n">
        <v>247</v>
      </c>
      <c r="H24" s="58" t="n">
        <v>0</v>
      </c>
      <c r="I24" s="56" t="n">
        <f aca="false">G24+H24</f>
        <v>247</v>
      </c>
      <c r="J24" s="81" t="n">
        <f aca="false">IF(L24&gt;0,L24,0)</f>
        <v>0</v>
      </c>
      <c r="K24" s="56" t="n">
        <f aca="false">I24+J24</f>
        <v>247</v>
      </c>
      <c r="L24" s="56" t="n">
        <f aca="false">F24-(I24-W24)</f>
        <v>-17.1025964204689</v>
      </c>
      <c r="M24" s="56" t="n">
        <v>296</v>
      </c>
      <c r="N24" s="56" t="n">
        <f aca="false">(26+27)*1.05</f>
        <v>55.65</v>
      </c>
      <c r="O24" s="56" t="n">
        <f aca="false">M24-N24</f>
        <v>240.35</v>
      </c>
      <c r="P24" s="56" t="n">
        <v>169</v>
      </c>
      <c r="Q24" s="56" t="n">
        <v>85</v>
      </c>
      <c r="R24" s="56" t="n">
        <f aca="false">SUM(O24:Q24)</f>
        <v>494.35</v>
      </c>
      <c r="S24" s="57" t="n">
        <f aca="false">(I24-R24)+S23</f>
        <v>10894.7868066549</v>
      </c>
      <c r="T24" s="56" t="n">
        <v>242</v>
      </c>
      <c r="U24" s="56" t="n">
        <v>117</v>
      </c>
      <c r="V24" s="57" t="n">
        <f aca="false">V23-U24</f>
        <v>15137</v>
      </c>
      <c r="W24" s="56" t="n">
        <f aca="false">R24+T24+N24+U24</f>
        <v>909</v>
      </c>
      <c r="X24" s="56" t="n">
        <f aca="false">IF(L24&lt;0,L24*-1,0)</f>
        <v>17.1025964204689</v>
      </c>
      <c r="Y24" s="56" t="n">
        <f aca="false">W24+X24</f>
        <v>926.102596420469</v>
      </c>
      <c r="Z24" s="60" t="n">
        <v>0</v>
      </c>
      <c r="AA24" s="90" t="n">
        <v>100</v>
      </c>
      <c r="AB24" s="61" t="n">
        <v>59</v>
      </c>
      <c r="AC24" s="62" t="n">
        <f aca="false">AC23+1</f>
        <v>15</v>
      </c>
      <c r="AD24" s="78"/>
      <c r="AE24" s="78"/>
      <c r="AF24" s="78"/>
    </row>
    <row r="25" customFormat="false" ht="11.1" hidden="false" customHeight="true" outlineLevel="0" collapsed="false">
      <c r="A25" s="62" t="n">
        <f aca="false">A24+1</f>
        <v>16</v>
      </c>
      <c r="B25" s="80" t="n">
        <v>6916.08</v>
      </c>
      <c r="C25" s="57" t="n">
        <v>346883</v>
      </c>
      <c r="D25" s="61" t="n">
        <f aca="false">C25-C24</f>
        <v>-1220</v>
      </c>
      <c r="E25" s="57" t="n">
        <f aca="false">C25-152000</f>
        <v>194883</v>
      </c>
      <c r="F25" s="56" t="n">
        <f aca="false">D25/$D$2</f>
        <v>-615.074363498866</v>
      </c>
      <c r="G25" s="56" t="n">
        <v>246</v>
      </c>
      <c r="H25" s="58" t="n">
        <v>0</v>
      </c>
      <c r="I25" s="56" t="n">
        <f aca="false">G25+H25</f>
        <v>246</v>
      </c>
      <c r="J25" s="81" t="n">
        <f aca="false">IF(L25&gt;0,L25,0)</f>
        <v>0</v>
      </c>
      <c r="K25" s="56" t="n">
        <f aca="false">I25+J25</f>
        <v>246</v>
      </c>
      <c r="L25" s="56" t="n">
        <f aca="false">F25-(I25-W25)</f>
        <v>-21.0743634988656</v>
      </c>
      <c r="M25" s="56" t="n">
        <v>268</v>
      </c>
      <c r="N25" s="56" t="n">
        <f aca="false">(12+13)*1.05</f>
        <v>26.25</v>
      </c>
      <c r="O25" s="56" t="n">
        <f aca="false">M25-N25</f>
        <v>241.75</v>
      </c>
      <c r="P25" s="56" t="n">
        <v>169</v>
      </c>
      <c r="Q25" s="56" t="n">
        <v>86</v>
      </c>
      <c r="R25" s="56" t="n">
        <f aca="false">SUM(O25:Q25)</f>
        <v>496.75</v>
      </c>
      <c r="S25" s="57" t="n">
        <f aca="false">(I25-R25)+S24</f>
        <v>10644.0368066549</v>
      </c>
      <c r="T25" s="56" t="n">
        <v>221</v>
      </c>
      <c r="U25" s="56" t="n">
        <v>96</v>
      </c>
      <c r="V25" s="57" t="n">
        <f aca="false">V24-U25</f>
        <v>15041</v>
      </c>
      <c r="W25" s="56" t="n">
        <f aca="false">R25+T25+N25+U25</f>
        <v>840</v>
      </c>
      <c r="X25" s="56" t="n">
        <f aca="false">IF(L25&lt;0,L25*-1,0)</f>
        <v>21.0743634988656</v>
      </c>
      <c r="Y25" s="56" t="n">
        <f aca="false">W25+X25</f>
        <v>861.074363498866</v>
      </c>
      <c r="Z25" s="60" t="n">
        <v>0</v>
      </c>
      <c r="AA25" s="90" t="n">
        <v>94</v>
      </c>
      <c r="AB25" s="61" t="n">
        <v>60</v>
      </c>
      <c r="AC25" s="62" t="n">
        <f aca="false">AC24+1</f>
        <v>16</v>
      </c>
      <c r="AD25" s="78"/>
      <c r="AE25" s="78"/>
      <c r="AF25" s="78"/>
    </row>
    <row r="26" customFormat="false" ht="11.1" hidden="false" customHeight="true" outlineLevel="0" collapsed="false">
      <c r="A26" s="62" t="n">
        <f aca="false">A25+1</f>
        <v>17</v>
      </c>
      <c r="B26" s="80" t="n">
        <v>6915.79</v>
      </c>
      <c r="C26" s="57" t="n">
        <v>345670</v>
      </c>
      <c r="D26" s="61" t="n">
        <f aca="false">C26-C25</f>
        <v>-1213</v>
      </c>
      <c r="E26" s="57" t="n">
        <f aca="false">C26-152000</f>
        <v>193670</v>
      </c>
      <c r="F26" s="56" t="n">
        <f aca="false">D26/$D$2</f>
        <v>-611.545248298462</v>
      </c>
      <c r="G26" s="56" t="n">
        <v>246</v>
      </c>
      <c r="H26" s="58" t="n">
        <v>0</v>
      </c>
      <c r="I26" s="56" t="n">
        <f aca="false">G26+H26</f>
        <v>246</v>
      </c>
      <c r="J26" s="81" t="n">
        <f aca="false">IF(L26&gt;0,L26,0)</f>
        <v>0</v>
      </c>
      <c r="K26" s="56" t="n">
        <f aca="false">I26+J26</f>
        <v>246</v>
      </c>
      <c r="L26" s="56" t="n">
        <f aca="false">F26-(I26-W26)</f>
        <v>-16.5452482984623</v>
      </c>
      <c r="M26" s="56" t="n">
        <v>289</v>
      </c>
      <c r="N26" s="56" t="n">
        <f aca="false">(19+18)*1.05</f>
        <v>38.85</v>
      </c>
      <c r="O26" s="56" t="n">
        <f aca="false">M26-N26</f>
        <v>250.15</v>
      </c>
      <c r="P26" s="56" t="n">
        <v>170</v>
      </c>
      <c r="Q26" s="56" t="n">
        <v>85</v>
      </c>
      <c r="R26" s="56" t="n">
        <f aca="false">SUM(O26:Q26)</f>
        <v>505.15</v>
      </c>
      <c r="S26" s="57" t="n">
        <f aca="false">(I26-R26)+S25</f>
        <v>10384.8868066549</v>
      </c>
      <c r="T26" s="56" t="n">
        <v>200</v>
      </c>
      <c r="U26" s="56" t="n">
        <v>97</v>
      </c>
      <c r="V26" s="57" t="n">
        <f aca="false">V25-U26</f>
        <v>14944</v>
      </c>
      <c r="W26" s="56" t="n">
        <f aca="false">R26+T26+N26+U26</f>
        <v>841</v>
      </c>
      <c r="X26" s="56" t="n">
        <f aca="false">IF(L26&lt;0,L26*-1,0)</f>
        <v>16.5452482984623</v>
      </c>
      <c r="Y26" s="56" t="n">
        <f aca="false">W26+X26</f>
        <v>857.545248298462</v>
      </c>
      <c r="Z26" s="60" t="n">
        <v>0</v>
      </c>
      <c r="AA26" s="90" t="n">
        <v>95</v>
      </c>
      <c r="AB26" s="61" t="n">
        <v>53</v>
      </c>
      <c r="AC26" s="62" t="n">
        <f aca="false">AC25+1</f>
        <v>17</v>
      </c>
      <c r="AD26" s="78"/>
      <c r="AE26" s="78"/>
      <c r="AF26" s="78"/>
    </row>
    <row r="27" customFormat="false" ht="11.1" hidden="false" customHeight="true" outlineLevel="0" collapsed="false">
      <c r="A27" s="62" t="n">
        <f aca="false">A26+1</f>
        <v>18</v>
      </c>
      <c r="B27" s="80" t="n">
        <v>6915.44</v>
      </c>
      <c r="C27" s="57" t="n">
        <v>344209</v>
      </c>
      <c r="D27" s="61" t="n">
        <f aca="false">C27-C26</f>
        <v>-1461</v>
      </c>
      <c r="E27" s="57" t="n">
        <f aca="false">C27-152000</f>
        <v>192209</v>
      </c>
      <c r="F27" s="56" t="n">
        <f aca="false">D27/$D$2</f>
        <v>-736.576758255609</v>
      </c>
      <c r="G27" s="56" t="n">
        <v>234</v>
      </c>
      <c r="H27" s="58" t="n">
        <v>0</v>
      </c>
      <c r="I27" s="56" t="n">
        <f aca="false">G27+H27</f>
        <v>234</v>
      </c>
      <c r="J27" s="81" t="n">
        <f aca="false">IF(L27&gt;0,L27,0)</f>
        <v>0</v>
      </c>
      <c r="K27" s="56" t="n">
        <f aca="false">I27+J27</f>
        <v>234</v>
      </c>
      <c r="L27" s="56" t="n">
        <f aca="false">F27-(I27-W27)</f>
        <v>-85.5767582556087</v>
      </c>
      <c r="M27" s="56" t="n">
        <v>305</v>
      </c>
      <c r="N27" s="56" t="n">
        <f aca="false">(26+28)*1.05</f>
        <v>56.7</v>
      </c>
      <c r="O27" s="56" t="n">
        <f aca="false">M27-N27</f>
        <v>248.3</v>
      </c>
      <c r="P27" s="56" t="n">
        <v>168</v>
      </c>
      <c r="Q27" s="56" t="n">
        <v>84</v>
      </c>
      <c r="R27" s="56" t="n">
        <f aca="false">SUM(O27:Q27)</f>
        <v>500.3</v>
      </c>
      <c r="S27" s="57" t="n">
        <f aca="false">(I27-R27)+S26</f>
        <v>10118.5868066549</v>
      </c>
      <c r="T27" s="56" t="n">
        <v>232</v>
      </c>
      <c r="U27" s="56" t="n">
        <v>96</v>
      </c>
      <c r="V27" s="57" t="n">
        <f aca="false">V26-U27</f>
        <v>14848</v>
      </c>
      <c r="W27" s="56" t="n">
        <f aca="false">R27+T27+N27+U27</f>
        <v>885</v>
      </c>
      <c r="X27" s="56" t="n">
        <f aca="false">IF(L27&lt;0,L27*-1,0)</f>
        <v>85.5767582556087</v>
      </c>
      <c r="Y27" s="56" t="n">
        <f aca="false">W27+X27</f>
        <v>970.576758255609</v>
      </c>
      <c r="Z27" s="60" t="n">
        <v>0</v>
      </c>
      <c r="AA27" s="90" t="n">
        <v>99</v>
      </c>
      <c r="AB27" s="61" t="n">
        <v>57</v>
      </c>
      <c r="AC27" s="62" t="n">
        <f aca="false">AC26+1</f>
        <v>18</v>
      </c>
      <c r="AD27" s="78"/>
      <c r="AE27" s="78"/>
      <c r="AF27" s="78"/>
    </row>
    <row r="28" customFormat="false" ht="11.1" hidden="false" customHeight="true" outlineLevel="0" collapsed="false">
      <c r="A28" s="62" t="n">
        <f aca="false">A27+1</f>
        <v>19</v>
      </c>
      <c r="B28" s="80" t="n">
        <v>6915.16</v>
      </c>
      <c r="C28" s="97" t="n">
        <v>343040</v>
      </c>
      <c r="D28" s="61" t="n">
        <f aca="false">C28-C27</f>
        <v>-1169</v>
      </c>
      <c r="E28" s="57" t="n">
        <f aca="false">C28-152000</f>
        <v>191040</v>
      </c>
      <c r="F28" s="56" t="n">
        <f aca="false">D28/$D$2</f>
        <v>-589.362238467356</v>
      </c>
      <c r="G28" s="56" t="n">
        <v>229</v>
      </c>
      <c r="H28" s="58" t="n">
        <v>0</v>
      </c>
      <c r="I28" s="56" t="n">
        <f aca="false">G28+H28</f>
        <v>229</v>
      </c>
      <c r="J28" s="81" t="n">
        <f aca="false">IF(L28&gt;0,L28,0)</f>
        <v>7.63776153264428</v>
      </c>
      <c r="K28" s="56" t="n">
        <f aca="false">I28+J28</f>
        <v>236.637761532644</v>
      </c>
      <c r="L28" s="56" t="n">
        <f aca="false">F28-(I28-W28)</f>
        <v>7.63776153264428</v>
      </c>
      <c r="M28" s="56" t="n">
        <v>289</v>
      </c>
      <c r="N28" s="56" t="n">
        <f aca="false">(22+22)*1.05</f>
        <v>46.2</v>
      </c>
      <c r="O28" s="56" t="n">
        <f aca="false">M28-N28</f>
        <v>242.8</v>
      </c>
      <c r="P28" s="56" t="n">
        <v>169</v>
      </c>
      <c r="Q28" s="56" t="n">
        <v>85</v>
      </c>
      <c r="R28" s="56" t="n">
        <f aca="false">SUM(O28:Q28)</f>
        <v>496.8</v>
      </c>
      <c r="S28" s="57" t="n">
        <f aca="false">(I28-R28)+S27</f>
        <v>9850.78680665491</v>
      </c>
      <c r="T28" s="56" t="n">
        <v>187</v>
      </c>
      <c r="U28" s="56" t="n">
        <v>96</v>
      </c>
      <c r="V28" s="57" t="n">
        <f aca="false">V27-U28</f>
        <v>14752</v>
      </c>
      <c r="W28" s="56" t="n">
        <f aca="false">R28+T28+N28+U28</f>
        <v>826</v>
      </c>
      <c r="X28" s="56" t="n">
        <f aca="false">IF(L28&lt;0,L28*-1,0)</f>
        <v>0</v>
      </c>
      <c r="Y28" s="56" t="n">
        <f aca="false">W28+X28</f>
        <v>826</v>
      </c>
      <c r="Z28" s="60" t="n">
        <v>0</v>
      </c>
      <c r="AA28" s="90" t="n">
        <v>98</v>
      </c>
      <c r="AB28" s="61" t="n">
        <v>57</v>
      </c>
      <c r="AC28" s="62" t="n">
        <f aca="false">AC27+1</f>
        <v>19</v>
      </c>
      <c r="AD28" s="78"/>
      <c r="AE28" s="78"/>
      <c r="AF28" s="78"/>
    </row>
    <row r="29" customFormat="false" ht="11.1" hidden="false" customHeight="true" outlineLevel="0" collapsed="false">
      <c r="A29" s="62" t="n">
        <f aca="false">A28+1</f>
        <v>20</v>
      </c>
      <c r="B29" s="80" t="n">
        <v>6914.86</v>
      </c>
      <c r="C29" s="57" t="n">
        <v>341792</v>
      </c>
      <c r="D29" s="61" t="n">
        <f aca="false">C29-C28</f>
        <v>-1248</v>
      </c>
      <c r="E29" s="57" t="n">
        <f aca="false">C29-152000</f>
        <v>189792</v>
      </c>
      <c r="F29" s="56" t="n">
        <f aca="false">D29/$D$2</f>
        <v>-629.190824300479</v>
      </c>
      <c r="G29" s="56" t="n">
        <v>224</v>
      </c>
      <c r="H29" s="58" t="n">
        <v>0</v>
      </c>
      <c r="I29" s="56" t="n">
        <f aca="false">G29+H29</f>
        <v>224</v>
      </c>
      <c r="J29" s="81" t="n">
        <f aca="false">IF(L29&gt;0,L29,0)</f>
        <v>0</v>
      </c>
      <c r="K29" s="56" t="n">
        <f aca="false">I29+J29</f>
        <v>224</v>
      </c>
      <c r="L29" s="56" t="n">
        <f aca="false">F29-(I29-W29)</f>
        <v>-47.190824300479</v>
      </c>
      <c r="M29" s="56" t="n">
        <v>279</v>
      </c>
      <c r="N29" s="56" t="n">
        <f aca="false">(23+24)*1.05</f>
        <v>49.35</v>
      </c>
      <c r="O29" s="56" t="n">
        <f aca="false">M29-N29</f>
        <v>229.65</v>
      </c>
      <c r="P29" s="56" t="n">
        <v>170</v>
      </c>
      <c r="Q29" s="56" t="n">
        <v>82</v>
      </c>
      <c r="R29" s="56" t="n">
        <f aca="false">SUM(O29:Q29)</f>
        <v>481.65</v>
      </c>
      <c r="S29" s="57" t="n">
        <f aca="false">(I29-R29)+S28</f>
        <v>9593.13680665491</v>
      </c>
      <c r="T29" s="56" t="n">
        <v>180</v>
      </c>
      <c r="U29" s="56" t="n">
        <v>95</v>
      </c>
      <c r="V29" s="57" t="n">
        <f aca="false">V28-U29</f>
        <v>14657</v>
      </c>
      <c r="W29" s="56" t="n">
        <f aca="false">R29+T29+N29+U29</f>
        <v>806</v>
      </c>
      <c r="X29" s="56" t="n">
        <f aca="false">IF(L29&lt;0,L29*-1,0)</f>
        <v>47.190824300479</v>
      </c>
      <c r="Y29" s="56" t="n">
        <f aca="false">W29+X29</f>
        <v>853.190824300479</v>
      </c>
      <c r="Z29" s="60" t="n">
        <v>0.07</v>
      </c>
      <c r="AA29" s="90" t="n">
        <v>95</v>
      </c>
      <c r="AB29" s="61" t="n">
        <v>58</v>
      </c>
      <c r="AC29" s="62" t="n">
        <f aca="false">AC28+1</f>
        <v>20</v>
      </c>
      <c r="AD29" s="78"/>
      <c r="AE29" s="78"/>
      <c r="AF29" s="78"/>
    </row>
    <row r="30" customFormat="false" ht="11.1" hidden="false" customHeight="true" outlineLevel="0" collapsed="false">
      <c r="A30" s="62" t="n">
        <f aca="false">A29+1</f>
        <v>21</v>
      </c>
      <c r="B30" s="80" t="n">
        <v>6914.54</v>
      </c>
      <c r="C30" s="57" t="n">
        <v>340467</v>
      </c>
      <c r="D30" s="61" t="n">
        <f aca="false">C30-C29</f>
        <v>-1325</v>
      </c>
      <c r="E30" s="57" t="n">
        <f aca="false">C30-152000</f>
        <v>188467</v>
      </c>
      <c r="F30" s="56" t="n">
        <f aca="false">D30/$D$2</f>
        <v>-668.011091504915</v>
      </c>
      <c r="G30" s="56" t="n">
        <v>219</v>
      </c>
      <c r="H30" s="58" t="n">
        <v>0</v>
      </c>
      <c r="I30" s="56" t="n">
        <f aca="false">G30+H30</f>
        <v>219</v>
      </c>
      <c r="J30" s="81" t="n">
        <f aca="false">IF(L30&gt;0,L30,0)</f>
        <v>0</v>
      </c>
      <c r="K30" s="56" t="n">
        <f aca="false">I30+J30</f>
        <v>219</v>
      </c>
      <c r="L30" s="56" t="n">
        <f aca="false">F30-(I30-W30)</f>
        <v>-59.0110915049155</v>
      </c>
      <c r="M30" s="56" t="n">
        <v>292</v>
      </c>
      <c r="N30" s="56" t="n">
        <f aca="false">(28+32)*1.05</f>
        <v>63</v>
      </c>
      <c r="O30" s="56" t="n">
        <f aca="false">M30-N30</f>
        <v>229</v>
      </c>
      <c r="P30" s="56" t="n">
        <v>170</v>
      </c>
      <c r="Q30" s="56" t="n">
        <v>83</v>
      </c>
      <c r="R30" s="56" t="n">
        <f aca="false">SUM(O30:Q30)</f>
        <v>482</v>
      </c>
      <c r="S30" s="57" t="n">
        <f aca="false">(I30-R30)+S29</f>
        <v>9330.13680665491</v>
      </c>
      <c r="T30" s="56" t="n">
        <v>187</v>
      </c>
      <c r="U30" s="56" t="n">
        <v>96</v>
      </c>
      <c r="V30" s="57" t="n">
        <f aca="false">V29-U30</f>
        <v>14561</v>
      </c>
      <c r="W30" s="56" t="n">
        <f aca="false">R30+T30+N30+U30</f>
        <v>828</v>
      </c>
      <c r="X30" s="56" t="n">
        <f aca="false">IF(L30&lt;0,L30*-1,0)</f>
        <v>59.0110915049155</v>
      </c>
      <c r="Y30" s="56" t="n">
        <f aca="false">W30+X30</f>
        <v>887.011091504916</v>
      </c>
      <c r="Z30" s="60" t="n">
        <v>0.62</v>
      </c>
      <c r="AA30" s="61" t="n">
        <v>96</v>
      </c>
      <c r="AB30" s="61" t="n">
        <v>58</v>
      </c>
      <c r="AC30" s="62" t="n">
        <f aca="false">AC29+1</f>
        <v>21</v>
      </c>
      <c r="AD30" s="78"/>
      <c r="AE30" s="78"/>
      <c r="AF30" s="78"/>
    </row>
    <row r="31" customFormat="false" ht="11.1" hidden="false" customHeight="true" outlineLevel="0" collapsed="false">
      <c r="A31" s="62" t="n">
        <f aca="false">A30+1</f>
        <v>22</v>
      </c>
      <c r="B31" s="80" t="n">
        <v>6914.22</v>
      </c>
      <c r="C31" s="57" t="n">
        <v>339142</v>
      </c>
      <c r="D31" s="61" t="n">
        <f aca="false">C31-C30</f>
        <v>-1325</v>
      </c>
      <c r="E31" s="57" t="n">
        <f aca="false">C31-152000</f>
        <v>187142</v>
      </c>
      <c r="F31" s="56" t="n">
        <f aca="false">D31/$D$2</f>
        <v>-668.011091504915</v>
      </c>
      <c r="G31" s="56" t="n">
        <v>207</v>
      </c>
      <c r="H31" s="58" t="n">
        <v>0</v>
      </c>
      <c r="I31" s="56" t="n">
        <f aca="false">G31+H31</f>
        <v>207</v>
      </c>
      <c r="J31" s="81" t="n">
        <f aca="false">IF(L31&gt;0,L31,0)</f>
        <v>0</v>
      </c>
      <c r="K31" s="56" t="n">
        <f aca="false">I31+J31</f>
        <v>207</v>
      </c>
      <c r="L31" s="56" t="n">
        <f aca="false">F31-(I31-W31)</f>
        <v>-53.0110915049155</v>
      </c>
      <c r="M31" s="56" t="n">
        <v>284</v>
      </c>
      <c r="N31" s="56" t="n">
        <f aca="false">(32+33)*1.05</f>
        <v>68.25</v>
      </c>
      <c r="O31" s="56" t="n">
        <f aca="false">M31-N31</f>
        <v>215.75</v>
      </c>
      <c r="P31" s="56" t="n">
        <v>169</v>
      </c>
      <c r="Q31" s="56" t="n">
        <v>81</v>
      </c>
      <c r="R31" s="56" t="n">
        <f aca="false">SUM(O31:Q31)</f>
        <v>465.75</v>
      </c>
      <c r="S31" s="57" t="n">
        <f aca="false">(I31-R31)+S30</f>
        <v>9071.38680665491</v>
      </c>
      <c r="T31" s="56" t="n">
        <v>193</v>
      </c>
      <c r="U31" s="56" t="n">
        <v>95</v>
      </c>
      <c r="V31" s="57" t="n">
        <f aca="false">V30-U31</f>
        <v>14466</v>
      </c>
      <c r="W31" s="56" t="n">
        <f aca="false">R31+T31+N31+U31</f>
        <v>822</v>
      </c>
      <c r="X31" s="56" t="n">
        <f aca="false">IF(L31&lt;0,L31*-1,0)</f>
        <v>53.0110915049155</v>
      </c>
      <c r="Y31" s="56" t="n">
        <f aca="false">W31+X31</f>
        <v>875.011091504916</v>
      </c>
      <c r="Z31" s="60" t="n">
        <v>0</v>
      </c>
      <c r="AA31" s="61" t="n">
        <v>92</v>
      </c>
      <c r="AB31" s="61" t="n">
        <v>57</v>
      </c>
      <c r="AC31" s="62" t="n">
        <f aca="false">AC30+1</f>
        <v>22</v>
      </c>
      <c r="AD31" s="78"/>
      <c r="AE31" s="78"/>
      <c r="AF31" s="78"/>
      <c r="AG31" s="132"/>
      <c r="AH31" s="132"/>
      <c r="AI31" s="132"/>
    </row>
    <row r="32" customFormat="false" ht="11.1" hidden="false" customHeight="true" outlineLevel="0" collapsed="false">
      <c r="A32" s="62" t="n">
        <f aca="false">A31+1</f>
        <v>23</v>
      </c>
      <c r="B32" s="80" t="n">
        <v>6914.01</v>
      </c>
      <c r="C32" s="57" t="n">
        <v>338231</v>
      </c>
      <c r="D32" s="61" t="n">
        <f aca="false">C32-C31</f>
        <v>-911</v>
      </c>
      <c r="E32" s="57" t="n">
        <f aca="false">C32-152000</f>
        <v>186231</v>
      </c>
      <c r="F32" s="56" t="n">
        <f aca="false">D32/$D$2</f>
        <v>-459.289135366776</v>
      </c>
      <c r="G32" s="56" t="n">
        <v>207</v>
      </c>
      <c r="H32" s="58" t="n">
        <v>0</v>
      </c>
      <c r="I32" s="56" t="n">
        <f aca="false">G32+H32</f>
        <v>207</v>
      </c>
      <c r="J32" s="81" t="n">
        <f aca="false">IF(L32&gt;0,L32,0)</f>
        <v>98.7108646332241</v>
      </c>
      <c r="K32" s="56" t="n">
        <f aca="false">I32+J32</f>
        <v>305.710864633224</v>
      </c>
      <c r="L32" s="56" t="n">
        <f aca="false">F32-(I32-W32)</f>
        <v>98.7108646332241</v>
      </c>
      <c r="M32" s="56" t="n">
        <v>291</v>
      </c>
      <c r="N32" s="56" t="n">
        <f aca="false">(33+33)*1.05</f>
        <v>69.3</v>
      </c>
      <c r="O32" s="56" t="n">
        <f aca="false">M32-N32</f>
        <v>221.7</v>
      </c>
      <c r="P32" s="56" t="n">
        <v>171</v>
      </c>
      <c r="Q32" s="56" t="n">
        <v>80</v>
      </c>
      <c r="R32" s="56" t="n">
        <f aca="false">SUM(O32:Q32)</f>
        <v>472.7</v>
      </c>
      <c r="S32" s="57" t="n">
        <f aca="false">(I32-R32)+S31</f>
        <v>8805.6868066549</v>
      </c>
      <c r="T32" s="56" t="n">
        <v>128</v>
      </c>
      <c r="U32" s="56" t="n">
        <v>95</v>
      </c>
      <c r="V32" s="57" t="n">
        <f aca="false">V31-U32</f>
        <v>14371</v>
      </c>
      <c r="W32" s="56" t="n">
        <f aca="false">R32+T32+N32+U32</f>
        <v>765</v>
      </c>
      <c r="X32" s="56" t="n">
        <f aca="false">IF(L32&lt;0,L32*-1,0)</f>
        <v>0</v>
      </c>
      <c r="Y32" s="56" t="n">
        <f aca="false">W32+X32</f>
        <v>765</v>
      </c>
      <c r="Z32" s="60" t="n">
        <v>1.03</v>
      </c>
      <c r="AA32" s="61" t="n">
        <v>82</v>
      </c>
      <c r="AB32" s="90" t="n">
        <v>57</v>
      </c>
      <c r="AC32" s="62" t="n">
        <f aca="false">AC31+1</f>
        <v>23</v>
      </c>
      <c r="AD32" s="78"/>
      <c r="AE32" s="78"/>
      <c r="AF32" s="78"/>
    </row>
    <row r="33" customFormat="false" ht="11.1" hidden="false" customHeight="true" outlineLevel="0" collapsed="false">
      <c r="A33" s="62" t="n">
        <f aca="false">A32+1</f>
        <v>24</v>
      </c>
      <c r="B33" s="80" t="n">
        <v>6913.8</v>
      </c>
      <c r="C33" s="57" t="n">
        <v>337409</v>
      </c>
      <c r="D33" s="61" t="n">
        <f aca="false">C33-C32</f>
        <v>-822</v>
      </c>
      <c r="E33" s="57" t="n">
        <f aca="false">C33-152000</f>
        <v>185409</v>
      </c>
      <c r="F33" s="56" t="n">
        <f aca="false">D33/$D$2</f>
        <v>-414.418956390219</v>
      </c>
      <c r="G33" s="56" t="n">
        <v>244</v>
      </c>
      <c r="H33" s="58" t="n">
        <v>0</v>
      </c>
      <c r="I33" s="56" t="n">
        <f aca="false">G33+H33</f>
        <v>244</v>
      </c>
      <c r="J33" s="81" t="n">
        <f aca="false">IF(L33&gt;0,L33,0)</f>
        <v>64.5810436097807</v>
      </c>
      <c r="K33" s="56" t="n">
        <f aca="false">I33+J33</f>
        <v>308.581043609781</v>
      </c>
      <c r="L33" s="56" t="n">
        <f aca="false">F33-(I33-W33)</f>
        <v>64.5810436097807</v>
      </c>
      <c r="M33" s="56" t="n">
        <v>255</v>
      </c>
      <c r="N33" s="56" t="n">
        <f aca="false">(29+30)*1.05</f>
        <v>61.95</v>
      </c>
      <c r="O33" s="56" t="n">
        <f aca="false">M33-N33</f>
        <v>193.05</v>
      </c>
      <c r="P33" s="56" t="n">
        <v>170</v>
      </c>
      <c r="Q33" s="56" t="n">
        <v>80</v>
      </c>
      <c r="R33" s="56" t="n">
        <f aca="false">SUM(O33:Q33)</f>
        <v>443.05</v>
      </c>
      <c r="S33" s="57" t="n">
        <f aca="false">(I33-R33)+S32</f>
        <v>8606.63680665491</v>
      </c>
      <c r="T33" s="56" t="n">
        <v>123</v>
      </c>
      <c r="U33" s="56" t="n">
        <v>95</v>
      </c>
      <c r="V33" s="57" t="n">
        <f aca="false">V32-U33</f>
        <v>14276</v>
      </c>
      <c r="W33" s="56" t="n">
        <f aca="false">R33+T33+N33+U33</f>
        <v>723</v>
      </c>
      <c r="X33" s="56" t="n">
        <f aca="false">IF(L33&lt;0,L33*-1,0)</f>
        <v>0</v>
      </c>
      <c r="Y33" s="56" t="n">
        <f aca="false">W33+X33</f>
        <v>723</v>
      </c>
      <c r="Z33" s="60" t="n">
        <v>0.02</v>
      </c>
      <c r="AA33" s="61" t="n">
        <v>78</v>
      </c>
      <c r="AB33" s="90" t="n">
        <v>56</v>
      </c>
      <c r="AC33" s="62" t="n">
        <f aca="false">AC32+1</f>
        <v>24</v>
      </c>
      <c r="AD33" s="78"/>
      <c r="AE33" s="78"/>
      <c r="AF33" s="78"/>
    </row>
    <row r="34" customFormat="false" ht="11.1" hidden="false" customHeight="true" outlineLevel="0" collapsed="false">
      <c r="A34" s="62" t="n">
        <f aca="false">A33+1</f>
        <v>25</v>
      </c>
      <c r="B34" s="80" t="n">
        <v>6913.56</v>
      </c>
      <c r="C34" s="57" t="n">
        <v>336422</v>
      </c>
      <c r="D34" s="61" t="n">
        <f aca="false">C34-C33</f>
        <v>-987</v>
      </c>
      <c r="E34" s="57" t="n">
        <f aca="false">C34-152000</f>
        <v>184422</v>
      </c>
      <c r="F34" s="56" t="n">
        <f aca="false">D34/$D$2</f>
        <v>-497.605243256869</v>
      </c>
      <c r="G34" s="56" t="n">
        <v>265</v>
      </c>
      <c r="H34" s="58" t="n">
        <v>0</v>
      </c>
      <c r="I34" s="56" t="n">
        <f aca="false">G34+H34</f>
        <v>265</v>
      </c>
      <c r="J34" s="81" t="n">
        <f aca="false">IF(L34&gt;0,L34,0)</f>
        <v>0</v>
      </c>
      <c r="K34" s="56" t="n">
        <f aca="false">I34+J34</f>
        <v>265</v>
      </c>
      <c r="L34" s="56" t="n">
        <f aca="false">F34-(I34-W34)</f>
        <v>-45.6052432568692</v>
      </c>
      <c r="M34" s="56" t="n">
        <v>245</v>
      </c>
      <c r="N34" s="56" t="n">
        <f aca="false">(23+23)*1.05</f>
        <v>48.3</v>
      </c>
      <c r="O34" s="56" t="n">
        <f aca="false">M34-N34</f>
        <v>196.7</v>
      </c>
      <c r="P34" s="56" t="n">
        <v>170</v>
      </c>
      <c r="Q34" s="56" t="n">
        <v>80</v>
      </c>
      <c r="R34" s="56" t="n">
        <f aca="false">SUM(O34:Q34)</f>
        <v>446.7</v>
      </c>
      <c r="S34" s="57" t="n">
        <f aca="false">(I34-R34)+S33</f>
        <v>8424.93680665491</v>
      </c>
      <c r="T34" s="56" t="n">
        <v>127</v>
      </c>
      <c r="U34" s="56" t="n">
        <v>95</v>
      </c>
      <c r="V34" s="57" t="n">
        <f aca="false">V33-U34</f>
        <v>14181</v>
      </c>
      <c r="W34" s="56" t="n">
        <f aca="false">R34+T34+N34+U34</f>
        <v>717</v>
      </c>
      <c r="X34" s="56" t="n">
        <f aca="false">IF(L34&lt;0,L34*-1,0)</f>
        <v>45.6052432568692</v>
      </c>
      <c r="Y34" s="56" t="n">
        <f aca="false">W34+X34</f>
        <v>762.605243256869</v>
      </c>
      <c r="Z34" s="60" t="n">
        <v>0.02</v>
      </c>
      <c r="AA34" s="61" t="n">
        <v>83</v>
      </c>
      <c r="AB34" s="90" t="n">
        <v>58</v>
      </c>
      <c r="AC34" s="62" t="n">
        <f aca="false">AC33+1</f>
        <v>25</v>
      </c>
      <c r="AD34" s="78"/>
      <c r="AE34" s="78"/>
      <c r="AF34" s="78"/>
    </row>
    <row r="35" customFormat="false" ht="11.1" hidden="false" customHeight="true" outlineLevel="0" collapsed="false">
      <c r="A35" s="62" t="n">
        <f aca="false">A34+1</f>
        <v>26</v>
      </c>
      <c r="B35" s="80" t="n">
        <v>6913.41</v>
      </c>
      <c r="C35" s="57" t="n">
        <v>335806</v>
      </c>
      <c r="D35" s="61" t="n">
        <f aca="false">C35-C34</f>
        <v>-616</v>
      </c>
      <c r="E35" s="57" t="n">
        <f aca="false">C35-152000</f>
        <v>183806</v>
      </c>
      <c r="F35" s="56" t="n">
        <f aca="false">D35/$D$2</f>
        <v>-310.562137635493</v>
      </c>
      <c r="G35" s="56" t="n">
        <v>368</v>
      </c>
      <c r="H35" s="58" t="n">
        <v>0</v>
      </c>
      <c r="I35" s="56" t="n">
        <f aca="false">G35+H35</f>
        <v>368</v>
      </c>
      <c r="J35" s="81" t="n">
        <f aca="false">IF(L35&gt;0,L35,0)</f>
        <v>22.4378623645072</v>
      </c>
      <c r="K35" s="56" t="n">
        <f aca="false">I35+J35</f>
        <v>390.437862364507</v>
      </c>
      <c r="L35" s="56" t="n">
        <f aca="false">F35-(I35-W35)</f>
        <v>22.4378623645072</v>
      </c>
      <c r="M35" s="56" t="n">
        <v>238</v>
      </c>
      <c r="N35" s="56" t="n">
        <f aca="false">(21+20)*1.05</f>
        <v>43.05</v>
      </c>
      <c r="O35" s="56" t="n">
        <f aca="false">M35-N35</f>
        <v>194.95</v>
      </c>
      <c r="P35" s="56" t="n">
        <v>170</v>
      </c>
      <c r="Q35" s="56" t="n">
        <v>81</v>
      </c>
      <c r="R35" s="56" t="n">
        <f aca="false">SUM(O35:Q35)</f>
        <v>445.95</v>
      </c>
      <c r="S35" s="57" t="n">
        <f aca="false">(I35-R35)+S34</f>
        <v>8346.9868066549</v>
      </c>
      <c r="T35" s="56" t="n">
        <v>117</v>
      </c>
      <c r="U35" s="56" t="n">
        <v>95</v>
      </c>
      <c r="V35" s="57" t="n">
        <f aca="false">V34-U35</f>
        <v>14086</v>
      </c>
      <c r="W35" s="56" t="n">
        <f aca="false">R35+T35+N35+U35</f>
        <v>701</v>
      </c>
      <c r="X35" s="56" t="n">
        <f aca="false">IF(L35&lt;0,L35*-1,0)</f>
        <v>0</v>
      </c>
      <c r="Y35" s="56" t="n">
        <f aca="false">W35+X35</f>
        <v>701</v>
      </c>
      <c r="Z35" s="60" t="n">
        <v>0.05</v>
      </c>
      <c r="AA35" s="61" t="n">
        <v>85</v>
      </c>
      <c r="AB35" s="61" t="n">
        <v>56</v>
      </c>
      <c r="AC35" s="62" t="n">
        <f aca="false">AC34+1</f>
        <v>26</v>
      </c>
      <c r="AD35" s="78"/>
      <c r="AE35" s="78"/>
      <c r="AF35" s="78"/>
    </row>
    <row r="36" customFormat="false" ht="11.1" hidden="false" customHeight="true" outlineLevel="0" collapsed="false">
      <c r="A36" s="62" t="n">
        <f aca="false">A35+1</f>
        <v>27</v>
      </c>
      <c r="B36" s="80" t="n">
        <v>6913.21</v>
      </c>
      <c r="C36" s="57" t="n">
        <v>334984</v>
      </c>
      <c r="D36" s="61" t="n">
        <f aca="false">C36-C35</f>
        <v>-822</v>
      </c>
      <c r="E36" s="57" t="n">
        <f aca="false">C36-152000</f>
        <v>182984</v>
      </c>
      <c r="F36" s="56" t="n">
        <f aca="false">D36/$D$2</f>
        <v>-414.418956390219</v>
      </c>
      <c r="G36" s="56" t="n">
        <v>294</v>
      </c>
      <c r="H36" s="58" t="n">
        <v>0</v>
      </c>
      <c r="I36" s="56" t="n">
        <f aca="false">G36+H36</f>
        <v>294</v>
      </c>
      <c r="J36" s="81" t="n">
        <f aca="false">IF(L36&gt;0,L36,0)</f>
        <v>0</v>
      </c>
      <c r="K36" s="56" t="n">
        <f aca="false">I36+J36</f>
        <v>294</v>
      </c>
      <c r="L36" s="56" t="n">
        <f aca="false">F36-(I36-W36)</f>
        <v>-83.4189563902193</v>
      </c>
      <c r="M36" s="56" t="n">
        <v>217</v>
      </c>
      <c r="N36" s="56" t="n">
        <f aca="false">+(18+19)*1.05</f>
        <v>38.85</v>
      </c>
      <c r="O36" s="56" t="n">
        <f aca="false">M36-N36</f>
        <v>178.15</v>
      </c>
      <c r="P36" s="56" t="n">
        <v>171</v>
      </c>
      <c r="Q36" s="56" t="n">
        <v>81</v>
      </c>
      <c r="R36" s="56" t="n">
        <f aca="false">SUM(O36:Q36)</f>
        <v>430.15</v>
      </c>
      <c r="S36" s="57" t="n">
        <f aca="false">(I36-R36)+S35</f>
        <v>8210.83680665491</v>
      </c>
      <c r="T36" s="56" t="n">
        <v>61</v>
      </c>
      <c r="U36" s="56" t="n">
        <v>95</v>
      </c>
      <c r="V36" s="57" t="n">
        <f aca="false">V35-U36</f>
        <v>13991</v>
      </c>
      <c r="W36" s="56" t="n">
        <f aca="false">R36+T36+N36+U36</f>
        <v>625</v>
      </c>
      <c r="X36" s="56" t="n">
        <f aca="false">IF(L36&lt;0,L36*-1,0)</f>
        <v>83.4189563902193</v>
      </c>
      <c r="Y36" s="56" t="n">
        <f aca="false">W36+X36</f>
        <v>708.418956390219</v>
      </c>
      <c r="Z36" s="60" t="n">
        <v>0</v>
      </c>
      <c r="AA36" s="61" t="n">
        <v>79</v>
      </c>
      <c r="AB36" s="61" t="n">
        <v>57</v>
      </c>
      <c r="AC36" s="62" t="n">
        <f aca="false">AC35+1</f>
        <v>27</v>
      </c>
      <c r="AD36" s="78"/>
      <c r="AE36" s="78"/>
      <c r="AF36" s="78"/>
    </row>
    <row r="37" customFormat="false" ht="11.1" hidden="false" customHeight="true" outlineLevel="0" collapsed="false">
      <c r="A37" s="62" t="n">
        <f aca="false">A36+1</f>
        <v>28</v>
      </c>
      <c r="B37" s="80" t="n">
        <v>6913.13</v>
      </c>
      <c r="C37" s="57" t="n">
        <v>334614</v>
      </c>
      <c r="D37" s="61" t="n">
        <f aca="false">C37-C36</f>
        <v>-370</v>
      </c>
      <c r="E37" s="57" t="n">
        <f aca="false">C37-152000</f>
        <v>182614</v>
      </c>
      <c r="F37" s="56" t="n">
        <f aca="false">D37/$D$2</f>
        <v>-186.538946307033</v>
      </c>
      <c r="G37" s="56" t="n">
        <v>356</v>
      </c>
      <c r="H37" s="58" t="n">
        <v>0</v>
      </c>
      <c r="I37" s="56" t="n">
        <f aca="false">G37+H37</f>
        <v>356</v>
      </c>
      <c r="J37" s="81" t="n">
        <f aca="false">IF(L37&gt;0,L37,0)</f>
        <v>70.461053692967</v>
      </c>
      <c r="K37" s="56" t="n">
        <f aca="false">I37+J37</f>
        <v>426.461053692967</v>
      </c>
      <c r="L37" s="56" t="n">
        <f aca="false">F37-(I37-W37)</f>
        <v>70.461053692967</v>
      </c>
      <c r="M37" s="56" t="n">
        <v>201</v>
      </c>
      <c r="N37" s="56" t="n">
        <f aca="false">(18+18)*1.05</f>
        <v>37.8</v>
      </c>
      <c r="O37" s="56" t="n">
        <f aca="false">M37-N37</f>
        <v>163.2</v>
      </c>
      <c r="P37" s="56" t="n">
        <v>170</v>
      </c>
      <c r="Q37" s="56" t="n">
        <v>75</v>
      </c>
      <c r="R37" s="56" t="n">
        <f aca="false">SUM(O37:Q37)</f>
        <v>408.2</v>
      </c>
      <c r="S37" s="57" t="n">
        <f aca="false">(I37-R37)+S36</f>
        <v>8158.6368066549</v>
      </c>
      <c r="T37" s="56" t="n">
        <v>72</v>
      </c>
      <c r="U37" s="56" t="n">
        <v>95</v>
      </c>
      <c r="V37" s="57" t="n">
        <f aca="false">V36-U37</f>
        <v>13896</v>
      </c>
      <c r="W37" s="56" t="n">
        <f aca="false">R37+T37+N37+U37</f>
        <v>613</v>
      </c>
      <c r="X37" s="56" t="n">
        <f aca="false">IF(L37&lt;0,L37*-1,0)</f>
        <v>0</v>
      </c>
      <c r="Y37" s="56" t="n">
        <f aca="false">W37+X37</f>
        <v>613</v>
      </c>
      <c r="Z37" s="60" t="n">
        <v>0.2</v>
      </c>
      <c r="AA37" s="61" t="n">
        <v>82</v>
      </c>
      <c r="AB37" s="61" t="n">
        <v>58</v>
      </c>
      <c r="AC37" s="62" t="n">
        <f aca="false">AC36+1</f>
        <v>28</v>
      </c>
      <c r="AD37" s="78"/>
      <c r="AE37" s="78"/>
      <c r="AF37" s="78"/>
    </row>
    <row r="38" customFormat="false" ht="11.1" hidden="false" customHeight="true" outlineLevel="0" collapsed="false">
      <c r="A38" s="62" t="n">
        <f aca="false">A37+1</f>
        <v>29</v>
      </c>
      <c r="B38" s="80" t="n">
        <v>6912.96</v>
      </c>
      <c r="C38" s="57" t="n">
        <v>333958</v>
      </c>
      <c r="D38" s="61" t="n">
        <f aca="false">C38-C37</f>
        <v>-656</v>
      </c>
      <c r="E38" s="57" t="n">
        <f aca="false">C38-152000</f>
        <v>181958</v>
      </c>
      <c r="F38" s="56" t="n">
        <f aca="false">D38/$D$2</f>
        <v>-330.728510209226</v>
      </c>
      <c r="G38" s="56" t="n">
        <v>369</v>
      </c>
      <c r="H38" s="58" t="n">
        <v>0</v>
      </c>
      <c r="I38" s="56" t="n">
        <f aca="false">G38+H38</f>
        <v>369</v>
      </c>
      <c r="J38" s="81" t="n">
        <f aca="false">IF(L38&gt;0,L38,0)</f>
        <v>0</v>
      </c>
      <c r="K38" s="56" t="n">
        <f aca="false">I38+J38</f>
        <v>369</v>
      </c>
      <c r="L38" s="56" t="n">
        <f aca="false">F38-(I38-W38)</f>
        <v>-83.7285102092261</v>
      </c>
      <c r="M38" s="56" t="n">
        <v>215</v>
      </c>
      <c r="N38" s="56" t="n">
        <f aca="false">(19+18)*1.05</f>
        <v>38.85</v>
      </c>
      <c r="O38" s="56" t="n">
        <f aca="false">M38-N38</f>
        <v>176.15</v>
      </c>
      <c r="P38" s="56" t="n">
        <v>170</v>
      </c>
      <c r="Q38" s="56" t="n">
        <v>72</v>
      </c>
      <c r="R38" s="56" t="n">
        <f aca="false">SUM(O38:Q38)</f>
        <v>418.15</v>
      </c>
      <c r="S38" s="57" t="n">
        <f aca="false">(I38-R38)+S37</f>
        <v>8109.48680665491</v>
      </c>
      <c r="T38" s="56" t="n">
        <v>64</v>
      </c>
      <c r="U38" s="56" t="n">
        <v>95</v>
      </c>
      <c r="V38" s="57" t="n">
        <f aca="false">V37-U38</f>
        <v>13801</v>
      </c>
      <c r="W38" s="56" t="n">
        <f aca="false">R38+T38+N38+U38</f>
        <v>616</v>
      </c>
      <c r="X38" s="56" t="n">
        <f aca="false">IF(L38&lt;0,L38*-1,0)</f>
        <v>83.7285102092261</v>
      </c>
      <c r="Y38" s="56" t="n">
        <f aca="false">W38+X38</f>
        <v>699.728510209226</v>
      </c>
      <c r="Z38" s="60" t="n">
        <v>0.02</v>
      </c>
      <c r="AA38" s="90" t="n">
        <v>86</v>
      </c>
      <c r="AB38" s="61" t="n">
        <v>54</v>
      </c>
      <c r="AC38" s="62" t="n">
        <f aca="false">AC37+1</f>
        <v>29</v>
      </c>
      <c r="AD38" s="78"/>
      <c r="AE38" s="82"/>
      <c r="AF38" s="79"/>
    </row>
    <row r="39" customFormat="false" ht="11.1" hidden="false" customHeight="true" outlineLevel="0" collapsed="false">
      <c r="A39" s="62" t="n">
        <v>30</v>
      </c>
      <c r="B39" s="80" t="n">
        <v>6912.81</v>
      </c>
      <c r="C39" s="57" t="n">
        <v>333347</v>
      </c>
      <c r="D39" s="61" t="n">
        <f aca="false">C39-C38</f>
        <v>-611</v>
      </c>
      <c r="E39" s="57" t="n">
        <f aca="false">C39-152000</f>
        <v>181347</v>
      </c>
      <c r="F39" s="56" t="n">
        <f aca="false">D39/$D$2</f>
        <v>-308.041341063776</v>
      </c>
      <c r="G39" s="56" t="n">
        <v>287</v>
      </c>
      <c r="H39" s="58" t="n">
        <v>0</v>
      </c>
      <c r="I39" s="56" t="n">
        <f aca="false">G39+H39</f>
        <v>287</v>
      </c>
      <c r="J39" s="81" t="n">
        <f aca="false">IF(L39&gt;0,L39,0)</f>
        <v>24.9586589362239</v>
      </c>
      <c r="K39" s="56" t="n">
        <f aca="false">I39+J39</f>
        <v>311.958658936224</v>
      </c>
      <c r="L39" s="56" t="n">
        <f aca="false">F39-(I39-W39)</f>
        <v>24.9586589362239</v>
      </c>
      <c r="M39" s="56" t="n">
        <v>204</v>
      </c>
      <c r="N39" s="56" t="n">
        <f aca="false">(17+17)*1.05</f>
        <v>35.7</v>
      </c>
      <c r="O39" s="56" t="n">
        <f aca="false">M39-N39</f>
        <v>168.3</v>
      </c>
      <c r="P39" s="56" t="n">
        <v>170</v>
      </c>
      <c r="Q39" s="56" t="n">
        <v>72</v>
      </c>
      <c r="R39" s="56" t="n">
        <f aca="false">SUM(O39:Q39)</f>
        <v>410.3</v>
      </c>
      <c r="S39" s="57" t="n">
        <f aca="false">(I39-R39)+S38</f>
        <v>7986.1868066549</v>
      </c>
      <c r="T39" s="56" t="n">
        <v>79</v>
      </c>
      <c r="U39" s="56" t="n">
        <v>95</v>
      </c>
      <c r="V39" s="57" t="n">
        <f aca="false">V38-U39</f>
        <v>13706</v>
      </c>
      <c r="W39" s="56" t="n">
        <f aca="false">R39+T39+N39+U39</f>
        <v>620</v>
      </c>
      <c r="X39" s="56" t="n">
        <f aca="false">IF(L39&lt;0,L39*-1,0)</f>
        <v>0</v>
      </c>
      <c r="Y39" s="56" t="n">
        <f aca="false">W39+X39</f>
        <v>620</v>
      </c>
      <c r="Z39" s="60" t="n">
        <v>0</v>
      </c>
      <c r="AA39" s="90" t="n">
        <v>88</v>
      </c>
      <c r="AB39" s="61" t="n">
        <v>55</v>
      </c>
      <c r="AC39" s="62" t="n">
        <v>30</v>
      </c>
      <c r="AD39" s="78"/>
      <c r="AE39" s="82"/>
      <c r="AF39" s="79"/>
    </row>
    <row r="40" customFormat="false" ht="11.1" hidden="false" customHeight="true" outlineLevel="0" collapsed="false">
      <c r="A40" s="62" t="n">
        <v>31</v>
      </c>
      <c r="B40" s="80" t="n">
        <v>6912.65</v>
      </c>
      <c r="C40" s="57" t="n">
        <v>332694</v>
      </c>
      <c r="D40" s="61" t="n">
        <f aca="false">C40-C39</f>
        <v>-653</v>
      </c>
      <c r="E40" s="57" t="n">
        <f aca="false">C40-152000</f>
        <v>180694</v>
      </c>
      <c r="F40" s="56" t="n">
        <f aca="false">D40/$D$2</f>
        <v>-329.216032266196</v>
      </c>
      <c r="G40" s="56" t="n">
        <v>258</v>
      </c>
      <c r="H40" s="58" t="n">
        <v>0.06</v>
      </c>
      <c r="I40" s="56" t="n">
        <f aca="false">G40+H40</f>
        <v>258.06</v>
      </c>
      <c r="J40" s="81" t="n">
        <f aca="false">IF(L40&gt;0,L40,0)</f>
        <v>34.7239677338039</v>
      </c>
      <c r="K40" s="56" t="n">
        <f aca="false">I40+J40</f>
        <v>292.783967733804</v>
      </c>
      <c r="L40" s="56" t="n">
        <f aca="false">F40-(I40-W40)</f>
        <v>34.7239677338039</v>
      </c>
      <c r="M40" s="56" t="n">
        <v>208</v>
      </c>
      <c r="N40" s="56" t="n">
        <f aca="false">(16+16)*1.05</f>
        <v>33.6</v>
      </c>
      <c r="O40" s="56" t="n">
        <f aca="false">M40-N40</f>
        <v>174.4</v>
      </c>
      <c r="P40" s="56" t="n">
        <v>170</v>
      </c>
      <c r="Q40" s="56" t="n">
        <v>69</v>
      </c>
      <c r="R40" s="56" t="n">
        <f aca="false">SUM(O40:Q40)</f>
        <v>413.4</v>
      </c>
      <c r="S40" s="57" t="n">
        <f aca="false">(I40-R40)+S39</f>
        <v>7830.84680665491</v>
      </c>
      <c r="T40" s="56" t="n">
        <v>81</v>
      </c>
      <c r="U40" s="56" t="n">
        <v>94</v>
      </c>
      <c r="V40" s="57" t="n">
        <f aca="false">V39-U40</f>
        <v>13612</v>
      </c>
      <c r="W40" s="56" t="n">
        <f aca="false">R40+T40+N40+U40</f>
        <v>622</v>
      </c>
      <c r="X40" s="56" t="n">
        <f aca="false">IF(L40&lt;0,L40*-1,0)</f>
        <v>0</v>
      </c>
      <c r="Y40" s="56" t="n">
        <f aca="false">W40+X40</f>
        <v>622</v>
      </c>
      <c r="Z40" s="60" t="n">
        <v>0.03</v>
      </c>
      <c r="AA40" s="90" t="n">
        <v>88</v>
      </c>
      <c r="AB40" s="61" t="n">
        <v>58</v>
      </c>
      <c r="AC40" s="62" t="n">
        <v>31</v>
      </c>
      <c r="AD40" s="78"/>
      <c r="AE40" s="78"/>
      <c r="AF40" s="79"/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83"/>
      <c r="M41" s="83"/>
      <c r="N41" s="83" t="n">
        <v>0</v>
      </c>
      <c r="O41" s="83"/>
      <c r="P41" s="83"/>
      <c r="Q41" s="83"/>
      <c r="R41" s="83"/>
      <c r="S41" s="85"/>
      <c r="T41" s="83"/>
      <c r="U41" s="83"/>
      <c r="V41" s="83"/>
      <c r="W41" s="83"/>
      <c r="X41" s="83"/>
      <c r="Y41" s="83"/>
      <c r="Z41" s="87" t="n">
        <v>0</v>
      </c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-16443.6601966221</v>
      </c>
      <c r="G42" s="57" t="n">
        <f aca="false">SUM(G10:G40)</f>
        <v>10286</v>
      </c>
      <c r="H42" s="57" t="n">
        <f aca="false">SUM(H10:H40)</f>
        <v>0.06</v>
      </c>
      <c r="I42" s="57" t="n">
        <f aca="false">SUM(I10:I40)</f>
        <v>10286.06</v>
      </c>
      <c r="J42" s="57" t="n">
        <f aca="false">SUM(J10:J40)</f>
        <v>351.87849256365</v>
      </c>
      <c r="K42" s="57" t="n">
        <f aca="false">SUM(K10:K40)</f>
        <v>10637.9384925637</v>
      </c>
      <c r="L42" s="57" t="n">
        <f aca="false">SUM(L10:L40)</f>
        <v>-986.720196622133</v>
      </c>
      <c r="M42" s="57" t="n">
        <f aca="false">SUM(M10:M40)</f>
        <v>8598</v>
      </c>
      <c r="N42" s="57" t="n">
        <f aca="false">SUM(N10:N40)</f>
        <v>1733.55</v>
      </c>
      <c r="O42" s="57" t="n">
        <f aca="false">SUM(O10:O40)</f>
        <v>6864.45</v>
      </c>
      <c r="P42" s="57" t="n">
        <f aca="false">SUM(P10:P40)</f>
        <v>5249</v>
      </c>
      <c r="Q42" s="57" t="n">
        <f aca="false">SUM(Q10:Q40)</f>
        <v>2488</v>
      </c>
      <c r="R42" s="57" t="n">
        <f aca="false">SUM(R10:R40)</f>
        <v>14601.45</v>
      </c>
      <c r="S42" s="57"/>
      <c r="T42" s="57" t="n">
        <f aca="false">SUM(T10:T40)</f>
        <v>6102</v>
      </c>
      <c r="U42" s="57" t="n">
        <f aca="false">SUM(U10:U40)</f>
        <v>3306</v>
      </c>
      <c r="V42" s="57" t="n">
        <f aca="false">V40</f>
        <v>13612</v>
      </c>
      <c r="W42" s="57" t="n">
        <f aca="false">SUM(W10:W40)</f>
        <v>25743</v>
      </c>
      <c r="X42" s="57" t="n">
        <f aca="false">SUM(X10:X40)</f>
        <v>1338.59868918578</v>
      </c>
      <c r="Y42" s="57" t="n">
        <f aca="false">SUM(Y10:Y40)</f>
        <v>27081.5986891858</v>
      </c>
      <c r="Z42" s="60" t="n">
        <f aca="false">SUM(Z10:Z40)</f>
        <v>2.37</v>
      </c>
      <c r="AA42" s="61" t="n">
        <f aca="false">AVERAGE(AA10:AA40)</f>
        <v>89.5483870967742</v>
      </c>
      <c r="AB42" s="61" t="n">
        <f aca="false">AVERAGE(AB10:AB40)</f>
        <v>57.2258064516129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-32616</v>
      </c>
      <c r="E43" s="57"/>
      <c r="F43" s="57" t="n">
        <f aca="false">F42*$D$2</f>
        <v>-32616</v>
      </c>
      <c r="G43" s="57" t="n">
        <f aca="false">G42*$D$2</f>
        <v>20402.281</v>
      </c>
      <c r="H43" s="57" t="n">
        <f aca="false">H42*$D$2</f>
        <v>0.11901</v>
      </c>
      <c r="I43" s="57" t="n">
        <f aca="false">I42*$D$2</f>
        <v>20402.40001</v>
      </c>
      <c r="J43" s="57" t="n">
        <f aca="false">J42*$D$2</f>
        <v>697.95099</v>
      </c>
      <c r="K43" s="57" t="n">
        <f aca="false">K42*$D$2</f>
        <v>21100.351</v>
      </c>
      <c r="L43" s="57" t="n">
        <f aca="false">L42*$D$2</f>
        <v>-1957.15951</v>
      </c>
      <c r="M43" s="57" t="n">
        <f aca="false">M42*$D$2</f>
        <v>17054.133</v>
      </c>
      <c r="N43" s="57" t="n">
        <f aca="false">N42*$D$2</f>
        <v>3438.496425</v>
      </c>
      <c r="O43" s="57" t="n">
        <f aca="false">O42*$D$2</f>
        <v>13615.636575</v>
      </c>
      <c r="P43" s="57" t="n">
        <f aca="false">P42*$D$2</f>
        <v>10411.3915</v>
      </c>
      <c r="Q43" s="57" t="n">
        <f aca="false">Q42*$D$2</f>
        <v>4934.948</v>
      </c>
      <c r="R43" s="57" t="n">
        <f aca="false">R42*$D$2</f>
        <v>28961.976075</v>
      </c>
      <c r="S43" s="57"/>
      <c r="T43" s="57" t="n">
        <f aca="false">T42*$D$2</f>
        <v>12103.317</v>
      </c>
      <c r="U43" s="57" t="n">
        <f aca="false">U42*$D$2</f>
        <v>6557.451</v>
      </c>
      <c r="V43" s="57" t="n">
        <f aca="false">V42*$D$2</f>
        <v>26999.402</v>
      </c>
      <c r="W43" s="57" t="n">
        <f aca="false">W42*$D$2</f>
        <v>51061.2405</v>
      </c>
      <c r="X43" s="57" t="n">
        <f aca="false">X42*$D$2</f>
        <v>2655.1105</v>
      </c>
      <c r="Y43" s="57" t="n">
        <f aca="false">Y42*$D$2</f>
        <v>53716.351</v>
      </c>
      <c r="Z43" s="60"/>
      <c r="AA43" s="61" t="n">
        <f aca="false">MAX(AA10:AA40)</f>
        <v>100</v>
      </c>
      <c r="AB43" s="61" t="n">
        <f aca="false">MAX(AB10:AB40)</f>
        <v>63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 t="n">
        <f aca="false">F7+F42</f>
        <v>-13809.4277791782</v>
      </c>
      <c r="G45" s="57" t="n">
        <f aca="false">G7+G42</f>
        <v>130411.03</v>
      </c>
      <c r="H45" s="57" t="n">
        <f aca="false">H7+H42</f>
        <v>8202.68</v>
      </c>
      <c r="I45" s="57" t="n">
        <f aca="false">I7+I42</f>
        <v>138613.71</v>
      </c>
      <c r="J45" s="57" t="n">
        <f aca="false">J7+J42</f>
        <v>23117.2556919587</v>
      </c>
      <c r="K45" s="57" t="n">
        <f aca="false">K7+K42</f>
        <v>161730.965691959</v>
      </c>
      <c r="L45" s="57" t="n">
        <f aca="false">L7+L42</f>
        <v>20220.8622208218</v>
      </c>
      <c r="M45" s="57" t="n">
        <f aca="false">M7+M42</f>
        <v>27733.6</v>
      </c>
      <c r="N45" s="57" t="n">
        <f aca="false">N7+N42</f>
        <v>6166.986</v>
      </c>
      <c r="O45" s="57" t="n">
        <f aca="false">O7+O42</f>
        <v>21566.614</v>
      </c>
      <c r="P45" s="57" t="n">
        <f aca="false">P7+P42</f>
        <v>14438</v>
      </c>
      <c r="Q45" s="57" t="n">
        <f aca="false">Q7+Q42</f>
        <v>6681</v>
      </c>
      <c r="R45" s="57" t="n">
        <f aca="false">R7+R42</f>
        <v>42685.614</v>
      </c>
      <c r="S45" s="57" t="n">
        <f aca="false">S40</f>
        <v>7830.84680665491</v>
      </c>
      <c r="T45" s="57" t="n">
        <f aca="false">T7+T42</f>
        <v>14752.4</v>
      </c>
      <c r="U45" s="57" t="n">
        <f aca="false">U7+U42</f>
        <v>109039</v>
      </c>
      <c r="V45" s="57" t="n">
        <f aca="false">V7+V42</f>
        <v>13612</v>
      </c>
      <c r="W45" s="57" t="n">
        <f aca="false">W7+W42</f>
        <v>172644</v>
      </c>
      <c r="X45" s="57" t="n">
        <f aca="false">X7+X42</f>
        <v>2896.39347113688</v>
      </c>
      <c r="Y45" s="57" t="n">
        <f aca="false">Y7+Y42</f>
        <v>175540.393471137</v>
      </c>
      <c r="Z45" s="60"/>
      <c r="AA45" s="61" t="n">
        <f aca="false">MIN(AA10:AA40)</f>
        <v>78</v>
      </c>
      <c r="AB45" s="61" t="n">
        <f aca="false">MIN(AB10:AB40)</f>
        <v>52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 t="n">
        <f aca="false">F45*$D$2</f>
        <v>-27391</v>
      </c>
      <c r="G46" s="57" t="n">
        <f aca="false">G45*$D$2</f>
        <v>258670.278005</v>
      </c>
      <c r="H46" s="57" t="n">
        <f aca="false">H45*$D$2</f>
        <v>16270.01578</v>
      </c>
      <c r="I46" s="57" t="n">
        <f aca="false">I45*$D$2</f>
        <v>274940.293785</v>
      </c>
      <c r="J46" s="57" t="n">
        <f aca="false">J45*$D$2</f>
        <v>45853.076665</v>
      </c>
      <c r="K46" s="57" t="n">
        <f aca="false">K45*$D$2</f>
        <v>320793.37045</v>
      </c>
      <c r="L46" s="57" t="n">
        <f aca="false">L45*$D$2</f>
        <v>40108.080215</v>
      </c>
      <c r="M46" s="57" t="n">
        <f aca="false">M45*$D$2</f>
        <v>55009.5956</v>
      </c>
      <c r="N46" s="57" t="n">
        <f aca="false">N45*$D$2</f>
        <v>12232.216731</v>
      </c>
      <c r="O46" s="57" t="n">
        <f aca="false">O45*$D$2</f>
        <v>42777.378869</v>
      </c>
      <c r="P46" s="57" t="n">
        <f aca="false">P45*$D$2</f>
        <v>28637.773</v>
      </c>
      <c r="Q46" s="57" t="n">
        <f aca="false">Q45*$D$2</f>
        <v>13251.7635</v>
      </c>
      <c r="R46" s="57" t="n">
        <f aca="false">R45*$D$2</f>
        <v>84666.915369</v>
      </c>
      <c r="S46" s="57" t="n">
        <f aca="false">S45*$D$2</f>
        <v>15532.484641</v>
      </c>
      <c r="T46" s="57" t="n">
        <f aca="false">T45*$D$2</f>
        <v>29261.3854</v>
      </c>
      <c r="U46" s="57" t="n">
        <f aca="false">U45*$D$2</f>
        <v>216278.8565</v>
      </c>
      <c r="V46" s="57" t="n">
        <f aca="false">V45*$D$2</f>
        <v>26999.402</v>
      </c>
      <c r="W46" s="57" t="n">
        <f aca="false">W45*$D$2</f>
        <v>342439.374</v>
      </c>
      <c r="X46" s="57" t="n">
        <f aca="false">X45*$D$2</f>
        <v>5744.99645</v>
      </c>
      <c r="Y46" s="57" t="n">
        <f aca="false">Y45*$D$2</f>
        <v>348184.37045</v>
      </c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-390.723468616079</v>
      </c>
      <c r="G48" s="57" t="n">
        <f aca="false">G8+G42</f>
        <v>147084.03</v>
      </c>
      <c r="H48" s="61" t="n">
        <f aca="false">H8+H42</f>
        <v>10006.98</v>
      </c>
      <c r="I48" s="57" t="n">
        <f aca="false">I8+I42</f>
        <v>157084.11</v>
      </c>
      <c r="J48" s="57" t="n">
        <f aca="false">J8+J42</f>
        <v>28364.7817116209</v>
      </c>
      <c r="K48" s="57" t="n">
        <f aca="false">K8+K42</f>
        <v>185440.491711621</v>
      </c>
      <c r="L48" s="57" t="n">
        <f aca="false">L8+L42</f>
        <v>24436.2865313839</v>
      </c>
      <c r="M48" s="57" t="n">
        <f aca="false">M8+M42</f>
        <v>29263.56</v>
      </c>
      <c r="N48" s="57" t="n">
        <f aca="false">N8+N42</f>
        <v>6226.731</v>
      </c>
      <c r="O48" s="57" t="n">
        <f aca="false">O8+O42</f>
        <v>22387.589</v>
      </c>
      <c r="P48" s="57" t="n">
        <f aca="false">P8+P42</f>
        <v>15227</v>
      </c>
      <c r="Q48" s="57" t="n">
        <f aca="false">Q8+Q42</f>
        <v>6827.2</v>
      </c>
      <c r="R48" s="57" t="n">
        <f aca="false">R8+R42</f>
        <v>44833.779</v>
      </c>
      <c r="S48" s="57"/>
      <c r="T48" s="57" t="n">
        <f aca="false">T8+T42</f>
        <v>14752.4</v>
      </c>
      <c r="U48" s="57" t="n">
        <f aca="false">U8+U42</f>
        <v>115840.96</v>
      </c>
      <c r="V48" s="57" t="n">
        <f aca="false">V40</f>
        <v>13612</v>
      </c>
      <c r="W48" s="57" t="n">
        <f aca="false">W8+W42</f>
        <v>181911.12</v>
      </c>
      <c r="X48" s="57" t="n">
        <f aca="false">X8+X42</f>
        <v>3928.49518023695</v>
      </c>
      <c r="Y48" s="57" t="n">
        <f aca="false">Y8+Y42</f>
        <v>185839.615180237</v>
      </c>
      <c r="Z48" s="81" t="n">
        <f aca="false">Z8+Z42</f>
        <v>11.78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-775</v>
      </c>
      <c r="E49" s="57" t="n">
        <f aca="false">E40</f>
        <v>180694</v>
      </c>
      <c r="F49" s="57" t="n">
        <f aca="false">F48*$D$2</f>
        <v>-774.999999999993</v>
      </c>
      <c r="G49" s="57" t="n">
        <f aca="false">G48*$D$2</f>
        <v>291741.173505</v>
      </c>
      <c r="H49" s="61" t="n">
        <f aca="false">H48*$D$2</f>
        <v>19848.84483</v>
      </c>
      <c r="I49" s="57" t="n">
        <f aca="false">I48*$D$2</f>
        <v>311576.332185</v>
      </c>
      <c r="J49" s="57" t="n">
        <f aca="false">J48*$D$2</f>
        <v>56261.544525</v>
      </c>
      <c r="K49" s="57" t="n">
        <f aca="false">K48*$D$2</f>
        <v>367821.21531</v>
      </c>
      <c r="L49" s="57" t="n">
        <f aca="false">L48*$D$2</f>
        <v>48469.374335</v>
      </c>
      <c r="M49" s="57" t="n">
        <f aca="false">M48*$D$2</f>
        <v>58044.27126</v>
      </c>
      <c r="N49" s="57" t="n">
        <f aca="false">N48*$D$2</f>
        <v>12350.7209385</v>
      </c>
      <c r="O49" s="57" t="n">
        <f aca="false">O48*$D$2</f>
        <v>44405.7827815</v>
      </c>
      <c r="P49" s="57" t="n">
        <f aca="false">P48*$D$2</f>
        <v>30202.7545</v>
      </c>
      <c r="Q49" s="57" t="n">
        <f aca="false">Q48*$D$2</f>
        <v>13541.7512</v>
      </c>
      <c r="R49" s="57" t="n">
        <f aca="false">R48*$D$2</f>
        <v>88927.8006465</v>
      </c>
      <c r="S49" s="57" t="n">
        <f aca="false">S48*$D$2</f>
        <v>0</v>
      </c>
      <c r="T49" s="57" t="n">
        <f aca="false">T48*$D$2</f>
        <v>29261.3854</v>
      </c>
      <c r="U49" s="57" t="n">
        <f aca="false">U48*$D$2</f>
        <v>229770.54416</v>
      </c>
      <c r="V49" s="57" t="n">
        <f aca="false">V40*$D$2</f>
        <v>26999.402</v>
      </c>
      <c r="W49" s="57" t="n">
        <f aca="false">W48*$D$2</f>
        <v>360820.70652</v>
      </c>
      <c r="X49" s="57" t="n">
        <f aca="false">X48*$D$2</f>
        <v>7792.17019</v>
      </c>
      <c r="Y49" s="57" t="n">
        <f aca="false">Y48*$D$2</f>
        <v>368612.87671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56" t="str">
        <f aca="false">"AUG / 12TH"</f>
        <v>AUG / 12TH</v>
      </c>
      <c r="B51" s="93"/>
      <c r="C51" s="57"/>
      <c r="D51" s="56"/>
      <c r="E51" s="57"/>
      <c r="F51" s="56"/>
      <c r="G51" s="56"/>
      <c r="H51" s="0"/>
      <c r="I51" s="58" t="s">
        <v>93</v>
      </c>
      <c r="J51" s="56"/>
      <c r="K51" s="57" t="n">
        <v>282600</v>
      </c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6900.1</v>
      </c>
      <c r="C52" s="57" t="n">
        <v>283950</v>
      </c>
      <c r="D52" s="90"/>
      <c r="E52" s="57" t="n">
        <f aca="false">C52-152000</f>
        <v>131950</v>
      </c>
      <c r="F52" s="56"/>
      <c r="G52" s="56"/>
      <c r="H52" s="90"/>
      <c r="I52" s="58"/>
      <c r="J52" s="56"/>
      <c r="K52" s="46"/>
      <c r="L52" s="56"/>
      <c r="M52" s="56"/>
      <c r="N52" s="56"/>
      <c r="O52" s="56"/>
      <c r="P52" s="56"/>
      <c r="Q52" s="56"/>
      <c r="R52" s="56"/>
      <c r="S52" s="57"/>
      <c r="T52" s="56"/>
      <c r="U52" s="56"/>
      <c r="V52" s="57"/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"7/9/96 thru 8/13/96"</f>
        <v>7/9/96 thru 8/13/96</v>
      </c>
      <c r="B53" s="90"/>
      <c r="C53" s="57"/>
      <c r="D53" s="57"/>
      <c r="E53" s="57"/>
      <c r="F53" s="90"/>
      <c r="G53" s="90"/>
      <c r="H53" s="58"/>
      <c r="I53" s="90" t="s">
        <v>94</v>
      </c>
      <c r="J53" s="90"/>
      <c r="K53" s="46" t="n">
        <f aca="false">K49/K51</f>
        <v>1.30156127144374</v>
      </c>
      <c r="L53" s="90"/>
      <c r="M53" s="81"/>
      <c r="N53" s="81"/>
      <c r="O53" s="81"/>
      <c r="P53" s="90"/>
      <c r="Q53" s="90"/>
      <c r="R53" s="90"/>
      <c r="S53" s="57"/>
      <c r="T53" s="90"/>
      <c r="U53" s="90"/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B52-B18</f>
        <v>-17.8899999999994</v>
      </c>
      <c r="C54" s="57"/>
      <c r="D54" s="57" t="n">
        <f aca="false">C52-C18</f>
        <v>-71001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/>
      <c r="R54" s="90"/>
      <c r="S54" s="57"/>
      <c r="T54" s="90"/>
      <c r="U54" s="90"/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/>
      <c r="Q55" s="90"/>
      <c r="R55" s="90"/>
      <c r="S55" s="57"/>
      <c r="T55" s="90"/>
      <c r="U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7.66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7.66"/>
    <col collapsed="false" customWidth="true" hidden="false" outlineLevel="0" max="19" min="19" style="50" width="7.66"/>
    <col collapsed="false" customWidth="true" hidden="false" outlineLevel="0" max="20" min="20" style="49" width="7.66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95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96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96</v>
      </c>
      <c r="AD5" s="63"/>
      <c r="AE5" s="63"/>
      <c r="AG5" s="133"/>
      <c r="AH5" s="13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  <c r="AG6" s="133"/>
      <c r="AH6" s="133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 t="n">
        <f aca="false" t="array" ref="F7:Y7">JUL!$F$45:$Y$45</f>
        <v>-13809.4277791782</v>
      </c>
      <c r="G7" s="57" t="n">
        <v>130411.03</v>
      </c>
      <c r="H7" s="57" t="n">
        <v>8202.68</v>
      </c>
      <c r="I7" s="57" t="n">
        <v>138613.71</v>
      </c>
      <c r="J7" s="57" t="n">
        <v>23117.2556919587</v>
      </c>
      <c r="K7" s="57" t="n">
        <v>161730.965691959</v>
      </c>
      <c r="L7" s="57" t="n">
        <v>20220.8622208218</v>
      </c>
      <c r="M7" s="57" t="n">
        <v>27733.6</v>
      </c>
      <c r="N7" s="57" t="n">
        <v>6166.986</v>
      </c>
      <c r="O7" s="57" t="n">
        <v>21566.614</v>
      </c>
      <c r="P7" s="57" t="n">
        <v>14438</v>
      </c>
      <c r="Q7" s="57" t="n">
        <v>6681</v>
      </c>
      <c r="R7" s="57" t="n">
        <v>42685.614</v>
      </c>
      <c r="S7" s="57" t="n">
        <v>7830.84680665491</v>
      </c>
      <c r="T7" s="57" t="n">
        <v>14752.4</v>
      </c>
      <c r="U7" s="57" t="n">
        <v>109039</v>
      </c>
      <c r="V7" s="57" t="n">
        <v>13612</v>
      </c>
      <c r="W7" s="57" t="n">
        <v>172644</v>
      </c>
      <c r="X7" s="57" t="n">
        <v>2896.39347113688</v>
      </c>
      <c r="Y7" s="57" t="n">
        <v>175540.393471137</v>
      </c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JUL!$B$40:$C$40</f>
        <v>6912.65</v>
      </c>
      <c r="C8" s="57" t="n">
        <v>332694</v>
      </c>
      <c r="D8" s="57" t="n">
        <f aca="false" t="array" ref="D8:E8">JUL!$D$49:$E$49</f>
        <v>-775</v>
      </c>
      <c r="E8" s="57" t="n">
        <v>180694</v>
      </c>
      <c r="F8" s="57" t="n">
        <f aca="false" t="array" ref="F8:Z8">JUL!$F$48:$Z$48</f>
        <v>-390.723468616079</v>
      </c>
      <c r="G8" s="57" t="n">
        <v>147084.03</v>
      </c>
      <c r="H8" s="61" t="n">
        <v>10006.98</v>
      </c>
      <c r="I8" s="57" t="n">
        <v>157084.11</v>
      </c>
      <c r="J8" s="57" t="n">
        <v>28364.7817116209</v>
      </c>
      <c r="K8" s="57" t="n">
        <v>185440.491711621</v>
      </c>
      <c r="L8" s="57" t="n">
        <v>24436.2865313839</v>
      </c>
      <c r="M8" s="57" t="n">
        <v>29263.56</v>
      </c>
      <c r="N8" s="57" t="n">
        <v>6226.731</v>
      </c>
      <c r="O8" s="57" t="n">
        <v>22387.589</v>
      </c>
      <c r="P8" s="57" t="n">
        <v>15227</v>
      </c>
      <c r="Q8" s="57" t="n">
        <v>6827.2</v>
      </c>
      <c r="R8" s="57" t="n">
        <v>44833.779</v>
      </c>
      <c r="S8" s="57" t="n">
        <v>0</v>
      </c>
      <c r="T8" s="57" t="n">
        <v>14752.4</v>
      </c>
      <c r="U8" s="57" t="n">
        <v>115840.96</v>
      </c>
      <c r="V8" s="57" t="n">
        <v>13612</v>
      </c>
      <c r="W8" s="57" t="n">
        <v>181911.12</v>
      </c>
      <c r="X8" s="57" t="n">
        <v>3928.49518023695</v>
      </c>
      <c r="Y8" s="57" t="n">
        <v>185839.615180237</v>
      </c>
      <c r="Z8" s="81" t="n">
        <v>11.78</v>
      </c>
      <c r="AA8" s="61"/>
      <c r="AB8" s="61"/>
      <c r="AC8" s="62"/>
      <c r="AD8" s="82"/>
      <c r="AE8" s="78"/>
      <c r="AF8" s="82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6912.53</v>
      </c>
      <c r="C10" s="57" t="n">
        <v>332205</v>
      </c>
      <c r="D10" s="61" t="n">
        <f aca="false">C10-C8</f>
        <v>-489</v>
      </c>
      <c r="E10" s="57" t="n">
        <f aca="false">C10-152000</f>
        <v>180205</v>
      </c>
      <c r="F10" s="56" t="n">
        <f aca="false">D10/$D$2</f>
        <v>-246.53390471389</v>
      </c>
      <c r="G10" s="56" t="n">
        <v>357</v>
      </c>
      <c r="H10" s="58" t="n">
        <v>1.2</v>
      </c>
      <c r="I10" s="56" t="n">
        <f aca="false">G10+H10</f>
        <v>358.2</v>
      </c>
      <c r="J10" s="81" t="n">
        <f aca="false">IF(L10&gt;0,L10,0)</f>
        <v>0</v>
      </c>
      <c r="K10" s="56" t="n">
        <f aca="false">I10+J10</f>
        <v>358.2</v>
      </c>
      <c r="L10" s="56" t="n">
        <f aca="false">F10-(I10-W10)</f>
        <v>-90.7339047138896</v>
      </c>
      <c r="M10" s="56" t="n">
        <v>145</v>
      </c>
      <c r="N10" s="56" t="n">
        <v>0</v>
      </c>
      <c r="O10" s="56" t="n">
        <f aca="false">M10-N10</f>
        <v>145</v>
      </c>
      <c r="P10" s="56" t="n">
        <v>140</v>
      </c>
      <c r="Q10" s="56" t="n">
        <v>65</v>
      </c>
      <c r="R10" s="56" t="n">
        <f aca="false">SUM(O10:Q10)</f>
        <v>350</v>
      </c>
      <c r="S10" s="57" t="n">
        <f aca="false">(I10-R10)+S7</f>
        <v>7839.0468066549</v>
      </c>
      <c r="T10" s="56" t="n">
        <v>70</v>
      </c>
      <c r="U10" s="56" t="n">
        <v>94</v>
      </c>
      <c r="V10" s="57" t="n">
        <f aca="false">V8-U10</f>
        <v>13518</v>
      </c>
      <c r="W10" s="56" t="n">
        <f aca="false">R10+T10+N10+U10</f>
        <v>514</v>
      </c>
      <c r="X10" s="56" t="n">
        <f aca="false">IF(L10&lt;0,L10*-1,0)</f>
        <v>90.7339047138896</v>
      </c>
      <c r="Y10" s="56" t="n">
        <f aca="false">W10+X10</f>
        <v>604.73390471389</v>
      </c>
      <c r="Z10" s="60" t="n">
        <v>0</v>
      </c>
      <c r="AA10" s="61" t="n">
        <v>82</v>
      </c>
      <c r="AB10" s="61" t="n">
        <v>56</v>
      </c>
      <c r="AC10" s="62" t="n">
        <v>1</v>
      </c>
      <c r="AD10" s="79"/>
      <c r="AE10" s="82"/>
      <c r="AF10" s="82"/>
    </row>
    <row r="11" customFormat="false" ht="11.1" hidden="false" customHeight="true" outlineLevel="0" collapsed="false">
      <c r="A11" s="62" t="n">
        <f aca="false">A10+1</f>
        <v>2</v>
      </c>
      <c r="B11" s="80" t="n">
        <v>6912.45</v>
      </c>
      <c r="C11" s="57" t="n">
        <v>331879</v>
      </c>
      <c r="D11" s="61" t="n">
        <f aca="false">C11-C10</f>
        <v>-326</v>
      </c>
      <c r="E11" s="57" t="n">
        <f aca="false">C11-152000</f>
        <v>179879</v>
      </c>
      <c r="F11" s="56" t="n">
        <f aca="false">D11/$D$2</f>
        <v>-164.355936475926</v>
      </c>
      <c r="G11" s="56" t="n">
        <v>313</v>
      </c>
      <c r="H11" s="58" t="n">
        <v>1.3</v>
      </c>
      <c r="I11" s="56" t="n">
        <f aca="false">G11+H11</f>
        <v>314.3</v>
      </c>
      <c r="J11" s="81" t="n">
        <f aca="false">IF(L11&gt;0,L11,0)</f>
        <v>5.34406352407365</v>
      </c>
      <c r="K11" s="56" t="n">
        <f aca="false">I11+J11</f>
        <v>319.644063524074</v>
      </c>
      <c r="L11" s="56" t="n">
        <f aca="false">F11-(I11-W11)</f>
        <v>5.34406352407365</v>
      </c>
      <c r="M11" s="56" t="n">
        <v>135</v>
      </c>
      <c r="N11" s="56" t="n">
        <f aca="false">0.56*1.05</f>
        <v>0.588</v>
      </c>
      <c r="O11" s="56" t="n">
        <f aca="false">M11-N11</f>
        <v>134.412</v>
      </c>
      <c r="P11" s="56" t="n">
        <v>126</v>
      </c>
      <c r="Q11" s="56" t="n">
        <v>62</v>
      </c>
      <c r="R11" s="56" t="n">
        <f aca="false">SUM(O11:Q11)</f>
        <v>322.412</v>
      </c>
      <c r="S11" s="57" t="n">
        <f aca="false">(I11-R11)+S10</f>
        <v>7830.93480665491</v>
      </c>
      <c r="T11" s="56" t="n">
        <v>67</v>
      </c>
      <c r="U11" s="56" t="n">
        <v>94</v>
      </c>
      <c r="V11" s="57" t="n">
        <f aca="false">V10-U11</f>
        <v>13424</v>
      </c>
      <c r="W11" s="56" t="n">
        <f aca="false">R11+T11+N11+U11</f>
        <v>484</v>
      </c>
      <c r="X11" s="56" t="n">
        <f aca="false">IF(L11&lt;0,L11*-1,0)</f>
        <v>0</v>
      </c>
      <c r="Y11" s="56" t="n">
        <f aca="false">W11+X11</f>
        <v>484</v>
      </c>
      <c r="Z11" s="60" t="n">
        <v>0</v>
      </c>
      <c r="AA11" s="61" t="n">
        <v>86</v>
      </c>
      <c r="AB11" s="61" t="n">
        <v>54</v>
      </c>
      <c r="AC11" s="62" t="n">
        <f aca="false">AC10+1</f>
        <v>2</v>
      </c>
      <c r="AD11" s="79"/>
      <c r="AE11" s="82"/>
      <c r="AF11" s="82"/>
    </row>
    <row r="12" customFormat="false" ht="11.1" hidden="false" customHeight="true" outlineLevel="0" collapsed="false">
      <c r="A12" s="62" t="n">
        <f aca="false">A11+1</f>
        <v>3</v>
      </c>
      <c r="B12" s="80" t="n">
        <v>6912.26</v>
      </c>
      <c r="C12" s="57" t="n">
        <v>331104</v>
      </c>
      <c r="D12" s="61" t="n">
        <f aca="false">C12-C11</f>
        <v>-775</v>
      </c>
      <c r="E12" s="57" t="n">
        <f aca="false">C12-152000</f>
        <v>179104</v>
      </c>
      <c r="F12" s="56" t="n">
        <f aca="false">D12/$D$2</f>
        <v>-390.723468616083</v>
      </c>
      <c r="G12" s="56" t="n">
        <v>252</v>
      </c>
      <c r="H12" s="58" t="n">
        <v>0</v>
      </c>
      <c r="I12" s="56" t="n">
        <f aca="false">G12+H12</f>
        <v>252</v>
      </c>
      <c r="J12" s="81" t="n">
        <f aca="false">IF(L12&gt;0,L12,0)</f>
        <v>0</v>
      </c>
      <c r="K12" s="56" t="n">
        <f aca="false">I12+J12</f>
        <v>252</v>
      </c>
      <c r="L12" s="56" t="n">
        <f aca="false">F12-(I12-W12)</f>
        <v>-80.7234686160827</v>
      </c>
      <c r="M12" s="56" t="n">
        <v>180</v>
      </c>
      <c r="N12" s="56" t="n">
        <f aca="false">(14+14)*1.05</f>
        <v>29.4</v>
      </c>
      <c r="O12" s="56" t="n">
        <f aca="false">M12-N12</f>
        <v>150.6</v>
      </c>
      <c r="P12" s="56" t="n">
        <v>126</v>
      </c>
      <c r="Q12" s="56" t="n">
        <v>62</v>
      </c>
      <c r="R12" s="56" t="n">
        <f aca="false">SUM(O12:Q12)</f>
        <v>338.6</v>
      </c>
      <c r="S12" s="57" t="n">
        <f aca="false">(I12-R12)+S11</f>
        <v>7744.3348066549</v>
      </c>
      <c r="T12" s="56" t="n">
        <v>100</v>
      </c>
      <c r="U12" s="56" t="n">
        <v>94</v>
      </c>
      <c r="V12" s="57" t="n">
        <f aca="false">V11-U12</f>
        <v>13330</v>
      </c>
      <c r="W12" s="56" t="n">
        <f aca="false">R12+T12+N12+U12</f>
        <v>562</v>
      </c>
      <c r="X12" s="56" t="n">
        <f aca="false">IF(L12&lt;0,L12*-1,0)</f>
        <v>80.7234686160827</v>
      </c>
      <c r="Y12" s="56" t="n">
        <f aca="false">W12+X12</f>
        <v>642.723468616083</v>
      </c>
      <c r="Z12" s="60" t="n">
        <v>0</v>
      </c>
      <c r="AA12" s="61" t="n">
        <v>88</v>
      </c>
      <c r="AB12" s="61" t="n">
        <v>53</v>
      </c>
      <c r="AC12" s="62" t="n">
        <f aca="false">AC11+1</f>
        <v>3</v>
      </c>
      <c r="AD12" s="79"/>
      <c r="AE12" s="82"/>
      <c r="AF12" s="82"/>
    </row>
    <row r="13" customFormat="false" ht="11.1" hidden="false" customHeight="true" outlineLevel="0" collapsed="false">
      <c r="A13" s="62" t="n">
        <f aca="false">A12+1</f>
        <v>4</v>
      </c>
      <c r="B13" s="80" t="n">
        <v>6912.06</v>
      </c>
      <c r="C13" s="57" t="n">
        <v>330289</v>
      </c>
      <c r="D13" s="61" t="n">
        <f aca="false">C13-C12</f>
        <v>-815</v>
      </c>
      <c r="E13" s="57" t="n">
        <f aca="false">C13-152000</f>
        <v>178289</v>
      </c>
      <c r="F13" s="56" t="n">
        <f aca="false">D13/$D$2</f>
        <v>-410.889841189816</v>
      </c>
      <c r="G13" s="56" t="n">
        <v>228</v>
      </c>
      <c r="H13" s="58" t="n">
        <v>0</v>
      </c>
      <c r="I13" s="56" t="n">
        <f aca="false">G13+H13</f>
        <v>228</v>
      </c>
      <c r="J13" s="81" t="n">
        <f aca="false">IF(L13&gt;0,L13,0)</f>
        <v>0</v>
      </c>
      <c r="K13" s="56" t="n">
        <f aca="false">I13+J13</f>
        <v>228</v>
      </c>
      <c r="L13" s="56" t="n">
        <f aca="false">F13-(I13-W13)</f>
        <v>-46.889841189816</v>
      </c>
      <c r="M13" s="56" t="n">
        <v>197</v>
      </c>
      <c r="N13" s="56" t="n">
        <f aca="false">(27+26)*1.05</f>
        <v>55.65</v>
      </c>
      <c r="O13" s="56" t="n">
        <f aca="false">M13-N13</f>
        <v>141.35</v>
      </c>
      <c r="P13" s="56" t="n">
        <v>125</v>
      </c>
      <c r="Q13" s="56" t="n">
        <v>63</v>
      </c>
      <c r="R13" s="56" t="n">
        <f aca="false">SUM(O13:Q13)</f>
        <v>329.35</v>
      </c>
      <c r="S13" s="57" t="n">
        <f aca="false">(I13-R13)+S12</f>
        <v>7642.9848066549</v>
      </c>
      <c r="T13" s="56" t="n">
        <v>112</v>
      </c>
      <c r="U13" s="56" t="n">
        <v>95</v>
      </c>
      <c r="V13" s="57" t="n">
        <f aca="false">V12-U13</f>
        <v>13235</v>
      </c>
      <c r="W13" s="56" t="n">
        <f aca="false">R13+T13+N13+U13</f>
        <v>592</v>
      </c>
      <c r="X13" s="56" t="n">
        <f aca="false">IF(L13&lt;0,L13*-1,0)</f>
        <v>46.889841189816</v>
      </c>
      <c r="Y13" s="56" t="n">
        <f aca="false">W13+X13</f>
        <v>638.889841189816</v>
      </c>
      <c r="Z13" s="60" t="n">
        <v>0</v>
      </c>
      <c r="AA13" s="61" t="n">
        <v>86</v>
      </c>
      <c r="AB13" s="61" t="n">
        <v>54</v>
      </c>
      <c r="AC13" s="62" t="n">
        <f aca="false">AC12+1</f>
        <v>4</v>
      </c>
      <c r="AD13" s="79"/>
      <c r="AE13" s="82"/>
      <c r="AF13" s="82"/>
    </row>
    <row r="14" customFormat="false" ht="11.1" hidden="false" customHeight="true" outlineLevel="0" collapsed="false">
      <c r="A14" s="62" t="n">
        <f aca="false">A13+1</f>
        <v>5</v>
      </c>
      <c r="B14" s="80" t="n">
        <v>6911.86</v>
      </c>
      <c r="C14" s="57" t="n">
        <v>329478</v>
      </c>
      <c r="D14" s="61" t="n">
        <f aca="false">C14-C13</f>
        <v>-811</v>
      </c>
      <c r="E14" s="57" t="n">
        <f aca="false">C14-152000</f>
        <v>177478</v>
      </c>
      <c r="F14" s="56" t="n">
        <f aca="false">D14/$D$2</f>
        <v>-408.873203932443</v>
      </c>
      <c r="G14" s="56" t="n">
        <v>212</v>
      </c>
      <c r="H14" s="58" t="n">
        <v>0.03</v>
      </c>
      <c r="I14" s="56" t="n">
        <f aca="false">G14+H14</f>
        <v>212.03</v>
      </c>
      <c r="J14" s="81" t="n">
        <f aca="false">IF(L14&gt;0,L14,0)</f>
        <v>0</v>
      </c>
      <c r="K14" s="56" t="n">
        <f aca="false">I14+J14</f>
        <v>212.03</v>
      </c>
      <c r="L14" s="56" t="n">
        <f aca="false">F14-(I14-W14)</f>
        <v>-24.9032039324426</v>
      </c>
      <c r="M14" s="56" t="n">
        <v>195</v>
      </c>
      <c r="N14" s="56" t="n">
        <f aca="false">(24+24)*1.05</f>
        <v>50.4</v>
      </c>
      <c r="O14" s="56" t="n">
        <f aca="false">M14-N14</f>
        <v>144.6</v>
      </c>
      <c r="P14" s="56" t="n">
        <v>126</v>
      </c>
      <c r="Q14" s="56" t="n">
        <v>63</v>
      </c>
      <c r="R14" s="56" t="n">
        <f aca="false">SUM(O14:Q14)</f>
        <v>333.6</v>
      </c>
      <c r="S14" s="57" t="n">
        <f aca="false">(I14-R14)+S13</f>
        <v>7521.4148066549</v>
      </c>
      <c r="T14" s="56" t="n">
        <v>117</v>
      </c>
      <c r="U14" s="56" t="n">
        <v>95</v>
      </c>
      <c r="V14" s="57" t="n">
        <f aca="false">V13-U14</f>
        <v>13140</v>
      </c>
      <c r="W14" s="56" t="n">
        <f aca="false">R14+T14+N14+U14</f>
        <v>596</v>
      </c>
      <c r="X14" s="56" t="n">
        <f aca="false">IF(L14&lt;0,L14*-1,0)</f>
        <v>24.9032039324426</v>
      </c>
      <c r="Y14" s="56" t="n">
        <f aca="false">W14+X14</f>
        <v>620.903203932443</v>
      </c>
      <c r="Z14" s="60" t="n">
        <v>0</v>
      </c>
      <c r="AA14" s="61" t="n">
        <v>87</v>
      </c>
      <c r="AB14" s="61" t="n">
        <v>52</v>
      </c>
      <c r="AC14" s="62" t="n">
        <f aca="false">AC13+1</f>
        <v>5</v>
      </c>
      <c r="AD14" s="79"/>
      <c r="AE14" s="82"/>
      <c r="AF14" s="82"/>
    </row>
    <row r="15" customFormat="false" ht="11.1" hidden="false" customHeight="true" outlineLevel="0" collapsed="false">
      <c r="A15" s="62" t="n">
        <f aca="false">A14+1</f>
        <v>6</v>
      </c>
      <c r="B15" s="80" t="n">
        <v>6911.62</v>
      </c>
      <c r="C15" s="57" t="n">
        <v>328507</v>
      </c>
      <c r="D15" s="61" t="n">
        <f aca="false">C15-C14</f>
        <v>-971</v>
      </c>
      <c r="E15" s="57" t="n">
        <f aca="false">C15-152000</f>
        <v>176507</v>
      </c>
      <c r="F15" s="56" t="n">
        <f aca="false">D15/$D$2</f>
        <v>-489.538694227376</v>
      </c>
      <c r="G15" s="56" t="n">
        <v>193</v>
      </c>
      <c r="H15" s="58" t="n">
        <v>0</v>
      </c>
      <c r="I15" s="56" t="n">
        <f aca="false">G15+H15</f>
        <v>193</v>
      </c>
      <c r="J15" s="81" t="n">
        <f aca="false">IF(L15&gt;0,L15,0)</f>
        <v>0</v>
      </c>
      <c r="K15" s="56" t="n">
        <f aca="false">I15+J15</f>
        <v>193</v>
      </c>
      <c r="L15" s="56" t="n">
        <f aca="false">F15-(I15-W15)</f>
        <v>-62.5386942273759</v>
      </c>
      <c r="M15" s="56" t="n">
        <v>216</v>
      </c>
      <c r="N15" s="56" t="n">
        <f aca="false">(29+29)*1.05</f>
        <v>60.9</v>
      </c>
      <c r="O15" s="56" t="n">
        <f aca="false">M15-N15</f>
        <v>155.1</v>
      </c>
      <c r="P15" s="56" t="n">
        <v>126</v>
      </c>
      <c r="Q15" s="56" t="n">
        <v>63</v>
      </c>
      <c r="R15" s="56" t="n">
        <f aca="false">SUM(O15:Q15)</f>
        <v>344.1</v>
      </c>
      <c r="S15" s="57" t="n">
        <f aca="false">(I15-R15)+S14</f>
        <v>7370.3148066549</v>
      </c>
      <c r="T15" s="56" t="n">
        <v>121</v>
      </c>
      <c r="U15" s="56" t="n">
        <v>94</v>
      </c>
      <c r="V15" s="57" t="n">
        <f aca="false">V14-U15</f>
        <v>13046</v>
      </c>
      <c r="W15" s="56" t="n">
        <f aca="false">R15+T15+N15+U15</f>
        <v>620</v>
      </c>
      <c r="X15" s="56" t="n">
        <f aca="false">IF(L15&lt;0,L15*-1,0)</f>
        <v>62.5386942273759</v>
      </c>
      <c r="Y15" s="56" t="n">
        <f aca="false">W15+X15</f>
        <v>682.538694227376</v>
      </c>
      <c r="Z15" s="60" t="n">
        <v>0</v>
      </c>
      <c r="AA15" s="61" t="n">
        <v>90</v>
      </c>
      <c r="AB15" s="61" t="n">
        <v>53</v>
      </c>
      <c r="AC15" s="62" t="n">
        <f aca="false">AC14+1</f>
        <v>6</v>
      </c>
      <c r="AD15" s="78"/>
      <c r="AE15" s="82"/>
      <c r="AF15" s="82"/>
    </row>
    <row r="16" customFormat="false" ht="11.1" hidden="false" customHeight="true" outlineLevel="0" collapsed="false">
      <c r="A16" s="62" t="n">
        <f aca="false">A15+1</f>
        <v>7</v>
      </c>
      <c r="B16" s="80" t="n">
        <v>6911.4</v>
      </c>
      <c r="C16" s="57" t="n">
        <v>327617</v>
      </c>
      <c r="D16" s="61" t="n">
        <f aca="false">C16-C15</f>
        <v>-890</v>
      </c>
      <c r="E16" s="57" t="n">
        <f aca="false">C16-152000</f>
        <v>175617</v>
      </c>
      <c r="F16" s="56" t="n">
        <f aca="false">D16/$D$2</f>
        <v>-448.701789765566</v>
      </c>
      <c r="G16" s="56" t="n">
        <v>183</v>
      </c>
      <c r="H16" s="58" t="n">
        <v>0</v>
      </c>
      <c r="I16" s="56" t="n">
        <f aca="false">G16+H16</f>
        <v>183</v>
      </c>
      <c r="J16" s="81" t="n">
        <f aca="false">IF(L16&gt;0,L16,0)</f>
        <v>23.2982102344341</v>
      </c>
      <c r="K16" s="56" t="n">
        <f aca="false">I16+J16</f>
        <v>206.298210234434</v>
      </c>
      <c r="L16" s="56" t="n">
        <f aca="false">F16-(I16-W16)</f>
        <v>23.2982102344341</v>
      </c>
      <c r="M16" s="56" t="n">
        <v>232</v>
      </c>
      <c r="N16" s="56" t="n">
        <f aca="false">(32+33)*1.05</f>
        <v>68.25</v>
      </c>
      <c r="O16" s="56" t="n">
        <f aca="false">M16-N16</f>
        <v>163.75</v>
      </c>
      <c r="P16" s="56" t="n">
        <v>126</v>
      </c>
      <c r="Q16" s="56" t="n">
        <v>63</v>
      </c>
      <c r="R16" s="56" t="n">
        <f aca="false">SUM(O16:Q16)</f>
        <v>352.75</v>
      </c>
      <c r="S16" s="57" t="n">
        <f aca="false">(I16-R16)+S15</f>
        <v>7200.5648066549</v>
      </c>
      <c r="T16" s="56" t="n">
        <v>140</v>
      </c>
      <c r="U16" s="56" t="n">
        <v>94</v>
      </c>
      <c r="V16" s="57" t="n">
        <f aca="false">V15-U16</f>
        <v>12952</v>
      </c>
      <c r="W16" s="56" t="n">
        <f aca="false">R16+T16+N16+U16</f>
        <v>655</v>
      </c>
      <c r="X16" s="56" t="n">
        <f aca="false">IF(L16&lt;0,L16*-1,0)</f>
        <v>0</v>
      </c>
      <c r="Y16" s="56" t="n">
        <f aca="false">W16+X16</f>
        <v>655</v>
      </c>
      <c r="Z16" s="60" t="n">
        <v>0</v>
      </c>
      <c r="AA16" s="61" t="n">
        <v>95</v>
      </c>
      <c r="AB16" s="61" t="n">
        <v>53</v>
      </c>
      <c r="AC16" s="62" t="n">
        <f aca="false">AC15+1</f>
        <v>7</v>
      </c>
      <c r="AD16" s="78"/>
      <c r="AE16" s="82"/>
      <c r="AF16" s="82"/>
    </row>
    <row r="17" customFormat="false" ht="11.1" hidden="false" customHeight="true" outlineLevel="0" collapsed="false">
      <c r="A17" s="62" t="n">
        <f aca="false">A16+1</f>
        <v>8</v>
      </c>
      <c r="B17" s="80" t="n">
        <v>6911.1</v>
      </c>
      <c r="C17" s="57" t="n">
        <v>326404</v>
      </c>
      <c r="D17" s="61" t="n">
        <f aca="false">C17-C16</f>
        <v>-1213</v>
      </c>
      <c r="E17" s="57" t="n">
        <f aca="false">C17-152000</f>
        <v>174404</v>
      </c>
      <c r="F17" s="56" t="n">
        <f aca="false">D17/$D$2</f>
        <v>-611.545248298462</v>
      </c>
      <c r="G17" s="56" t="n">
        <v>173</v>
      </c>
      <c r="H17" s="58" t="n">
        <v>0</v>
      </c>
      <c r="I17" s="56" t="n">
        <f aca="false">G17+H17</f>
        <v>173</v>
      </c>
      <c r="J17" s="81" t="n">
        <f aca="false">IF(L17&gt;0,L17,0)</f>
        <v>0</v>
      </c>
      <c r="K17" s="56" t="n">
        <f aca="false">I17+J17</f>
        <v>173</v>
      </c>
      <c r="L17" s="56" t="n">
        <f aca="false">F17-(I17-W17)</f>
        <v>-137.545248298462</v>
      </c>
      <c r="M17" s="56" t="n">
        <v>234</v>
      </c>
      <c r="N17" s="56" t="n">
        <f aca="false">(30+30)*1.05</f>
        <v>63</v>
      </c>
      <c r="O17" s="56" t="n">
        <f aca="false">M17-N17</f>
        <v>171</v>
      </c>
      <c r="P17" s="56" t="n">
        <v>126</v>
      </c>
      <c r="Q17" s="56" t="n">
        <v>66</v>
      </c>
      <c r="R17" s="56" t="n">
        <f aca="false">SUM(O17:Q17)</f>
        <v>363</v>
      </c>
      <c r="S17" s="57" t="n">
        <f aca="false">(I17-R17)+S16</f>
        <v>7010.5648066549</v>
      </c>
      <c r="T17" s="56" t="n">
        <v>127</v>
      </c>
      <c r="U17" s="56" t="n">
        <v>94</v>
      </c>
      <c r="V17" s="57" t="n">
        <f aca="false">V16-U17</f>
        <v>12858</v>
      </c>
      <c r="W17" s="56" t="n">
        <f aca="false">R17+T17+N17+U17</f>
        <v>647</v>
      </c>
      <c r="X17" s="56" t="n">
        <f aca="false">IF(L17&lt;0,L17*-1,0)</f>
        <v>137.545248298462</v>
      </c>
      <c r="Y17" s="56" t="n">
        <f aca="false">W17+X17</f>
        <v>784.545248298462</v>
      </c>
      <c r="Z17" s="60" t="n">
        <v>0</v>
      </c>
      <c r="AA17" s="61" t="n">
        <v>94</v>
      </c>
      <c r="AB17" s="61" t="n">
        <v>57</v>
      </c>
      <c r="AC17" s="62" t="n">
        <f aca="false">AC16+1</f>
        <v>8</v>
      </c>
      <c r="AD17" s="78"/>
      <c r="AE17" s="82"/>
      <c r="AF17" s="82"/>
    </row>
    <row r="18" customFormat="false" ht="11.1" hidden="false" customHeight="true" outlineLevel="0" collapsed="false">
      <c r="A18" s="62" t="n">
        <f aca="false">A17+1</f>
        <v>9</v>
      </c>
      <c r="B18" s="80" t="n">
        <v>6910.83</v>
      </c>
      <c r="C18" s="57" t="n">
        <v>325317</v>
      </c>
      <c r="D18" s="61" t="n">
        <f aca="false">C18-C17</f>
        <v>-1087</v>
      </c>
      <c r="E18" s="57" t="n">
        <f aca="false">C18-152000</f>
        <v>173317</v>
      </c>
      <c r="F18" s="56" t="n">
        <f aca="false">D18/$D$2</f>
        <v>-548.021174691202</v>
      </c>
      <c r="G18" s="56" t="n">
        <v>172</v>
      </c>
      <c r="H18" s="58" t="n">
        <v>0</v>
      </c>
      <c r="I18" s="56" t="n">
        <f aca="false">G18+H18</f>
        <v>172</v>
      </c>
      <c r="J18" s="81" t="n">
        <f aca="false">IF(L18&gt;0,L18,0)</f>
        <v>0</v>
      </c>
      <c r="K18" s="56" t="n">
        <f aca="false">I18+J18</f>
        <v>172</v>
      </c>
      <c r="L18" s="56" t="n">
        <f aca="false">F18-(I18-W18)</f>
        <v>-27.0211746912024</v>
      </c>
      <c r="M18" s="56" t="n">
        <v>250</v>
      </c>
      <c r="N18" s="56" t="n">
        <f aca="false">(33+34)*1.05</f>
        <v>70.35</v>
      </c>
      <c r="O18" s="56" t="n">
        <f aca="false">M18-N18</f>
        <v>179.65</v>
      </c>
      <c r="P18" s="56" t="n">
        <v>125</v>
      </c>
      <c r="Q18" s="56" t="n">
        <v>68</v>
      </c>
      <c r="R18" s="56" t="n">
        <f aca="false">SUM(O18:Q18)</f>
        <v>372.65</v>
      </c>
      <c r="S18" s="57" t="n">
        <f aca="false">(I18-R18)+S17</f>
        <v>6809.9148066549</v>
      </c>
      <c r="T18" s="56" t="n">
        <v>156</v>
      </c>
      <c r="U18" s="56" t="n">
        <v>94</v>
      </c>
      <c r="V18" s="57" t="n">
        <f aca="false">V17-U18</f>
        <v>12764</v>
      </c>
      <c r="W18" s="56" t="n">
        <f aca="false">R18+T18+N18+U18</f>
        <v>693</v>
      </c>
      <c r="X18" s="56" t="n">
        <f aca="false">IF(L18&lt;0,L18*-1,0)</f>
        <v>27.0211746912024</v>
      </c>
      <c r="Y18" s="56" t="n">
        <f aca="false">W18+X18</f>
        <v>720.021174691202</v>
      </c>
      <c r="Z18" s="60" t="n">
        <v>0</v>
      </c>
      <c r="AA18" s="90" t="n">
        <v>81</v>
      </c>
      <c r="AB18" s="61" t="n">
        <v>57</v>
      </c>
      <c r="AC18" s="62" t="n">
        <f aca="false">AC17+1</f>
        <v>9</v>
      </c>
      <c r="AD18" s="78"/>
      <c r="AE18" s="82"/>
      <c r="AF18" s="82"/>
    </row>
    <row r="19" customFormat="false" ht="11.1" hidden="false" customHeight="true" outlineLevel="0" collapsed="false">
      <c r="A19" s="62" t="n">
        <f aca="false">A18+1</f>
        <v>10</v>
      </c>
      <c r="B19" s="80" t="n">
        <v>6910.53</v>
      </c>
      <c r="C19" s="57" t="n">
        <v>324113</v>
      </c>
      <c r="D19" s="61" t="n">
        <f aca="false">C19-C18</f>
        <v>-1204</v>
      </c>
      <c r="E19" s="57" t="n">
        <f aca="false">C19-152000</f>
        <v>172113</v>
      </c>
      <c r="F19" s="56" t="n">
        <f aca="false">D19/$D$2</f>
        <v>-607.007814469372</v>
      </c>
      <c r="G19" s="56" t="n">
        <v>167</v>
      </c>
      <c r="H19" s="58" t="n">
        <v>0</v>
      </c>
      <c r="I19" s="56" t="n">
        <f aca="false">G19+H19</f>
        <v>167</v>
      </c>
      <c r="J19" s="81" t="n">
        <f aca="false">IF(L19&gt;0,L19,0)</f>
        <v>0</v>
      </c>
      <c r="K19" s="56" t="n">
        <f aca="false">I19+J19</f>
        <v>167</v>
      </c>
      <c r="L19" s="56" t="n">
        <f aca="false">F19-(I19-W19)</f>
        <v>-54.0078144693723</v>
      </c>
      <c r="M19" s="56" t="n">
        <v>260</v>
      </c>
      <c r="N19" s="56" t="n">
        <f aca="false">(35+35)*1.05</f>
        <v>73.5</v>
      </c>
      <c r="O19" s="56" t="n">
        <f aca="false">M19-N19</f>
        <v>186.5</v>
      </c>
      <c r="P19" s="56" t="n">
        <v>125</v>
      </c>
      <c r="Q19" s="56" t="n">
        <v>67</v>
      </c>
      <c r="R19" s="56" t="n">
        <f aca="false">SUM(O19:Q19)</f>
        <v>378.5</v>
      </c>
      <c r="S19" s="57" t="n">
        <f aca="false">(I19-R19)+S18</f>
        <v>6598.4148066549</v>
      </c>
      <c r="T19" s="56" t="n">
        <v>174</v>
      </c>
      <c r="U19" s="56" t="n">
        <v>94</v>
      </c>
      <c r="V19" s="57" t="n">
        <f aca="false">V18-U19</f>
        <v>12670</v>
      </c>
      <c r="W19" s="56" t="n">
        <f aca="false">R19+T19+N19+U19</f>
        <v>720</v>
      </c>
      <c r="X19" s="56" t="n">
        <f aca="false">IF(L19&lt;0,L19*-1,0)</f>
        <v>54.0078144693723</v>
      </c>
      <c r="Y19" s="56" t="n">
        <f aca="false">W19+X19</f>
        <v>774.007814469372</v>
      </c>
      <c r="Z19" s="60" t="n">
        <v>0</v>
      </c>
      <c r="AA19" s="61" t="n">
        <v>82</v>
      </c>
      <c r="AB19" s="61" t="n">
        <v>62</v>
      </c>
      <c r="AC19" s="62" t="n">
        <f aca="false">AC18+1</f>
        <v>10</v>
      </c>
      <c r="AD19" s="78"/>
      <c r="AE19" s="82"/>
      <c r="AF19" s="82"/>
    </row>
    <row r="20" customFormat="false" ht="11.1" hidden="false" customHeight="true" outlineLevel="0" collapsed="false">
      <c r="A20" s="62" t="n">
        <v>11</v>
      </c>
      <c r="B20" s="80" t="n">
        <v>6910.27</v>
      </c>
      <c r="C20" s="57" t="n">
        <v>323070</v>
      </c>
      <c r="D20" s="61" t="n">
        <f aca="false">C20-C19</f>
        <v>-1043</v>
      </c>
      <c r="E20" s="57" t="n">
        <f aca="false">C20-152000</f>
        <v>171070</v>
      </c>
      <c r="F20" s="56" t="n">
        <f aca="false">D20/$D$2</f>
        <v>-525.838164860096</v>
      </c>
      <c r="G20" s="56" t="n">
        <v>171</v>
      </c>
      <c r="H20" s="58" t="n">
        <v>0</v>
      </c>
      <c r="I20" s="56" t="n">
        <f aca="false">G20+H20</f>
        <v>171</v>
      </c>
      <c r="J20" s="81" t="n">
        <f aca="false">IF(L20&gt;0,L20,0)</f>
        <v>43.1618351399043</v>
      </c>
      <c r="K20" s="56" t="n">
        <f aca="false">I20+J20</f>
        <v>214.161835139904</v>
      </c>
      <c r="L20" s="56" t="n">
        <f aca="false">F20-(I20-W20)</f>
        <v>43.1618351399043</v>
      </c>
      <c r="M20" s="56" t="n">
        <v>266</v>
      </c>
      <c r="N20" s="56" t="n">
        <f aca="false">(33+34)*1.05</f>
        <v>70.35</v>
      </c>
      <c r="O20" s="56" t="n">
        <f aca="false">M20-N20</f>
        <v>195.65</v>
      </c>
      <c r="P20" s="56" t="n">
        <v>125</v>
      </c>
      <c r="Q20" s="56" t="n">
        <v>68</v>
      </c>
      <c r="R20" s="56" t="n">
        <f aca="false">SUM(O20:Q20)</f>
        <v>388.65</v>
      </c>
      <c r="S20" s="57" t="n">
        <f aca="false">(I20-R20)+S19</f>
        <v>6380.76480665491</v>
      </c>
      <c r="T20" s="56" t="n">
        <v>186</v>
      </c>
      <c r="U20" s="56" t="n">
        <v>95</v>
      </c>
      <c r="V20" s="57" t="n">
        <f aca="false">V19-U20</f>
        <v>12575</v>
      </c>
      <c r="W20" s="56" t="n">
        <f aca="false">R20+T20+N20+U20</f>
        <v>740</v>
      </c>
      <c r="X20" s="56" t="n">
        <f aca="false">IF(L20&lt;0,L20*-1,0)</f>
        <v>0</v>
      </c>
      <c r="Y20" s="56" t="n">
        <f aca="false">W20+X20</f>
        <v>740</v>
      </c>
      <c r="Z20" s="60" t="n">
        <v>0</v>
      </c>
      <c r="AA20" s="61" t="n">
        <v>86</v>
      </c>
      <c r="AB20" s="61" t="n">
        <v>60</v>
      </c>
      <c r="AC20" s="62" t="n">
        <v>11</v>
      </c>
      <c r="AD20" s="78"/>
      <c r="AE20" s="82"/>
      <c r="AF20" s="82"/>
    </row>
    <row r="21" customFormat="false" ht="11.1" hidden="false" customHeight="true" outlineLevel="0" collapsed="false">
      <c r="A21" s="62" t="n">
        <v>12</v>
      </c>
      <c r="B21" s="80" t="n">
        <v>6909.95</v>
      </c>
      <c r="C21" s="57" t="n">
        <v>321787</v>
      </c>
      <c r="D21" s="61" t="n">
        <f aca="false">C21-C20</f>
        <v>-1283</v>
      </c>
      <c r="E21" s="57" t="n">
        <f aca="false">C21-152000</f>
        <v>169787</v>
      </c>
      <c r="F21" s="56" t="n">
        <f aca="false">D21/$D$2</f>
        <v>-646.836400302496</v>
      </c>
      <c r="G21" s="56" t="n">
        <v>178</v>
      </c>
      <c r="H21" s="58" t="n">
        <v>0</v>
      </c>
      <c r="I21" s="56" t="n">
        <f aca="false">G21+H21</f>
        <v>178</v>
      </c>
      <c r="J21" s="81" t="n">
        <f aca="false">IF(L21&gt;0,L21,0)</f>
        <v>0</v>
      </c>
      <c r="K21" s="56" t="n">
        <f aca="false">I21+J21</f>
        <v>178</v>
      </c>
      <c r="L21" s="56" t="n">
        <f aca="false">F21-(I21-W21)</f>
        <v>-45.8364003024956</v>
      </c>
      <c r="M21" s="56" t="n">
        <v>273</v>
      </c>
      <c r="N21" s="56" t="n">
        <f aca="false">(33+34)*1.05</f>
        <v>70.35</v>
      </c>
      <c r="O21" s="56" t="n">
        <f aca="false">M21-N21</f>
        <v>202.65</v>
      </c>
      <c r="P21" s="56" t="n">
        <v>124</v>
      </c>
      <c r="Q21" s="56" t="n">
        <v>71</v>
      </c>
      <c r="R21" s="56" t="n">
        <f aca="false">SUM(O21:Q21)</f>
        <v>397.65</v>
      </c>
      <c r="S21" s="57" t="n">
        <f aca="false">(I21-R21)+S20</f>
        <v>6161.11480665491</v>
      </c>
      <c r="T21" s="56" t="n">
        <v>214</v>
      </c>
      <c r="U21" s="56" t="n">
        <v>97</v>
      </c>
      <c r="V21" s="57" t="n">
        <f aca="false">V20-U21</f>
        <v>12478</v>
      </c>
      <c r="W21" s="56" t="n">
        <f aca="false">R21+T21+N21+U21</f>
        <v>779</v>
      </c>
      <c r="X21" s="56" t="n">
        <f aca="false">IF(L21&lt;0,L21*-1,0)</f>
        <v>45.8364003024956</v>
      </c>
      <c r="Y21" s="56" t="n">
        <f aca="false">W21+X21</f>
        <v>824.836400302496</v>
      </c>
      <c r="Z21" s="60" t="n">
        <v>0</v>
      </c>
      <c r="AA21" s="61" t="n">
        <v>88</v>
      </c>
      <c r="AB21" s="61" t="n">
        <v>52</v>
      </c>
      <c r="AC21" s="62" t="n">
        <v>12</v>
      </c>
      <c r="AD21" s="78"/>
      <c r="AE21" s="82"/>
      <c r="AF21" s="82"/>
    </row>
    <row r="22" customFormat="false" ht="11.1" hidden="false" customHeight="true" outlineLevel="0" collapsed="false">
      <c r="A22" s="62" t="n">
        <v>13</v>
      </c>
      <c r="B22" s="80" t="n">
        <v>6909.61</v>
      </c>
      <c r="C22" s="57" t="n">
        <v>320434</v>
      </c>
      <c r="D22" s="61" t="n">
        <f aca="false">C22-C21</f>
        <v>-1353</v>
      </c>
      <c r="E22" s="57" t="n">
        <f aca="false">C22-152000</f>
        <v>168434</v>
      </c>
      <c r="F22" s="56" t="n">
        <f aca="false">D22/$D$2</f>
        <v>-682.127552306529</v>
      </c>
      <c r="G22" s="56" t="n">
        <v>162</v>
      </c>
      <c r="H22" s="58" t="n">
        <v>0</v>
      </c>
      <c r="I22" s="56" t="n">
        <f aca="false">G22+H22</f>
        <v>162</v>
      </c>
      <c r="J22" s="81" t="n">
        <f aca="false">IF(L22&gt;0,L22,0)</f>
        <v>0</v>
      </c>
      <c r="K22" s="56" t="n">
        <f aca="false">I22+J22</f>
        <v>162</v>
      </c>
      <c r="L22" s="56" t="n">
        <f aca="false">F22-(I22-W22)</f>
        <v>-44.1275523065289</v>
      </c>
      <c r="M22" s="56" t="n">
        <v>286</v>
      </c>
      <c r="N22" s="56" t="n">
        <f aca="false">(38+38)*1.05</f>
        <v>79.8</v>
      </c>
      <c r="O22" s="56" t="n">
        <f aca="false">M22-N22</f>
        <v>206.2</v>
      </c>
      <c r="P22" s="56" t="n">
        <v>124</v>
      </c>
      <c r="Q22" s="56" t="n">
        <v>75</v>
      </c>
      <c r="R22" s="56" t="n">
        <f aca="false">SUM(O22:Q22)</f>
        <v>405.2</v>
      </c>
      <c r="S22" s="57" t="n">
        <f aca="false">(I22-R22)+S21</f>
        <v>5917.91480665491</v>
      </c>
      <c r="T22" s="56" t="n">
        <v>215</v>
      </c>
      <c r="U22" s="56" t="n">
        <v>100</v>
      </c>
      <c r="V22" s="57" t="n">
        <f aca="false">V21-U22</f>
        <v>12378</v>
      </c>
      <c r="W22" s="56" t="n">
        <f aca="false">R22+T22+N22+U22</f>
        <v>800</v>
      </c>
      <c r="X22" s="56" t="n">
        <f aca="false">IF(L22&lt;0,L22*-1,0)</f>
        <v>44.1275523065289</v>
      </c>
      <c r="Y22" s="56" t="n">
        <f aca="false">W22+X22</f>
        <v>844.127552306529</v>
      </c>
      <c r="Z22" s="60" t="n">
        <v>0.32</v>
      </c>
      <c r="AA22" s="61" t="n">
        <v>86</v>
      </c>
      <c r="AB22" s="61" t="n">
        <v>52</v>
      </c>
      <c r="AC22" s="62" t="n">
        <v>13</v>
      </c>
      <c r="AD22" s="78"/>
      <c r="AE22" s="82"/>
      <c r="AF22" s="82"/>
    </row>
    <row r="23" customFormat="false" ht="11.1" hidden="false" customHeight="true" outlineLevel="0" collapsed="false">
      <c r="A23" s="62" t="n">
        <v>14</v>
      </c>
      <c r="B23" s="80" t="n">
        <v>6909.37</v>
      </c>
      <c r="C23" s="57" t="n">
        <v>319478</v>
      </c>
      <c r="D23" s="61" t="n">
        <f aca="false">C23-C22</f>
        <v>-956</v>
      </c>
      <c r="E23" s="57" t="n">
        <f aca="false">C23-152000</f>
        <v>167478</v>
      </c>
      <c r="F23" s="56" t="n">
        <f aca="false">D23/$D$2</f>
        <v>-481.976304512226</v>
      </c>
      <c r="G23" s="56" t="n">
        <v>164</v>
      </c>
      <c r="H23" s="58" t="n">
        <v>0</v>
      </c>
      <c r="I23" s="56" t="n">
        <f aca="false">G23+H23</f>
        <v>164</v>
      </c>
      <c r="J23" s="81" t="n">
        <f aca="false">IF(L23&gt;0,L23,0)</f>
        <v>119.023695487774</v>
      </c>
      <c r="K23" s="56" t="n">
        <f aca="false">I23+J23</f>
        <v>283.023695487774</v>
      </c>
      <c r="L23" s="56" t="n">
        <f aca="false">F23-(I23-W23)</f>
        <v>119.023695487774</v>
      </c>
      <c r="M23" s="56" t="n">
        <v>255</v>
      </c>
      <c r="N23" s="56" t="n">
        <f aca="false">(26+26)*1.05</f>
        <v>54.6</v>
      </c>
      <c r="O23" s="56" t="n">
        <f aca="false">M23-N23</f>
        <v>200.4</v>
      </c>
      <c r="P23" s="56" t="n">
        <v>123</v>
      </c>
      <c r="Q23" s="56" t="n">
        <v>77</v>
      </c>
      <c r="R23" s="56" t="n">
        <f aca="false">SUM(O23:Q23)</f>
        <v>400.4</v>
      </c>
      <c r="S23" s="57" t="n">
        <f aca="false">(I23-R23)+S22</f>
        <v>5681.51480665491</v>
      </c>
      <c r="T23" s="56" t="n">
        <v>213</v>
      </c>
      <c r="U23" s="56" t="n">
        <v>97</v>
      </c>
      <c r="V23" s="57" t="n">
        <f aca="false">V22-U23</f>
        <v>12281</v>
      </c>
      <c r="W23" s="56" t="n">
        <f aca="false">R23+T23+N23+U23</f>
        <v>765</v>
      </c>
      <c r="X23" s="56" t="n">
        <f aca="false">IF(L23&lt;0,L23*-1,0)</f>
        <v>0</v>
      </c>
      <c r="Y23" s="56" t="n">
        <f aca="false">W23+X23</f>
        <v>765</v>
      </c>
      <c r="Z23" s="60" t="n">
        <v>0</v>
      </c>
      <c r="AA23" s="61" t="n">
        <v>89</v>
      </c>
      <c r="AB23" s="61" t="n">
        <v>51</v>
      </c>
      <c r="AC23" s="62" t="n">
        <v>14</v>
      </c>
      <c r="AD23" s="78"/>
      <c r="AE23" s="82"/>
      <c r="AF23" s="82"/>
    </row>
    <row r="24" customFormat="false" ht="11.1" hidden="false" customHeight="true" outlineLevel="0" collapsed="false">
      <c r="A24" s="62" t="n">
        <v>15</v>
      </c>
      <c r="B24" s="80" t="n">
        <v>6909.04</v>
      </c>
      <c r="C24" s="57" t="n">
        <v>318165</v>
      </c>
      <c r="D24" s="61" t="n">
        <f aca="false">C24-C23</f>
        <v>-1313</v>
      </c>
      <c r="E24" s="57" t="n">
        <f aca="false">C24-152000</f>
        <v>166165</v>
      </c>
      <c r="F24" s="56" t="n">
        <f aca="false">D24/$D$2</f>
        <v>-661.961179732796</v>
      </c>
      <c r="G24" s="56" t="n">
        <v>161</v>
      </c>
      <c r="H24" s="58" t="n">
        <v>1.8</v>
      </c>
      <c r="I24" s="56" t="n">
        <f aca="false">G24+H24</f>
        <v>162.8</v>
      </c>
      <c r="J24" s="81" t="n">
        <f aca="false">IF(L24&gt;0,L24,0)</f>
        <v>0</v>
      </c>
      <c r="K24" s="56" t="n">
        <f aca="false">I24+J24</f>
        <v>162.8</v>
      </c>
      <c r="L24" s="56" t="n">
        <f aca="false">F24-(I24-W24)</f>
        <v>-54.7611797327955</v>
      </c>
      <c r="M24" s="56" t="n">
        <v>260</v>
      </c>
      <c r="N24" s="56" t="n">
        <f aca="false">(18+19)*1.05</f>
        <v>38.85</v>
      </c>
      <c r="O24" s="56" t="n">
        <f aca="false">M24-N24</f>
        <v>221.15</v>
      </c>
      <c r="P24" s="56" t="n">
        <v>124</v>
      </c>
      <c r="Q24" s="56" t="n">
        <v>77</v>
      </c>
      <c r="R24" s="56" t="n">
        <f aca="false">SUM(O24:Q24)</f>
        <v>422.15</v>
      </c>
      <c r="S24" s="57" t="n">
        <f aca="false">(I24-R24)+S23</f>
        <v>5422.16480665491</v>
      </c>
      <c r="T24" s="56" t="n">
        <v>212</v>
      </c>
      <c r="U24" s="56" t="n">
        <v>97</v>
      </c>
      <c r="V24" s="57" t="n">
        <f aca="false">V23-U24</f>
        <v>12184</v>
      </c>
      <c r="W24" s="56" t="n">
        <f aca="false">R24+T24+N24+U24</f>
        <v>770</v>
      </c>
      <c r="X24" s="56" t="n">
        <f aca="false">IF(L24&lt;0,L24*-1,0)</f>
        <v>54.7611797327955</v>
      </c>
      <c r="Y24" s="56" t="n">
        <f aca="false">W24+X24</f>
        <v>824.761179732796</v>
      </c>
      <c r="Z24" s="60" t="n">
        <v>0</v>
      </c>
      <c r="AA24" s="61" t="n">
        <v>91</v>
      </c>
      <c r="AB24" s="61" t="n">
        <v>53</v>
      </c>
      <c r="AC24" s="62" t="n">
        <v>15</v>
      </c>
      <c r="AD24" s="78"/>
      <c r="AE24" s="82"/>
      <c r="AF24" s="82"/>
    </row>
    <row r="25" customFormat="false" ht="11.1" hidden="false" customHeight="true" outlineLevel="0" collapsed="false">
      <c r="A25" s="62" t="n">
        <v>16</v>
      </c>
      <c r="B25" s="80" t="n">
        <v>6908.69</v>
      </c>
      <c r="C25" s="57" t="n">
        <v>316871</v>
      </c>
      <c r="D25" s="61" t="n">
        <f aca="false">C25-C24</f>
        <v>-1294</v>
      </c>
      <c r="E25" s="57" t="n">
        <f aca="false">C25-152000</f>
        <v>164871</v>
      </c>
      <c r="F25" s="56" t="n">
        <f aca="false">D25/$D$2</f>
        <v>-652.382152760272</v>
      </c>
      <c r="G25" s="56" t="n">
        <v>151</v>
      </c>
      <c r="H25" s="58" t="n">
        <v>1.3</v>
      </c>
      <c r="I25" s="56" t="n">
        <f aca="false">G25+H25</f>
        <v>152.3</v>
      </c>
      <c r="J25" s="81" t="n">
        <f aca="false">IF(L25&gt;0,L25,0)</f>
        <v>0</v>
      </c>
      <c r="K25" s="56" t="n">
        <f aca="false">I25+J25</f>
        <v>152.3</v>
      </c>
      <c r="L25" s="56" t="n">
        <f aca="false">F25-(I25-W25)</f>
        <v>-42.6821527602722</v>
      </c>
      <c r="M25" s="56" t="n">
        <v>243</v>
      </c>
      <c r="N25" s="56" t="n">
        <f aca="false">(16+17)*1.05</f>
        <v>34.65</v>
      </c>
      <c r="O25" s="56" t="n">
        <f aca="false">M25-N25</f>
        <v>208.35</v>
      </c>
      <c r="P25" s="56" t="n">
        <v>125</v>
      </c>
      <c r="Q25" s="56" t="n">
        <v>77</v>
      </c>
      <c r="R25" s="56" t="n">
        <f aca="false">SUM(O25:Q25)</f>
        <v>410.35</v>
      </c>
      <c r="S25" s="57" t="n">
        <f aca="false">(I25-R25)+S24</f>
        <v>5164.11480665491</v>
      </c>
      <c r="T25" s="56" t="n">
        <v>220</v>
      </c>
      <c r="U25" s="56" t="n">
        <v>97</v>
      </c>
      <c r="V25" s="57" t="n">
        <f aca="false">V24-U25</f>
        <v>12087</v>
      </c>
      <c r="W25" s="56" t="n">
        <f aca="false">R25+T25+N25+U25</f>
        <v>762</v>
      </c>
      <c r="X25" s="56" t="n">
        <f aca="false">IF(L25&lt;0,L25*-1,0)</f>
        <v>42.6821527602722</v>
      </c>
      <c r="Y25" s="56" t="n">
        <f aca="false">W25+X25</f>
        <v>804.682152760272</v>
      </c>
      <c r="Z25" s="60" t="n">
        <v>0</v>
      </c>
      <c r="AA25" s="61" t="n">
        <v>91</v>
      </c>
      <c r="AB25" s="61" t="n">
        <v>55</v>
      </c>
      <c r="AC25" s="62" t="n">
        <v>16</v>
      </c>
      <c r="AD25" s="78"/>
      <c r="AE25" s="82"/>
      <c r="AF25" s="82"/>
    </row>
    <row r="26" customFormat="false" ht="11.1" hidden="false" customHeight="true" outlineLevel="0" collapsed="false">
      <c r="A26" s="62" t="n">
        <v>17</v>
      </c>
      <c r="B26" s="80" t="n">
        <v>6908.39</v>
      </c>
      <c r="C26" s="57" t="n">
        <v>315596</v>
      </c>
      <c r="D26" s="61" t="n">
        <f aca="false">C26-C25</f>
        <v>-1275</v>
      </c>
      <c r="E26" s="57" t="n">
        <f aca="false">C26-152000</f>
        <v>163596</v>
      </c>
      <c r="F26" s="56" t="n">
        <f aca="false">D26/$D$2</f>
        <v>-642.803125787749</v>
      </c>
      <c r="G26" s="56" t="n">
        <v>146</v>
      </c>
      <c r="H26" s="58" t="n">
        <v>0</v>
      </c>
      <c r="I26" s="56" t="n">
        <f aca="false">G26+H26</f>
        <v>146</v>
      </c>
      <c r="J26" s="81" t="n">
        <f aca="false">IF(L26&gt;0,L26,0)</f>
        <v>8.19687421225103</v>
      </c>
      <c r="K26" s="56" t="n">
        <f aca="false">I26+J26</f>
        <v>154.196874212251</v>
      </c>
      <c r="L26" s="56" t="n">
        <f aca="false">F26-(I26-W26)</f>
        <v>8.19687421225103</v>
      </c>
      <c r="M26" s="56" t="n">
        <v>272</v>
      </c>
      <c r="N26" s="56" t="n">
        <f aca="false">(19+19)*1.05</f>
        <v>39.9</v>
      </c>
      <c r="O26" s="56" t="n">
        <f aca="false">M26-N26</f>
        <v>232.1</v>
      </c>
      <c r="P26" s="56" t="n">
        <v>126</v>
      </c>
      <c r="Q26" s="56" t="n">
        <v>76</v>
      </c>
      <c r="R26" s="56" t="n">
        <f aca="false">SUM(O26:Q26)</f>
        <v>434.1</v>
      </c>
      <c r="S26" s="57" t="n">
        <f aca="false">(I26-R26)+S25</f>
        <v>4876.0148066549</v>
      </c>
      <c r="T26" s="56" t="n">
        <v>226</v>
      </c>
      <c r="U26" s="56" t="n">
        <v>97</v>
      </c>
      <c r="V26" s="57" t="n">
        <f aca="false">V25-U26</f>
        <v>11990</v>
      </c>
      <c r="W26" s="56" t="n">
        <f aca="false">R26+T26+N26+U26</f>
        <v>797</v>
      </c>
      <c r="X26" s="56" t="n">
        <f aca="false">IF(L26&lt;0,L26*-1,0)</f>
        <v>0</v>
      </c>
      <c r="Y26" s="56" t="n">
        <f aca="false">W26+X26</f>
        <v>797</v>
      </c>
      <c r="Z26" s="60" t="n">
        <v>0.02</v>
      </c>
      <c r="AA26" s="61" t="n">
        <v>89</v>
      </c>
      <c r="AB26" s="61" t="n">
        <v>55</v>
      </c>
      <c r="AC26" s="62" t="n">
        <v>17</v>
      </c>
      <c r="AD26" s="78"/>
      <c r="AE26" s="82"/>
      <c r="AF26" s="82"/>
    </row>
    <row r="27" customFormat="false" ht="11.1" hidden="false" customHeight="true" outlineLevel="0" collapsed="false">
      <c r="A27" s="62" t="n">
        <v>18</v>
      </c>
      <c r="B27" s="80" t="n">
        <v>6908.02</v>
      </c>
      <c r="C27" s="57" t="n">
        <v>314135</v>
      </c>
      <c r="D27" s="61" t="n">
        <f aca="false">C27-C26</f>
        <v>-1461</v>
      </c>
      <c r="E27" s="57" t="n">
        <f aca="false">C27-152000</f>
        <v>162135</v>
      </c>
      <c r="F27" s="56" t="n">
        <f aca="false">D27/$D$2</f>
        <v>-736.576758255609</v>
      </c>
      <c r="G27" s="56" t="n">
        <v>148</v>
      </c>
      <c r="H27" s="58" t="n">
        <v>0</v>
      </c>
      <c r="I27" s="56" t="n">
        <f aca="false">G27+H27</f>
        <v>148</v>
      </c>
      <c r="J27" s="81" t="n">
        <f aca="false">IF(L27&gt;0,L27,0)</f>
        <v>0</v>
      </c>
      <c r="K27" s="56" t="n">
        <f aca="false">I27+J27</f>
        <v>148</v>
      </c>
      <c r="L27" s="56" t="n">
        <f aca="false">F27-(I27-W27)</f>
        <v>-74.5767582556088</v>
      </c>
      <c r="M27" s="56" t="n">
        <v>266</v>
      </c>
      <c r="N27" s="56" t="n">
        <f aca="false">(28+28)*1.05</f>
        <v>58.8</v>
      </c>
      <c r="O27" s="56" t="n">
        <f aca="false">M27-N27</f>
        <v>207.2</v>
      </c>
      <c r="P27" s="56" t="n">
        <v>127</v>
      </c>
      <c r="Q27" s="56" t="n">
        <v>76</v>
      </c>
      <c r="R27" s="56" t="n">
        <f aca="false">SUM(O27:Q27)</f>
        <v>410.2</v>
      </c>
      <c r="S27" s="57" t="n">
        <f aca="false">(I27-R27)+S26</f>
        <v>4613.8148066549</v>
      </c>
      <c r="T27" s="56" t="n">
        <v>244</v>
      </c>
      <c r="U27" s="56" t="n">
        <v>97</v>
      </c>
      <c r="V27" s="57" t="n">
        <f aca="false">V26-U27</f>
        <v>11893</v>
      </c>
      <c r="W27" s="56" t="n">
        <f aca="false">R27+T27+N27+U27</f>
        <v>810</v>
      </c>
      <c r="X27" s="56" t="n">
        <f aca="false">IF(L27&lt;0,L27*-1,0)</f>
        <v>74.5767582556088</v>
      </c>
      <c r="Y27" s="56" t="n">
        <f aca="false">W27+X27</f>
        <v>884.576758255609</v>
      </c>
      <c r="Z27" s="60" t="n">
        <v>0</v>
      </c>
      <c r="AA27" s="61" t="n">
        <v>84</v>
      </c>
      <c r="AB27" s="61" t="n">
        <v>56</v>
      </c>
      <c r="AC27" s="62" t="n">
        <v>18</v>
      </c>
      <c r="AD27" s="78"/>
      <c r="AE27" s="82"/>
      <c r="AF27" s="82"/>
    </row>
    <row r="28" customFormat="false" ht="11.1" hidden="false" customHeight="true" outlineLevel="0" collapsed="false">
      <c r="A28" s="62" t="n">
        <v>19</v>
      </c>
      <c r="B28" s="80" t="n">
        <v>6907.6</v>
      </c>
      <c r="C28" s="57" t="n">
        <v>312489</v>
      </c>
      <c r="D28" s="61" t="n">
        <f aca="false">C28-C27</f>
        <v>-1646</v>
      </c>
      <c r="E28" s="57" t="n">
        <f aca="false">C28-152000</f>
        <v>160489</v>
      </c>
      <c r="F28" s="56" t="n">
        <f aca="false">D28/$D$2</f>
        <v>-829.846231409125</v>
      </c>
      <c r="G28" s="56" t="n">
        <v>146</v>
      </c>
      <c r="H28" s="58" t="n">
        <v>0</v>
      </c>
      <c r="I28" s="56" t="n">
        <f aca="false">G28+H28</f>
        <v>146</v>
      </c>
      <c r="J28" s="81" t="n">
        <f aca="false">IF(L28&gt;0,L28,0)</f>
        <v>0</v>
      </c>
      <c r="K28" s="56" t="n">
        <f aca="false">I28+J28</f>
        <v>146</v>
      </c>
      <c r="L28" s="56" t="n">
        <f aca="false">F28-(I28-W28)</f>
        <v>-141.846231409125</v>
      </c>
      <c r="M28" s="56" t="n">
        <v>288</v>
      </c>
      <c r="N28" s="56" t="n">
        <f aca="false">(26+26)*1.05</f>
        <v>54.6</v>
      </c>
      <c r="O28" s="56" t="n">
        <f aca="false">M28-N28</f>
        <v>233.4</v>
      </c>
      <c r="P28" s="56" t="n">
        <v>127</v>
      </c>
      <c r="Q28" s="103" t="n">
        <v>76</v>
      </c>
      <c r="R28" s="56" t="n">
        <f aca="false">SUM(O28:Q28)</f>
        <v>436.4</v>
      </c>
      <c r="S28" s="57" t="n">
        <f aca="false">(I28-R28)+S27</f>
        <v>4323.41480665491</v>
      </c>
      <c r="T28" s="56" t="n">
        <v>244</v>
      </c>
      <c r="U28" s="56" t="n">
        <v>99</v>
      </c>
      <c r="V28" s="57" t="n">
        <f aca="false">V27-U28</f>
        <v>11794</v>
      </c>
      <c r="W28" s="56" t="n">
        <f aca="false">R28+T28+N28+U28</f>
        <v>834</v>
      </c>
      <c r="X28" s="56" t="n">
        <f aca="false">IF(L28&lt;0,L28*-1,0)</f>
        <v>141.846231409125</v>
      </c>
      <c r="Y28" s="56" t="n">
        <f aca="false">W28+X28</f>
        <v>975.846231409125</v>
      </c>
      <c r="Z28" s="60" t="n">
        <v>0</v>
      </c>
      <c r="AA28" s="61" t="n">
        <v>87</v>
      </c>
      <c r="AB28" s="61" t="n">
        <v>52</v>
      </c>
      <c r="AC28" s="62" t="n">
        <v>19</v>
      </c>
      <c r="AD28" s="78"/>
      <c r="AE28" s="82"/>
      <c r="AF28" s="82"/>
    </row>
    <row r="29" customFormat="false" ht="11.1" hidden="false" customHeight="true" outlineLevel="0" collapsed="false">
      <c r="A29" s="62" t="n">
        <v>20</v>
      </c>
      <c r="B29" s="80" t="n">
        <v>6907.27</v>
      </c>
      <c r="C29" s="57" t="n">
        <v>311196</v>
      </c>
      <c r="D29" s="61" t="n">
        <f aca="false">C29-C28</f>
        <v>-1293</v>
      </c>
      <c r="E29" s="57" t="n">
        <f aca="false">C29-152000</f>
        <v>159196</v>
      </c>
      <c r="F29" s="56" t="n">
        <f aca="false">D29/$D$2</f>
        <v>-651.877993445929</v>
      </c>
      <c r="G29" s="56" t="n">
        <v>146</v>
      </c>
      <c r="H29" s="58" t="n">
        <v>1.5</v>
      </c>
      <c r="I29" s="56" t="n">
        <f aca="false">G29+H29</f>
        <v>147.5</v>
      </c>
      <c r="J29" s="81" t="n">
        <f aca="false">IF(L29&gt;0,L29,0)</f>
        <v>41.6220065540711</v>
      </c>
      <c r="K29" s="56" t="n">
        <f aca="false">I29+J29</f>
        <v>189.122006554071</v>
      </c>
      <c r="L29" s="56" t="n">
        <f aca="false">F29-(I29-W29)</f>
        <v>41.6220065540711</v>
      </c>
      <c r="M29" s="56" t="n">
        <v>296</v>
      </c>
      <c r="N29" s="56" t="n">
        <f aca="false">(30+31)*1.05</f>
        <v>64.05</v>
      </c>
      <c r="O29" s="56" t="n">
        <f aca="false">M29-N29</f>
        <v>231.95</v>
      </c>
      <c r="P29" s="56" t="n">
        <v>127</v>
      </c>
      <c r="Q29" s="103" t="n">
        <v>78</v>
      </c>
      <c r="R29" s="56" t="n">
        <f aca="false">SUM(O29:Q29)</f>
        <v>436.95</v>
      </c>
      <c r="S29" s="57" t="n">
        <f aca="false">(I29-R29)+S28</f>
        <v>4033.96480665491</v>
      </c>
      <c r="T29" s="56" t="n">
        <v>240</v>
      </c>
      <c r="U29" s="56" t="n">
        <v>100</v>
      </c>
      <c r="V29" s="57" t="n">
        <f aca="false">V28-U29</f>
        <v>11694</v>
      </c>
      <c r="W29" s="56" t="n">
        <f aca="false">R29+T29+N29+U29</f>
        <v>841</v>
      </c>
      <c r="X29" s="56" t="n">
        <f aca="false">IF(L29&lt;0,L29*-1,0)</f>
        <v>0</v>
      </c>
      <c r="Y29" s="56" t="n">
        <f aca="false">W29+X29</f>
        <v>841</v>
      </c>
      <c r="Z29" s="60" t="n">
        <v>0.16</v>
      </c>
      <c r="AA29" s="61" t="n">
        <v>91</v>
      </c>
      <c r="AB29" s="61" t="n">
        <v>57</v>
      </c>
      <c r="AC29" s="62" t="n">
        <v>20</v>
      </c>
      <c r="AD29" s="78"/>
      <c r="AE29" s="82"/>
      <c r="AF29" s="82"/>
    </row>
    <row r="30" customFormat="false" ht="11.1" hidden="false" customHeight="true" outlineLevel="0" collapsed="false">
      <c r="A30" s="62" t="n">
        <v>21</v>
      </c>
      <c r="B30" s="80" t="n">
        <v>6906.94</v>
      </c>
      <c r="C30" s="57" t="n">
        <v>309905</v>
      </c>
      <c r="D30" s="61" t="n">
        <f aca="false">C30-C29</f>
        <v>-1291</v>
      </c>
      <c r="E30" s="57" t="n">
        <f aca="false">C30-152000</f>
        <v>157905</v>
      </c>
      <c r="F30" s="56" t="n">
        <f aca="false">D30/$D$2</f>
        <v>-650.869674817242</v>
      </c>
      <c r="G30" s="56" t="n">
        <v>157</v>
      </c>
      <c r="H30" s="58" t="n">
        <v>1.3</v>
      </c>
      <c r="I30" s="56" t="n">
        <f aca="false">G30+H30</f>
        <v>158.3</v>
      </c>
      <c r="J30" s="81" t="n">
        <f aca="false">IF(L30&gt;0,L30,0)</f>
        <v>8.83032518275786</v>
      </c>
      <c r="K30" s="56" t="n">
        <f aca="false">I30+J30</f>
        <v>167.130325182758</v>
      </c>
      <c r="L30" s="56" t="n">
        <f aca="false">F30-(I30-W30)</f>
        <v>8.83032518275786</v>
      </c>
      <c r="M30" s="56" t="n">
        <v>281</v>
      </c>
      <c r="N30" s="56" t="n">
        <f aca="false">(30+30)*1.05</f>
        <v>63</v>
      </c>
      <c r="O30" s="56" t="n">
        <f aca="false">M30-N30</f>
        <v>218</v>
      </c>
      <c r="P30" s="56" t="n">
        <v>127</v>
      </c>
      <c r="Q30" s="103" t="n">
        <v>78</v>
      </c>
      <c r="R30" s="56" t="n">
        <f aca="false">SUM(O30:Q30)</f>
        <v>423</v>
      </c>
      <c r="S30" s="57" t="n">
        <f aca="false">(I30-R30)+S29</f>
        <v>3769.26480665491</v>
      </c>
      <c r="T30" s="56" t="n">
        <v>229</v>
      </c>
      <c r="U30" s="56" t="n">
        <v>103</v>
      </c>
      <c r="V30" s="57" t="n">
        <f aca="false">V29-U30</f>
        <v>11591</v>
      </c>
      <c r="W30" s="56" t="n">
        <f aca="false">R30+T30+N30+U30</f>
        <v>818</v>
      </c>
      <c r="X30" s="56" t="n">
        <f aca="false">IF(L30&lt;0,L30*-1,0)</f>
        <v>0</v>
      </c>
      <c r="Y30" s="56" t="n">
        <f aca="false">W30+X30</f>
        <v>818</v>
      </c>
      <c r="Z30" s="60" t="n">
        <v>0.02</v>
      </c>
      <c r="AA30" s="61" t="n">
        <v>81</v>
      </c>
      <c r="AB30" s="61" t="n">
        <v>56</v>
      </c>
      <c r="AC30" s="62" t="n">
        <v>21</v>
      </c>
      <c r="AD30" s="78"/>
      <c r="AE30" s="82"/>
      <c r="AF30" s="82"/>
    </row>
    <row r="31" customFormat="false" ht="11.1" hidden="false" customHeight="true" outlineLevel="0" collapsed="false">
      <c r="A31" s="62" t="n">
        <v>22</v>
      </c>
      <c r="B31" s="80" t="n">
        <v>6906.61</v>
      </c>
      <c r="C31" s="57" t="n">
        <v>308622</v>
      </c>
      <c r="D31" s="61" t="n">
        <f aca="false">C31-C30</f>
        <v>-1283</v>
      </c>
      <c r="E31" s="57" t="n">
        <f aca="false">C31-152000</f>
        <v>156622</v>
      </c>
      <c r="F31" s="56" t="n">
        <f aca="false">D31/$D$2</f>
        <v>-646.836400302496</v>
      </c>
      <c r="G31" s="56" t="n">
        <v>166</v>
      </c>
      <c r="H31" s="58" t="n">
        <v>1</v>
      </c>
      <c r="I31" s="56" t="n">
        <f aca="false">G31+H31</f>
        <v>167</v>
      </c>
      <c r="J31" s="81" t="n">
        <f aca="false">IF(L31&gt;0,L31,0)</f>
        <v>0</v>
      </c>
      <c r="K31" s="56" t="n">
        <f aca="false">I31+J31</f>
        <v>167</v>
      </c>
      <c r="L31" s="56" t="n">
        <f aca="false">F31-(I31-W31)</f>
        <v>-17.8364003024956</v>
      </c>
      <c r="M31" s="56" t="n">
        <v>251</v>
      </c>
      <c r="N31" s="56" t="n">
        <f aca="false">(21+21)*1.05</f>
        <v>44.1</v>
      </c>
      <c r="O31" s="56" t="n">
        <f aca="false">M31-N31</f>
        <v>206.9</v>
      </c>
      <c r="P31" s="56" t="n">
        <v>126</v>
      </c>
      <c r="Q31" s="56" t="n">
        <v>78</v>
      </c>
      <c r="R31" s="56" t="n">
        <f aca="false">SUM(O31:Q31)</f>
        <v>410.9</v>
      </c>
      <c r="S31" s="57" t="n">
        <f aca="false">(I31-R31)+S30</f>
        <v>3525.36480665491</v>
      </c>
      <c r="T31" s="56" t="n">
        <v>239</v>
      </c>
      <c r="U31" s="56" t="n">
        <v>102</v>
      </c>
      <c r="V31" s="57" t="n">
        <f aca="false">V30-U31</f>
        <v>11489</v>
      </c>
      <c r="W31" s="56" t="n">
        <f aca="false">R31+T31+N31+U31</f>
        <v>796</v>
      </c>
      <c r="X31" s="56" t="n">
        <f aca="false">IF(L31&lt;0,L31*-1,0)</f>
        <v>17.8364003024956</v>
      </c>
      <c r="Y31" s="56" t="n">
        <f aca="false">W31+X31</f>
        <v>813.836400302496</v>
      </c>
      <c r="Z31" s="60" t="n">
        <v>0</v>
      </c>
      <c r="AA31" s="61" t="n">
        <v>89</v>
      </c>
      <c r="AB31" s="61" t="n">
        <v>55</v>
      </c>
      <c r="AC31" s="62" t="n">
        <v>22</v>
      </c>
      <c r="AD31" s="78"/>
      <c r="AE31" s="82"/>
      <c r="AF31" s="82"/>
    </row>
    <row r="32" customFormat="false" ht="11.1" hidden="false" customHeight="true" outlineLevel="0" collapsed="false">
      <c r="A32" s="62" t="n">
        <v>23</v>
      </c>
      <c r="B32" s="80" t="n">
        <v>6906.26</v>
      </c>
      <c r="C32" s="57" t="n">
        <v>307262</v>
      </c>
      <c r="D32" s="61" t="n">
        <f aca="false">C32-C31</f>
        <v>-1360</v>
      </c>
      <c r="E32" s="57" t="n">
        <f aca="false">C32-152000</f>
        <v>155262</v>
      </c>
      <c r="F32" s="56" t="n">
        <f aca="false">D32/$D$2</f>
        <v>-685.656667506932</v>
      </c>
      <c r="G32" s="56" t="n">
        <v>149</v>
      </c>
      <c r="H32" s="58" t="n">
        <v>0.01</v>
      </c>
      <c r="I32" s="56" t="n">
        <f aca="false">G32+H32</f>
        <v>149.01</v>
      </c>
      <c r="J32" s="81" t="n">
        <f aca="false">IF(L32&gt;0,L32,0)</f>
        <v>0</v>
      </c>
      <c r="K32" s="56" t="n">
        <f aca="false">I32+J32</f>
        <v>149.01</v>
      </c>
      <c r="L32" s="56" t="n">
        <f aca="false">F32-(I32-W32)</f>
        <v>-46.6666675069322</v>
      </c>
      <c r="M32" s="56" t="n">
        <v>255</v>
      </c>
      <c r="N32" s="56" t="n">
        <f aca="false">(16+16)*1.05</f>
        <v>33.6</v>
      </c>
      <c r="O32" s="56" t="n">
        <f aca="false">M32-N32</f>
        <v>221.4</v>
      </c>
      <c r="P32" s="56" t="n">
        <v>126</v>
      </c>
      <c r="Q32" s="56" t="n">
        <v>79</v>
      </c>
      <c r="R32" s="56" t="n">
        <f aca="false">SUM(O32:Q32)</f>
        <v>426.4</v>
      </c>
      <c r="S32" s="57" t="n">
        <f aca="false">(I32-R32)+S31</f>
        <v>3247.97480665491</v>
      </c>
      <c r="T32" s="56" t="n">
        <v>226</v>
      </c>
      <c r="U32" s="56" t="n">
        <v>102</v>
      </c>
      <c r="V32" s="57" t="n">
        <f aca="false">V31-U32</f>
        <v>11387</v>
      </c>
      <c r="W32" s="56" t="n">
        <f aca="false">R32+T32+N32+U32</f>
        <v>788</v>
      </c>
      <c r="X32" s="56" t="n">
        <f aca="false">IF(L32&lt;0,L32*-1,0)</f>
        <v>46.6666675069322</v>
      </c>
      <c r="Y32" s="56" t="n">
        <f aca="false">W32+X32</f>
        <v>834.666667506932</v>
      </c>
      <c r="Z32" s="60" t="n">
        <v>0</v>
      </c>
      <c r="AA32" s="61" t="n">
        <v>93</v>
      </c>
      <c r="AB32" s="61" t="n">
        <v>55</v>
      </c>
      <c r="AC32" s="62" t="n">
        <v>23</v>
      </c>
      <c r="AD32" s="78"/>
      <c r="AE32" s="82"/>
      <c r="AF32" s="82"/>
    </row>
    <row r="33" customFormat="false" ht="11.1" hidden="false" customHeight="true" outlineLevel="0" collapsed="false">
      <c r="A33" s="62" t="n">
        <v>24</v>
      </c>
      <c r="B33" s="80" t="n">
        <v>6905.92</v>
      </c>
      <c r="C33" s="57" t="n">
        <v>305943</v>
      </c>
      <c r="D33" s="61" t="n">
        <f aca="false">C33-C32</f>
        <v>-1319</v>
      </c>
      <c r="E33" s="57" t="n">
        <f aca="false">C33-152000</f>
        <v>153943</v>
      </c>
      <c r="F33" s="56" t="n">
        <f aca="false">D33/$D$2</f>
        <v>-664.986135618856</v>
      </c>
      <c r="G33" s="56" t="n">
        <v>136</v>
      </c>
      <c r="H33" s="58" t="n">
        <v>0</v>
      </c>
      <c r="I33" s="56" t="n">
        <f aca="false">G33+H33</f>
        <v>136</v>
      </c>
      <c r="J33" s="81" t="n">
        <f aca="false">IF(L33&gt;0,L33,0)</f>
        <v>0</v>
      </c>
      <c r="K33" s="56" t="n">
        <f aca="false">I33+J33</f>
        <v>136</v>
      </c>
      <c r="L33" s="56" t="n">
        <f aca="false">F33-(I33-W33)</f>
        <v>-26.9861356188555</v>
      </c>
      <c r="M33" s="56" t="n">
        <v>238</v>
      </c>
      <c r="N33" s="56" t="n">
        <f aca="false">(17+16)*1.05</f>
        <v>34.65</v>
      </c>
      <c r="O33" s="56" t="n">
        <f aca="false">M33-N33</f>
        <v>203.35</v>
      </c>
      <c r="P33" s="56" t="n">
        <v>127</v>
      </c>
      <c r="Q33" s="56" t="n">
        <v>77</v>
      </c>
      <c r="R33" s="56" t="n">
        <f aca="false">SUM(O33:Q33)</f>
        <v>407.35</v>
      </c>
      <c r="S33" s="57" t="n">
        <f aca="false">(I33-R33)+S32</f>
        <v>2976.62480665491</v>
      </c>
      <c r="T33" s="56" t="n">
        <v>230</v>
      </c>
      <c r="U33" s="56" t="n">
        <v>102</v>
      </c>
      <c r="V33" s="57" t="n">
        <f aca="false">V32-U33</f>
        <v>11285</v>
      </c>
      <c r="W33" s="56" t="n">
        <f aca="false">R33+T33+N33+U33</f>
        <v>774</v>
      </c>
      <c r="X33" s="56" t="n">
        <f aca="false">IF(L33&lt;0,L33*-1,0)</f>
        <v>26.9861356188555</v>
      </c>
      <c r="Y33" s="56" t="n">
        <f aca="false">W33+X33</f>
        <v>800.986135618856</v>
      </c>
      <c r="Z33" s="60" t="n">
        <v>0.06</v>
      </c>
      <c r="AA33" s="61" t="n">
        <v>89</v>
      </c>
      <c r="AB33" s="61" t="n">
        <v>60</v>
      </c>
      <c r="AC33" s="62" t="n">
        <v>24</v>
      </c>
      <c r="AD33" s="78"/>
      <c r="AE33" s="82"/>
      <c r="AF33" s="82"/>
    </row>
    <row r="34" customFormat="false" ht="11.1" hidden="false" customHeight="true" outlineLevel="0" collapsed="false">
      <c r="A34" s="62" t="n">
        <v>25</v>
      </c>
      <c r="B34" s="80" t="n">
        <v>6905.57</v>
      </c>
      <c r="C34" s="57" t="n">
        <v>304593</v>
      </c>
      <c r="D34" s="61" t="n">
        <f aca="false">C34-C33</f>
        <v>-1350</v>
      </c>
      <c r="E34" s="57" t="n">
        <f aca="false">C34-152000</f>
        <v>152593</v>
      </c>
      <c r="F34" s="56" t="n">
        <f aca="false">D34/$D$2</f>
        <v>-680.615074363499</v>
      </c>
      <c r="G34" s="56" t="n">
        <v>134</v>
      </c>
      <c r="H34" s="58" t="n">
        <v>0</v>
      </c>
      <c r="I34" s="56" t="n">
        <f aca="false">G34+H34</f>
        <v>134</v>
      </c>
      <c r="J34" s="81" t="n">
        <f aca="false">IF(L34&gt;0,L34,0)</f>
        <v>0</v>
      </c>
      <c r="K34" s="56" t="n">
        <f aca="false">I34+J34</f>
        <v>134</v>
      </c>
      <c r="L34" s="56" t="n">
        <f aca="false">F34-(I34-W34)</f>
        <v>-24.6150743634988</v>
      </c>
      <c r="M34" s="56" t="n">
        <v>255</v>
      </c>
      <c r="N34" s="56" t="n">
        <f aca="false">(17+17)*1.05</f>
        <v>35.7</v>
      </c>
      <c r="O34" s="56" t="n">
        <f aca="false">M34-N34</f>
        <v>219.3</v>
      </c>
      <c r="P34" s="56" t="n">
        <v>127</v>
      </c>
      <c r="Q34" s="56" t="n">
        <v>76</v>
      </c>
      <c r="R34" s="56" t="n">
        <f aca="false">SUM(O34:Q34)</f>
        <v>422.3</v>
      </c>
      <c r="S34" s="57" t="n">
        <f aca="false">(I34-R34)+S33</f>
        <v>2688.32480665491</v>
      </c>
      <c r="T34" s="56" t="n">
        <v>229</v>
      </c>
      <c r="U34" s="56" t="n">
        <v>103</v>
      </c>
      <c r="V34" s="57" t="n">
        <f aca="false">V33-U34</f>
        <v>11182</v>
      </c>
      <c r="W34" s="56" t="n">
        <f aca="false">R34+T34+N34+U34</f>
        <v>790</v>
      </c>
      <c r="X34" s="56" t="n">
        <f aca="false">IF(L34&lt;0,L34*-1,0)</f>
        <v>24.6150743634988</v>
      </c>
      <c r="Y34" s="56" t="n">
        <f aca="false">W34+X34</f>
        <v>814.615074363499</v>
      </c>
      <c r="Z34" s="60" t="n">
        <v>0.07</v>
      </c>
      <c r="AA34" s="61" t="n">
        <v>82</v>
      </c>
      <c r="AB34" s="61" t="n">
        <v>56</v>
      </c>
      <c r="AC34" s="62" t="n">
        <v>25</v>
      </c>
      <c r="AD34" s="78"/>
      <c r="AE34" s="82"/>
      <c r="AF34" s="82"/>
    </row>
    <row r="35" customFormat="false" ht="11.1" hidden="false" customHeight="true" outlineLevel="0" collapsed="false">
      <c r="A35" s="62" t="n">
        <v>26</v>
      </c>
      <c r="B35" s="80" t="n">
        <v>6905.27</v>
      </c>
      <c r="C35" s="57" t="n">
        <v>303051</v>
      </c>
      <c r="D35" s="61" t="n">
        <f aca="false">C35-C34</f>
        <v>-1542</v>
      </c>
      <c r="E35" s="57" t="n">
        <f aca="false">C35-152000</f>
        <v>151051</v>
      </c>
      <c r="F35" s="56" t="n">
        <f aca="false">D35/$D$2</f>
        <v>-777.413662717419</v>
      </c>
      <c r="G35" s="56" t="n">
        <v>187</v>
      </c>
      <c r="H35" s="58" t="n">
        <v>0</v>
      </c>
      <c r="I35" s="56" t="n">
        <f aca="false">G35+H35</f>
        <v>187</v>
      </c>
      <c r="J35" s="81" t="n">
        <f aca="false">IF(L35&gt;0,L35,0)</f>
        <v>0</v>
      </c>
      <c r="K35" s="56" t="n">
        <f aca="false">I35+J35</f>
        <v>187</v>
      </c>
      <c r="L35" s="56" t="n">
        <f aca="false">F35-(I35-W35)</f>
        <v>-161.413662717419</v>
      </c>
      <c r="M35" s="56" t="n">
        <v>254</v>
      </c>
      <c r="N35" s="56" t="n">
        <f aca="false">(20+20)*1.05</f>
        <v>42</v>
      </c>
      <c r="O35" s="56" t="n">
        <f aca="false">M35-N35</f>
        <v>212</v>
      </c>
      <c r="P35" s="56" t="n">
        <v>126</v>
      </c>
      <c r="Q35" s="56" t="n">
        <v>74</v>
      </c>
      <c r="R35" s="56" t="n">
        <f aca="false">SUM(O35:Q35)</f>
        <v>412</v>
      </c>
      <c r="S35" s="57" t="n">
        <f aca="false">(I35-R35)+S34</f>
        <v>2463.32480665491</v>
      </c>
      <c r="T35" s="56" t="n">
        <v>246</v>
      </c>
      <c r="U35" s="56" t="n">
        <v>103</v>
      </c>
      <c r="V35" s="57" t="n">
        <f aca="false">V34-U35</f>
        <v>11079</v>
      </c>
      <c r="W35" s="56" t="n">
        <f aca="false">R35+T35+N35+U35</f>
        <v>803</v>
      </c>
      <c r="X35" s="56" t="n">
        <f aca="false">IF(L35&lt;0,L35*-1,0)</f>
        <v>161.413662717419</v>
      </c>
      <c r="Y35" s="56" t="n">
        <f aca="false">W35+X35</f>
        <v>964.413662717419</v>
      </c>
      <c r="Z35" s="60" t="n">
        <v>0</v>
      </c>
      <c r="AA35" s="61" t="n">
        <v>87</v>
      </c>
      <c r="AB35" s="61" t="n">
        <v>58</v>
      </c>
      <c r="AC35" s="62" t="n">
        <v>26</v>
      </c>
      <c r="AD35" s="78"/>
      <c r="AE35" s="82"/>
      <c r="AF35" s="82"/>
    </row>
    <row r="36" customFormat="false" ht="11.1" hidden="false" customHeight="true" outlineLevel="0" collapsed="false">
      <c r="A36" s="62" t="n">
        <v>27</v>
      </c>
      <c r="B36" s="80" t="n">
        <v>6904.94</v>
      </c>
      <c r="C36" s="57" t="n">
        <v>302166</v>
      </c>
      <c r="D36" s="61" t="n">
        <f aca="false">C36-C35</f>
        <v>-885</v>
      </c>
      <c r="E36" s="57" t="n">
        <f aca="false">C36-152000</f>
        <v>150166</v>
      </c>
      <c r="F36" s="56" t="n">
        <f aca="false">D36/$D$2</f>
        <v>-446.180993193849</v>
      </c>
      <c r="G36" s="56" t="n">
        <v>176</v>
      </c>
      <c r="H36" s="58" t="n">
        <v>0</v>
      </c>
      <c r="I36" s="56" t="n">
        <f aca="false">G36+H36</f>
        <v>176</v>
      </c>
      <c r="J36" s="81" t="n">
        <f aca="false">IF(L36&gt;0,L36,0)</f>
        <v>184.819006806151</v>
      </c>
      <c r="K36" s="56" t="n">
        <f aca="false">I36+J36</f>
        <v>360.819006806151</v>
      </c>
      <c r="L36" s="56" t="n">
        <f aca="false">F36-(I36-W36)</f>
        <v>184.819006806151</v>
      </c>
      <c r="M36" s="56" t="n">
        <v>267</v>
      </c>
      <c r="N36" s="56" t="n">
        <f aca="false">(19+19)*1.05</f>
        <v>39.9</v>
      </c>
      <c r="O36" s="56" t="n">
        <f aca="false">M36-N36</f>
        <v>227.1</v>
      </c>
      <c r="P36" s="56" t="n">
        <v>126</v>
      </c>
      <c r="Q36" s="56" t="n">
        <v>73</v>
      </c>
      <c r="R36" s="56" t="n">
        <f aca="false">SUM(O36:Q36)</f>
        <v>426.1</v>
      </c>
      <c r="S36" s="57" t="n">
        <f aca="false">(I36-R36)+S35</f>
        <v>2213.22480665491</v>
      </c>
      <c r="T36" s="56" t="n">
        <v>238</v>
      </c>
      <c r="U36" s="56" t="n">
        <v>103</v>
      </c>
      <c r="V36" s="57" t="n">
        <f aca="false">V35-U36</f>
        <v>10976</v>
      </c>
      <c r="W36" s="56" t="n">
        <f aca="false">R36+T36+N36+U36</f>
        <v>807</v>
      </c>
      <c r="X36" s="56" t="n">
        <f aca="false">IF(L36&lt;0,L36*-1,0)</f>
        <v>0</v>
      </c>
      <c r="Y36" s="56" t="n">
        <f aca="false">W36+X36</f>
        <v>807</v>
      </c>
      <c r="Z36" s="60" t="n">
        <v>0</v>
      </c>
      <c r="AA36" s="61" t="n">
        <v>89</v>
      </c>
      <c r="AB36" s="61" t="n">
        <v>56</v>
      </c>
      <c r="AC36" s="62" t="n">
        <v>27</v>
      </c>
      <c r="AD36" s="78"/>
      <c r="AE36" s="82"/>
      <c r="AF36" s="82"/>
    </row>
    <row r="37" customFormat="false" ht="11.1" hidden="false" customHeight="true" outlineLevel="0" collapsed="false">
      <c r="A37" s="134" t="n">
        <v>28</v>
      </c>
      <c r="B37" s="108" t="n">
        <v>6904.56</v>
      </c>
      <c r="C37" s="109" t="n">
        <v>300713</v>
      </c>
      <c r="D37" s="131" t="n">
        <f aca="false">C37-C36</f>
        <v>-1453</v>
      </c>
      <c r="E37" s="109" t="n">
        <f aca="false">C37-152000</f>
        <v>148713</v>
      </c>
      <c r="F37" s="103" t="n">
        <f aca="false">D37/$D$2</f>
        <v>-732.543483740862</v>
      </c>
      <c r="G37" s="103" t="n">
        <v>151</v>
      </c>
      <c r="H37" s="102" t="n">
        <v>0</v>
      </c>
      <c r="I37" s="103" t="n">
        <f aca="false">G37+H37</f>
        <v>151</v>
      </c>
      <c r="J37" s="135" t="n">
        <f aca="false">IF(L37&gt;0,L37,0)</f>
        <v>0</v>
      </c>
      <c r="K37" s="103" t="n">
        <f aca="false">I37+J37</f>
        <v>151</v>
      </c>
      <c r="L37" s="103" t="n">
        <f aca="false">F37-(I37-W37)</f>
        <v>-107.543483740862</v>
      </c>
      <c r="M37" s="103" t="n">
        <v>254</v>
      </c>
      <c r="N37" s="103" t="n">
        <f aca="false">(17+17)*1.05</f>
        <v>35.7</v>
      </c>
      <c r="O37" s="103" t="n">
        <f aca="false">M37-N37</f>
        <v>218.3</v>
      </c>
      <c r="P37" s="103" t="n">
        <v>126</v>
      </c>
      <c r="Q37" s="103" t="n">
        <v>71</v>
      </c>
      <c r="R37" s="103" t="n">
        <f aca="false">SUM(O37:Q37)</f>
        <v>415.3</v>
      </c>
      <c r="S37" s="109" t="n">
        <f aca="false">(I37-R37)+S36</f>
        <v>1948.92480665491</v>
      </c>
      <c r="T37" s="103" t="n">
        <v>222</v>
      </c>
      <c r="U37" s="103" t="n">
        <v>103</v>
      </c>
      <c r="V37" s="109" t="n">
        <f aca="false">V36-U37</f>
        <v>10873</v>
      </c>
      <c r="W37" s="103" t="n">
        <f aca="false">R37+T37+N37+U37</f>
        <v>776</v>
      </c>
      <c r="X37" s="103" t="n">
        <f aca="false">IF(L37&lt;0,L37*-1,0)</f>
        <v>107.543483740862</v>
      </c>
      <c r="Y37" s="103" t="n">
        <f aca="false">W37+X37</f>
        <v>883.543483740862</v>
      </c>
      <c r="Z37" s="96" t="n">
        <v>0</v>
      </c>
      <c r="AA37" s="131" t="n">
        <v>91</v>
      </c>
      <c r="AB37" s="131" t="n">
        <v>53</v>
      </c>
      <c r="AC37" s="134" t="n">
        <v>28</v>
      </c>
      <c r="AD37" s="78"/>
      <c r="AE37" s="82"/>
      <c r="AF37" s="82"/>
    </row>
    <row r="38" customFormat="false" ht="11.1" hidden="false" customHeight="true" outlineLevel="0" collapsed="false">
      <c r="A38" s="134" t="n">
        <v>29</v>
      </c>
      <c r="B38" s="108" t="n">
        <v>6904.23</v>
      </c>
      <c r="C38" s="109" t="n">
        <v>299541</v>
      </c>
      <c r="D38" s="131" t="n">
        <f aca="false">C38-C37</f>
        <v>-1172</v>
      </c>
      <c r="E38" s="109" t="n">
        <f aca="false">C38-152000</f>
        <v>147541</v>
      </c>
      <c r="F38" s="103" t="n">
        <f aca="false">D38/$D$2</f>
        <v>-590.874716410386</v>
      </c>
      <c r="G38" s="103" t="n">
        <v>136</v>
      </c>
      <c r="H38" s="102" t="n">
        <v>0</v>
      </c>
      <c r="I38" s="103" t="n">
        <f aca="false">G38+H38</f>
        <v>136</v>
      </c>
      <c r="J38" s="135" t="n">
        <f aca="false">IF(L38&gt;0,L38,0)</f>
        <v>46.1252835896144</v>
      </c>
      <c r="K38" s="103" t="n">
        <f aca="false">I38+J38</f>
        <v>182.125283589614</v>
      </c>
      <c r="L38" s="103" t="n">
        <f aca="false">F38-(I38-W38)</f>
        <v>46.1252835896144</v>
      </c>
      <c r="M38" s="103" t="n">
        <v>253</v>
      </c>
      <c r="N38" s="103" t="n">
        <f aca="false">(17+16)*1.05</f>
        <v>34.65</v>
      </c>
      <c r="O38" s="103" t="n">
        <f aca="false">M38-N38</f>
        <v>218.35</v>
      </c>
      <c r="P38" s="103" t="n">
        <v>126</v>
      </c>
      <c r="Q38" s="103" t="n">
        <v>69</v>
      </c>
      <c r="R38" s="103" t="n">
        <f aca="false">SUM(O38:Q38)</f>
        <v>413.35</v>
      </c>
      <c r="S38" s="109" t="n">
        <f aca="false">(I38-R38)+S37</f>
        <v>1671.57480665491</v>
      </c>
      <c r="T38" s="103" t="n">
        <v>221</v>
      </c>
      <c r="U38" s="103" t="n">
        <v>104</v>
      </c>
      <c r="V38" s="109" t="n">
        <f aca="false">V37-U38</f>
        <v>10769</v>
      </c>
      <c r="W38" s="103" t="n">
        <f aca="false">R38+T38+N38+U38</f>
        <v>773</v>
      </c>
      <c r="X38" s="103" t="n">
        <f aca="false">IF(L38&lt;0,L38*-1,0)</f>
        <v>0</v>
      </c>
      <c r="Y38" s="103" t="n">
        <f aca="false">W38+X38</f>
        <v>773</v>
      </c>
      <c r="Z38" s="96" t="n">
        <v>0</v>
      </c>
      <c r="AA38" s="131" t="n">
        <v>90</v>
      </c>
      <c r="AB38" s="131" t="n">
        <v>58</v>
      </c>
      <c r="AC38" s="134" t="n">
        <v>29</v>
      </c>
      <c r="AD38" s="78"/>
      <c r="AE38" s="82"/>
      <c r="AF38" s="82"/>
    </row>
    <row r="39" customFormat="false" ht="11.1" hidden="false" customHeight="true" outlineLevel="0" collapsed="false">
      <c r="A39" s="134" t="n">
        <v>30</v>
      </c>
      <c r="B39" s="108" t="n">
        <v>6903.89</v>
      </c>
      <c r="C39" s="109" t="n">
        <v>298154</v>
      </c>
      <c r="D39" s="131" t="n">
        <f aca="false">C39-C38</f>
        <v>-1387</v>
      </c>
      <c r="E39" s="109" t="n">
        <f aca="false">C39-152000</f>
        <v>146154</v>
      </c>
      <c r="F39" s="103" t="n">
        <f aca="false">D39/$D$2</f>
        <v>-699.268968994202</v>
      </c>
      <c r="G39" s="103" t="n">
        <v>129</v>
      </c>
      <c r="H39" s="102" t="n">
        <v>0</v>
      </c>
      <c r="I39" s="103" t="n">
        <f aca="false">G39+H39</f>
        <v>129</v>
      </c>
      <c r="J39" s="135" t="n">
        <f aca="false">IF(L39&gt;0,L39,0)</f>
        <v>0</v>
      </c>
      <c r="K39" s="103" t="n">
        <f aca="false">I39+J39</f>
        <v>129</v>
      </c>
      <c r="L39" s="103" t="n">
        <f aca="false">F39-(I39-W39)</f>
        <v>-66.2689689942022</v>
      </c>
      <c r="M39" s="103" t="n">
        <v>252</v>
      </c>
      <c r="N39" s="103" t="n">
        <f aca="false">(14+14)*1.05</f>
        <v>29.4</v>
      </c>
      <c r="O39" s="103" t="n">
        <f aca="false">M39-N39</f>
        <v>222.6</v>
      </c>
      <c r="P39" s="103" t="n">
        <v>125</v>
      </c>
      <c r="Q39" s="103" t="n">
        <v>70</v>
      </c>
      <c r="R39" s="103" t="n">
        <f aca="false">SUM(O39:Q39)</f>
        <v>417.6</v>
      </c>
      <c r="S39" s="109" t="n">
        <f aca="false">(I39-R39)+S38</f>
        <v>1382.97480665491</v>
      </c>
      <c r="T39" s="103" t="n">
        <v>211</v>
      </c>
      <c r="U39" s="103" t="n">
        <v>104</v>
      </c>
      <c r="V39" s="109" t="n">
        <f aca="false">V38-U39</f>
        <v>10665</v>
      </c>
      <c r="W39" s="103" t="n">
        <f aca="false">R39+T39+N39+U39</f>
        <v>762</v>
      </c>
      <c r="X39" s="103" t="n">
        <f aca="false">IF(L39&lt;0,L39*-1,0)</f>
        <v>66.2689689942022</v>
      </c>
      <c r="Y39" s="103" t="n">
        <f aca="false">W39+X39</f>
        <v>828.268968994202</v>
      </c>
      <c r="Z39" s="96" t="n">
        <v>0</v>
      </c>
      <c r="AA39" s="131" t="n">
        <v>94</v>
      </c>
      <c r="AB39" s="131" t="n">
        <v>55</v>
      </c>
      <c r="AC39" s="134" t="n">
        <v>30</v>
      </c>
      <c r="AD39" s="78"/>
      <c r="AE39" s="82"/>
      <c r="AF39" s="82"/>
    </row>
    <row r="40" customFormat="false" ht="11.1" hidden="false" customHeight="true" outlineLevel="0" collapsed="false">
      <c r="A40" s="134" t="n">
        <v>31</v>
      </c>
      <c r="B40" s="108" t="n">
        <v>6903.53</v>
      </c>
      <c r="C40" s="109" t="n">
        <v>296788</v>
      </c>
      <c r="D40" s="131" t="n">
        <f aca="false">C40-C39</f>
        <v>-1366</v>
      </c>
      <c r="E40" s="109" t="n">
        <f aca="false">C40-152000</f>
        <v>144788</v>
      </c>
      <c r="F40" s="103" t="n">
        <f aca="false">D40/$D$2</f>
        <v>-688.681623392992</v>
      </c>
      <c r="G40" s="103" t="n">
        <v>125</v>
      </c>
      <c r="H40" s="102" t="n">
        <v>0</v>
      </c>
      <c r="I40" s="103" t="n">
        <f aca="false">G40+H40</f>
        <v>125</v>
      </c>
      <c r="J40" s="135" t="n">
        <f aca="false">IF(L40&gt;0,L40,0)</f>
        <v>0</v>
      </c>
      <c r="K40" s="103" t="n">
        <f aca="false">I40+J40</f>
        <v>125</v>
      </c>
      <c r="L40" s="103" t="n">
        <f aca="false">F40-(I40-W40)</f>
        <v>-44.6816233929922</v>
      </c>
      <c r="M40" s="103" t="n">
        <v>257</v>
      </c>
      <c r="N40" s="103" t="n">
        <f aca="false">(16+15)*1.05</f>
        <v>32.55</v>
      </c>
      <c r="O40" s="103" t="n">
        <f aca="false">M40-N40</f>
        <v>224.45</v>
      </c>
      <c r="P40" s="103" t="n">
        <v>124</v>
      </c>
      <c r="Q40" s="103" t="n">
        <v>71</v>
      </c>
      <c r="R40" s="103" t="n">
        <f aca="false">SUM(O40:Q40)</f>
        <v>419.45</v>
      </c>
      <c r="S40" s="109" t="n">
        <f aca="false">(I40-R40)+S39</f>
        <v>1088.52480665491</v>
      </c>
      <c r="T40" s="103" t="n">
        <v>214</v>
      </c>
      <c r="U40" s="103" t="n">
        <v>103</v>
      </c>
      <c r="V40" s="109" t="n">
        <f aca="false">V39-U40</f>
        <v>10562</v>
      </c>
      <c r="W40" s="103" t="n">
        <f aca="false">R40+T40+N40+U40</f>
        <v>769</v>
      </c>
      <c r="X40" s="103" t="n">
        <f aca="false">IF(L40&lt;0,L40*-1,0)</f>
        <v>44.6816233929922</v>
      </c>
      <c r="Y40" s="103" t="n">
        <f aca="false">W40+X40</f>
        <v>813.681623392992</v>
      </c>
      <c r="Z40" s="96" t="n">
        <v>0</v>
      </c>
      <c r="AA40" s="131" t="n">
        <v>87</v>
      </c>
      <c r="AB40" s="131" t="n">
        <v>59</v>
      </c>
      <c r="AC40" s="134" t="n">
        <v>31</v>
      </c>
      <c r="AD40" s="78"/>
      <c r="AE40" s="82"/>
      <c r="AF40" s="82"/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5"/>
      <c r="T41" s="83"/>
      <c r="U41" s="83"/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-18102.3443408117</v>
      </c>
      <c r="G42" s="57" t="n">
        <f aca="false">SUM(G10:G40)</f>
        <v>5469</v>
      </c>
      <c r="H42" s="57" t="n">
        <f aca="false">SUM(H10:H40)</f>
        <v>9.44</v>
      </c>
      <c r="I42" s="57" t="n">
        <f aca="false">SUM(I10:I40)</f>
        <v>5478.44</v>
      </c>
      <c r="J42" s="57" t="n">
        <f aca="false">SUM(J10:J40)</f>
        <v>480.421300731031</v>
      </c>
      <c r="K42" s="57" t="n">
        <f aca="false">SUM(K10:K40)</f>
        <v>5958.86130073103</v>
      </c>
      <c r="L42" s="57" t="n">
        <f aca="false">SUM(L10:L40)</f>
        <v>-943.784340811696</v>
      </c>
      <c r="M42" s="57" t="n">
        <f aca="false">SUM(M10:M40)</f>
        <v>7566</v>
      </c>
      <c r="N42" s="57" t="n">
        <f aca="false">SUM(N10:N40)</f>
        <v>1463.238</v>
      </c>
      <c r="O42" s="57" t="n">
        <f aca="false">SUM(O10:O40)</f>
        <v>6102.762</v>
      </c>
      <c r="P42" s="57" t="n">
        <f aca="false">SUM(P10:P40)</f>
        <v>3909</v>
      </c>
      <c r="Q42" s="57" t="n">
        <f aca="false">SUM(Q10:Q40)</f>
        <v>2209</v>
      </c>
      <c r="R42" s="57" t="n">
        <f aca="false">SUM(R10:R40)</f>
        <v>12220.762</v>
      </c>
      <c r="S42" s="57"/>
      <c r="T42" s="57" t="n">
        <f aca="false">SUM(T10:T40)</f>
        <v>5903</v>
      </c>
      <c r="U42" s="57" t="n">
        <f aca="false">SUM(U10:U40)</f>
        <v>3050</v>
      </c>
      <c r="V42" s="57"/>
      <c r="W42" s="57" t="n">
        <f aca="false">SUM(W10:W40)</f>
        <v>22637</v>
      </c>
      <c r="X42" s="57" t="n">
        <f aca="false">SUM(X10:X40)</f>
        <v>1424.20564154273</v>
      </c>
      <c r="Y42" s="57" t="n">
        <f aca="false">SUM(Y10:Y40)</f>
        <v>24061.2056415427</v>
      </c>
      <c r="Z42" s="60" t="n">
        <f aca="false">SUM(Z10:Z40)</f>
        <v>0.65</v>
      </c>
      <c r="AA42" s="61" t="n">
        <f aca="false">AVERAGE(AA10:AA40)</f>
        <v>87.9032258064516</v>
      </c>
      <c r="AB42" s="61" t="n">
        <f aca="false">AVERAGE(AB10:AB40)</f>
        <v>55.3225806451613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-35906</v>
      </c>
      <c r="E43" s="57"/>
      <c r="F43" s="57" t="n">
        <f aca="false">F42*$D$2</f>
        <v>-35906</v>
      </c>
      <c r="G43" s="57" t="n">
        <f aca="false">G42*$D$2</f>
        <v>10847.7615</v>
      </c>
      <c r="H43" s="57" t="n">
        <f aca="false">H42*$D$2</f>
        <v>18.72424</v>
      </c>
      <c r="I43" s="57" t="n">
        <f aca="false">I42*$D$2</f>
        <v>10866.48574</v>
      </c>
      <c r="J43" s="57" t="n">
        <f aca="false">J42*$D$2</f>
        <v>952.91565</v>
      </c>
      <c r="K43" s="57" t="n">
        <f aca="false">K42*$D$2</f>
        <v>11819.40139</v>
      </c>
      <c r="L43" s="57" t="n">
        <f aca="false">L42*$D$2</f>
        <v>-1871.99624</v>
      </c>
      <c r="M43" s="57" t="n">
        <f aca="false">M42*$D$2</f>
        <v>15007.161</v>
      </c>
      <c r="N43" s="57" t="n">
        <f aca="false">N42*$D$2</f>
        <v>2902.332573</v>
      </c>
      <c r="O43" s="57" t="n">
        <f aca="false">O42*$D$2</f>
        <v>12104.828427</v>
      </c>
      <c r="P43" s="57" t="n">
        <f aca="false">P42*$D$2</f>
        <v>7753.5015</v>
      </c>
      <c r="Q43" s="57" t="n">
        <f aca="false">Q42*$D$2</f>
        <v>4381.5515</v>
      </c>
      <c r="R43" s="57" t="n">
        <f aca="false">R42*$D$2</f>
        <v>24239.881427</v>
      </c>
      <c r="S43" s="57"/>
      <c r="T43" s="57" t="n">
        <f aca="false">T42*$D$2</f>
        <v>11708.6005</v>
      </c>
      <c r="U43" s="57" t="n">
        <f aca="false">U42*$D$2</f>
        <v>6049.675</v>
      </c>
      <c r="V43" s="57" t="n">
        <f aca="false">V42*$D$2</f>
        <v>0</v>
      </c>
      <c r="W43" s="57" t="n">
        <f aca="false">W42*$D$2</f>
        <v>44900.4895</v>
      </c>
      <c r="X43" s="57" t="n">
        <f aca="false">X42*$D$2</f>
        <v>2824.91189</v>
      </c>
      <c r="Y43" s="57" t="n">
        <f aca="false">Y42*$D$2</f>
        <v>47725.40139</v>
      </c>
      <c r="Z43" s="60"/>
      <c r="AA43" s="61" t="n">
        <f aca="false">MAX(AA10:AA40)</f>
        <v>95</v>
      </c>
      <c r="AB43" s="61" t="n">
        <f aca="false">MAX(AB10:AB40)</f>
        <v>62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 t="n">
        <f aca="false">F7+F42</f>
        <v>-31911.7721199899</v>
      </c>
      <c r="G45" s="57" t="n">
        <f aca="false">G7+G42</f>
        <v>135880.03</v>
      </c>
      <c r="H45" s="57" t="n">
        <f aca="false">H7+H42</f>
        <v>8212.12</v>
      </c>
      <c r="I45" s="57" t="n">
        <f aca="false">I7+I42</f>
        <v>144092.15</v>
      </c>
      <c r="J45" s="57" t="n">
        <f aca="false">J7+J42</f>
        <v>23597.6769926897</v>
      </c>
      <c r="K45" s="57" t="n">
        <f aca="false">K7+K42</f>
        <v>167689.82699269</v>
      </c>
      <c r="L45" s="57" t="n">
        <f aca="false">L7+L42</f>
        <v>19277.0778800101</v>
      </c>
      <c r="M45" s="57" t="n">
        <f aca="false">M7+M42</f>
        <v>35299.6</v>
      </c>
      <c r="N45" s="57" t="n">
        <f aca="false">N7+N42</f>
        <v>7630.224</v>
      </c>
      <c r="O45" s="57" t="n">
        <f aca="false">O7+O42</f>
        <v>27669.376</v>
      </c>
      <c r="P45" s="57" t="n">
        <f aca="false">P7+P42</f>
        <v>18347</v>
      </c>
      <c r="Q45" s="57" t="n">
        <f aca="false">Q7+Q42</f>
        <v>8890</v>
      </c>
      <c r="R45" s="57" t="n">
        <f aca="false">R7+R42</f>
        <v>54906.376</v>
      </c>
      <c r="S45" s="57" t="n">
        <f aca="false">S40</f>
        <v>1088.52480665491</v>
      </c>
      <c r="T45" s="57" t="n">
        <f aca="false">T7+T42</f>
        <v>20655.4</v>
      </c>
      <c r="U45" s="57" t="n">
        <f aca="false">U7+U42</f>
        <v>112089</v>
      </c>
      <c r="V45" s="57"/>
      <c r="W45" s="57" t="n">
        <f aca="false">W7+W42</f>
        <v>195281</v>
      </c>
      <c r="X45" s="57" t="n">
        <f aca="false">X7+X42</f>
        <v>4320.59911267961</v>
      </c>
      <c r="Y45" s="57" t="n">
        <f aca="false">Y7+Y42</f>
        <v>199601.59911268</v>
      </c>
      <c r="Z45" s="60"/>
      <c r="AA45" s="61" t="n">
        <f aca="false">MIN(AA10:AA40)</f>
        <v>81</v>
      </c>
      <c r="AB45" s="61" t="n">
        <f aca="false">MIN(AB10:AB40)</f>
        <v>51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 t="n">
        <f aca="false">F45*$D$2</f>
        <v>-63297</v>
      </c>
      <c r="G46" s="57" t="n">
        <f aca="false">G45*$D$2</f>
        <v>269518.039505</v>
      </c>
      <c r="H46" s="57" t="n">
        <f aca="false">H45*$D$2</f>
        <v>16288.74002</v>
      </c>
      <c r="I46" s="57" t="n">
        <f aca="false">I45*$D$2</f>
        <v>285806.779525</v>
      </c>
      <c r="J46" s="57" t="n">
        <f aca="false">J45*$D$2</f>
        <v>46805.992315</v>
      </c>
      <c r="K46" s="57" t="n">
        <f aca="false">K45*$D$2</f>
        <v>332612.77184</v>
      </c>
      <c r="L46" s="57" t="n">
        <f aca="false">L45*$D$2</f>
        <v>38236.083975</v>
      </c>
      <c r="M46" s="57" t="n">
        <f aca="false">M45*$D$2</f>
        <v>70016.7566</v>
      </c>
      <c r="N46" s="57" t="n">
        <f aca="false">N45*$D$2</f>
        <v>15134.549304</v>
      </c>
      <c r="O46" s="57" t="n">
        <f aca="false">O45*$D$2</f>
        <v>54882.207296</v>
      </c>
      <c r="P46" s="57" t="n">
        <f aca="false">P45*$D$2</f>
        <v>36391.2745</v>
      </c>
      <c r="Q46" s="57" t="n">
        <f aca="false">Q45*$D$2</f>
        <v>17633.315</v>
      </c>
      <c r="R46" s="57" t="n">
        <f aca="false">R45*$D$2</f>
        <v>108906.796796</v>
      </c>
      <c r="S46" s="57" t="n">
        <f aca="false">S45*$D$2</f>
        <v>2159.088954</v>
      </c>
      <c r="T46" s="57" t="n">
        <f aca="false">T45*$D$2</f>
        <v>40969.9859</v>
      </c>
      <c r="U46" s="57" t="n">
        <f aca="false">U45*$D$2</f>
        <v>222328.5315</v>
      </c>
      <c r="V46" s="57" t="n">
        <f aca="false">V45*$D$2</f>
        <v>0</v>
      </c>
      <c r="W46" s="57" t="n">
        <f aca="false">W45*$D$2</f>
        <v>387339.8635</v>
      </c>
      <c r="X46" s="57" t="n">
        <f aca="false">X45*$D$2</f>
        <v>8569.90834</v>
      </c>
      <c r="Y46" s="57" t="n">
        <f aca="false">Y45*$D$2</f>
        <v>395909.77184</v>
      </c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-18493.0678094278</v>
      </c>
      <c r="G48" s="57" t="n">
        <f aca="false">G8+G42</f>
        <v>152553.03</v>
      </c>
      <c r="H48" s="61" t="n">
        <f aca="false">H8+H42</f>
        <v>10016.42</v>
      </c>
      <c r="I48" s="57" t="n">
        <f aca="false">I8+I42</f>
        <v>162562.55</v>
      </c>
      <c r="J48" s="57" t="n">
        <f aca="false">J8+J42</f>
        <v>28845.2030123519</v>
      </c>
      <c r="K48" s="57" t="n">
        <f aca="false">K8+K42</f>
        <v>191399.353012352</v>
      </c>
      <c r="L48" s="57" t="n">
        <f aca="false">L8+L42</f>
        <v>23492.5021905722</v>
      </c>
      <c r="M48" s="57" t="n">
        <f aca="false">M8+M42</f>
        <v>36829.56</v>
      </c>
      <c r="N48" s="57" t="n">
        <f aca="false">N8+N42</f>
        <v>7689.969</v>
      </c>
      <c r="O48" s="57" t="n">
        <f aca="false">O8+O42</f>
        <v>28490.351</v>
      </c>
      <c r="P48" s="57" t="n">
        <f aca="false">P8+P42</f>
        <v>19136</v>
      </c>
      <c r="Q48" s="57" t="n">
        <f aca="false">Q8+Q42</f>
        <v>9036.2</v>
      </c>
      <c r="R48" s="57" t="n">
        <f aca="false">R8+R42</f>
        <v>57054.541</v>
      </c>
      <c r="S48" s="57" t="n">
        <f aca="false">S45</f>
        <v>1088.52480665491</v>
      </c>
      <c r="T48" s="57" t="n">
        <f aca="false">T8+T42</f>
        <v>20655.4</v>
      </c>
      <c r="U48" s="57" t="n">
        <f aca="false">U8+U42</f>
        <v>118890.96</v>
      </c>
      <c r="V48" s="57" t="n">
        <f aca="false">V40</f>
        <v>10562</v>
      </c>
      <c r="W48" s="57" t="n">
        <f aca="false">W8+W42</f>
        <v>204548.12</v>
      </c>
      <c r="X48" s="57" t="n">
        <f aca="false">X8+X42</f>
        <v>5352.70082177968</v>
      </c>
      <c r="Y48" s="57" t="n">
        <f aca="false">Y8+Y42</f>
        <v>209900.82082178</v>
      </c>
      <c r="Z48" s="81" t="n">
        <f aca="false">Z8+Z42</f>
        <v>12.43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-36681</v>
      </c>
      <c r="E49" s="57" t="n">
        <f aca="false">E40</f>
        <v>144788</v>
      </c>
      <c r="F49" s="57" t="n">
        <f aca="false">F48*$D$2</f>
        <v>-36681</v>
      </c>
      <c r="G49" s="57" t="n">
        <f aca="false">G48*$D$2</f>
        <v>302588.935005</v>
      </c>
      <c r="H49" s="61" t="n">
        <f aca="false">H48*$D$2</f>
        <v>19867.56907</v>
      </c>
      <c r="I49" s="57" t="n">
        <f aca="false">I48*$D$2</f>
        <v>322442.817925</v>
      </c>
      <c r="J49" s="57" t="n">
        <f aca="false">J48*$D$2</f>
        <v>57214.460175</v>
      </c>
      <c r="K49" s="57" t="n">
        <f aca="false">K48*$D$2</f>
        <v>379640.6167</v>
      </c>
      <c r="L49" s="57" t="n">
        <f aca="false">L48*$D$2</f>
        <v>46597.378095</v>
      </c>
      <c r="M49" s="57" t="n">
        <f aca="false">M48*$D$2</f>
        <v>73051.43226</v>
      </c>
      <c r="N49" s="57" t="n">
        <f aca="false">N48*$D$2</f>
        <v>15253.0535115</v>
      </c>
      <c r="O49" s="57" t="n">
        <f aca="false">O48*$D$2</f>
        <v>56510.6112085</v>
      </c>
      <c r="P49" s="57" t="n">
        <f aca="false">P48*$D$2</f>
        <v>37956.256</v>
      </c>
      <c r="Q49" s="57" t="n">
        <f aca="false">Q48*$D$2</f>
        <v>17923.3027</v>
      </c>
      <c r="R49" s="57" t="n">
        <f aca="false">R48*$D$2</f>
        <v>113167.6820735</v>
      </c>
      <c r="S49" s="57" t="n">
        <f aca="false">S48*$D$2</f>
        <v>2159.088954</v>
      </c>
      <c r="T49" s="57" t="n">
        <f aca="false">T48*$D$2</f>
        <v>40969.9859</v>
      </c>
      <c r="U49" s="57" t="n">
        <f aca="false">U48*$D$2</f>
        <v>235820.21916</v>
      </c>
      <c r="V49" s="57" t="n">
        <f aca="false">V48*$D$2</f>
        <v>20949.727</v>
      </c>
      <c r="W49" s="57" t="n">
        <f aca="false">W48*$D$2</f>
        <v>405721.19602</v>
      </c>
      <c r="X49" s="57" t="n">
        <f aca="false">X48*$D$2</f>
        <v>10617.08208</v>
      </c>
      <c r="Y49" s="57" t="n">
        <f aca="false">Y48*$D$2</f>
        <v>416338.2781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136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137" t="str">
        <f aca="false">"SEP /10"</f>
        <v>SEP /10</v>
      </c>
      <c r="B51" s="93"/>
      <c r="C51" s="57"/>
      <c r="D51" s="56"/>
      <c r="E51" s="57"/>
      <c r="F51" s="56"/>
      <c r="G51" s="56"/>
      <c r="H51" s="58"/>
      <c r="I51" s="56"/>
      <c r="J51" s="56"/>
      <c r="K51" s="138" t="n">
        <f aca="false">138.5*4</f>
        <v>554</v>
      </c>
      <c r="L51" s="56"/>
      <c r="M51" s="56"/>
      <c r="N51" s="56"/>
      <c r="O51" s="56"/>
      <c r="P51" s="56"/>
      <c r="Q51" s="56" t="s">
        <v>97</v>
      </c>
      <c r="R51" s="56"/>
      <c r="S51" s="57"/>
      <c r="T51" s="56" t="n">
        <v>55250</v>
      </c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6900.73</v>
      </c>
      <c r="C52" s="57" t="n">
        <v>286282</v>
      </c>
      <c r="D52" s="90"/>
      <c r="E52" s="57" t="n">
        <f aca="false">C52-152000</f>
        <v>134282</v>
      </c>
      <c r="F52" s="56"/>
      <c r="G52" s="56"/>
      <c r="H52" s="90"/>
      <c r="I52" s="58"/>
      <c r="J52" s="56"/>
      <c r="K52" s="111" t="n">
        <f aca="false">K33+K34+K39+K40</f>
        <v>524</v>
      </c>
      <c r="L52" s="56"/>
      <c r="M52" s="56"/>
      <c r="N52" s="56"/>
      <c r="O52" s="56"/>
      <c r="P52" s="56"/>
      <c r="Q52" s="56" t="s">
        <v>98</v>
      </c>
      <c r="R52" s="56"/>
      <c r="S52" s="57"/>
      <c r="T52" s="56" t="n">
        <f aca="false">T51-T49</f>
        <v>14280.0141</v>
      </c>
      <c r="V52" s="57"/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"8/14/98 thru 9/10/1998"</f>
        <v>8/14/98 thru 9/10/1998</v>
      </c>
      <c r="B53" s="90"/>
      <c r="C53" s="57"/>
      <c r="D53" s="57"/>
      <c r="E53" s="57"/>
      <c r="F53" s="90"/>
      <c r="G53" s="90"/>
      <c r="H53" s="58"/>
      <c r="I53" s="90"/>
      <c r="J53" s="90"/>
      <c r="K53" s="50" t="n">
        <f aca="false">K51-K52</f>
        <v>30</v>
      </c>
      <c r="L53" s="90"/>
      <c r="M53" s="81"/>
      <c r="N53" s="81"/>
      <c r="O53" s="81"/>
      <c r="P53" s="139"/>
      <c r="Q53" s="90" t="s">
        <v>99</v>
      </c>
      <c r="R53" s="97"/>
      <c r="S53" s="57"/>
      <c r="T53" s="61" t="n">
        <f aca="false">(2400/61)*31</f>
        <v>1219.67213114754</v>
      </c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B52-B23</f>
        <v>-8.64000000000033</v>
      </c>
      <c r="C54" s="57"/>
      <c r="D54" s="57" t="n">
        <f aca="false">C52-C23</f>
        <v>-33196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/>
      <c r="Q54" s="90" t="s">
        <v>100</v>
      </c>
      <c r="R54" s="90"/>
      <c r="S54" s="57"/>
      <c r="T54" s="57" t="n">
        <f aca="false">T52-T53</f>
        <v>13060.3419688525</v>
      </c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/>
      <c r="Q55" s="90" t="s">
        <v>101</v>
      </c>
      <c r="R55" s="90"/>
      <c r="S55" s="0"/>
      <c r="T55" s="57" t="n">
        <f aca="false">T54/D2</f>
        <v>6584.4930521061</v>
      </c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  <row r="56" customFormat="false" ht="11.1" hidden="false" customHeight="true" outlineLevel="0" collapsed="false">
      <c r="Q56" s="140" t="s">
        <v>102</v>
      </c>
      <c r="S56" s="57" t="n">
        <v>150</v>
      </c>
      <c r="T56" s="57" t="n">
        <f aca="false">T55/S56</f>
        <v>43.896620347374</v>
      </c>
    </row>
    <row r="57" customFormat="false" ht="11.1" hidden="false" customHeight="true" outlineLevel="0" collapsed="false">
      <c r="Q57" s="140" t="s">
        <v>102</v>
      </c>
      <c r="S57" s="57" t="n">
        <v>125</v>
      </c>
      <c r="T57" s="57" t="n">
        <f aca="false">T55/S57</f>
        <v>52.6759444168488</v>
      </c>
    </row>
    <row r="58" customFormat="false" ht="11.1" hidden="false" customHeight="true" outlineLevel="0" collapsed="false">
      <c r="S58" s="57"/>
      <c r="T58" s="57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7.66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1" min="10" style="49" width="7.66"/>
    <col collapsed="false" customWidth="true" hidden="false" outlineLevel="0" max="12" min="12" style="49" width="6.49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7.66"/>
    <col collapsed="false" customWidth="true" hidden="false" outlineLevel="0" max="19" min="19" style="50" width="7.66"/>
    <col collapsed="false" customWidth="true" hidden="false" outlineLevel="0" max="20" min="20" style="49" width="7.66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103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104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104</v>
      </c>
      <c r="AD5" s="63"/>
      <c r="AE5" s="63"/>
      <c r="AG5" s="141" t="s">
        <v>105</v>
      </c>
      <c r="AH5" s="141"/>
    </row>
    <row r="6" customFormat="false" ht="11.1" hidden="false" customHeight="true" outlineLevel="0" collapsed="false">
      <c r="A6" s="75"/>
      <c r="B6" s="75"/>
      <c r="C6" s="142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  <c r="AG6" s="133"/>
      <c r="AH6" s="133"/>
    </row>
    <row r="7" customFormat="false" ht="11.1" hidden="false" customHeight="true" outlineLevel="0" collapsed="false">
      <c r="A7" s="56" t="s">
        <v>43</v>
      </c>
      <c r="B7" s="56"/>
      <c r="C7" s="143"/>
      <c r="D7" s="57"/>
      <c r="E7" s="57"/>
      <c r="F7" s="57" t="n">
        <f aca="false" t="array" ref="F7:Y7">AUG!$F$45:$Y$45</f>
        <v>-31911.7721199899</v>
      </c>
      <c r="G7" s="57" t="n">
        <v>135880.03</v>
      </c>
      <c r="H7" s="57" t="n">
        <v>8212.12</v>
      </c>
      <c r="I7" s="57" t="n">
        <v>144092.15</v>
      </c>
      <c r="J7" s="57" t="n">
        <v>23597.6769926897</v>
      </c>
      <c r="K7" s="57" t="n">
        <v>167689.82699269</v>
      </c>
      <c r="L7" s="57" t="n">
        <v>19277.0778800101</v>
      </c>
      <c r="M7" s="57" t="n">
        <v>35299.6</v>
      </c>
      <c r="N7" s="57" t="n">
        <v>7630.224</v>
      </c>
      <c r="O7" s="57" t="n">
        <v>27669.376</v>
      </c>
      <c r="P7" s="57" t="n">
        <v>18347</v>
      </c>
      <c r="Q7" s="57" t="n">
        <v>8890</v>
      </c>
      <c r="R7" s="57" t="n">
        <v>54906.376</v>
      </c>
      <c r="S7" s="57" t="n">
        <v>1088.52480665491</v>
      </c>
      <c r="T7" s="57" t="n">
        <v>20655.4</v>
      </c>
      <c r="U7" s="57" t="n">
        <v>112089</v>
      </c>
      <c r="V7" s="57" t="n">
        <v>0</v>
      </c>
      <c r="W7" s="57" t="n">
        <v>195281</v>
      </c>
      <c r="X7" s="57" t="n">
        <v>4320.59911267961</v>
      </c>
      <c r="Y7" s="57" t="n">
        <v>199601.59911268</v>
      </c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AUG!$B$40:$C$40</f>
        <v>6903.53</v>
      </c>
      <c r="C8" s="57" t="n">
        <v>296788</v>
      </c>
      <c r="D8" s="57" t="n">
        <f aca="false" t="array" ref="D8:E8">AUG!$D$49:$E$49</f>
        <v>-36681</v>
      </c>
      <c r="E8" s="57" t="n">
        <v>144788</v>
      </c>
      <c r="F8" s="57" t="n">
        <f aca="false" t="array" ref="F8:Z8">AUG!$F$48:$Z$48</f>
        <v>-18493.0678094278</v>
      </c>
      <c r="G8" s="57" t="n">
        <v>152553.03</v>
      </c>
      <c r="H8" s="57" t="n">
        <v>10016.42</v>
      </c>
      <c r="I8" s="57" t="n">
        <v>162562.55</v>
      </c>
      <c r="J8" s="57" t="n">
        <v>28845.2030123519</v>
      </c>
      <c r="K8" s="57" t="n">
        <v>191399.353012352</v>
      </c>
      <c r="L8" s="57" t="n">
        <v>23492.5021905722</v>
      </c>
      <c r="M8" s="57" t="n">
        <v>36829.56</v>
      </c>
      <c r="N8" s="57" t="n">
        <v>7689.969</v>
      </c>
      <c r="O8" s="57" t="n">
        <v>28490.351</v>
      </c>
      <c r="P8" s="57" t="n">
        <v>19136</v>
      </c>
      <c r="Q8" s="57" t="n">
        <v>9036.2</v>
      </c>
      <c r="R8" s="57" t="n">
        <v>57054.541</v>
      </c>
      <c r="S8" s="57" t="n">
        <v>1088.52480665491</v>
      </c>
      <c r="T8" s="57" t="n">
        <v>20655.4</v>
      </c>
      <c r="U8" s="57" t="n">
        <v>118890.96</v>
      </c>
      <c r="V8" s="57" t="n">
        <v>10562</v>
      </c>
      <c r="W8" s="57" t="n">
        <v>204548.12</v>
      </c>
      <c r="X8" s="57" t="n">
        <v>5352.70082177968</v>
      </c>
      <c r="Y8" s="57" t="n">
        <v>209900.82082178</v>
      </c>
      <c r="Z8" s="81" t="n">
        <v>12.43</v>
      </c>
      <c r="AA8" s="61"/>
      <c r="AB8" s="61"/>
      <c r="AC8" s="62"/>
      <c r="AD8" s="78"/>
      <c r="AE8" s="78"/>
      <c r="AF8" s="82"/>
      <c r="AG8" s="49"/>
      <c r="AH8" s="49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 t="n">
        <v>0</v>
      </c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6903.19</v>
      </c>
      <c r="C10" s="57" t="n">
        <v>295498</v>
      </c>
      <c r="D10" s="61" t="n">
        <f aca="false">C10-C8</f>
        <v>-1290</v>
      </c>
      <c r="E10" s="57" t="n">
        <f aca="false">C10-151978</f>
        <v>143520</v>
      </c>
      <c r="F10" s="56" t="n">
        <f aca="false">D10/$D$2</f>
        <v>-650.365515502899</v>
      </c>
      <c r="G10" s="56" t="n">
        <v>150</v>
      </c>
      <c r="H10" s="58" t="n">
        <v>0.03</v>
      </c>
      <c r="I10" s="56" t="n">
        <f aca="false">G10+H10</f>
        <v>150.03</v>
      </c>
      <c r="J10" s="81" t="n">
        <f aca="false">IF(L10&gt;0,L10,0)</f>
        <v>0</v>
      </c>
      <c r="K10" s="56" t="n">
        <f aca="false">I10+J10</f>
        <v>150.03</v>
      </c>
      <c r="L10" s="56" t="n">
        <f aca="false">F10-(I10-W10)</f>
        <v>-35.3955155028989</v>
      </c>
      <c r="M10" s="56" t="n">
        <v>279</v>
      </c>
      <c r="N10" s="56" t="n">
        <f aca="false">(29+30)*1.05</f>
        <v>61.95</v>
      </c>
      <c r="O10" s="56" t="n">
        <f aca="false">M10-N10</f>
        <v>217.05</v>
      </c>
      <c r="P10" s="56" t="n">
        <v>124</v>
      </c>
      <c r="Q10" s="56" t="n">
        <v>71</v>
      </c>
      <c r="R10" s="56" t="n">
        <f aca="false">SUM(O10:Q10)</f>
        <v>412.05</v>
      </c>
      <c r="S10" s="57" t="n">
        <f aca="false">(I10-R10)+S7</f>
        <v>826.504806654905</v>
      </c>
      <c r="T10" s="56" t="n">
        <v>204</v>
      </c>
      <c r="U10" s="56" t="n">
        <v>87</v>
      </c>
      <c r="V10" s="57" t="n">
        <f aca="false">V8-U10</f>
        <v>10475</v>
      </c>
      <c r="W10" s="56" t="n">
        <f aca="false">R10+T10+N10+U10</f>
        <v>765</v>
      </c>
      <c r="X10" s="56" t="n">
        <f aca="false">IF(L10&lt;0,L10*-1,0)</f>
        <v>35.3955155028989</v>
      </c>
      <c r="Y10" s="56" t="n">
        <f aca="false">W10+X10</f>
        <v>800.395515502899</v>
      </c>
      <c r="Z10" s="60" t="n">
        <v>0.15</v>
      </c>
      <c r="AA10" s="61" t="n">
        <v>81</v>
      </c>
      <c r="AB10" s="61" t="n">
        <v>57</v>
      </c>
      <c r="AC10" s="62" t="n">
        <v>1</v>
      </c>
      <c r="AD10" s="79" t="n">
        <f aca="false">S10*D2</f>
        <v>1639.37228400001</v>
      </c>
      <c r="AE10" s="82"/>
      <c r="AF10" s="82"/>
    </row>
    <row r="11" customFormat="false" ht="11.1" hidden="false" customHeight="true" outlineLevel="0" collapsed="false">
      <c r="A11" s="62" t="n">
        <v>2</v>
      </c>
      <c r="B11" s="80" t="n">
        <v>6902.91</v>
      </c>
      <c r="C11" s="57" t="n">
        <v>294439</v>
      </c>
      <c r="D11" s="61" t="n">
        <f aca="false">C11-C10</f>
        <v>-1059</v>
      </c>
      <c r="E11" s="57" t="n">
        <f aca="false">C11-151978</f>
        <v>142461</v>
      </c>
      <c r="F11" s="56" t="n">
        <f aca="false">D11/$D$2</f>
        <v>-533.904713889589</v>
      </c>
      <c r="G11" s="56" t="n">
        <v>211</v>
      </c>
      <c r="H11" s="58" t="n">
        <v>0.01</v>
      </c>
      <c r="I11" s="56" t="n">
        <f aca="false">G11+H11</f>
        <v>211.01</v>
      </c>
      <c r="J11" s="81" t="n">
        <f aca="false">IF(L11&gt;0,L11,0)</f>
        <v>5.08528611041095</v>
      </c>
      <c r="K11" s="56" t="n">
        <f aca="false">I11+J11</f>
        <v>216.095286110411</v>
      </c>
      <c r="L11" s="56" t="n">
        <f aca="false">F11-(I11-W11)</f>
        <v>5.08528611041095</v>
      </c>
      <c r="M11" s="56" t="n">
        <v>282</v>
      </c>
      <c r="N11" s="56" t="n">
        <f aca="false">(32+34)*1.05</f>
        <v>69.3</v>
      </c>
      <c r="O11" s="56" t="n">
        <f aca="false">M11-N11</f>
        <v>212.7</v>
      </c>
      <c r="P11" s="56" t="n">
        <v>123</v>
      </c>
      <c r="Q11" s="56" t="n">
        <v>71</v>
      </c>
      <c r="R11" s="56" t="n">
        <f aca="false">SUM(O11:Q11)</f>
        <v>406.7</v>
      </c>
      <c r="S11" s="57" t="n">
        <f aca="false">(I11-R11)+S10</f>
        <v>630.814806654905</v>
      </c>
      <c r="T11" s="56" t="n">
        <v>191</v>
      </c>
      <c r="U11" s="56" t="n">
        <v>83</v>
      </c>
      <c r="V11" s="57" t="n">
        <f aca="false">V10-U11</f>
        <v>10392</v>
      </c>
      <c r="W11" s="56" t="n">
        <f aca="false">R11+T11+N11+U11</f>
        <v>750</v>
      </c>
      <c r="X11" s="56" t="n">
        <f aca="false">IF(L11&lt;0,L11*-1,0)</f>
        <v>0</v>
      </c>
      <c r="Y11" s="56" t="n">
        <f aca="false">W11+X11</f>
        <v>750</v>
      </c>
      <c r="Z11" s="60" t="n">
        <v>0</v>
      </c>
      <c r="AA11" s="61" t="n">
        <v>83</v>
      </c>
      <c r="AB11" s="61" t="n">
        <v>52</v>
      </c>
      <c r="AC11" s="62" t="n">
        <v>2</v>
      </c>
      <c r="AD11" s="79"/>
      <c r="AE11" s="82"/>
      <c r="AF11" s="82"/>
    </row>
    <row r="12" customFormat="false" ht="11.1" hidden="false" customHeight="true" outlineLevel="0" collapsed="false">
      <c r="A12" s="62" t="n">
        <v>3</v>
      </c>
      <c r="B12" s="80" t="n">
        <v>6902.61</v>
      </c>
      <c r="C12" s="57" t="n">
        <v>293310</v>
      </c>
      <c r="D12" s="61" t="n">
        <f aca="false">C12-C11</f>
        <v>-1129</v>
      </c>
      <c r="E12" s="57" t="n">
        <f aca="false">C12-151978</f>
        <v>141332</v>
      </c>
      <c r="F12" s="56" t="n">
        <f aca="false">D12/$D$2</f>
        <v>-569.195865893622</v>
      </c>
      <c r="G12" s="56" t="n">
        <v>179</v>
      </c>
      <c r="H12" s="58" t="n">
        <v>0.01</v>
      </c>
      <c r="I12" s="56" t="n">
        <f aca="false">G12+H12</f>
        <v>179.01</v>
      </c>
      <c r="J12" s="81" t="n">
        <f aca="false">IF(L12&gt;0,L12,0)</f>
        <v>0</v>
      </c>
      <c r="K12" s="56" t="n">
        <f aca="false">I12+J12</f>
        <v>179.01</v>
      </c>
      <c r="L12" s="56" t="n">
        <f aca="false">F12-(I12-W12)</f>
        <v>-1.20586589362233</v>
      </c>
      <c r="M12" s="56" t="n">
        <v>270</v>
      </c>
      <c r="N12" s="56" t="n">
        <f aca="false">(29+30)*1.05</f>
        <v>61.95</v>
      </c>
      <c r="O12" s="56" t="n">
        <f aca="false">M12-N12</f>
        <v>208.05</v>
      </c>
      <c r="P12" s="56" t="n">
        <v>123</v>
      </c>
      <c r="Q12" s="56" t="n">
        <v>71</v>
      </c>
      <c r="R12" s="56" t="n">
        <f aca="false">SUM(O12:Q12)</f>
        <v>402.05</v>
      </c>
      <c r="S12" s="57" t="n">
        <f aca="false">(I12-R12)+S11</f>
        <v>407.774806654905</v>
      </c>
      <c r="T12" s="56" t="n">
        <v>200</v>
      </c>
      <c r="U12" s="56" t="n">
        <v>83</v>
      </c>
      <c r="V12" s="57" t="n">
        <f aca="false">V11-U12</f>
        <v>10309</v>
      </c>
      <c r="W12" s="56" t="n">
        <f aca="false">R12+T12+N12+U12</f>
        <v>747</v>
      </c>
      <c r="X12" s="56" t="n">
        <f aca="false">IF(L12&lt;0,L12*-1,0)</f>
        <v>1.20586589362233</v>
      </c>
      <c r="Y12" s="56" t="n">
        <f aca="false">W12+X12</f>
        <v>748.205865893622</v>
      </c>
      <c r="Z12" s="60" t="n">
        <v>0</v>
      </c>
      <c r="AA12" s="61" t="n">
        <v>90</v>
      </c>
      <c r="AB12" s="61" t="n">
        <v>53</v>
      </c>
      <c r="AC12" s="62" t="n">
        <v>3</v>
      </c>
      <c r="AD12" s="79"/>
      <c r="AE12" s="82"/>
      <c r="AF12" s="82"/>
    </row>
    <row r="13" customFormat="false" ht="11.1" hidden="false" customHeight="true" outlineLevel="0" collapsed="false">
      <c r="A13" s="62" t="n">
        <v>4</v>
      </c>
      <c r="B13" s="80" t="n">
        <v>6902.31</v>
      </c>
      <c r="C13" s="57" t="n">
        <v>292181</v>
      </c>
      <c r="D13" s="61" t="n">
        <f aca="false">C13-C12</f>
        <v>-1129</v>
      </c>
      <c r="E13" s="57" t="n">
        <f aca="false">C13-151978</f>
        <v>140203</v>
      </c>
      <c r="F13" s="56" t="n">
        <f aca="false">D13/$D$2</f>
        <v>-569.195865893622</v>
      </c>
      <c r="G13" s="56" t="n">
        <v>155</v>
      </c>
      <c r="H13" s="58" t="n">
        <v>0.02</v>
      </c>
      <c r="I13" s="56" t="n">
        <f aca="false">G13+H13</f>
        <v>155.02</v>
      </c>
      <c r="J13" s="81" t="n">
        <f aca="false">IF(L13&gt;0,L13,0)</f>
        <v>14.7841341063777</v>
      </c>
      <c r="K13" s="56" t="n">
        <f aca="false">I13+J13</f>
        <v>169.804134106378</v>
      </c>
      <c r="L13" s="56" t="n">
        <f aca="false">F13-(I13-W13)</f>
        <v>14.7841341063777</v>
      </c>
      <c r="M13" s="56" t="n">
        <v>279</v>
      </c>
      <c r="N13" s="56" t="n">
        <f aca="false">(34+33)*1.05</f>
        <v>70.35</v>
      </c>
      <c r="O13" s="56" t="n">
        <f aca="false">M13-N13</f>
        <v>208.65</v>
      </c>
      <c r="P13" s="56" t="n">
        <v>122</v>
      </c>
      <c r="Q13" s="56" t="n">
        <v>70</v>
      </c>
      <c r="R13" s="56" t="n">
        <f aca="false">SUM(O13:Q13)</f>
        <v>400.65</v>
      </c>
      <c r="S13" s="57" t="n">
        <f aca="false">(I13-R13)+S12</f>
        <v>162.144806654905</v>
      </c>
      <c r="T13" s="56" t="n">
        <v>185</v>
      </c>
      <c r="U13" s="56" t="n">
        <v>83</v>
      </c>
      <c r="V13" s="57" t="n">
        <f aca="false">V12-U13</f>
        <v>10226</v>
      </c>
      <c r="W13" s="56" t="n">
        <f aca="false">R13+T13+N13+U13</f>
        <v>739</v>
      </c>
      <c r="X13" s="56" t="n">
        <f aca="false">IF(L13&lt;0,L13*-1,0)</f>
        <v>0</v>
      </c>
      <c r="Y13" s="56" t="n">
        <f aca="false">W13+X13</f>
        <v>739</v>
      </c>
      <c r="Z13" s="60" t="n">
        <v>0</v>
      </c>
      <c r="AA13" s="61" t="n">
        <v>87</v>
      </c>
      <c r="AB13" s="61" t="n">
        <v>60</v>
      </c>
      <c r="AC13" s="62" t="n">
        <v>4</v>
      </c>
      <c r="AD13" s="79"/>
      <c r="AE13" s="82"/>
      <c r="AF13" s="82"/>
    </row>
    <row r="14" customFormat="false" ht="11.1" hidden="false" customHeight="true" outlineLevel="0" collapsed="false">
      <c r="A14" s="62" t="n">
        <v>5</v>
      </c>
      <c r="B14" s="80" t="n">
        <v>6901.96</v>
      </c>
      <c r="C14" s="57" t="n">
        <v>290865</v>
      </c>
      <c r="D14" s="61" t="n">
        <f aca="false">C14-C13</f>
        <v>-1316</v>
      </c>
      <c r="E14" s="57" t="n">
        <f aca="false">C14-151978</f>
        <v>138887</v>
      </c>
      <c r="F14" s="56" t="n">
        <f aca="false">D14/$D$2</f>
        <v>-663.473657675826</v>
      </c>
      <c r="G14" s="56" t="n">
        <v>140</v>
      </c>
      <c r="H14" s="58" t="n">
        <v>0.01</v>
      </c>
      <c r="I14" s="56" t="n">
        <f aca="false">G14+H14</f>
        <v>140.01</v>
      </c>
      <c r="J14" s="81" t="n">
        <f aca="false">IF(L14&gt;0,L14,0)</f>
        <v>0</v>
      </c>
      <c r="K14" s="56" t="n">
        <f aca="false">I14+J14</f>
        <v>140.01</v>
      </c>
      <c r="L14" s="56" t="n">
        <f aca="false">F14-(I14-W14)</f>
        <v>-116.483657675826</v>
      </c>
      <c r="M14" s="56" t="n">
        <v>242</v>
      </c>
      <c r="N14" s="56" t="n">
        <f aca="false">(19+19)*1.05</f>
        <v>39.9</v>
      </c>
      <c r="O14" s="56" t="n">
        <f aca="false">M14-N14</f>
        <v>202.1</v>
      </c>
      <c r="P14" s="56" t="n">
        <v>124</v>
      </c>
      <c r="Q14" s="56" t="n">
        <v>70</v>
      </c>
      <c r="R14" s="56" t="n">
        <f aca="false">SUM(O14:Q14)</f>
        <v>396.1</v>
      </c>
      <c r="S14" s="57" t="n">
        <f aca="false">(I14-R14)+S13</f>
        <v>-93.9451933450946</v>
      </c>
      <c r="T14" s="56" t="n">
        <v>168</v>
      </c>
      <c r="U14" s="56" t="n">
        <v>83</v>
      </c>
      <c r="V14" s="57" t="n">
        <f aca="false">V13-U14</f>
        <v>10143</v>
      </c>
      <c r="W14" s="56" t="n">
        <f aca="false">R14+T14+N14+U14</f>
        <v>687</v>
      </c>
      <c r="X14" s="56" t="n">
        <f aca="false">IF(L14&lt;0,L14*-1,0)</f>
        <v>116.483657675826</v>
      </c>
      <c r="Y14" s="56" t="n">
        <f aca="false">W14+X14</f>
        <v>803.483657675826</v>
      </c>
      <c r="Z14" s="60" t="n">
        <v>0</v>
      </c>
      <c r="AA14" s="61" t="n">
        <v>86</v>
      </c>
      <c r="AB14" s="61" t="n">
        <v>56</v>
      </c>
      <c r="AC14" s="62" t="n">
        <v>5</v>
      </c>
      <c r="AD14" s="79"/>
      <c r="AE14" s="82"/>
      <c r="AF14" s="82"/>
    </row>
    <row r="15" customFormat="false" ht="11.1" hidden="false" customHeight="true" outlineLevel="0" collapsed="false">
      <c r="A15" s="62" t="n">
        <v>6</v>
      </c>
      <c r="B15" s="80" t="n">
        <v>6901.68</v>
      </c>
      <c r="C15" s="57" t="n">
        <v>289820</v>
      </c>
      <c r="D15" s="61" t="n">
        <f aca="false">C15-C14</f>
        <v>-1045</v>
      </c>
      <c r="E15" s="57" t="n">
        <f aca="false">C15-151978</f>
        <v>137842</v>
      </c>
      <c r="F15" s="56" t="n">
        <f aca="false">D15/$D$2</f>
        <v>-526.846483488783</v>
      </c>
      <c r="G15" s="56" t="n">
        <v>132</v>
      </c>
      <c r="H15" s="58" t="n">
        <v>0.01</v>
      </c>
      <c r="I15" s="56" t="n">
        <f aca="false">G15+H15</f>
        <v>132.01</v>
      </c>
      <c r="J15" s="81" t="n">
        <f aca="false">IF(L15&gt;0,L15,0)</f>
        <v>0</v>
      </c>
      <c r="K15" s="56" t="n">
        <f aca="false">I15+J15</f>
        <v>132.01</v>
      </c>
      <c r="L15" s="56" t="n">
        <f aca="false">F15-(I15-W15)</f>
        <v>-10.8564834887825</v>
      </c>
      <c r="M15" s="56" t="n">
        <v>226</v>
      </c>
      <c r="N15" s="56" t="n">
        <f aca="false">(14+15)*1.05</f>
        <v>30.45</v>
      </c>
      <c r="O15" s="56" t="n">
        <f aca="false">M15-N15</f>
        <v>195.55</v>
      </c>
      <c r="P15" s="56" t="n">
        <v>123</v>
      </c>
      <c r="Q15" s="56" t="n">
        <v>70</v>
      </c>
      <c r="R15" s="56" t="n">
        <f aca="false">SUM(O15:Q15)</f>
        <v>388.55</v>
      </c>
      <c r="S15" s="57" t="n">
        <f aca="false">(I15-R15)+S14</f>
        <v>-350.485193345095</v>
      </c>
      <c r="T15" s="56" t="n">
        <v>144</v>
      </c>
      <c r="U15" s="56" t="n">
        <v>85</v>
      </c>
      <c r="V15" s="57" t="n">
        <f aca="false">V14-U15</f>
        <v>10058</v>
      </c>
      <c r="W15" s="56" t="n">
        <f aca="false">R15+T15+N15+U15</f>
        <v>648</v>
      </c>
      <c r="X15" s="56" t="n">
        <f aca="false">IF(L15&lt;0,L15*-1,0)</f>
        <v>10.8564834887825</v>
      </c>
      <c r="Y15" s="56" t="n">
        <f aca="false">W15+X15</f>
        <v>658.856483488782</v>
      </c>
      <c r="Z15" s="60" t="n">
        <v>0</v>
      </c>
      <c r="AA15" s="61" t="n">
        <v>87</v>
      </c>
      <c r="AB15" s="61" t="n">
        <v>52</v>
      </c>
      <c r="AC15" s="62" t="n">
        <v>6</v>
      </c>
      <c r="AD15" s="79"/>
      <c r="AE15" s="82"/>
      <c r="AF15" s="82"/>
    </row>
    <row r="16" customFormat="false" ht="11.1" hidden="false" customHeight="true" outlineLevel="0" collapsed="false">
      <c r="A16" s="62" t="n">
        <v>7</v>
      </c>
      <c r="B16" s="80" t="n">
        <v>6901.35</v>
      </c>
      <c r="C16" s="57" t="n">
        <v>288588</v>
      </c>
      <c r="D16" s="61" t="n">
        <f aca="false">C16-C15</f>
        <v>-1232</v>
      </c>
      <c r="E16" s="57" t="n">
        <f aca="false">C16-151978</f>
        <v>136610</v>
      </c>
      <c r="F16" s="56" t="n">
        <f aca="false">D16/$D$2</f>
        <v>-621.124275270986</v>
      </c>
      <c r="G16" s="56" t="n">
        <v>126</v>
      </c>
      <c r="H16" s="58" t="n">
        <v>0.01</v>
      </c>
      <c r="I16" s="56" t="n">
        <f aca="false">G16+H16</f>
        <v>126.01</v>
      </c>
      <c r="J16" s="81" t="n">
        <f aca="false">IF(L16&gt;0,L16,0)</f>
        <v>0</v>
      </c>
      <c r="K16" s="56" t="n">
        <f aca="false">I16+J16</f>
        <v>126.01</v>
      </c>
      <c r="L16" s="56" t="n">
        <f aca="false">F16-(I16-W16)</f>
        <v>-57.1342752709857</v>
      </c>
      <c r="M16" s="56" t="n">
        <v>247</v>
      </c>
      <c r="N16" s="56" t="n">
        <f aca="false">(22+22)*1.05</f>
        <v>46.2</v>
      </c>
      <c r="O16" s="56" t="n">
        <f aca="false">M16-N16</f>
        <v>200.8</v>
      </c>
      <c r="P16" s="56" t="n">
        <v>123</v>
      </c>
      <c r="Q16" s="56" t="n">
        <v>71</v>
      </c>
      <c r="R16" s="56" t="n">
        <f aca="false">SUM(O16:Q16)</f>
        <v>394.8</v>
      </c>
      <c r="S16" s="57" t="n">
        <f aca="false">(I16-R16)+S15</f>
        <v>-619.275193345095</v>
      </c>
      <c r="T16" s="56" t="n">
        <v>164</v>
      </c>
      <c r="U16" s="56" t="n">
        <v>85</v>
      </c>
      <c r="V16" s="57" t="n">
        <f aca="false">V15-U16</f>
        <v>9973</v>
      </c>
      <c r="W16" s="56" t="n">
        <f aca="false">R16+T16+N16+U16</f>
        <v>690</v>
      </c>
      <c r="X16" s="56" t="n">
        <f aca="false">IF(L16&lt;0,L16*-1,0)</f>
        <v>57.1342752709857</v>
      </c>
      <c r="Y16" s="56" t="n">
        <f aca="false">W16+X16</f>
        <v>747.134275270986</v>
      </c>
      <c r="Z16" s="60" t="n">
        <v>0</v>
      </c>
      <c r="AA16" s="61" t="n">
        <v>89</v>
      </c>
      <c r="AB16" s="61" t="n">
        <v>56</v>
      </c>
      <c r="AC16" s="62" t="n">
        <v>7</v>
      </c>
      <c r="AD16" s="79"/>
      <c r="AE16" s="82"/>
      <c r="AF16" s="82"/>
    </row>
    <row r="17" customFormat="false" ht="11.1" hidden="false" customHeight="true" outlineLevel="0" collapsed="false">
      <c r="A17" s="62" t="n">
        <v>8</v>
      </c>
      <c r="B17" s="80" t="n">
        <v>6901.03</v>
      </c>
      <c r="C17" s="57" t="n">
        <v>287394</v>
      </c>
      <c r="D17" s="61" t="n">
        <f aca="false">C17-C16</f>
        <v>-1194</v>
      </c>
      <c r="E17" s="57" t="n">
        <f aca="false">C17-151978</f>
        <v>135416</v>
      </c>
      <c r="F17" s="56" t="n">
        <f aca="false">D17/$D$2</f>
        <v>-601.966221325939</v>
      </c>
      <c r="G17" s="56" t="n">
        <v>118</v>
      </c>
      <c r="H17" s="58" t="n">
        <v>0</v>
      </c>
      <c r="I17" s="56" t="n">
        <f aca="false">G17+H17</f>
        <v>118</v>
      </c>
      <c r="J17" s="81" t="n">
        <f aca="false">IF(L17&gt;0,L17,0)</f>
        <v>0</v>
      </c>
      <c r="K17" s="56" t="n">
        <f aca="false">I17+J17</f>
        <v>118</v>
      </c>
      <c r="L17" s="56" t="n">
        <f aca="false">F17-(I17-W17)</f>
        <v>-35.9662213259389</v>
      </c>
      <c r="M17" s="56" t="n">
        <v>255</v>
      </c>
      <c r="N17" s="56" t="n">
        <f aca="false">(27+27)*1.05</f>
        <v>56.7</v>
      </c>
      <c r="O17" s="56" t="n">
        <f aca="false">M17-N17</f>
        <v>198.3</v>
      </c>
      <c r="P17" s="56" t="n">
        <v>123</v>
      </c>
      <c r="Q17" s="56" t="n">
        <v>71</v>
      </c>
      <c r="R17" s="56" t="n">
        <f aca="false">SUM(O17:Q17)</f>
        <v>392.3</v>
      </c>
      <c r="S17" s="57" t="n">
        <f aca="false">(I17-R17)+S16</f>
        <v>-893.575193345095</v>
      </c>
      <c r="T17" s="56" t="n">
        <v>150</v>
      </c>
      <c r="U17" s="56" t="n">
        <v>85</v>
      </c>
      <c r="V17" s="57" t="n">
        <f aca="false">V16-U17</f>
        <v>9888</v>
      </c>
      <c r="W17" s="56" t="n">
        <f aca="false">R17+T17+N17+U17</f>
        <v>684</v>
      </c>
      <c r="X17" s="56" t="n">
        <f aca="false">IF(L17&lt;0,L17*-1,0)</f>
        <v>35.9662213259389</v>
      </c>
      <c r="Y17" s="56" t="n">
        <f aca="false">W17+X17</f>
        <v>719.966221325939</v>
      </c>
      <c r="Z17" s="60" t="n">
        <v>0</v>
      </c>
      <c r="AA17" s="61" t="n">
        <v>87</v>
      </c>
      <c r="AB17" s="61" t="n">
        <v>60</v>
      </c>
      <c r="AC17" s="62" t="n">
        <v>8</v>
      </c>
      <c r="AD17" s="79"/>
      <c r="AE17" s="82"/>
      <c r="AF17" s="82"/>
    </row>
    <row r="18" customFormat="false" ht="11.1" hidden="false" customHeight="true" outlineLevel="0" collapsed="false">
      <c r="A18" s="62" t="n">
        <v>9</v>
      </c>
      <c r="B18" s="80" t="n">
        <v>6900.71</v>
      </c>
      <c r="C18" s="57" t="n">
        <v>286208</v>
      </c>
      <c r="D18" s="61" t="n">
        <f aca="false">C18-C17</f>
        <v>-1186</v>
      </c>
      <c r="E18" s="57" t="n">
        <f aca="false">C18-151978</f>
        <v>134230</v>
      </c>
      <c r="F18" s="56" t="n">
        <f aca="false">D18/$D$2</f>
        <v>-597.932946811192</v>
      </c>
      <c r="G18" s="56" t="n">
        <v>113</v>
      </c>
      <c r="H18" s="58" t="n">
        <v>0</v>
      </c>
      <c r="I18" s="56" t="n">
        <f aca="false">G18+H18</f>
        <v>113</v>
      </c>
      <c r="J18" s="81" t="n">
        <f aca="false">IF(L18&gt;0,L18,0)</f>
        <v>0</v>
      </c>
      <c r="K18" s="56" t="n">
        <f aca="false">I18+J18</f>
        <v>113</v>
      </c>
      <c r="L18" s="56" t="n">
        <f aca="false">F18-(I18-W18)</f>
        <v>-24.9329468111923</v>
      </c>
      <c r="M18" s="56" t="n">
        <v>246</v>
      </c>
      <c r="N18" s="56" t="n">
        <f aca="false">(23+24)*1.05</f>
        <v>49.35</v>
      </c>
      <c r="O18" s="56" t="n">
        <f aca="false">M18-N18</f>
        <v>196.65</v>
      </c>
      <c r="P18" s="56" t="n">
        <v>123</v>
      </c>
      <c r="Q18" s="56" t="n">
        <v>70</v>
      </c>
      <c r="R18" s="56" t="n">
        <f aca="false">SUM(O18:Q18)</f>
        <v>389.65</v>
      </c>
      <c r="S18" s="57" t="n">
        <f aca="false">(I18-R18)+S17</f>
        <v>-1170.2251933451</v>
      </c>
      <c r="T18" s="56" t="n">
        <v>162</v>
      </c>
      <c r="U18" s="56" t="n">
        <v>85</v>
      </c>
      <c r="V18" s="57" t="n">
        <f aca="false">V17-U18</f>
        <v>9803</v>
      </c>
      <c r="W18" s="56" t="n">
        <f aca="false">R18+T18+N18+U18</f>
        <v>686</v>
      </c>
      <c r="X18" s="56" t="n">
        <f aca="false">IF(L18&lt;0,L18*-1,0)</f>
        <v>24.9329468111923</v>
      </c>
      <c r="Y18" s="56" t="n">
        <f aca="false">W18+X18</f>
        <v>710.932946811192</v>
      </c>
      <c r="Z18" s="60" t="n">
        <v>0</v>
      </c>
      <c r="AA18" s="61" t="n">
        <v>84</v>
      </c>
      <c r="AB18" s="61" t="n">
        <v>62</v>
      </c>
      <c r="AC18" s="62" t="n">
        <v>9</v>
      </c>
      <c r="AD18" s="79"/>
      <c r="AE18" s="82"/>
      <c r="AF18" s="82"/>
    </row>
    <row r="19" customFormat="false" ht="11.1" hidden="false" customHeight="true" outlineLevel="0" collapsed="false">
      <c r="A19" s="62" t="n">
        <v>10</v>
      </c>
      <c r="B19" s="80" t="n">
        <v>6900.43</v>
      </c>
      <c r="C19" s="57" t="n">
        <v>285172</v>
      </c>
      <c r="D19" s="61" t="n">
        <f aca="false">C19-C18</f>
        <v>-1036</v>
      </c>
      <c r="E19" s="57" t="n">
        <f aca="false">C19-151978</f>
        <v>133194</v>
      </c>
      <c r="F19" s="56" t="n">
        <f aca="false">D19/$D$2</f>
        <v>-522.309049659693</v>
      </c>
      <c r="G19" s="56" t="n">
        <v>112</v>
      </c>
      <c r="H19" s="58" t="n">
        <v>0</v>
      </c>
      <c r="I19" s="56" t="n">
        <f aca="false">G19+H19</f>
        <v>112</v>
      </c>
      <c r="J19" s="81" t="n">
        <f aca="false">IF(L19&gt;0,L19,0)</f>
        <v>21.6909503403075</v>
      </c>
      <c r="K19" s="56" t="n">
        <f aca="false">I19+J19</f>
        <v>133.690950340308</v>
      </c>
      <c r="L19" s="56" t="n">
        <f aca="false">F19-(I19-W19)</f>
        <v>21.6909503403075</v>
      </c>
      <c r="M19" s="56" t="n">
        <v>243</v>
      </c>
      <c r="N19" s="56" t="n">
        <f aca="false">(27+27)*1.05</f>
        <v>56.7</v>
      </c>
      <c r="O19" s="56" t="n">
        <f aca="false">M19-N19</f>
        <v>186.3</v>
      </c>
      <c r="P19" s="56" t="n">
        <v>123</v>
      </c>
      <c r="Q19" s="56" t="n">
        <v>70</v>
      </c>
      <c r="R19" s="56" t="n">
        <f aca="false">SUM(O19:Q19)</f>
        <v>379.3</v>
      </c>
      <c r="S19" s="57" t="n">
        <f aca="false">(I19-R19)+S18</f>
        <v>-1437.52519334509</v>
      </c>
      <c r="T19" s="56" t="n">
        <v>134</v>
      </c>
      <c r="U19" s="56" t="n">
        <v>86</v>
      </c>
      <c r="V19" s="57" t="n">
        <f aca="false">V18-U19</f>
        <v>9717</v>
      </c>
      <c r="W19" s="56" t="n">
        <f aca="false">R19+T19+N19+U19</f>
        <v>656</v>
      </c>
      <c r="X19" s="56" t="n">
        <f aca="false">IF(L19&lt;0,L19*-1,0)</f>
        <v>0</v>
      </c>
      <c r="Y19" s="56" t="n">
        <f aca="false">W19+X19</f>
        <v>656</v>
      </c>
      <c r="Z19" s="60" t="n">
        <v>0.26</v>
      </c>
      <c r="AA19" s="61" t="n">
        <v>82</v>
      </c>
      <c r="AB19" s="61" t="n">
        <v>57</v>
      </c>
      <c r="AC19" s="62" t="n">
        <v>10</v>
      </c>
      <c r="AD19" s="79"/>
      <c r="AE19" s="82"/>
      <c r="AF19" s="82"/>
    </row>
    <row r="20" customFormat="false" ht="11.1" hidden="false" customHeight="true" outlineLevel="0" collapsed="false">
      <c r="A20" s="62" t="n">
        <v>11</v>
      </c>
      <c r="B20" s="80" t="n">
        <v>6900.15</v>
      </c>
      <c r="C20" s="57" t="n">
        <v>284135</v>
      </c>
      <c r="D20" s="61" t="n">
        <f aca="false">C20-C19</f>
        <v>-1037</v>
      </c>
      <c r="E20" s="57" t="n">
        <f aca="false">C20-151978</f>
        <v>132157</v>
      </c>
      <c r="F20" s="56" t="n">
        <f aca="false">D20/$D$2</f>
        <v>-522.813208974036</v>
      </c>
      <c r="G20" s="56" t="n">
        <v>123</v>
      </c>
      <c r="H20" s="58" t="n">
        <v>0</v>
      </c>
      <c r="I20" s="56" t="n">
        <f aca="false">G20+H20</f>
        <v>123</v>
      </c>
      <c r="J20" s="81" t="n">
        <f aca="false">IF(L20&gt;0,L20,0)</f>
        <v>5.18679102596423</v>
      </c>
      <c r="K20" s="56" t="n">
        <f aca="false">I20+J20</f>
        <v>128.186791025964</v>
      </c>
      <c r="L20" s="56" t="n">
        <f aca="false">F20-(I20-W20)</f>
        <v>5.18679102596423</v>
      </c>
      <c r="M20" s="56" t="n">
        <v>229</v>
      </c>
      <c r="N20" s="56" t="n">
        <f aca="false">(19+21)*1.05</f>
        <v>42</v>
      </c>
      <c r="O20" s="56" t="n">
        <f aca="false">M20-N20</f>
        <v>187</v>
      </c>
      <c r="P20" s="56" t="n">
        <v>122</v>
      </c>
      <c r="Q20" s="56" t="n">
        <v>70</v>
      </c>
      <c r="R20" s="56" t="n">
        <f aca="false">SUM(O20:Q20)</f>
        <v>379</v>
      </c>
      <c r="S20" s="57" t="n">
        <f aca="false">(I20-R20)+S19</f>
        <v>-1693.52519334509</v>
      </c>
      <c r="T20" s="56" t="n">
        <v>143</v>
      </c>
      <c r="U20" s="56" t="n">
        <v>87</v>
      </c>
      <c r="V20" s="57" t="n">
        <f aca="false">V19-U20</f>
        <v>9630</v>
      </c>
      <c r="W20" s="56" t="n">
        <f aca="false">R20+T20+N20+U20</f>
        <v>651</v>
      </c>
      <c r="X20" s="56" t="n">
        <f aca="false">IF(L20&lt;0,L20*-1,0)</f>
        <v>0</v>
      </c>
      <c r="Y20" s="56" t="n">
        <f aca="false">W20+X20</f>
        <v>651</v>
      </c>
      <c r="Z20" s="60" t="n">
        <v>0.29</v>
      </c>
      <c r="AA20" s="61" t="n">
        <v>80</v>
      </c>
      <c r="AB20" s="61" t="n">
        <v>56</v>
      </c>
      <c r="AC20" s="62" t="n">
        <v>11</v>
      </c>
      <c r="AD20" s="79"/>
      <c r="AE20" s="82"/>
      <c r="AF20" s="82"/>
    </row>
    <row r="21" customFormat="false" ht="11.1" hidden="false" customHeight="true" outlineLevel="0" collapsed="false">
      <c r="A21" s="62" t="n">
        <v>12</v>
      </c>
      <c r="B21" s="80" t="n">
        <v>6899.9</v>
      </c>
      <c r="C21" s="57" t="n">
        <v>283212</v>
      </c>
      <c r="D21" s="61" t="n">
        <f aca="false">C21-C20</f>
        <v>-923</v>
      </c>
      <c r="E21" s="57" t="n">
        <f aca="false">C21-151978</f>
        <v>131234</v>
      </c>
      <c r="F21" s="56" t="n">
        <f aca="false">D21/$D$2</f>
        <v>-465.339047138896</v>
      </c>
      <c r="G21" s="56" t="n">
        <v>143</v>
      </c>
      <c r="H21" s="58" t="n">
        <v>0</v>
      </c>
      <c r="I21" s="56" t="n">
        <f aca="false">G21+H21</f>
        <v>143</v>
      </c>
      <c r="J21" s="81" t="n">
        <f aca="false">IF(L21&gt;0,L21,0)</f>
        <v>0</v>
      </c>
      <c r="K21" s="56" t="n">
        <f aca="false">I21+J21</f>
        <v>143</v>
      </c>
      <c r="L21" s="56" t="n">
        <f aca="false">F21-(I21-W21)</f>
        <v>-10.3390471388959</v>
      </c>
      <c r="M21" s="56" t="n">
        <v>215</v>
      </c>
      <c r="N21" s="56" t="n">
        <f aca="false">(17+19)*1.05</f>
        <v>37.8</v>
      </c>
      <c r="O21" s="56" t="n">
        <f aca="false">M21-N21</f>
        <v>177.2</v>
      </c>
      <c r="P21" s="56" t="n">
        <v>122</v>
      </c>
      <c r="Q21" s="56" t="n">
        <v>70</v>
      </c>
      <c r="R21" s="56" t="n">
        <f aca="false">SUM(O21:Q21)</f>
        <v>369.2</v>
      </c>
      <c r="S21" s="57" t="n">
        <f aca="false">(I21-R21)+S20</f>
        <v>-1919.72519334509</v>
      </c>
      <c r="T21" s="56" t="n">
        <v>104</v>
      </c>
      <c r="U21" s="56" t="n">
        <v>87</v>
      </c>
      <c r="V21" s="57" t="n">
        <f aca="false">V20-U21</f>
        <v>9543</v>
      </c>
      <c r="W21" s="56" t="n">
        <f aca="false">R21+T21+N21+U21</f>
        <v>598</v>
      </c>
      <c r="X21" s="56" t="n">
        <f aca="false">IF(L21&lt;0,L21*-1,0)</f>
        <v>10.3390471388959</v>
      </c>
      <c r="Y21" s="56" t="n">
        <f aca="false">W21+X21</f>
        <v>608.339047138896</v>
      </c>
      <c r="Z21" s="60" t="n">
        <v>0.08</v>
      </c>
      <c r="AA21" s="61" t="n">
        <v>77</v>
      </c>
      <c r="AB21" s="61" t="n">
        <v>55</v>
      </c>
      <c r="AC21" s="62" t="n">
        <v>12</v>
      </c>
      <c r="AD21" s="79"/>
      <c r="AE21" s="82"/>
      <c r="AF21" s="82"/>
    </row>
    <row r="22" customFormat="false" ht="11.1" hidden="false" customHeight="true" outlineLevel="0" collapsed="false">
      <c r="A22" s="62" t="n">
        <v>13</v>
      </c>
      <c r="B22" s="80" t="n">
        <v>6899.7</v>
      </c>
      <c r="C22" s="57" t="n">
        <v>282478</v>
      </c>
      <c r="D22" s="61" t="n">
        <f aca="false">C22-C21</f>
        <v>-734</v>
      </c>
      <c r="E22" s="57" t="n">
        <f aca="false">C22-151978</f>
        <v>130500</v>
      </c>
      <c r="F22" s="56" t="n">
        <f aca="false">D22/$D$2</f>
        <v>-370.052936728006</v>
      </c>
      <c r="G22" s="56" t="n">
        <v>200</v>
      </c>
      <c r="H22" s="58" t="n">
        <v>0</v>
      </c>
      <c r="I22" s="56" t="n">
        <f aca="false">G22+H22</f>
        <v>200</v>
      </c>
      <c r="J22" s="81" t="n">
        <f aca="false">IF(L22&gt;0,L22,0)</f>
        <v>3.94706327199395</v>
      </c>
      <c r="K22" s="56" t="n">
        <f aca="false">I22+J22</f>
        <v>203.947063271994</v>
      </c>
      <c r="L22" s="56" t="n">
        <f aca="false">F22-(I22-W22)</f>
        <v>3.94706327199395</v>
      </c>
      <c r="M22" s="56" t="n">
        <v>203</v>
      </c>
      <c r="N22" s="56" t="n">
        <f aca="false">(21+21)*1.05</f>
        <v>44.1</v>
      </c>
      <c r="O22" s="56" t="n">
        <f aca="false">M22-N22</f>
        <v>158.9</v>
      </c>
      <c r="P22" s="56" t="n">
        <v>121</v>
      </c>
      <c r="Q22" s="56" t="n">
        <v>70</v>
      </c>
      <c r="R22" s="56" t="n">
        <f aca="false">SUM(O22:Q22)</f>
        <v>349.9</v>
      </c>
      <c r="S22" s="57" t="n">
        <f aca="false">(I22-R22)+S21</f>
        <v>-2069.62519334509</v>
      </c>
      <c r="T22" s="56" t="n">
        <v>93</v>
      </c>
      <c r="U22" s="56" t="n">
        <v>87</v>
      </c>
      <c r="V22" s="57" t="n">
        <f aca="false">V21-U22</f>
        <v>9456</v>
      </c>
      <c r="W22" s="56" t="n">
        <f aca="false">R22+T22+N22+U22</f>
        <v>574</v>
      </c>
      <c r="X22" s="56" t="n">
        <f aca="false">IF(L22&lt;0,L22*-1,0)</f>
        <v>0</v>
      </c>
      <c r="Y22" s="56" t="n">
        <f aca="false">W22+X22</f>
        <v>574</v>
      </c>
      <c r="Z22" s="60" t="n">
        <v>0</v>
      </c>
      <c r="AA22" s="61" t="n">
        <v>79</v>
      </c>
      <c r="AB22" s="61" t="n">
        <v>51</v>
      </c>
      <c r="AC22" s="62" t="n">
        <v>13</v>
      </c>
      <c r="AD22" s="79"/>
      <c r="AE22" s="82"/>
      <c r="AF22" s="82"/>
    </row>
    <row r="23" customFormat="false" ht="11.1" hidden="false" customHeight="true" outlineLevel="0" collapsed="false">
      <c r="A23" s="62" t="n">
        <v>14</v>
      </c>
      <c r="B23" s="80" t="n">
        <v>6899.42</v>
      </c>
      <c r="C23" s="57" t="n">
        <v>281449</v>
      </c>
      <c r="D23" s="61" t="n">
        <f aca="false">C23-C22</f>
        <v>-1029</v>
      </c>
      <c r="E23" s="57" t="n">
        <f aca="false">C23-151978</f>
        <v>129471</v>
      </c>
      <c r="F23" s="56" t="n">
        <f aca="false">D23/$D$2</f>
        <v>-518.779934459289</v>
      </c>
      <c r="G23" s="56" t="n">
        <v>160</v>
      </c>
      <c r="H23" s="58" t="n">
        <v>0</v>
      </c>
      <c r="I23" s="56" t="n">
        <f aca="false">G23+H23</f>
        <v>160</v>
      </c>
      <c r="J23" s="81" t="n">
        <f aca="false">IF(L23&gt;0,L23,0)</f>
        <v>0</v>
      </c>
      <c r="K23" s="56" t="n">
        <f aca="false">I23+J23</f>
        <v>160</v>
      </c>
      <c r="L23" s="56" t="n">
        <f aca="false">F23-(I23-W23)</f>
        <v>-83.7799344592892</v>
      </c>
      <c r="M23" s="56" t="n">
        <v>221</v>
      </c>
      <c r="N23" s="56" t="n">
        <f aca="false">(23+23)*1.05</f>
        <v>48.3</v>
      </c>
      <c r="O23" s="56" t="n">
        <f aca="false">M23-N23</f>
        <v>172.7</v>
      </c>
      <c r="P23" s="56" t="n">
        <v>122</v>
      </c>
      <c r="Q23" s="56" t="n">
        <v>71</v>
      </c>
      <c r="R23" s="56" t="n">
        <f aca="false">SUM(O23:Q23)</f>
        <v>365.7</v>
      </c>
      <c r="S23" s="57" t="n">
        <f aca="false">(I23-R23)+S22</f>
        <v>-2275.32519334509</v>
      </c>
      <c r="T23" s="56" t="n">
        <v>94</v>
      </c>
      <c r="U23" s="56" t="n">
        <v>87</v>
      </c>
      <c r="V23" s="57" t="n">
        <f aca="false">V22-U23</f>
        <v>9369</v>
      </c>
      <c r="W23" s="56" t="n">
        <f aca="false">R23+T23+N23+U23</f>
        <v>595</v>
      </c>
      <c r="X23" s="56" t="n">
        <f aca="false">IF(L23&lt;0,L23*-1,0)</f>
        <v>83.7799344592892</v>
      </c>
      <c r="Y23" s="56" t="n">
        <f aca="false">W23+X23</f>
        <v>678.779934459289</v>
      </c>
      <c r="Z23" s="60" t="n">
        <v>0</v>
      </c>
      <c r="AA23" s="61" t="n">
        <v>82</v>
      </c>
      <c r="AB23" s="61" t="n">
        <v>49</v>
      </c>
      <c r="AC23" s="62" t="n">
        <v>14</v>
      </c>
      <c r="AD23" s="79"/>
      <c r="AE23" s="82"/>
      <c r="AF23" s="82"/>
    </row>
    <row r="24" customFormat="false" ht="11.1" hidden="false" customHeight="true" outlineLevel="0" collapsed="false">
      <c r="A24" s="62" t="n">
        <v>15</v>
      </c>
      <c r="B24" s="80" t="n">
        <v>6899.18</v>
      </c>
      <c r="C24" s="57" t="n">
        <v>280568</v>
      </c>
      <c r="D24" s="61" t="n">
        <f aca="false">C24-C23</f>
        <v>-881</v>
      </c>
      <c r="E24" s="57" t="n">
        <f aca="false">C24-151978</f>
        <v>128590</v>
      </c>
      <c r="F24" s="56" t="n">
        <f aca="false">D24/$D$2</f>
        <v>-444.164355936476</v>
      </c>
      <c r="G24" s="56" t="n">
        <v>145</v>
      </c>
      <c r="H24" s="58" t="n">
        <v>0</v>
      </c>
      <c r="I24" s="56" t="n">
        <f aca="false">G24+H24</f>
        <v>145</v>
      </c>
      <c r="J24" s="81" t="n">
        <f aca="false">IF(L24&gt;0,L24,0)</f>
        <v>0</v>
      </c>
      <c r="K24" s="56" t="n">
        <f aca="false">I24+J24</f>
        <v>145</v>
      </c>
      <c r="L24" s="56" t="n">
        <f aca="false">F24-(I24-W24)</f>
        <v>-3.16435593647594</v>
      </c>
      <c r="M24" s="56" t="n">
        <v>215</v>
      </c>
      <c r="N24" s="56" t="n">
        <f aca="false">(26+27)*1.05</f>
        <v>55.65</v>
      </c>
      <c r="O24" s="56" t="n">
        <f aca="false">M24-N24</f>
        <v>159.35</v>
      </c>
      <c r="P24" s="56" t="n">
        <v>123</v>
      </c>
      <c r="Q24" s="56" t="n">
        <v>68</v>
      </c>
      <c r="R24" s="56" t="n">
        <f aca="false">SUM(O24:Q24)</f>
        <v>350.35</v>
      </c>
      <c r="S24" s="57" t="n">
        <f aca="false">(I24-R24)+S23</f>
        <v>-2480.67519334509</v>
      </c>
      <c r="T24" s="56" t="n">
        <v>94</v>
      </c>
      <c r="U24" s="56" t="n">
        <v>86</v>
      </c>
      <c r="V24" s="57" t="n">
        <f aca="false">V23-U24</f>
        <v>9283</v>
      </c>
      <c r="W24" s="56" t="n">
        <f aca="false">R24+T24+N24+U24</f>
        <v>586</v>
      </c>
      <c r="X24" s="56" t="n">
        <f aca="false">IF(L24&lt;0,L24*-1,0)</f>
        <v>3.16435593647594</v>
      </c>
      <c r="Y24" s="56" t="n">
        <f aca="false">W24+X24</f>
        <v>589.164355936476</v>
      </c>
      <c r="Z24" s="60" t="n">
        <v>0.04</v>
      </c>
      <c r="AA24" s="61" t="n">
        <v>84</v>
      </c>
      <c r="AB24" s="61" t="n">
        <v>50</v>
      </c>
      <c r="AC24" s="62" t="n">
        <v>15</v>
      </c>
      <c r="AD24" s="79"/>
      <c r="AE24" s="82"/>
      <c r="AF24" s="82"/>
    </row>
    <row r="25" customFormat="false" ht="11.1" hidden="false" customHeight="true" outlineLevel="0" collapsed="false">
      <c r="A25" s="62" t="n">
        <v>16</v>
      </c>
      <c r="B25" s="80" t="n">
        <v>6898.93</v>
      </c>
      <c r="C25" s="57" t="n">
        <v>279651</v>
      </c>
      <c r="D25" s="61" t="n">
        <f aca="false">C25-C24</f>
        <v>-917</v>
      </c>
      <c r="E25" s="57" t="n">
        <f aca="false">C25-151978</f>
        <v>127673</v>
      </c>
      <c r="F25" s="56" t="n">
        <f aca="false">D25/$D$2</f>
        <v>-462.314091252836</v>
      </c>
      <c r="G25" s="56" t="n">
        <v>144</v>
      </c>
      <c r="H25" s="58" t="n">
        <v>0</v>
      </c>
      <c r="I25" s="56" t="n">
        <f aca="false">G25+H25</f>
        <v>144</v>
      </c>
      <c r="J25" s="81" t="n">
        <f aca="false">IF(L25&gt;0,L25,0)</f>
        <v>0</v>
      </c>
      <c r="K25" s="56" t="n">
        <f aca="false">I25+J25</f>
        <v>144</v>
      </c>
      <c r="L25" s="56" t="n">
        <f aca="false">F25-(I25-W25)</f>
        <v>-23.3140912528359</v>
      </c>
      <c r="M25" s="56" t="n">
        <v>226</v>
      </c>
      <c r="N25" s="56" t="n">
        <f aca="false">(28+30)*1.05</f>
        <v>60.9</v>
      </c>
      <c r="O25" s="56" t="n">
        <f aca="false">M25-N25</f>
        <v>165.1</v>
      </c>
      <c r="P25" s="56" t="n">
        <v>123</v>
      </c>
      <c r="Q25" s="56" t="n">
        <v>63</v>
      </c>
      <c r="R25" s="56" t="n">
        <f aca="false">SUM(O25:Q25)</f>
        <v>351.1</v>
      </c>
      <c r="S25" s="57" t="n">
        <f aca="false">(I25-R25)+S24</f>
        <v>-2687.77519334509</v>
      </c>
      <c r="T25" s="56" t="n">
        <v>85</v>
      </c>
      <c r="U25" s="56" t="n">
        <v>86</v>
      </c>
      <c r="V25" s="57" t="n">
        <f aca="false">V24-U25</f>
        <v>9197</v>
      </c>
      <c r="W25" s="56" t="n">
        <f aca="false">R25+T25+N25+U25</f>
        <v>583</v>
      </c>
      <c r="X25" s="56" t="n">
        <f aca="false">IF(L25&lt;0,L25*-1,0)</f>
        <v>23.3140912528359</v>
      </c>
      <c r="Y25" s="56" t="n">
        <f aca="false">W25+X25</f>
        <v>606.314091252836</v>
      </c>
      <c r="Z25" s="60" t="n">
        <v>0</v>
      </c>
      <c r="AA25" s="61" t="n">
        <v>82</v>
      </c>
      <c r="AB25" s="61" t="n">
        <v>51</v>
      </c>
      <c r="AC25" s="62" t="n">
        <v>16</v>
      </c>
      <c r="AD25" s="79"/>
      <c r="AE25" s="82"/>
      <c r="AF25" s="82"/>
    </row>
    <row r="26" customFormat="false" ht="11.1" hidden="false" customHeight="true" outlineLevel="0" collapsed="false">
      <c r="A26" s="62" t="n">
        <v>17</v>
      </c>
      <c r="B26" s="80" t="n">
        <v>6998.68</v>
      </c>
      <c r="C26" s="57" t="n">
        <v>278740</v>
      </c>
      <c r="D26" s="61" t="n">
        <f aca="false">C26-C25</f>
        <v>-911</v>
      </c>
      <c r="E26" s="57" t="n">
        <f aca="false">C26-151978</f>
        <v>126762</v>
      </c>
      <c r="F26" s="56" t="n">
        <f aca="false">D26/$D$2</f>
        <v>-459.289135366776</v>
      </c>
      <c r="G26" s="56" t="n">
        <v>154</v>
      </c>
      <c r="H26" s="58" t="n">
        <v>0</v>
      </c>
      <c r="I26" s="56" t="n">
        <f aca="false">G26+H26</f>
        <v>154</v>
      </c>
      <c r="J26" s="81" t="n">
        <f aca="false">IF(L26&gt;0,L26,0)</f>
        <v>0</v>
      </c>
      <c r="K26" s="56" t="n">
        <f aca="false">I26+J26</f>
        <v>154</v>
      </c>
      <c r="L26" s="56" t="n">
        <f aca="false">F26-(I26-W26)</f>
        <v>-52.2891353667759</v>
      </c>
      <c r="M26" s="56" t="n">
        <v>217</v>
      </c>
      <c r="N26" s="56" t="n">
        <f aca="false">(31+31)*1.05</f>
        <v>65.1</v>
      </c>
      <c r="O26" s="56" t="n">
        <f aca="false">M26-N26</f>
        <v>151.9</v>
      </c>
      <c r="P26" s="56" t="n">
        <v>123</v>
      </c>
      <c r="Q26" s="56" t="n">
        <v>61</v>
      </c>
      <c r="R26" s="56" t="n">
        <f aca="false">SUM(O26:Q26)</f>
        <v>335.9</v>
      </c>
      <c r="S26" s="57" t="n">
        <f aca="false">(I26-R26)+S25</f>
        <v>-2869.67519334509</v>
      </c>
      <c r="T26" s="56" t="n">
        <v>74</v>
      </c>
      <c r="U26" s="56" t="n">
        <v>86</v>
      </c>
      <c r="V26" s="57" t="n">
        <f aca="false">V25-U26</f>
        <v>9111</v>
      </c>
      <c r="W26" s="56" t="n">
        <f aca="false">R26+T26+N26+U26</f>
        <v>561</v>
      </c>
      <c r="X26" s="56" t="n">
        <f aca="false">IF(L26&lt;0,L26*-1,0)</f>
        <v>52.2891353667759</v>
      </c>
      <c r="Y26" s="56" t="n">
        <f aca="false">W26+X26</f>
        <v>613.289135366776</v>
      </c>
      <c r="Z26" s="60" t="n">
        <v>0</v>
      </c>
      <c r="AA26" s="61" t="n">
        <v>84</v>
      </c>
      <c r="AB26" s="61" t="n">
        <v>47</v>
      </c>
      <c r="AC26" s="62" t="n">
        <v>17</v>
      </c>
      <c r="AD26" s="79"/>
      <c r="AE26" s="82"/>
      <c r="AF26" s="82"/>
    </row>
    <row r="27" customFormat="false" ht="11.1" hidden="false" customHeight="true" outlineLevel="0" collapsed="false">
      <c r="A27" s="62" t="n">
        <v>18</v>
      </c>
      <c r="B27" s="80" t="n">
        <v>6998.43</v>
      </c>
      <c r="C27" s="57" t="n">
        <v>277828</v>
      </c>
      <c r="D27" s="61" t="n">
        <f aca="false">C27-C26</f>
        <v>-912</v>
      </c>
      <c r="E27" s="57" t="n">
        <f aca="false">C27-151978</f>
        <v>125850</v>
      </c>
      <c r="F27" s="56" t="n">
        <f aca="false">D27/$D$2</f>
        <v>-459.793294681119</v>
      </c>
      <c r="G27" s="56" t="n">
        <v>139</v>
      </c>
      <c r="H27" s="58" t="n">
        <v>0</v>
      </c>
      <c r="I27" s="56" t="n">
        <f aca="false">G27+H27</f>
        <v>139</v>
      </c>
      <c r="J27" s="81" t="n">
        <f aca="false">IF(L27&gt;0,L27,0)</f>
        <v>0</v>
      </c>
      <c r="K27" s="56" t="n">
        <f aca="false">I27+J27</f>
        <v>139</v>
      </c>
      <c r="L27" s="56" t="n">
        <f aca="false">F27-(I27-W27)</f>
        <v>-47.7932946811192</v>
      </c>
      <c r="M27" s="56" t="n">
        <v>208</v>
      </c>
      <c r="N27" s="56" t="n">
        <f aca="false">(28+28)*1.05</f>
        <v>58.8</v>
      </c>
      <c r="O27" s="56" t="n">
        <f aca="false">M27-N27</f>
        <v>149.2</v>
      </c>
      <c r="P27" s="56" t="n">
        <v>122</v>
      </c>
      <c r="Q27" s="56" t="n">
        <v>60</v>
      </c>
      <c r="R27" s="56" t="n">
        <f aca="false">SUM(O27:Q27)</f>
        <v>331.2</v>
      </c>
      <c r="S27" s="57" t="n">
        <f aca="false">(I27-R27)+S26</f>
        <v>-3061.87519334509</v>
      </c>
      <c r="T27" s="56" t="n">
        <v>75</v>
      </c>
      <c r="U27" s="56" t="n">
        <v>86</v>
      </c>
      <c r="V27" s="57" t="n">
        <f aca="false">V26-U27</f>
        <v>9025</v>
      </c>
      <c r="W27" s="56" t="n">
        <f aca="false">R27+T27+N27+U27</f>
        <v>551</v>
      </c>
      <c r="X27" s="56" t="n">
        <f aca="false">IF(L27&lt;0,L27*-1,0)</f>
        <v>47.7932946811192</v>
      </c>
      <c r="Y27" s="56" t="n">
        <f aca="false">W27+X27</f>
        <v>598.793294681119</v>
      </c>
      <c r="Z27" s="60" t="n">
        <v>0</v>
      </c>
      <c r="AA27" s="61" t="n">
        <v>84</v>
      </c>
      <c r="AB27" s="61" t="n">
        <v>50</v>
      </c>
      <c r="AC27" s="62" t="n">
        <v>18</v>
      </c>
      <c r="AD27" s="79"/>
      <c r="AE27" s="82"/>
      <c r="AF27" s="82"/>
    </row>
    <row r="28" customFormat="false" ht="11.1" hidden="false" customHeight="true" outlineLevel="0" collapsed="false">
      <c r="A28" s="62" t="n">
        <v>19</v>
      </c>
      <c r="B28" s="80" t="n">
        <v>6998.18</v>
      </c>
      <c r="C28" s="57" t="n">
        <v>276917</v>
      </c>
      <c r="D28" s="61" t="n">
        <f aca="false">C28-C27</f>
        <v>-911</v>
      </c>
      <c r="E28" s="57" t="n">
        <f aca="false">C28-151978</f>
        <v>124939</v>
      </c>
      <c r="F28" s="56" t="n">
        <f aca="false">D28/$D$2</f>
        <v>-459.289135366776</v>
      </c>
      <c r="G28" s="56" t="n">
        <v>103</v>
      </c>
      <c r="H28" s="58" t="n">
        <v>0</v>
      </c>
      <c r="I28" s="56" t="n">
        <f aca="false">G28+H28</f>
        <v>103</v>
      </c>
      <c r="J28" s="81" t="n">
        <f aca="false">IF(L28&gt;0,L28,0)</f>
        <v>0</v>
      </c>
      <c r="K28" s="56" t="n">
        <f aca="false">I28+J28</f>
        <v>103</v>
      </c>
      <c r="L28" s="56" t="n">
        <f aca="false">F28-(I28-W28)</f>
        <v>-52.2891353667759</v>
      </c>
      <c r="M28" s="56" t="n">
        <v>184</v>
      </c>
      <c r="N28" s="56" t="n">
        <f aca="false">(19+19)*1.05</f>
        <v>39.9</v>
      </c>
      <c r="O28" s="56" t="n">
        <f aca="false">M28-N28</f>
        <v>144.1</v>
      </c>
      <c r="P28" s="56" t="n">
        <v>122</v>
      </c>
      <c r="Q28" s="56" t="n">
        <v>60</v>
      </c>
      <c r="R28" s="56" t="n">
        <f aca="false">SUM(O28:Q28)</f>
        <v>326.1</v>
      </c>
      <c r="S28" s="57" t="n">
        <f aca="false">(I28-R28)+S27</f>
        <v>-3284.97519334509</v>
      </c>
      <c r="T28" s="56" t="n">
        <v>58</v>
      </c>
      <c r="U28" s="56" t="n">
        <v>86</v>
      </c>
      <c r="V28" s="57" t="n">
        <f aca="false">V27-U28</f>
        <v>8939</v>
      </c>
      <c r="W28" s="56" t="n">
        <f aca="false">R28+T28+N28+U28</f>
        <v>510</v>
      </c>
      <c r="X28" s="56" t="n">
        <f aca="false">IF(L28&lt;0,L28*-1,0)</f>
        <v>52.2891353667759</v>
      </c>
      <c r="Y28" s="56" t="n">
        <f aca="false">W28+X28</f>
        <v>562.289135366776</v>
      </c>
      <c r="Z28" s="60" t="n">
        <v>0</v>
      </c>
      <c r="AA28" s="61" t="n">
        <v>80</v>
      </c>
      <c r="AB28" s="61" t="n">
        <v>48</v>
      </c>
      <c r="AC28" s="62" t="n">
        <v>19</v>
      </c>
      <c r="AD28" s="79"/>
      <c r="AE28" s="82"/>
      <c r="AF28" s="82"/>
    </row>
    <row r="29" customFormat="false" ht="11.1" hidden="false" customHeight="true" outlineLevel="0" collapsed="false">
      <c r="A29" s="62" t="n">
        <v>20</v>
      </c>
      <c r="B29" s="80" t="n">
        <v>6997.92</v>
      </c>
      <c r="C29" s="57" t="n">
        <v>275971</v>
      </c>
      <c r="D29" s="61" t="n">
        <f aca="false">C29-C28</f>
        <v>-946</v>
      </c>
      <c r="E29" s="57" t="n">
        <f aca="false">C29-151978</f>
        <v>123993</v>
      </c>
      <c r="F29" s="56" t="n">
        <f aca="false">D29/$D$2</f>
        <v>-476.934711368793</v>
      </c>
      <c r="G29" s="56" t="n">
        <v>84</v>
      </c>
      <c r="H29" s="58" t="n">
        <v>0</v>
      </c>
      <c r="I29" s="56" t="n">
        <f aca="false">G29+H29</f>
        <v>84</v>
      </c>
      <c r="J29" s="81" t="n">
        <f aca="false">IF(L29&gt;0,L29,0)</f>
        <v>0</v>
      </c>
      <c r="K29" s="56" t="n">
        <f aca="false">I29+J29</f>
        <v>84</v>
      </c>
      <c r="L29" s="56" t="n">
        <f aca="false">F29-(I29-W29)</f>
        <v>-51.9347113687925</v>
      </c>
      <c r="M29" s="56" t="n">
        <v>178</v>
      </c>
      <c r="N29" s="56" t="n">
        <f aca="false">(9+9.8)*1.05</f>
        <v>19.74</v>
      </c>
      <c r="O29" s="56" t="n">
        <f aca="false">M29-N29</f>
        <v>158.26</v>
      </c>
      <c r="P29" s="56" t="n">
        <v>122</v>
      </c>
      <c r="Q29" s="56" t="n">
        <v>60</v>
      </c>
      <c r="R29" s="56" t="n">
        <f aca="false">SUM(O29:Q29)</f>
        <v>340.26</v>
      </c>
      <c r="S29" s="57" t="n">
        <f aca="false">(I29-R29)+S28</f>
        <v>-3541.23519334509</v>
      </c>
      <c r="T29" s="56" t="n">
        <v>63</v>
      </c>
      <c r="U29" s="56" t="n">
        <v>86</v>
      </c>
      <c r="V29" s="57" t="n">
        <f aca="false">V28-U29</f>
        <v>8853</v>
      </c>
      <c r="W29" s="56" t="n">
        <f aca="false">R29+T29+N29+U29</f>
        <v>509</v>
      </c>
      <c r="X29" s="56" t="n">
        <f aca="false">IF(L29&lt;0,L29*-1,0)</f>
        <v>51.9347113687925</v>
      </c>
      <c r="Y29" s="56" t="n">
        <f aca="false">W29+X29</f>
        <v>560.934711368792</v>
      </c>
      <c r="Z29" s="60" t="n">
        <v>0</v>
      </c>
      <c r="AA29" s="61" t="n">
        <v>80</v>
      </c>
      <c r="AB29" s="61" t="n">
        <v>45</v>
      </c>
      <c r="AC29" s="62" t="n">
        <v>20</v>
      </c>
      <c r="AD29" s="79"/>
      <c r="AE29" s="82"/>
      <c r="AF29" s="82"/>
    </row>
    <row r="30" customFormat="false" ht="11.1" hidden="false" customHeight="true" outlineLevel="0" collapsed="false">
      <c r="A30" s="62" t="n">
        <v>21</v>
      </c>
      <c r="B30" s="80" t="n">
        <v>6897.68</v>
      </c>
      <c r="C30" s="57" t="n">
        <v>275103</v>
      </c>
      <c r="D30" s="61" t="n">
        <f aca="false">C30-C29</f>
        <v>-868</v>
      </c>
      <c r="E30" s="57" t="n">
        <f aca="false">C30-151978</f>
        <v>123125</v>
      </c>
      <c r="F30" s="56" t="n">
        <f aca="false">D30/$D$2</f>
        <v>-437.610284850013</v>
      </c>
      <c r="G30" s="56" t="n">
        <v>79</v>
      </c>
      <c r="H30" s="58" t="n">
        <v>0.03</v>
      </c>
      <c r="I30" s="56" t="n">
        <f aca="false">G30+H30</f>
        <v>79.03</v>
      </c>
      <c r="J30" s="81" t="n">
        <f aca="false">IF(L30&gt;0,L30,0)</f>
        <v>0</v>
      </c>
      <c r="K30" s="56" t="n">
        <f aca="false">I30+J30</f>
        <v>79.03</v>
      </c>
      <c r="L30" s="56" t="n">
        <f aca="false">F30-(I30-W30)</f>
        <v>-41.6402848500126</v>
      </c>
      <c r="M30" s="56" t="n">
        <v>156</v>
      </c>
      <c r="N30" s="56" t="n">
        <f aca="false">(9.3+11)*1.05</f>
        <v>21.315</v>
      </c>
      <c r="O30" s="56" t="n">
        <f aca="false">M30-N30</f>
        <v>134.685</v>
      </c>
      <c r="P30" s="56" t="n">
        <v>123</v>
      </c>
      <c r="Q30" s="56" t="n">
        <v>61</v>
      </c>
      <c r="R30" s="56" t="n">
        <f aca="false">SUM(O30:Q30)</f>
        <v>318.685</v>
      </c>
      <c r="S30" s="57" t="n">
        <f aca="false">(I30-R30)+S29</f>
        <v>-3780.89019334509</v>
      </c>
      <c r="T30" s="56" t="n">
        <v>57</v>
      </c>
      <c r="U30" s="56" t="n">
        <v>78</v>
      </c>
      <c r="V30" s="57" t="n">
        <f aca="false">V29-U30</f>
        <v>8775</v>
      </c>
      <c r="W30" s="56" t="n">
        <f aca="false">R30+T30+N30+U30</f>
        <v>475</v>
      </c>
      <c r="X30" s="56" t="n">
        <f aca="false">IF(L30&lt;0,L30*-1,0)</f>
        <v>41.6402848500126</v>
      </c>
      <c r="Y30" s="56" t="n">
        <f aca="false">W30+X30</f>
        <v>516.640284850013</v>
      </c>
      <c r="Z30" s="60" t="n">
        <v>0</v>
      </c>
      <c r="AA30" s="61" t="n">
        <v>78</v>
      </c>
      <c r="AB30" s="61" t="n">
        <v>46</v>
      </c>
      <c r="AC30" s="62" t="n">
        <v>21</v>
      </c>
      <c r="AD30" s="79"/>
      <c r="AE30" s="82"/>
      <c r="AF30" s="82"/>
    </row>
    <row r="31" customFormat="false" ht="11.1" hidden="false" customHeight="true" outlineLevel="0" collapsed="false">
      <c r="A31" s="62" t="n">
        <v>22</v>
      </c>
      <c r="B31" s="80" t="n">
        <v>6897.44</v>
      </c>
      <c r="C31" s="57" t="n">
        <v>274235</v>
      </c>
      <c r="D31" s="61" t="n">
        <f aca="false">C31-C30</f>
        <v>-868</v>
      </c>
      <c r="E31" s="57" t="n">
        <f aca="false">C31-151978</f>
        <v>122257</v>
      </c>
      <c r="F31" s="56" t="n">
        <f aca="false">D31/$D$2</f>
        <v>-437.610284850013</v>
      </c>
      <c r="G31" s="56" t="n">
        <v>71</v>
      </c>
      <c r="H31" s="58" t="n">
        <v>0</v>
      </c>
      <c r="I31" s="56" t="n">
        <f aca="false">G31+H31</f>
        <v>71</v>
      </c>
      <c r="J31" s="81" t="n">
        <f aca="false">IF(L31&gt;0,L31,0)</f>
        <v>7.38971514998741</v>
      </c>
      <c r="K31" s="56" t="n">
        <f aca="false">I31+J31</f>
        <v>78.3897151499874</v>
      </c>
      <c r="L31" s="56" t="n">
        <f aca="false">F31-(I31-W31)</f>
        <v>7.38971514998741</v>
      </c>
      <c r="M31" s="56" t="n">
        <v>201</v>
      </c>
      <c r="N31" s="56" t="n">
        <f aca="false">(14+15)*1.05</f>
        <v>30.45</v>
      </c>
      <c r="O31" s="56" t="n">
        <f aca="false">M31-N31</f>
        <v>170.55</v>
      </c>
      <c r="P31" s="56" t="n">
        <v>123</v>
      </c>
      <c r="Q31" s="56" t="n">
        <v>60</v>
      </c>
      <c r="R31" s="56" t="n">
        <f aca="false">SUM(O31:Q31)</f>
        <v>353.55</v>
      </c>
      <c r="S31" s="57" t="n">
        <f aca="false">(I31-R31)+S30</f>
        <v>-4063.44019334509</v>
      </c>
      <c r="T31" s="56" t="n">
        <v>58</v>
      </c>
      <c r="U31" s="56" t="n">
        <v>74</v>
      </c>
      <c r="V31" s="57" t="n">
        <f aca="false">V30-U31</f>
        <v>8701</v>
      </c>
      <c r="W31" s="56" t="n">
        <f aca="false">R31+T31+N31+U31</f>
        <v>516</v>
      </c>
      <c r="X31" s="56" t="n">
        <f aca="false">IF(L31&lt;0,L31*-1,0)</f>
        <v>0</v>
      </c>
      <c r="Y31" s="56" t="n">
        <f aca="false">W31+X31</f>
        <v>516</v>
      </c>
      <c r="Z31" s="60" t="n">
        <v>0.02</v>
      </c>
      <c r="AA31" s="61" t="n">
        <v>74</v>
      </c>
      <c r="AB31" s="61" t="n">
        <v>45</v>
      </c>
      <c r="AC31" s="62" t="n">
        <v>22</v>
      </c>
      <c r="AD31" s="79"/>
      <c r="AE31" s="82"/>
      <c r="AF31" s="82"/>
    </row>
    <row r="32" customFormat="false" ht="11.1" hidden="false" customHeight="true" outlineLevel="0" collapsed="false">
      <c r="A32" s="62" t="n">
        <v>23</v>
      </c>
      <c r="B32" s="80" t="n">
        <v>6897.17</v>
      </c>
      <c r="C32" s="57" t="n">
        <v>273258</v>
      </c>
      <c r="D32" s="61" t="n">
        <f aca="false">C32-C31</f>
        <v>-977</v>
      </c>
      <c r="E32" s="57" t="n">
        <f aca="false">C32-151978</f>
        <v>121280</v>
      </c>
      <c r="F32" s="56" t="n">
        <f aca="false">D32/$D$2</f>
        <v>-492.563650113436</v>
      </c>
      <c r="G32" s="56" t="n">
        <v>70</v>
      </c>
      <c r="H32" s="58" t="n">
        <v>0</v>
      </c>
      <c r="I32" s="56" t="n">
        <f aca="false">G32+H32</f>
        <v>70</v>
      </c>
      <c r="J32" s="81" t="n">
        <f aca="false">IF(L32&gt;0,L32,0)</f>
        <v>0</v>
      </c>
      <c r="K32" s="56" t="n">
        <f aca="false">I32+J32</f>
        <v>70</v>
      </c>
      <c r="L32" s="56" t="n">
        <f aca="false">F32-(I32-W32)</f>
        <v>-50.5636501134358</v>
      </c>
      <c r="M32" s="56" t="n">
        <v>193</v>
      </c>
      <c r="N32" s="56" t="n">
        <f aca="false">(21+21)*1.05</f>
        <v>44.1</v>
      </c>
      <c r="O32" s="56" t="n">
        <f aca="false">M32-N32</f>
        <v>148.9</v>
      </c>
      <c r="P32" s="56" t="n">
        <v>122</v>
      </c>
      <c r="Q32" s="56" t="n">
        <v>60</v>
      </c>
      <c r="R32" s="56" t="n">
        <f aca="false">SUM(O32:Q32)</f>
        <v>330.9</v>
      </c>
      <c r="S32" s="57" t="n">
        <f aca="false">(I32-R32)+S31</f>
        <v>-4324.3401933451</v>
      </c>
      <c r="T32" s="56" t="n">
        <v>65</v>
      </c>
      <c r="U32" s="56" t="n">
        <v>72</v>
      </c>
      <c r="V32" s="57" t="n">
        <f aca="false">V31-U32</f>
        <v>8629</v>
      </c>
      <c r="W32" s="56" t="n">
        <f aca="false">R32+T32+N32+U32</f>
        <v>512</v>
      </c>
      <c r="X32" s="56" t="n">
        <f aca="false">IF(L32&lt;0,L32*-1,0)</f>
        <v>50.5636501134358</v>
      </c>
      <c r="Y32" s="56" t="n">
        <f aca="false">W32+X32</f>
        <v>562.563650113436</v>
      </c>
      <c r="Z32" s="60" t="n">
        <v>0</v>
      </c>
      <c r="AA32" s="61" t="n">
        <v>78</v>
      </c>
      <c r="AB32" s="61" t="n">
        <v>50</v>
      </c>
      <c r="AC32" s="62" t="n">
        <v>23</v>
      </c>
      <c r="AD32" s="79"/>
      <c r="AE32" s="82"/>
      <c r="AF32" s="82"/>
    </row>
    <row r="33" customFormat="false" ht="11.1" hidden="false" customHeight="true" outlineLevel="0" collapsed="false">
      <c r="A33" s="62" t="n">
        <v>24</v>
      </c>
      <c r="B33" s="80" t="n">
        <v>6896.92</v>
      </c>
      <c r="C33" s="57" t="n">
        <v>272256</v>
      </c>
      <c r="D33" s="61" t="n">
        <f aca="false">C33-C32</f>
        <v>-1002</v>
      </c>
      <c r="E33" s="57" t="n">
        <f aca="false">C33-151978</f>
        <v>120278</v>
      </c>
      <c r="F33" s="56" t="n">
        <f aca="false">D33/$D$2</f>
        <v>-505.167632972019</v>
      </c>
      <c r="G33" s="56" t="n">
        <v>69</v>
      </c>
      <c r="H33" s="58" t="n">
        <v>0</v>
      </c>
      <c r="I33" s="56" t="n">
        <f aca="false">G33+H33</f>
        <v>69</v>
      </c>
      <c r="J33" s="81" t="n">
        <f aca="false">IF(L33&gt;0,L33,0)</f>
        <v>0</v>
      </c>
      <c r="K33" s="56" t="n">
        <f aca="false">I33+J33</f>
        <v>69</v>
      </c>
      <c r="L33" s="56" t="n">
        <f aca="false">F33-(I33-W33)</f>
        <v>-59.1676329720191</v>
      </c>
      <c r="M33" s="56" t="n">
        <v>199</v>
      </c>
      <c r="N33" s="56" t="n">
        <f aca="false">(24+23)*1.05</f>
        <v>49.35</v>
      </c>
      <c r="O33" s="56" t="n">
        <f aca="false">M33-N33</f>
        <v>149.65</v>
      </c>
      <c r="P33" s="56" t="n">
        <v>122</v>
      </c>
      <c r="Q33" s="56" t="n">
        <v>59</v>
      </c>
      <c r="R33" s="56" t="n">
        <f aca="false">SUM(O33:Q33)</f>
        <v>330.65</v>
      </c>
      <c r="S33" s="57" t="n">
        <f aca="false">(I33-R33)+S32</f>
        <v>-4585.99019334509</v>
      </c>
      <c r="T33" s="56" t="n">
        <v>63</v>
      </c>
      <c r="U33" s="56" t="n">
        <v>72</v>
      </c>
      <c r="V33" s="57" t="n">
        <f aca="false">V32-U33</f>
        <v>8557</v>
      </c>
      <c r="W33" s="56" t="n">
        <f aca="false">R33+T33+N33+U33</f>
        <v>515</v>
      </c>
      <c r="X33" s="56" t="n">
        <f aca="false">IF(L33&lt;0,L33*-1,0)</f>
        <v>59.1676329720191</v>
      </c>
      <c r="Y33" s="56" t="n">
        <f aca="false">W33+X33</f>
        <v>574.167632972019</v>
      </c>
      <c r="Z33" s="60" t="n">
        <v>0</v>
      </c>
      <c r="AA33" s="61" t="n">
        <v>83</v>
      </c>
      <c r="AB33" s="61" t="n">
        <v>46</v>
      </c>
      <c r="AC33" s="62" t="n">
        <v>24</v>
      </c>
      <c r="AD33" s="79"/>
      <c r="AE33" s="82"/>
      <c r="AF33" s="82"/>
    </row>
    <row r="34" customFormat="false" ht="11.1" hidden="false" customHeight="true" outlineLevel="0" collapsed="false">
      <c r="A34" s="62" t="n">
        <v>25</v>
      </c>
      <c r="B34" s="80" t="n">
        <v>6896.64</v>
      </c>
      <c r="C34" s="57" t="n">
        <v>271351</v>
      </c>
      <c r="D34" s="61" t="n">
        <f aca="false">C34-C33</f>
        <v>-905</v>
      </c>
      <c r="E34" s="57" t="n">
        <f aca="false">C34-151978</f>
        <v>119373</v>
      </c>
      <c r="F34" s="56" t="n">
        <f aca="false">D34/$D$2</f>
        <v>-456.264179480716</v>
      </c>
      <c r="G34" s="56" t="n">
        <v>66</v>
      </c>
      <c r="H34" s="58" t="n">
        <v>0</v>
      </c>
      <c r="I34" s="56" t="n">
        <f aca="false">G34+H34</f>
        <v>66</v>
      </c>
      <c r="J34" s="81" t="n">
        <f aca="false">IF(L34&gt;0,L34,0)</f>
        <v>0</v>
      </c>
      <c r="K34" s="56" t="n">
        <f aca="false">I34+J34</f>
        <v>66</v>
      </c>
      <c r="L34" s="56" t="n">
        <f aca="false">F34-(I34-W34)</f>
        <v>-20.2641794807159</v>
      </c>
      <c r="M34" s="56" t="n">
        <v>210</v>
      </c>
      <c r="N34" s="56" t="n">
        <f aca="false">(24+23)*1.05</f>
        <v>49.35</v>
      </c>
      <c r="O34" s="56" t="n">
        <f aca="false">M34-N34</f>
        <v>160.65</v>
      </c>
      <c r="P34" s="56" t="n">
        <v>121</v>
      </c>
      <c r="Q34" s="56" t="n">
        <v>59</v>
      </c>
      <c r="R34" s="56" t="n">
        <f aca="false">SUM(O34:Q34)</f>
        <v>340.65</v>
      </c>
      <c r="S34" s="57" t="n">
        <f aca="false">(I34-R34)+S33</f>
        <v>-4860.6401933451</v>
      </c>
      <c r="T34" s="56" t="n">
        <v>42</v>
      </c>
      <c r="U34" s="56" t="n">
        <v>70</v>
      </c>
      <c r="V34" s="57" t="n">
        <f aca="false">V33-U34</f>
        <v>8487</v>
      </c>
      <c r="W34" s="56" t="n">
        <f aca="false">R34+T34+N34+U34</f>
        <v>502</v>
      </c>
      <c r="X34" s="56" t="n">
        <f aca="false">IF(L34&lt;0,L34*-1,0)</f>
        <v>20.2641794807159</v>
      </c>
      <c r="Y34" s="56" t="n">
        <f aca="false">W34+X34</f>
        <v>522.264179480716</v>
      </c>
      <c r="Z34" s="60" t="n">
        <v>0</v>
      </c>
      <c r="AA34" s="61" t="n">
        <v>78</v>
      </c>
      <c r="AB34" s="61" t="n">
        <v>40</v>
      </c>
      <c r="AC34" s="62" t="n">
        <v>25</v>
      </c>
      <c r="AD34" s="79"/>
      <c r="AE34" s="82"/>
      <c r="AF34" s="82"/>
    </row>
    <row r="35" customFormat="false" ht="11.1" hidden="false" customHeight="true" outlineLevel="0" collapsed="false">
      <c r="A35" s="62" t="n">
        <v>26</v>
      </c>
      <c r="B35" s="80" t="n">
        <v>6896.39</v>
      </c>
      <c r="C35" s="57" t="n">
        <v>270454</v>
      </c>
      <c r="D35" s="61" t="n">
        <f aca="false">C35-C34</f>
        <v>-897</v>
      </c>
      <c r="E35" s="57" t="n">
        <f aca="false">C35-151978</f>
        <v>118476</v>
      </c>
      <c r="F35" s="56" t="n">
        <f aca="false">D35/$D$2</f>
        <v>-452.230904965969</v>
      </c>
      <c r="G35" s="56" t="n">
        <v>62</v>
      </c>
      <c r="H35" s="58" t="n">
        <v>0</v>
      </c>
      <c r="I35" s="56" t="n">
        <f aca="false">G35+H35</f>
        <v>62</v>
      </c>
      <c r="J35" s="81" t="n">
        <f aca="false">IF(L35&gt;0,L35,0)</f>
        <v>0</v>
      </c>
      <c r="K35" s="56" t="n">
        <f aca="false">I35+J35</f>
        <v>62</v>
      </c>
      <c r="L35" s="56" t="n">
        <f aca="false">F35-(I35-W35)</f>
        <v>-34.2309049659692</v>
      </c>
      <c r="M35" s="56" t="n">
        <v>171</v>
      </c>
      <c r="N35" s="56" t="n">
        <f aca="false">(14+13)*1.05</f>
        <v>28.35</v>
      </c>
      <c r="O35" s="56" t="n">
        <f aca="false">M35-N35</f>
        <v>142.65</v>
      </c>
      <c r="P35" s="56" t="n">
        <v>121</v>
      </c>
      <c r="Q35" s="56" t="n">
        <v>58</v>
      </c>
      <c r="R35" s="56" t="n">
        <f aca="false">SUM(O35:Q35)</f>
        <v>321.65</v>
      </c>
      <c r="S35" s="57" t="n">
        <f aca="false">(I35-R35)+S34</f>
        <v>-5120.29019334509</v>
      </c>
      <c r="T35" s="56" t="n">
        <v>61</v>
      </c>
      <c r="U35" s="56" t="n">
        <v>69</v>
      </c>
      <c r="V35" s="57" t="n">
        <f aca="false">V34-U35</f>
        <v>8418</v>
      </c>
      <c r="W35" s="56" t="n">
        <f aca="false">R35+T35+N35+U35</f>
        <v>480</v>
      </c>
      <c r="X35" s="56" t="n">
        <f aca="false">IF(L35&lt;0,L35*-1,0)</f>
        <v>34.2309049659692</v>
      </c>
      <c r="Y35" s="56" t="n">
        <f aca="false">W35+X35</f>
        <v>514.230904965969</v>
      </c>
      <c r="Z35" s="60" t="n">
        <v>0</v>
      </c>
      <c r="AA35" s="61" t="n">
        <v>75</v>
      </c>
      <c r="AB35" s="61" t="n">
        <v>41</v>
      </c>
      <c r="AC35" s="62" t="n">
        <v>26</v>
      </c>
      <c r="AD35" s="79"/>
      <c r="AE35" s="82"/>
      <c r="AF35" s="82"/>
    </row>
    <row r="36" customFormat="false" ht="11.1" hidden="false" customHeight="true" outlineLevel="0" collapsed="false">
      <c r="A36" s="62" t="n">
        <v>27</v>
      </c>
      <c r="B36" s="80" t="n">
        <v>6896.14</v>
      </c>
      <c r="C36" s="57" t="n">
        <v>269557</v>
      </c>
      <c r="D36" s="61" t="n">
        <f aca="false">C36-C35</f>
        <v>-897</v>
      </c>
      <c r="E36" s="57" t="n">
        <f aca="false">C36-151978</f>
        <v>117579</v>
      </c>
      <c r="F36" s="56" t="n">
        <f aca="false">D36/$D$2</f>
        <v>-452.230904965969</v>
      </c>
      <c r="G36" s="56" t="n">
        <v>59</v>
      </c>
      <c r="H36" s="58" t="n">
        <v>0</v>
      </c>
      <c r="I36" s="56" t="n">
        <f aca="false">G36+H36</f>
        <v>59</v>
      </c>
      <c r="J36" s="81" t="n">
        <f aca="false">IF(L36&gt;0,L36,0)</f>
        <v>0</v>
      </c>
      <c r="K36" s="56" t="n">
        <f aca="false">I36+J36</f>
        <v>59</v>
      </c>
      <c r="L36" s="56" t="n">
        <f aca="false">F36-(I36-W36)</f>
        <v>-53.2309049659692</v>
      </c>
      <c r="M36" s="56" t="n">
        <v>157</v>
      </c>
      <c r="N36" s="56" t="n">
        <f aca="false">(6.4+6)*1.05</f>
        <v>13.02</v>
      </c>
      <c r="O36" s="56" t="n">
        <f aca="false">M36-N36</f>
        <v>143.98</v>
      </c>
      <c r="P36" s="56" t="n">
        <v>122</v>
      </c>
      <c r="Q36" s="56" t="n">
        <v>57</v>
      </c>
      <c r="R36" s="56" t="n">
        <f aca="false">SUM(O36:Q36)</f>
        <v>322.98</v>
      </c>
      <c r="S36" s="57" t="n">
        <f aca="false">(I36-R36)+S35</f>
        <v>-5384.27019334509</v>
      </c>
      <c r="T36" s="56" t="n">
        <v>53</v>
      </c>
      <c r="U36" s="56" t="n">
        <v>69</v>
      </c>
      <c r="V36" s="57" t="n">
        <f aca="false">V35-U36</f>
        <v>8349</v>
      </c>
      <c r="W36" s="56" t="n">
        <f aca="false">R36+T36+N36+U36</f>
        <v>458</v>
      </c>
      <c r="X36" s="56" t="n">
        <f aca="false">IF(L36&lt;0,L36*-1,0)</f>
        <v>53.2309049659692</v>
      </c>
      <c r="Y36" s="56" t="n">
        <f aca="false">W36+X36</f>
        <v>511.230904965969</v>
      </c>
      <c r="Z36" s="60" t="n">
        <v>0</v>
      </c>
      <c r="AA36" s="61" t="n">
        <v>81</v>
      </c>
      <c r="AB36" s="61" t="n">
        <v>40</v>
      </c>
      <c r="AC36" s="62" t="n">
        <v>27</v>
      </c>
      <c r="AD36" s="79"/>
      <c r="AE36" s="82"/>
      <c r="AF36" s="82"/>
    </row>
    <row r="37" customFormat="false" ht="11.1" hidden="false" customHeight="true" outlineLevel="0" collapsed="false">
      <c r="A37" s="62" t="n">
        <v>28</v>
      </c>
      <c r="B37" s="80" t="n">
        <v>6895.92</v>
      </c>
      <c r="C37" s="57" t="n">
        <v>268770</v>
      </c>
      <c r="D37" s="61" t="n">
        <f aca="false">C37-C36</f>
        <v>-787</v>
      </c>
      <c r="E37" s="57" t="n">
        <f aca="false">C37-151978</f>
        <v>116792</v>
      </c>
      <c r="F37" s="56" t="n">
        <f aca="false">D37/$D$2</f>
        <v>-396.773380388203</v>
      </c>
      <c r="G37" s="56" t="n">
        <v>55</v>
      </c>
      <c r="H37" s="58" t="n">
        <v>0</v>
      </c>
      <c r="I37" s="56" t="n">
        <f aca="false">G37+H37</f>
        <v>55</v>
      </c>
      <c r="J37" s="81" t="n">
        <f aca="false">IF(L37&gt;0,L37,0)</f>
        <v>23.2266196117973</v>
      </c>
      <c r="K37" s="56" t="n">
        <f aca="false">I37+J37</f>
        <v>78.2266196117973</v>
      </c>
      <c r="L37" s="56" t="n">
        <f aca="false">F37-(I37-W37)</f>
        <v>23.2266196117973</v>
      </c>
      <c r="M37" s="56" t="n">
        <v>186</v>
      </c>
      <c r="N37" s="56" t="n">
        <f aca="false">(12+13)*1.05</f>
        <v>26.25</v>
      </c>
      <c r="O37" s="56" t="n">
        <f aca="false">M37-N37</f>
        <v>159.75</v>
      </c>
      <c r="P37" s="56" t="n">
        <v>123</v>
      </c>
      <c r="Q37" s="56" t="n">
        <v>53</v>
      </c>
      <c r="R37" s="56" t="n">
        <f aca="false">SUM(O37:Q37)</f>
        <v>335.75</v>
      </c>
      <c r="S37" s="57" t="n">
        <f aca="false">(I37-R37)+S36</f>
        <v>-5665.02019334509</v>
      </c>
      <c r="T37" s="56" t="n">
        <v>44</v>
      </c>
      <c r="U37" s="56" t="n">
        <v>69</v>
      </c>
      <c r="V37" s="57" t="n">
        <f aca="false">V36-U37</f>
        <v>8280</v>
      </c>
      <c r="W37" s="56" t="n">
        <f aca="false">R37+T37+N37+U37</f>
        <v>475</v>
      </c>
      <c r="X37" s="56" t="n">
        <f aca="false">IF(L37&lt;0,L37*-1,0)</f>
        <v>0</v>
      </c>
      <c r="Y37" s="56" t="n">
        <f aca="false">W37+X37</f>
        <v>475</v>
      </c>
      <c r="Z37" s="60" t="n">
        <v>0</v>
      </c>
      <c r="AA37" s="61" t="n">
        <v>78</v>
      </c>
      <c r="AB37" s="61" t="n">
        <v>48</v>
      </c>
      <c r="AC37" s="62" t="n">
        <v>28</v>
      </c>
      <c r="AD37" s="79"/>
      <c r="AE37" s="82"/>
      <c r="AF37" s="82"/>
    </row>
    <row r="38" customFormat="false" ht="11.1" hidden="false" customHeight="true" outlineLevel="0" collapsed="false">
      <c r="A38" s="62" t="n">
        <v>29</v>
      </c>
      <c r="B38" s="80" t="n">
        <v>6895.7</v>
      </c>
      <c r="C38" s="57" t="n">
        <v>267987</v>
      </c>
      <c r="D38" s="61" t="n">
        <f aca="false">C38-C37</f>
        <v>-783</v>
      </c>
      <c r="E38" s="57" t="n">
        <f aca="false">C38-151978</f>
        <v>116009</v>
      </c>
      <c r="F38" s="56" t="n">
        <f aca="false">D38/$D$2</f>
        <v>-394.756743130829</v>
      </c>
      <c r="G38" s="56" t="n">
        <v>56</v>
      </c>
      <c r="H38" s="58" t="n">
        <v>0</v>
      </c>
      <c r="I38" s="56" t="n">
        <f aca="false">G38+H38</f>
        <v>56</v>
      </c>
      <c r="J38" s="81" t="n">
        <f aca="false">IF(L38&gt;0,L38,0)</f>
        <v>25.2432568691707</v>
      </c>
      <c r="K38" s="56" t="n">
        <f aca="false">I38+J38</f>
        <v>81.2432568691707</v>
      </c>
      <c r="L38" s="56" t="n">
        <f aca="false">F38-(I38-W38)</f>
        <v>25.2432568691707</v>
      </c>
      <c r="M38" s="56" t="n">
        <v>192</v>
      </c>
      <c r="N38" s="56" t="n">
        <f aca="false">(21+21)*1.05</f>
        <v>44.1</v>
      </c>
      <c r="O38" s="56" t="n">
        <f aca="false">M38-N38</f>
        <v>147.9</v>
      </c>
      <c r="P38" s="56" t="n">
        <v>122</v>
      </c>
      <c r="Q38" s="56" t="n">
        <v>51</v>
      </c>
      <c r="R38" s="56" t="n">
        <f aca="false">SUM(O38:Q38)</f>
        <v>320.9</v>
      </c>
      <c r="S38" s="57" t="n">
        <f aca="false">(I38-R38)+S37</f>
        <v>-5929.92019334509</v>
      </c>
      <c r="T38" s="56" t="n">
        <v>42</v>
      </c>
      <c r="U38" s="56" t="n">
        <v>69</v>
      </c>
      <c r="V38" s="57" t="n">
        <f aca="false">V37-U38</f>
        <v>8211</v>
      </c>
      <c r="W38" s="56" t="n">
        <f aca="false">R38+T38+N38+U38</f>
        <v>476</v>
      </c>
      <c r="X38" s="56" t="n">
        <f aca="false">IF(L38&lt;0,L38*-1,0)</f>
        <v>0</v>
      </c>
      <c r="Y38" s="56" t="n">
        <f aca="false">W38+X38</f>
        <v>476</v>
      </c>
      <c r="Z38" s="60" t="n">
        <v>0.12</v>
      </c>
      <c r="AA38" s="61" t="n">
        <v>83</v>
      </c>
      <c r="AB38" s="61" t="n">
        <v>51</v>
      </c>
      <c r="AC38" s="62" t="n">
        <v>29</v>
      </c>
      <c r="AD38" s="79"/>
      <c r="AE38" s="82"/>
      <c r="AF38" s="82"/>
    </row>
    <row r="39" customFormat="false" ht="11.1" hidden="false" customHeight="true" outlineLevel="0" collapsed="false">
      <c r="A39" s="62" t="n">
        <v>30</v>
      </c>
      <c r="B39" s="80" t="n">
        <v>6895.5</v>
      </c>
      <c r="C39" s="57" t="n">
        <v>267275</v>
      </c>
      <c r="D39" s="61" t="n">
        <f aca="false">C39-C38</f>
        <v>-712</v>
      </c>
      <c r="E39" s="57" t="n">
        <f aca="false">C39-151978</f>
        <v>115297</v>
      </c>
      <c r="F39" s="56" t="n">
        <f aca="false">D39/$D$2</f>
        <v>-358.961431812453</v>
      </c>
      <c r="G39" s="56" t="n">
        <v>64</v>
      </c>
      <c r="H39" s="58" t="n">
        <v>0</v>
      </c>
      <c r="I39" s="56" t="n">
        <f aca="false">G39+H39</f>
        <v>64</v>
      </c>
      <c r="J39" s="81" t="n">
        <f aca="false">IF(L39&gt;0,L39,0)</f>
        <v>25.0385681875473</v>
      </c>
      <c r="K39" s="56" t="n">
        <f aca="false">I39+J39</f>
        <v>89.0385681875473</v>
      </c>
      <c r="L39" s="56" t="n">
        <f aca="false">F39-(I39-W39)</f>
        <v>25.0385681875473</v>
      </c>
      <c r="M39" s="56" t="n">
        <v>170</v>
      </c>
      <c r="N39" s="56" t="n">
        <f aca="false">(21+21)*1.05</f>
        <v>44.1</v>
      </c>
      <c r="O39" s="56" t="n">
        <f aca="false">M39-N39</f>
        <v>125.9</v>
      </c>
      <c r="P39" s="56" t="n">
        <v>122</v>
      </c>
      <c r="Q39" s="56" t="n">
        <v>49</v>
      </c>
      <c r="R39" s="56" t="n">
        <f aca="false">SUM(O39:Q39)</f>
        <v>296.9</v>
      </c>
      <c r="S39" s="57" t="n">
        <f aca="false">(I39-R39)+S38</f>
        <v>-6162.82019334509</v>
      </c>
      <c r="T39" s="56" t="n">
        <v>38</v>
      </c>
      <c r="U39" s="56" t="n">
        <v>69</v>
      </c>
      <c r="V39" s="57" t="n">
        <f aca="false">V38-U39</f>
        <v>8142</v>
      </c>
      <c r="W39" s="56" t="n">
        <f aca="false">R39+T39+N39+U39</f>
        <v>448</v>
      </c>
      <c r="X39" s="56" t="n">
        <f aca="false">IF(L39&lt;0,L39*-1,0)</f>
        <v>0</v>
      </c>
      <c r="Y39" s="56" t="n">
        <f aca="false">W39+X39</f>
        <v>448</v>
      </c>
      <c r="Z39" s="60" t="n">
        <v>0.02</v>
      </c>
      <c r="AA39" s="131" t="n">
        <v>77</v>
      </c>
      <c r="AB39" s="61" t="n">
        <v>49</v>
      </c>
      <c r="AC39" s="62" t="n">
        <v>30</v>
      </c>
      <c r="AD39" s="79"/>
      <c r="AE39" s="82"/>
      <c r="AF39" s="82"/>
    </row>
    <row r="40" customFormat="false" ht="3" hidden="false" customHeight="true" outlineLevel="0" collapsed="false">
      <c r="A40" s="83"/>
      <c r="B40" s="83"/>
      <c r="C40" s="85"/>
      <c r="D40" s="83"/>
      <c r="E40" s="85"/>
      <c r="F40" s="83"/>
      <c r="G40" s="83"/>
      <c r="H40" s="86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5"/>
      <c r="T40" s="83"/>
      <c r="U40" s="83"/>
      <c r="V40" s="83"/>
      <c r="W40" s="83"/>
      <c r="X40" s="83"/>
      <c r="Y40" s="83"/>
      <c r="Z40" s="87"/>
      <c r="AA40" s="88"/>
      <c r="AB40" s="88"/>
      <c r="AC40" s="89"/>
      <c r="AD40" s="78"/>
      <c r="AE40" s="78"/>
      <c r="AF40" s="79"/>
    </row>
    <row r="41" customFormat="false" ht="11.1" hidden="false" customHeight="true" outlineLevel="0" collapsed="false">
      <c r="A41" s="56" t="s">
        <v>45</v>
      </c>
      <c r="B41" s="56"/>
      <c r="C41" s="57"/>
      <c r="D41" s="57"/>
      <c r="E41" s="57"/>
      <c r="F41" s="57" t="n">
        <f aca="false">SUM(F10:F39)</f>
        <v>-14879.2538442148</v>
      </c>
      <c r="G41" s="57" t="n">
        <f aca="false">SUM(G10:G39)</f>
        <v>3482</v>
      </c>
      <c r="H41" s="57" t="n">
        <f aca="false">SUM(H10:H39)</f>
        <v>0.13</v>
      </c>
      <c r="I41" s="57" t="n">
        <f aca="false">SUM(I10:I39)</f>
        <v>3482.13</v>
      </c>
      <c r="J41" s="57" t="n">
        <f aca="false">SUM(J10:J39)</f>
        <v>131.592384673557</v>
      </c>
      <c r="K41" s="57" t="n">
        <f aca="false">SUM(K10:K39)</f>
        <v>3613.72238467356</v>
      </c>
      <c r="L41" s="57" t="n">
        <f aca="false">SUM(L10:L39)</f>
        <v>-734.383844214771</v>
      </c>
      <c r="M41" s="57" t="n">
        <f aca="false">SUM(M10:M39)</f>
        <v>6500</v>
      </c>
      <c r="N41" s="57" t="n">
        <f aca="false">SUM(N10:N39)</f>
        <v>1365.525</v>
      </c>
      <c r="O41" s="57" t="n">
        <f aca="false">SUM(O10:O39)</f>
        <v>5134.475</v>
      </c>
      <c r="P41" s="57" t="n">
        <f aca="false">SUM(P10:P39)</f>
        <v>3674</v>
      </c>
      <c r="Q41" s="57" t="n">
        <f aca="false">SUM(Q10:Q39)</f>
        <v>1925</v>
      </c>
      <c r="R41" s="57" t="n">
        <f aca="false">SUM(R10:R39)</f>
        <v>10733.475</v>
      </c>
      <c r="S41" s="57"/>
      <c r="T41" s="57" t="n">
        <f aca="false">SUM(T10:T39)</f>
        <v>3108</v>
      </c>
      <c r="U41" s="57" t="n">
        <f aca="false">SUM(U10:U39)</f>
        <v>2420</v>
      </c>
      <c r="V41" s="57"/>
      <c r="W41" s="57" t="n">
        <f aca="false">SUM(W10:W39)</f>
        <v>17627</v>
      </c>
      <c r="X41" s="57" t="n">
        <f aca="false">SUM(X10:X39)</f>
        <v>865.976228888328</v>
      </c>
      <c r="Y41" s="57" t="n">
        <f aca="false">SUM(Y10:Y39)</f>
        <v>18492.9762288883</v>
      </c>
      <c r="Z41" s="60" t="n">
        <f aca="false">SUM(Z10:Z39)</f>
        <v>0.98</v>
      </c>
      <c r="AA41" s="61" t="n">
        <f aca="false">AVERAGE(AA10:AA39)</f>
        <v>81.7666666666667</v>
      </c>
      <c r="AB41" s="61" t="n">
        <f aca="false">AVERAGE(AB10:AB39)</f>
        <v>50.7666666666667</v>
      </c>
      <c r="AC41" s="62"/>
      <c r="AD41" s="78"/>
      <c r="AE41" s="78"/>
      <c r="AF41" s="79"/>
    </row>
    <row r="42" customFormat="false" ht="11.1" hidden="false" customHeight="true" outlineLevel="0" collapsed="false">
      <c r="A42" s="56" t="s">
        <v>46</v>
      </c>
      <c r="B42" s="56"/>
      <c r="C42" s="57"/>
      <c r="D42" s="57" t="n">
        <f aca="false">SUM(D10:D10)</f>
        <v>-1290</v>
      </c>
      <c r="E42" s="57"/>
      <c r="F42" s="57" t="n">
        <f aca="false">F41*$D$2</f>
        <v>-29513</v>
      </c>
      <c r="G42" s="57" t="n">
        <f aca="false">G41*$D$2</f>
        <v>6906.547</v>
      </c>
      <c r="H42" s="57" t="n">
        <f aca="false">H41*$D$2</f>
        <v>0.257855</v>
      </c>
      <c r="I42" s="57" t="n">
        <f aca="false">I41*$D$2</f>
        <v>6906.804855</v>
      </c>
      <c r="J42" s="57" t="n">
        <f aca="false">J41*$D$2</f>
        <v>261.013495</v>
      </c>
      <c r="K42" s="57" t="n">
        <f aca="false">K41*$D$2</f>
        <v>7167.81835</v>
      </c>
      <c r="L42" s="57" t="n">
        <f aca="false">L41*$D$2</f>
        <v>-1456.650355</v>
      </c>
      <c r="M42" s="57" t="n">
        <f aca="false">M41*$D$2</f>
        <v>12892.75</v>
      </c>
      <c r="N42" s="57" t="n">
        <f aca="false">N41*$D$2</f>
        <v>2708.5188375</v>
      </c>
      <c r="O42" s="57" t="n">
        <f aca="false">O41*$D$2</f>
        <v>10184.2311625</v>
      </c>
      <c r="P42" s="57" t="n">
        <f aca="false">P41*$D$2</f>
        <v>7287.379</v>
      </c>
      <c r="Q42" s="57" t="n">
        <f aca="false">Q41*$D$2</f>
        <v>3818.2375</v>
      </c>
      <c r="R42" s="57" t="n">
        <f aca="false">R41*$D$2</f>
        <v>21289.8476625</v>
      </c>
      <c r="S42" s="57"/>
      <c r="T42" s="57" t="n">
        <f aca="false">T41*$D$2</f>
        <v>6164.718</v>
      </c>
      <c r="U42" s="57" t="n">
        <f aca="false">U41*$D$2</f>
        <v>4800.07</v>
      </c>
      <c r="V42" s="57"/>
      <c r="W42" s="57" t="n">
        <f aca="false">W41*$D$2</f>
        <v>34963.1545</v>
      </c>
      <c r="X42" s="57" t="n">
        <f aca="false">X41*$D$2</f>
        <v>1717.66385</v>
      </c>
      <c r="Y42" s="57" t="n">
        <f aca="false">Y41*$D$2</f>
        <v>36680.81835</v>
      </c>
      <c r="Z42" s="60"/>
      <c r="AA42" s="61" t="n">
        <f aca="false">MAX(AA10:AA39)</f>
        <v>90</v>
      </c>
      <c r="AB42" s="61" t="n">
        <f aca="false">MAX(AB10:AB39)</f>
        <v>62</v>
      </c>
      <c r="AC42" s="62" t="s">
        <v>47</v>
      </c>
      <c r="AD42" s="78"/>
      <c r="AE42" s="78"/>
      <c r="AF42" s="79"/>
    </row>
    <row r="43" customFormat="false" ht="3" hidden="false" customHeight="true" outlineLevel="0" collapsed="false">
      <c r="A43" s="83"/>
      <c r="B43" s="83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3"/>
      <c r="W43" s="85"/>
      <c r="X43" s="85"/>
      <c r="Y43" s="85"/>
      <c r="Z43" s="60"/>
      <c r="AA43" s="61"/>
      <c r="AB43" s="61"/>
      <c r="AC43" s="62"/>
      <c r="AD43" s="78"/>
      <c r="AE43" s="78"/>
      <c r="AF43" s="79"/>
    </row>
    <row r="44" customFormat="false" ht="11.1" hidden="false" customHeight="true" outlineLevel="0" collapsed="false">
      <c r="A44" s="56" t="s">
        <v>48</v>
      </c>
      <c r="B44" s="56"/>
      <c r="C44" s="57"/>
      <c r="D44" s="57"/>
      <c r="E44" s="57"/>
      <c r="F44" s="57" t="n">
        <f aca="false">F7+F41</f>
        <v>-46791.0259642047</v>
      </c>
      <c r="G44" s="57" t="n">
        <f aca="false">G7+G41</f>
        <v>139362.03</v>
      </c>
      <c r="H44" s="57" t="n">
        <f aca="false">H7+H41</f>
        <v>8212.25</v>
      </c>
      <c r="I44" s="57" t="n">
        <f aca="false">I7+I41</f>
        <v>147574.28</v>
      </c>
      <c r="J44" s="57" t="n">
        <f aca="false">J7+J41</f>
        <v>23729.2693773633</v>
      </c>
      <c r="K44" s="57" t="n">
        <f aca="false">K7+K41</f>
        <v>171303.549377363</v>
      </c>
      <c r="L44" s="57" t="n">
        <f aca="false">L7+L41</f>
        <v>18542.6940357953</v>
      </c>
      <c r="M44" s="57" t="n">
        <f aca="false">M7+M41</f>
        <v>41799.6</v>
      </c>
      <c r="N44" s="57" t="n">
        <f aca="false">N7+N41</f>
        <v>8995.749</v>
      </c>
      <c r="O44" s="57" t="n">
        <f aca="false">O7+O41</f>
        <v>32803.851</v>
      </c>
      <c r="P44" s="57" t="n">
        <f aca="false">P7+P41</f>
        <v>22021</v>
      </c>
      <c r="Q44" s="57" t="n">
        <f aca="false">Q7+Q41</f>
        <v>10815</v>
      </c>
      <c r="R44" s="57" t="n">
        <f aca="false">R7+R41</f>
        <v>65639.851</v>
      </c>
      <c r="S44" s="57" t="n">
        <f aca="false">S38</f>
        <v>-5929.92019334509</v>
      </c>
      <c r="T44" s="57" t="n">
        <f aca="false">T7+T41</f>
        <v>23763.4</v>
      </c>
      <c r="U44" s="57" t="n">
        <f aca="false">U7+U41</f>
        <v>114509</v>
      </c>
      <c r="V44" s="57"/>
      <c r="W44" s="57" t="n">
        <f aca="false">W7+W41</f>
        <v>212908</v>
      </c>
      <c r="X44" s="57" t="n">
        <f aca="false">X7+X41</f>
        <v>5186.57534156793</v>
      </c>
      <c r="Y44" s="57" t="n">
        <f aca="false">Y7+Y41</f>
        <v>218094.575341568</v>
      </c>
      <c r="Z44" s="60"/>
      <c r="AA44" s="61" t="n">
        <f aca="false">MIN(AA10:AA39)</f>
        <v>74</v>
      </c>
      <c r="AB44" s="61" t="n">
        <f aca="false">MIN(AB10:AB39)</f>
        <v>40</v>
      </c>
      <c r="AC44" s="62" t="s">
        <v>49</v>
      </c>
      <c r="AD44" s="78"/>
      <c r="AE44" s="78"/>
      <c r="AF44" s="79"/>
    </row>
    <row r="45" customFormat="false" ht="11.1" hidden="false" customHeight="true" outlineLevel="0" collapsed="false">
      <c r="A45" s="56" t="s">
        <v>50</v>
      </c>
      <c r="B45" s="56"/>
      <c r="C45" s="57"/>
      <c r="D45" s="57"/>
      <c r="E45" s="57"/>
      <c r="F45" s="57" t="n">
        <f aca="false">F44*$D$2</f>
        <v>-92810</v>
      </c>
      <c r="G45" s="57" t="n">
        <f aca="false">G44*$D$2</f>
        <v>276424.586505</v>
      </c>
      <c r="H45" s="57" t="n">
        <f aca="false">H44*$D$2</f>
        <v>16288.997875</v>
      </c>
      <c r="I45" s="57" t="n">
        <f aca="false">I44*$D$2</f>
        <v>292713.58438</v>
      </c>
      <c r="J45" s="57" t="n">
        <f aca="false">J44*$D$2</f>
        <v>47067.00581</v>
      </c>
      <c r="K45" s="57" t="n">
        <f aca="false">K44*$D$2</f>
        <v>339780.59019</v>
      </c>
      <c r="L45" s="57" t="n">
        <f aca="false">L44*$D$2</f>
        <v>36779.43362</v>
      </c>
      <c r="M45" s="57" t="n">
        <f aca="false">M44*$D$2</f>
        <v>82909.5066</v>
      </c>
      <c r="N45" s="57" t="n">
        <f aca="false">N44*$D$2</f>
        <v>17843.0681415</v>
      </c>
      <c r="O45" s="57" t="n">
        <f aca="false">O44*$D$2</f>
        <v>65066.4384585</v>
      </c>
      <c r="P45" s="57" t="n">
        <f aca="false">P44*$D$2</f>
        <v>43678.6535</v>
      </c>
      <c r="Q45" s="57" t="n">
        <f aca="false">Q44*$D$2</f>
        <v>21451.5525</v>
      </c>
      <c r="R45" s="57" t="n">
        <f aca="false">R44*$D$2</f>
        <v>130196.6444585</v>
      </c>
      <c r="S45" s="57" t="n">
        <f aca="false">S44*$D$2</f>
        <v>-11761.9967035</v>
      </c>
      <c r="T45" s="57" t="n">
        <f aca="false">T44*$D$2</f>
        <v>47134.7039</v>
      </c>
      <c r="U45" s="57" t="n">
        <f aca="false">U44*$D$2</f>
        <v>227128.6015</v>
      </c>
      <c r="V45" s="57"/>
      <c r="W45" s="57" t="n">
        <f aca="false">W44*$D$2</f>
        <v>422303.018</v>
      </c>
      <c r="X45" s="57" t="n">
        <f aca="false">X44*$D$2</f>
        <v>10287.57219</v>
      </c>
      <c r="Y45" s="57" t="n">
        <f aca="false">Y44*$D$2</f>
        <v>432590.59019</v>
      </c>
      <c r="Z45" s="60"/>
      <c r="AA45" s="61"/>
      <c r="AB45" s="61"/>
      <c r="AC45" s="62"/>
      <c r="AD45" s="78"/>
      <c r="AE45" s="78"/>
      <c r="AF45" s="79"/>
    </row>
    <row r="46" customFormat="false" ht="3" hidden="false" customHeight="true" outlineLevel="0" collapsed="false">
      <c r="A46" s="83"/>
      <c r="B46" s="83"/>
      <c r="C46" s="85"/>
      <c r="D46" s="85"/>
      <c r="E46" s="85"/>
      <c r="F46" s="85"/>
      <c r="G46" s="85"/>
      <c r="H46" s="88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7"/>
      <c r="AA46" s="61"/>
      <c r="AB46" s="61"/>
      <c r="AC46" s="62"/>
      <c r="AD46" s="78"/>
      <c r="AE46" s="78"/>
      <c r="AF46" s="79"/>
    </row>
    <row r="47" customFormat="false" ht="11.1" hidden="false" customHeight="true" outlineLevel="0" collapsed="false">
      <c r="A47" s="56" t="s">
        <v>51</v>
      </c>
      <c r="B47" s="56"/>
      <c r="C47" s="57"/>
      <c r="D47" s="57"/>
      <c r="E47" s="57"/>
      <c r="F47" s="57" t="n">
        <f aca="false">F8+F41</f>
        <v>-33372.3216536425</v>
      </c>
      <c r="G47" s="57" t="n">
        <f aca="false">G8+G41</f>
        <v>156035.03</v>
      </c>
      <c r="H47" s="61" t="n">
        <f aca="false">H8+H41</f>
        <v>10016.55</v>
      </c>
      <c r="I47" s="57" t="n">
        <f aca="false">I8+I41</f>
        <v>166044.68</v>
      </c>
      <c r="J47" s="57" t="n">
        <f aca="false">J8+J41</f>
        <v>28976.7953970255</v>
      </c>
      <c r="K47" s="57" t="n">
        <f aca="false">K8+K41</f>
        <v>195013.075397025</v>
      </c>
      <c r="L47" s="57" t="n">
        <f aca="false">L8+L41</f>
        <v>22758.1183463574</v>
      </c>
      <c r="M47" s="57" t="n">
        <f aca="false">M8+M41</f>
        <v>43329.56</v>
      </c>
      <c r="N47" s="57" t="n">
        <f aca="false">N8+N41</f>
        <v>9055.494</v>
      </c>
      <c r="O47" s="57" t="n">
        <f aca="false">O8+O41</f>
        <v>33624.826</v>
      </c>
      <c r="P47" s="57" t="n">
        <f aca="false">P8+P41</f>
        <v>22810</v>
      </c>
      <c r="Q47" s="57" t="n">
        <f aca="false">Q8+Q41</f>
        <v>10961.2</v>
      </c>
      <c r="R47" s="57" t="n">
        <f aca="false">R8+R41</f>
        <v>67788.016</v>
      </c>
      <c r="S47" s="57"/>
      <c r="T47" s="57" t="n">
        <f aca="false">T8+T41</f>
        <v>23763.4</v>
      </c>
      <c r="U47" s="57" t="n">
        <f aca="false">U8+U41</f>
        <v>121310.96</v>
      </c>
      <c r="V47" s="57" t="n">
        <f aca="false">V39</f>
        <v>8142</v>
      </c>
      <c r="W47" s="57" t="n">
        <f aca="false">W8+W41</f>
        <v>222175.12</v>
      </c>
      <c r="X47" s="57" t="n">
        <f aca="false">X8+X41</f>
        <v>6218.67705066801</v>
      </c>
      <c r="Y47" s="57" t="n">
        <f aca="false">Y8+Y41</f>
        <v>228393.797050668</v>
      </c>
      <c r="Z47" s="81" t="n">
        <f aca="false">Z8+Z41</f>
        <v>13.41</v>
      </c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52</v>
      </c>
      <c r="B48" s="56"/>
      <c r="C48" s="57"/>
      <c r="D48" s="57" t="n">
        <f aca="false">D8+D42</f>
        <v>-37971</v>
      </c>
      <c r="E48" s="57" t="n">
        <f aca="false">E39</f>
        <v>115297</v>
      </c>
      <c r="F48" s="57" t="n">
        <f aca="false">F47*$D$2</f>
        <v>-66194</v>
      </c>
      <c r="G48" s="57" t="n">
        <f aca="false">G47*$D$2</f>
        <v>309495.482005</v>
      </c>
      <c r="H48" s="61" t="n">
        <f aca="false">H47*$D$2</f>
        <v>19867.826925</v>
      </c>
      <c r="I48" s="57" t="n">
        <f aca="false">I47*$D$2</f>
        <v>329349.62278</v>
      </c>
      <c r="J48" s="57" t="n">
        <f aca="false">J47*$D$2</f>
        <v>57475.47367</v>
      </c>
      <c r="K48" s="57" t="n">
        <f aca="false">K47*$D$2</f>
        <v>386808.43505</v>
      </c>
      <c r="L48" s="57" t="n">
        <f aca="false">L47*$D$2</f>
        <v>45140.72774</v>
      </c>
      <c r="M48" s="57" t="n">
        <f aca="false">M47*$D$2</f>
        <v>85944.18226</v>
      </c>
      <c r="N48" s="57" t="n">
        <f aca="false">N47*$D$2</f>
        <v>17961.572349</v>
      </c>
      <c r="O48" s="57" t="n">
        <f aca="false">O47*$D$2</f>
        <v>66694.842371</v>
      </c>
      <c r="P48" s="57" t="n">
        <f aca="false">P47*$D$2</f>
        <v>45243.635</v>
      </c>
      <c r="Q48" s="57" t="n">
        <f aca="false">Q47*$D$2</f>
        <v>21741.5402</v>
      </c>
      <c r="R48" s="57" t="n">
        <f aca="false">R47*$D$2</f>
        <v>134457.529736</v>
      </c>
      <c r="S48" s="57" t="n">
        <f aca="false">S47*$D$2</f>
        <v>0</v>
      </c>
      <c r="T48" s="57" t="n">
        <f aca="false">T47*$D$2</f>
        <v>47134.7039</v>
      </c>
      <c r="U48" s="57" t="n">
        <f aca="false">U47*$D$2</f>
        <v>240620.28916</v>
      </c>
      <c r="V48" s="57" t="n">
        <f aca="false">V47*$D$2</f>
        <v>16149.657</v>
      </c>
      <c r="W48" s="57" t="n">
        <f aca="false">W47*$D$2</f>
        <v>440684.35052</v>
      </c>
      <c r="X48" s="57" t="n">
        <f aca="false">X47*$D$2</f>
        <v>12334.74593</v>
      </c>
      <c r="Y48" s="57" t="n">
        <f aca="false">Y47*$D$2</f>
        <v>453019.09645</v>
      </c>
      <c r="Z48" s="60"/>
      <c r="AA48" s="61"/>
      <c r="AB48" s="61"/>
      <c r="AC48" s="62"/>
      <c r="AD48" s="78"/>
      <c r="AE48" s="78"/>
      <c r="AF48" s="79"/>
    </row>
    <row r="49" customFormat="false" ht="3" hidden="false" customHeight="true" outlineLevel="0" collapsed="false">
      <c r="A49" s="83"/>
      <c r="B49" s="83"/>
      <c r="C49" s="85"/>
      <c r="D49" s="83"/>
      <c r="E49" s="85"/>
      <c r="F49" s="83"/>
      <c r="G49" s="83"/>
      <c r="H49" s="86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5"/>
      <c r="T49" s="83"/>
      <c r="U49" s="83"/>
      <c r="V49" s="85"/>
      <c r="W49" s="83"/>
      <c r="X49" s="83"/>
      <c r="Y49" s="83"/>
      <c r="Z49" s="60"/>
      <c r="AA49" s="61"/>
      <c r="AB49" s="61"/>
      <c r="AC49" s="62"/>
      <c r="AD49" s="78"/>
      <c r="AE49" s="78"/>
      <c r="AF49" s="79"/>
    </row>
    <row r="50" customFormat="false" ht="11.1" hidden="false" customHeight="true" outlineLevel="0" collapsed="false">
      <c r="A50" s="137"/>
      <c r="B50" s="93"/>
      <c r="C50" s="57"/>
      <c r="D50" s="56"/>
      <c r="E50" s="57"/>
      <c r="F50" s="56"/>
      <c r="G50" s="144" t="n">
        <v>36052</v>
      </c>
      <c r="H50" s="58"/>
      <c r="I50" s="56"/>
      <c r="J50" s="56"/>
      <c r="K50" s="56"/>
      <c r="L50" s="56"/>
      <c r="M50" s="56"/>
      <c r="N50" s="56"/>
      <c r="O50" s="56"/>
      <c r="P50" s="56"/>
      <c r="Q50" s="56" t="s">
        <v>97</v>
      </c>
      <c r="R50" s="56"/>
      <c r="S50" s="57"/>
      <c r="T50" s="56" t="n">
        <v>55470</v>
      </c>
      <c r="U50" s="145" t="str">
        <f aca="false">"@ no restrictions"</f>
        <v>@ no restrictions</v>
      </c>
      <c r="V50" s="57"/>
      <c r="W50" s="56"/>
      <c r="X50" s="56"/>
      <c r="Y50" s="56"/>
      <c r="Z50" s="60"/>
      <c r="AA50" s="61"/>
      <c r="AB50" s="61"/>
      <c r="AC50" s="62"/>
      <c r="AD50" s="63"/>
      <c r="AE50" s="63"/>
    </row>
    <row r="51" customFormat="false" ht="11.1" hidden="false" customHeight="true" outlineLevel="0" collapsed="false">
      <c r="A51" s="56"/>
      <c r="B51" s="80"/>
      <c r="C51" s="57"/>
      <c r="D51" s="90"/>
      <c r="E51" s="57"/>
      <c r="F51" s="56"/>
      <c r="G51" s="90" t="s">
        <v>106</v>
      </c>
      <c r="I51" s="58" t="n">
        <f aca="false">AVERAGE(I23:I29)</f>
        <v>132.714285714286</v>
      </c>
      <c r="J51" s="56"/>
      <c r="K51" s="46"/>
      <c r="L51" s="56"/>
      <c r="M51" s="56"/>
      <c r="N51" s="56"/>
      <c r="O51" s="56"/>
      <c r="P51" s="56"/>
      <c r="Q51" s="56" t="s">
        <v>98</v>
      </c>
      <c r="R51" s="56"/>
      <c r="S51" s="57"/>
      <c r="T51" s="56" t="n">
        <f aca="false">T50-T48</f>
        <v>8335.2961</v>
      </c>
      <c r="U51" s="50" t="n">
        <f aca="false">T50-(T48-360)</f>
        <v>8695.2961</v>
      </c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90"/>
      <c r="B52" s="90"/>
      <c r="C52" s="57"/>
      <c r="D52" s="57"/>
      <c r="E52" s="57"/>
      <c r="F52" s="90"/>
      <c r="G52" s="58" t="s">
        <v>107</v>
      </c>
      <c r="I52" s="56" t="n">
        <f aca="false">AVERAGE(R23:R29)</f>
        <v>342.944285714286</v>
      </c>
      <c r="J52" s="90"/>
      <c r="K52" s="90"/>
      <c r="L52" s="90"/>
      <c r="M52" s="81"/>
      <c r="N52" s="81"/>
      <c r="O52" s="81"/>
      <c r="P52" s="90"/>
      <c r="Q52" s="90" t="s">
        <v>99</v>
      </c>
      <c r="R52" s="97"/>
      <c r="S52" s="57"/>
      <c r="T52" s="61" t="n">
        <f aca="false">(2400/61)*14</f>
        <v>550.819672131148</v>
      </c>
      <c r="V52" s="57"/>
      <c r="W52" s="90"/>
      <c r="X52" s="90"/>
      <c r="Y52" s="90"/>
      <c r="Z52" s="60"/>
      <c r="AA52" s="61"/>
      <c r="AB52" s="61"/>
      <c r="AC52" s="62"/>
      <c r="AD52" s="94"/>
      <c r="AE52" s="94"/>
    </row>
    <row r="53" customFormat="false" ht="11.1" hidden="false" customHeight="true" outlineLevel="0" collapsed="false">
      <c r="A53" s="90"/>
      <c r="B53" s="60"/>
      <c r="C53" s="57"/>
      <c r="D53" s="57"/>
      <c r="E53" s="57"/>
      <c r="F53" s="90"/>
      <c r="G53" s="58" t="s">
        <v>108</v>
      </c>
      <c r="I53" s="56" t="n">
        <f aca="false">I52-151</f>
        <v>191.944285714286</v>
      </c>
      <c r="J53" s="90"/>
      <c r="K53" s="90"/>
      <c r="L53" s="90"/>
      <c r="M53" s="81"/>
      <c r="N53" s="81"/>
      <c r="O53" s="81"/>
      <c r="P53" s="90"/>
      <c r="Q53" s="90" t="s">
        <v>100</v>
      </c>
      <c r="R53" s="90"/>
      <c r="S53" s="57"/>
      <c r="T53" s="57" t="n">
        <f aca="false">T51-T52</f>
        <v>7784.47642786885</v>
      </c>
      <c r="U53" s="50" t="n">
        <f aca="false">U51</f>
        <v>8695.2961</v>
      </c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90"/>
      <c r="C54" s="57"/>
      <c r="D54" s="90"/>
      <c r="E54" s="57"/>
      <c r="F54" s="90"/>
      <c r="G54" s="58" t="str">
        <f aca="false">"% Pr Wtr"</f>
        <v>% Pr Wtr</v>
      </c>
      <c r="I54" s="46" t="n">
        <f aca="false">I53/I52</f>
        <v>0.559695244125451</v>
      </c>
      <c r="J54" s="90"/>
      <c r="K54" s="90"/>
      <c r="L54" s="90"/>
      <c r="M54" s="81"/>
      <c r="N54" s="81"/>
      <c r="O54" s="81"/>
      <c r="P54" s="90"/>
      <c r="Q54" s="90" t="s">
        <v>101</v>
      </c>
      <c r="R54" s="90"/>
      <c r="S54" s="0"/>
      <c r="T54" s="57" t="n">
        <f aca="false">T53/D2</f>
        <v>3924.61629839619</v>
      </c>
      <c r="U54" s="52" t="n">
        <f aca="false">U53/D2</f>
        <v>4383.81451978825</v>
      </c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Q55" s="140" t="s">
        <v>102</v>
      </c>
      <c r="S55" s="57" t="n">
        <v>50</v>
      </c>
      <c r="T55" s="56" t="n">
        <f aca="false">T54/S55</f>
        <v>78.4923259679239</v>
      </c>
      <c r="U55" s="52" t="n">
        <f aca="false">U54/S55</f>
        <v>87.6762903957651</v>
      </c>
    </row>
    <row r="56" customFormat="false" ht="11.1" hidden="false" customHeight="true" outlineLevel="0" collapsed="false">
      <c r="Q56" s="140" t="s">
        <v>102</v>
      </c>
      <c r="S56" s="57" t="n">
        <v>40</v>
      </c>
      <c r="T56" s="56" t="n">
        <f aca="false">T54/S56</f>
        <v>98.1154074599049</v>
      </c>
      <c r="U56" s="52" t="n">
        <f aca="false">U54/S56</f>
        <v>109.595362994706</v>
      </c>
    </row>
    <row r="57" customFormat="false" ht="11.1" hidden="false" customHeight="true" outlineLevel="0" collapsed="false">
      <c r="Q57" s="140"/>
    </row>
    <row r="58" customFormat="false" ht="11.1" hidden="false" customHeight="true" outlineLevel="0" collapsed="false">
      <c r="Q58" s="140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pane xSplit="1" ySplit="6" topLeftCell="K10" activePane="bottomRight" state="frozen"/>
      <selection pane="topLeft" activeCell="A4" activeCellId="0" sqref="A4"/>
      <selection pane="topRight" activeCell="K4" activeCellId="0" sqref="K4"/>
      <selection pane="bottomLeft" activeCell="A10" activeCellId="0" sqref="A10"/>
      <selection pane="bottomRight" activeCell="R10" activeCellId="0" sqref="R10"/>
    </sheetView>
  </sheetViews>
  <sheetFormatPr defaultColWidth="9.328125" defaultRowHeight="11.1" zeroHeight="false" outlineLevelRow="0" outlineLevelCol="0"/>
  <cols>
    <col collapsed="false" customWidth="true" hidden="false" outlineLevel="0" max="1" min="1" style="49" width="5.66"/>
    <col collapsed="false" customWidth="false" hidden="false" outlineLevel="0" max="2" min="2" style="49" width="9.32"/>
    <col collapsed="false" customWidth="true" hidden="false" outlineLevel="0" max="3" min="3" style="50" width="7.66"/>
    <col collapsed="false" customWidth="true" hidden="false" outlineLevel="0" max="4" min="4" style="49" width="7.66"/>
    <col collapsed="false" customWidth="true" hidden="false" outlineLevel="0" max="5" min="5" style="50" width="7.66"/>
    <col collapsed="false" customWidth="true" hidden="false" outlineLevel="0" max="7" min="6" style="49" width="7.66"/>
    <col collapsed="false" customWidth="true" hidden="false" outlineLevel="0" max="8" min="8" style="51" width="7.16"/>
    <col collapsed="false" customWidth="true" hidden="false" outlineLevel="0" max="9" min="9" style="49" width="8.82"/>
    <col collapsed="false" customWidth="true" hidden="false" outlineLevel="0" max="12" min="10" style="49" width="7.66"/>
    <col collapsed="false" customWidth="true" hidden="false" outlineLevel="0" max="15" min="13" style="52" width="7.49"/>
    <col collapsed="false" customWidth="true" hidden="false" outlineLevel="0" max="16" min="16" style="49" width="7.66"/>
    <col collapsed="false" customWidth="true" hidden="false" outlineLevel="0" max="17" min="17" style="49" width="7.16"/>
    <col collapsed="false" customWidth="true" hidden="false" outlineLevel="0" max="18" min="18" style="49" width="7.66"/>
    <col collapsed="false" customWidth="true" hidden="false" outlineLevel="0" max="19" min="19" style="50" width="7.66"/>
    <col collapsed="false" customWidth="true" hidden="false" outlineLevel="0" max="20" min="20" style="49" width="7.66"/>
    <col collapsed="false" customWidth="true" hidden="false" outlineLevel="0" max="21" min="21" style="49" width="7.49"/>
    <col collapsed="false" customWidth="true" hidden="false" outlineLevel="0" max="22" min="22" style="50" width="6.32"/>
    <col collapsed="false" customWidth="true" hidden="false" outlineLevel="0" max="25" min="23" style="49" width="7.82"/>
    <col collapsed="false" customWidth="true" hidden="false" outlineLevel="0" max="26" min="26" style="53" width="5.66"/>
    <col collapsed="false" customWidth="true" hidden="false" outlineLevel="0" max="28" min="27" style="54" width="5.66"/>
    <col collapsed="false" customWidth="true" hidden="false" outlineLevel="0" max="29" min="29" style="55" width="5.66"/>
    <col collapsed="false" customWidth="false" hidden="false" outlineLevel="0" max="257" min="30" style="49" width="9.32"/>
  </cols>
  <sheetData>
    <row r="1" customFormat="false" ht="14.1" hidden="false" customHeight="true" outlineLevel="0" collapsed="false">
      <c r="A1" s="56"/>
      <c r="B1" s="56"/>
      <c r="C1" s="57"/>
      <c r="D1" s="56"/>
      <c r="E1" s="57"/>
      <c r="F1" s="56"/>
      <c r="G1" s="56"/>
      <c r="H1" s="58"/>
      <c r="I1" s="56"/>
      <c r="J1" s="56"/>
      <c r="K1" s="59" t="s">
        <v>0</v>
      </c>
      <c r="L1" s="56"/>
      <c r="M1" s="56"/>
      <c r="N1" s="56"/>
      <c r="O1" s="56"/>
      <c r="P1" s="56"/>
      <c r="Q1" s="56"/>
      <c r="R1" s="56"/>
      <c r="S1" s="57"/>
      <c r="T1" s="56"/>
      <c r="U1" s="56"/>
      <c r="V1" s="57"/>
      <c r="W1" s="56"/>
      <c r="X1" s="56"/>
      <c r="Y1" s="56"/>
      <c r="Z1" s="60"/>
      <c r="AA1" s="61"/>
      <c r="AB1" s="61"/>
      <c r="AC1" s="62"/>
      <c r="AD1" s="63"/>
      <c r="AE1" s="63"/>
    </row>
    <row r="2" customFormat="false" ht="14.1" hidden="false" customHeight="true" outlineLevel="0" collapsed="false">
      <c r="A2" s="56" t="s">
        <v>1</v>
      </c>
      <c r="B2" s="56"/>
      <c r="C2" s="57"/>
      <c r="D2" s="64" t="n">
        <v>1.9835</v>
      </c>
      <c r="E2" s="57"/>
      <c r="F2" s="56"/>
      <c r="G2" s="56"/>
      <c r="H2" s="58"/>
      <c r="I2" s="56"/>
      <c r="J2" s="56"/>
      <c r="K2" s="65" t="s">
        <v>109</v>
      </c>
      <c r="L2" s="65"/>
      <c r="M2" s="65"/>
      <c r="N2" s="65"/>
      <c r="O2" s="65"/>
      <c r="P2" s="65"/>
      <c r="Q2" s="65"/>
      <c r="R2" s="65"/>
      <c r="S2" s="65"/>
      <c r="T2" s="65"/>
      <c r="U2" s="56"/>
      <c r="V2" s="57"/>
      <c r="W2" s="56"/>
      <c r="X2" s="56"/>
      <c r="Y2" s="56"/>
      <c r="Z2" s="60"/>
      <c r="AA2" s="61"/>
      <c r="AB2" s="61"/>
      <c r="AC2" s="62"/>
      <c r="AD2" s="63"/>
      <c r="AE2" s="63"/>
    </row>
    <row r="3" customFormat="false" ht="11.1" hidden="false" customHeight="true" outlineLevel="0" collapsed="false">
      <c r="A3" s="56"/>
      <c r="B3" s="56"/>
      <c r="C3" s="57"/>
      <c r="D3" s="66"/>
      <c r="E3" s="57"/>
      <c r="F3" s="56"/>
      <c r="G3" s="56"/>
      <c r="H3" s="58"/>
      <c r="I3" s="56"/>
      <c r="J3" s="56"/>
      <c r="K3" s="56"/>
      <c r="L3" s="56"/>
      <c r="M3" s="56"/>
      <c r="N3" s="56"/>
      <c r="O3" s="56"/>
      <c r="P3" s="56"/>
      <c r="Q3" s="56"/>
      <c r="R3" s="56"/>
      <c r="S3" s="57"/>
      <c r="T3" s="56"/>
      <c r="U3" s="56"/>
      <c r="V3" s="57"/>
      <c r="W3" s="56"/>
      <c r="X3" s="56"/>
      <c r="Y3" s="56"/>
      <c r="Z3" s="60"/>
      <c r="AA3" s="61"/>
      <c r="AB3" s="61"/>
      <c r="AC3" s="62"/>
      <c r="AD3" s="63"/>
      <c r="AE3" s="63"/>
    </row>
    <row r="4" customFormat="false" ht="11.1" hidden="false" customHeight="true" outlineLevel="0" collapsed="false">
      <c r="A4" s="67" t="s">
        <v>3</v>
      </c>
      <c r="B4" s="67" t="s">
        <v>4</v>
      </c>
      <c r="C4" s="68" t="s">
        <v>4</v>
      </c>
      <c r="D4" s="67" t="s">
        <v>5</v>
      </c>
      <c r="E4" s="68" t="s">
        <v>6</v>
      </c>
      <c r="F4" s="67" t="s">
        <v>7</v>
      </c>
      <c r="G4" s="67" t="s">
        <v>8</v>
      </c>
      <c r="H4" s="69" t="s">
        <v>9</v>
      </c>
      <c r="I4" s="67" t="s">
        <v>10</v>
      </c>
      <c r="J4" s="67" t="s">
        <v>11</v>
      </c>
      <c r="K4" s="67" t="s">
        <v>12</v>
      </c>
      <c r="L4" s="67" t="s">
        <v>11</v>
      </c>
      <c r="M4" s="67" t="s">
        <v>13</v>
      </c>
      <c r="N4" s="67"/>
      <c r="O4" s="67"/>
      <c r="P4" s="67" t="s">
        <v>14</v>
      </c>
      <c r="Q4" s="67" t="s">
        <v>15</v>
      </c>
      <c r="R4" s="67" t="s">
        <v>12</v>
      </c>
      <c r="S4" s="68" t="s">
        <v>16</v>
      </c>
      <c r="T4" s="67" t="s">
        <v>17</v>
      </c>
      <c r="U4" s="67" t="s">
        <v>18</v>
      </c>
      <c r="V4" s="68" t="s">
        <v>19</v>
      </c>
      <c r="W4" s="67" t="s">
        <v>10</v>
      </c>
      <c r="X4" s="67" t="s">
        <v>11</v>
      </c>
      <c r="Y4" s="67" t="s">
        <v>12</v>
      </c>
      <c r="Z4" s="70" t="s">
        <v>20</v>
      </c>
      <c r="AA4" s="71" t="s">
        <v>21</v>
      </c>
      <c r="AB4" s="71" t="s">
        <v>22</v>
      </c>
      <c r="AC4" s="71" t="s">
        <v>3</v>
      </c>
      <c r="AD4" s="63"/>
      <c r="AE4" s="63"/>
    </row>
    <row r="5" customFormat="false" ht="11.1" hidden="false" customHeight="true" outlineLevel="0" collapsed="false">
      <c r="A5" s="72" t="s">
        <v>110</v>
      </c>
      <c r="B5" s="67" t="s">
        <v>24</v>
      </c>
      <c r="C5" s="68" t="s">
        <v>5</v>
      </c>
      <c r="D5" s="67" t="s">
        <v>25</v>
      </c>
      <c r="E5" s="68" t="s">
        <v>26</v>
      </c>
      <c r="F5" s="67" t="s">
        <v>27</v>
      </c>
      <c r="G5" s="67" t="s">
        <v>28</v>
      </c>
      <c r="H5" s="69" t="s">
        <v>29</v>
      </c>
      <c r="I5" s="67" t="s">
        <v>30</v>
      </c>
      <c r="J5" s="67" t="s">
        <v>30</v>
      </c>
      <c r="K5" s="67" t="s">
        <v>30</v>
      </c>
      <c r="L5" s="67" t="s">
        <v>31</v>
      </c>
      <c r="M5" s="67" t="s">
        <v>32</v>
      </c>
      <c r="N5" s="67" t="s">
        <v>33</v>
      </c>
      <c r="O5" s="67" t="s">
        <v>34</v>
      </c>
      <c r="P5" s="67" t="s">
        <v>35</v>
      </c>
      <c r="Q5" s="67" t="s">
        <v>36</v>
      </c>
      <c r="R5" s="67" t="s">
        <v>16</v>
      </c>
      <c r="S5" s="68" t="s">
        <v>37</v>
      </c>
      <c r="T5" s="67" t="s">
        <v>38</v>
      </c>
      <c r="U5" s="67" t="s">
        <v>39</v>
      </c>
      <c r="V5" s="68" t="s">
        <v>40</v>
      </c>
      <c r="W5" s="67" t="s">
        <v>41</v>
      </c>
      <c r="X5" s="67" t="s">
        <v>41</v>
      </c>
      <c r="Y5" s="67" t="s">
        <v>41</v>
      </c>
      <c r="Z5" s="73"/>
      <c r="AA5" s="71" t="s">
        <v>42</v>
      </c>
      <c r="AB5" s="71" t="s">
        <v>42</v>
      </c>
      <c r="AC5" s="74" t="s">
        <v>110</v>
      </c>
      <c r="AD5" s="63"/>
      <c r="AE5" s="63"/>
      <c r="AG5" s="133"/>
      <c r="AH5" s="133"/>
    </row>
    <row r="6" customFormat="false" ht="11.1" hidden="false" customHeight="true" outlineLevel="0" collapsed="false">
      <c r="A6" s="75"/>
      <c r="B6" s="75"/>
      <c r="C6" s="76"/>
      <c r="D6" s="75"/>
      <c r="E6" s="76"/>
      <c r="F6" s="75"/>
      <c r="G6" s="75"/>
      <c r="H6" s="77"/>
      <c r="I6" s="75"/>
      <c r="J6" s="75"/>
      <c r="K6" s="75"/>
      <c r="L6" s="75"/>
      <c r="M6" s="75"/>
      <c r="N6" s="75"/>
      <c r="O6" s="75"/>
      <c r="P6" s="75"/>
      <c r="Q6" s="75"/>
      <c r="R6" s="75"/>
      <c r="S6" s="76"/>
      <c r="T6" s="75"/>
      <c r="U6" s="75"/>
      <c r="V6" s="76"/>
      <c r="W6" s="75"/>
      <c r="X6" s="75"/>
      <c r="Y6" s="75"/>
      <c r="Z6" s="60"/>
      <c r="AA6" s="62"/>
      <c r="AB6" s="62"/>
      <c r="AC6" s="62"/>
      <c r="AD6" s="78"/>
      <c r="AE6" s="78"/>
      <c r="AF6" s="79"/>
      <c r="AG6" s="133"/>
      <c r="AH6" s="133"/>
    </row>
    <row r="7" customFormat="false" ht="11.1" hidden="false" customHeight="true" outlineLevel="0" collapsed="false">
      <c r="A7" s="56" t="s">
        <v>43</v>
      </c>
      <c r="B7" s="56"/>
      <c r="C7" s="57"/>
      <c r="D7" s="57"/>
      <c r="E7" s="57"/>
      <c r="F7" s="57" t="n">
        <f aca="false" t="array" ref="F7:Y7">SEP!$F$44:$Y$44</f>
        <v>-46791.0259642047</v>
      </c>
      <c r="G7" s="57" t="n">
        <v>139362.03</v>
      </c>
      <c r="H7" s="57" t="n">
        <v>8212.25</v>
      </c>
      <c r="I7" s="57" t="n">
        <v>147574.28</v>
      </c>
      <c r="J7" s="57" t="n">
        <v>23729.2693773633</v>
      </c>
      <c r="K7" s="57" t="n">
        <v>171303.549377363</v>
      </c>
      <c r="L7" s="57" t="n">
        <v>18542.6940357953</v>
      </c>
      <c r="M7" s="57" t="n">
        <v>41799.6</v>
      </c>
      <c r="N7" s="57" t="n">
        <v>8995.749</v>
      </c>
      <c r="O7" s="57" t="n">
        <v>32803.851</v>
      </c>
      <c r="P7" s="57" t="n">
        <v>22021</v>
      </c>
      <c r="Q7" s="57" t="n">
        <v>10815</v>
      </c>
      <c r="R7" s="57" t="n">
        <v>65639.851</v>
      </c>
      <c r="S7" s="57" t="n">
        <v>-5929.92019334509</v>
      </c>
      <c r="T7" s="57" t="n">
        <v>23763.4</v>
      </c>
      <c r="U7" s="57" t="n">
        <v>114509</v>
      </c>
      <c r="V7" s="57" t="n">
        <v>0</v>
      </c>
      <c r="W7" s="57" t="n">
        <v>212908</v>
      </c>
      <c r="X7" s="57" t="n">
        <v>5186.57534156793</v>
      </c>
      <c r="Y7" s="57" t="n">
        <v>218094.575341568</v>
      </c>
      <c r="Z7" s="60"/>
      <c r="AA7" s="61"/>
      <c r="AB7" s="61"/>
      <c r="AC7" s="62"/>
      <c r="AD7" s="78"/>
      <c r="AE7" s="79"/>
      <c r="AF7" s="79"/>
    </row>
    <row r="8" s="50" customFormat="true" ht="11.1" hidden="false" customHeight="true" outlineLevel="0" collapsed="false">
      <c r="A8" s="57" t="s">
        <v>44</v>
      </c>
      <c r="B8" s="80" t="n">
        <f aca="false" t="array" ref="B8:C8">SEP!$B$39:$C$39</f>
        <v>6895.5</v>
      </c>
      <c r="C8" s="57" t="n">
        <v>267275</v>
      </c>
      <c r="D8" s="57" t="n">
        <f aca="false" t="array" ref="D8:E8">SEP!$D$48:$E$48</f>
        <v>-37971</v>
      </c>
      <c r="E8" s="57" t="n">
        <v>115297</v>
      </c>
      <c r="F8" s="57" t="n">
        <f aca="false" t="array" ref="F8:Z8">SEP!$F$47:$Z$47</f>
        <v>-33372.3216536425</v>
      </c>
      <c r="G8" s="57" t="n">
        <v>156035.03</v>
      </c>
      <c r="H8" s="61" t="n">
        <v>10016.55</v>
      </c>
      <c r="I8" s="57" t="n">
        <v>166044.68</v>
      </c>
      <c r="J8" s="57" t="n">
        <v>28976.7953970255</v>
      </c>
      <c r="K8" s="57" t="n">
        <v>195013.075397025</v>
      </c>
      <c r="L8" s="57" t="n">
        <v>22758.1183463574</v>
      </c>
      <c r="M8" s="57" t="n">
        <v>43329.56</v>
      </c>
      <c r="N8" s="57" t="n">
        <v>9055.494</v>
      </c>
      <c r="O8" s="57" t="n">
        <v>33624.826</v>
      </c>
      <c r="P8" s="57" t="n">
        <v>22810</v>
      </c>
      <c r="Q8" s="57" t="n">
        <v>10961.2</v>
      </c>
      <c r="R8" s="57" t="n">
        <v>67788.016</v>
      </c>
      <c r="S8" s="57" t="n">
        <v>0</v>
      </c>
      <c r="T8" s="57" t="n">
        <v>23763.4</v>
      </c>
      <c r="U8" s="57" t="n">
        <v>121310.96</v>
      </c>
      <c r="V8" s="57" t="n">
        <v>8142</v>
      </c>
      <c r="W8" s="57" t="n">
        <v>222175.12</v>
      </c>
      <c r="X8" s="57" t="n">
        <v>6218.67705066801</v>
      </c>
      <c r="Y8" s="57" t="n">
        <v>228393.797050668</v>
      </c>
      <c r="Z8" s="81" t="n">
        <v>13.41</v>
      </c>
      <c r="AA8" s="61"/>
      <c r="AB8" s="61"/>
      <c r="AC8" s="62"/>
      <c r="AD8" s="78"/>
      <c r="AE8" s="78"/>
      <c r="AF8" s="79"/>
      <c r="AG8" s="49"/>
      <c r="AH8" s="49"/>
    </row>
    <row r="9" customFormat="false" ht="3" hidden="false" customHeight="true" outlineLevel="0" collapsed="false">
      <c r="A9" s="83"/>
      <c r="B9" s="84"/>
      <c r="C9" s="85"/>
      <c r="D9" s="83"/>
      <c r="E9" s="85"/>
      <c r="F9" s="83"/>
      <c r="G9" s="83"/>
      <c r="H9" s="86"/>
      <c r="I9" s="83"/>
      <c r="J9" s="83"/>
      <c r="K9" s="83"/>
      <c r="L9" s="83"/>
      <c r="M9" s="83"/>
      <c r="N9" s="83"/>
      <c r="O9" s="83"/>
      <c r="P9" s="83"/>
      <c r="Q9" s="83"/>
      <c r="R9" s="83"/>
      <c r="S9" s="85"/>
      <c r="T9" s="83"/>
      <c r="U9" s="83"/>
      <c r="V9" s="85"/>
      <c r="W9" s="83"/>
      <c r="X9" s="83"/>
      <c r="Y9" s="83"/>
      <c r="Z9" s="87"/>
      <c r="AA9" s="88"/>
      <c r="AB9" s="88"/>
      <c r="AC9" s="89"/>
      <c r="AD9" s="78"/>
      <c r="AE9" s="78"/>
      <c r="AF9" s="79"/>
    </row>
    <row r="10" customFormat="false" ht="11.1" hidden="false" customHeight="true" outlineLevel="0" collapsed="false">
      <c r="A10" s="62" t="n">
        <v>1</v>
      </c>
      <c r="B10" s="80" t="n">
        <v>6895.25</v>
      </c>
      <c r="C10" s="57" t="n">
        <v>266385</v>
      </c>
      <c r="D10" s="61" t="n">
        <f aca="false">C10-C8</f>
        <v>-890</v>
      </c>
      <c r="E10" s="57" t="n">
        <f aca="false">C10-152000</f>
        <v>114385</v>
      </c>
      <c r="F10" s="56" t="n">
        <f aca="false">D10/$D$2</f>
        <v>-448.701789765566</v>
      </c>
      <c r="G10" s="56" t="n">
        <v>71</v>
      </c>
      <c r="H10" s="58" t="n">
        <v>0</v>
      </c>
      <c r="I10" s="56" t="n">
        <f aca="false">G10+H10</f>
        <v>71</v>
      </c>
      <c r="J10" s="81" t="n">
        <f aca="false">IF(L10&gt;0,L10,0)</f>
        <v>0</v>
      </c>
      <c r="K10" s="56" t="n">
        <f aca="false">I10+J10</f>
        <v>71</v>
      </c>
      <c r="L10" s="56" t="n">
        <f aca="false">F10-(I10-W10)</f>
        <v>-89.7017897655659</v>
      </c>
      <c r="M10" s="56" t="n">
        <v>183</v>
      </c>
      <c r="N10" s="56" t="n">
        <f aca="false">(22+21)*1.05</f>
        <v>45.15</v>
      </c>
      <c r="O10" s="56" t="n">
        <f aca="false">M10-N10</f>
        <v>137.85</v>
      </c>
      <c r="P10" s="56" t="n">
        <v>122</v>
      </c>
      <c r="Q10" s="56" t="n">
        <v>48</v>
      </c>
      <c r="R10" s="56" t="n">
        <f aca="false">SUM(O10:Q10)</f>
        <v>307.85</v>
      </c>
      <c r="S10" s="57" t="n">
        <f aca="false">(I10-R10)+S7</f>
        <v>-6166.77019334509</v>
      </c>
      <c r="T10" s="56" t="n">
        <v>23</v>
      </c>
      <c r="U10" s="56" t="n">
        <v>54</v>
      </c>
      <c r="V10" s="57" t="n">
        <f aca="false">V8-U10</f>
        <v>8088</v>
      </c>
      <c r="W10" s="56" t="n">
        <f aca="false">R10+T10+N10+U10</f>
        <v>430</v>
      </c>
      <c r="X10" s="56" t="n">
        <f aca="false">IF(L10&lt;0,L10*-1,0)</f>
        <v>89.7017897655659</v>
      </c>
      <c r="Y10" s="56" t="n">
        <f aca="false">W10+X10</f>
        <v>519.701789765566</v>
      </c>
      <c r="Z10" s="60" t="n">
        <v>0</v>
      </c>
      <c r="AA10" s="61" t="n">
        <v>68</v>
      </c>
      <c r="AB10" s="61" t="n">
        <v>47</v>
      </c>
      <c r="AC10" s="62" t="n">
        <v>1</v>
      </c>
      <c r="AD10" s="78"/>
      <c r="AE10" s="82"/>
      <c r="AF10" s="82"/>
    </row>
    <row r="11" customFormat="false" ht="11.1" hidden="false" customHeight="true" outlineLevel="0" collapsed="false">
      <c r="A11" s="62" t="n">
        <f aca="false">A10+1</f>
        <v>2</v>
      </c>
      <c r="B11" s="80" t="n">
        <v>6895.07</v>
      </c>
      <c r="C11" s="57" t="n">
        <v>265745</v>
      </c>
      <c r="D11" s="61" t="n">
        <f aca="false">C11-C10</f>
        <v>-640</v>
      </c>
      <c r="E11" s="57" t="n">
        <f aca="false">C11-152000</f>
        <v>113745</v>
      </c>
      <c r="F11" s="56" t="n">
        <f aca="false">D11/$D$2</f>
        <v>-322.661961179733</v>
      </c>
      <c r="G11" s="56" t="n">
        <v>77</v>
      </c>
      <c r="H11" s="58" t="n">
        <v>0</v>
      </c>
      <c r="I11" s="56" t="n">
        <f aca="false">G11+H11</f>
        <v>77</v>
      </c>
      <c r="J11" s="81" t="n">
        <f aca="false">IF(L11&gt;0,L11,0)</f>
        <v>1.33803882026723</v>
      </c>
      <c r="K11" s="56" t="n">
        <f aca="false">I11+J11</f>
        <v>78.3380388202672</v>
      </c>
      <c r="L11" s="56" t="n">
        <f aca="false">F11-(I11-W11)</f>
        <v>1.33803882026723</v>
      </c>
      <c r="M11" s="56" t="n">
        <v>184</v>
      </c>
      <c r="N11" s="56" t="n">
        <f aca="false">(21+21)*1.05</f>
        <v>44.1</v>
      </c>
      <c r="O11" s="56" t="n">
        <f aca="false">M11-N11</f>
        <v>139.9</v>
      </c>
      <c r="P11" s="56" t="n">
        <v>121</v>
      </c>
      <c r="Q11" s="56" t="n">
        <v>48</v>
      </c>
      <c r="R11" s="56" t="n">
        <f aca="false">SUM(O11:Q11)</f>
        <v>308.9</v>
      </c>
      <c r="S11" s="57" t="n">
        <f aca="false">(I11-R11)+S10</f>
        <v>-6398.67019334509</v>
      </c>
      <c r="T11" s="56" t="n">
        <v>0</v>
      </c>
      <c r="U11" s="56" t="n">
        <v>48</v>
      </c>
      <c r="V11" s="57" t="n">
        <f aca="false">V10-U11</f>
        <v>8040</v>
      </c>
      <c r="W11" s="56" t="n">
        <f aca="false">R11+T11+N11+U11</f>
        <v>401</v>
      </c>
      <c r="X11" s="56" t="n">
        <f aca="false">IF(L11&lt;0,L11*-1,0)</f>
        <v>0</v>
      </c>
      <c r="Y11" s="56" t="n">
        <f aca="false">W11+X11</f>
        <v>401</v>
      </c>
      <c r="Z11" s="60" t="n">
        <v>0</v>
      </c>
      <c r="AA11" s="61" t="n">
        <v>70</v>
      </c>
      <c r="AB11" s="61" t="n">
        <v>36</v>
      </c>
      <c r="AC11" s="62" t="n">
        <f aca="false">AC10+1</f>
        <v>2</v>
      </c>
      <c r="AD11" s="78"/>
      <c r="AE11" s="82"/>
      <c r="AF11" s="82"/>
    </row>
    <row r="12" customFormat="false" ht="11.1" hidden="false" customHeight="true" outlineLevel="0" collapsed="false">
      <c r="A12" s="62" t="n">
        <f aca="false">A11+1</f>
        <v>3</v>
      </c>
      <c r="B12" s="80" t="n">
        <v>6894.92</v>
      </c>
      <c r="C12" s="57" t="n">
        <v>265213</v>
      </c>
      <c r="D12" s="61" t="n">
        <f aca="false">C12-C11</f>
        <v>-532</v>
      </c>
      <c r="E12" s="57" t="n">
        <f aca="false">C12-152000</f>
        <v>113213</v>
      </c>
      <c r="F12" s="56" t="n">
        <f aca="false">D12/$D$2</f>
        <v>-268.212755230653</v>
      </c>
      <c r="G12" s="56" t="n">
        <v>71</v>
      </c>
      <c r="H12" s="58" t="n">
        <v>0</v>
      </c>
      <c r="I12" s="56" t="n">
        <f aca="false">G12+H12</f>
        <v>71</v>
      </c>
      <c r="J12" s="81" t="n">
        <f aca="false">IF(L12&gt;0,L12,0)</f>
        <v>23.7872447693471</v>
      </c>
      <c r="K12" s="56" t="n">
        <f aca="false">I12+J12</f>
        <v>94.7872447693471</v>
      </c>
      <c r="L12" s="56" t="n">
        <f aca="false">F12-(I12-W12)</f>
        <v>23.7872447693471</v>
      </c>
      <c r="M12" s="56" t="n">
        <v>156</v>
      </c>
      <c r="N12" s="56" t="n">
        <f aca="false">(12+12)*1.05</f>
        <v>25.2</v>
      </c>
      <c r="O12" s="56" t="n">
        <f aca="false">M12-N12</f>
        <v>130.8</v>
      </c>
      <c r="P12" s="56" t="n">
        <v>101</v>
      </c>
      <c r="Q12" s="56" t="n">
        <v>46</v>
      </c>
      <c r="R12" s="56" t="n">
        <f aca="false">SUM(O12:Q12)</f>
        <v>277.8</v>
      </c>
      <c r="S12" s="57" t="n">
        <f aca="false">(I12-R12)+S11</f>
        <v>-6605.47019334509</v>
      </c>
      <c r="T12" s="56" t="n">
        <v>11</v>
      </c>
      <c r="U12" s="56" t="n">
        <v>49</v>
      </c>
      <c r="V12" s="57" t="n">
        <f aca="false">V11-U12</f>
        <v>7991</v>
      </c>
      <c r="W12" s="56" t="n">
        <f aca="false">R12+T12+N12+U12</f>
        <v>363</v>
      </c>
      <c r="X12" s="56" t="n">
        <f aca="false">IF(L12&lt;0,L12*-1,0)</f>
        <v>0</v>
      </c>
      <c r="Y12" s="56" t="n">
        <f aca="false">W12+X12</f>
        <v>363</v>
      </c>
      <c r="Z12" s="60" t="n">
        <v>0</v>
      </c>
      <c r="AA12" s="61" t="n">
        <v>73</v>
      </c>
      <c r="AB12" s="61" t="n">
        <v>40</v>
      </c>
      <c r="AC12" s="62" t="n">
        <f aca="false">AC11+1</f>
        <v>3</v>
      </c>
      <c r="AD12" s="78"/>
      <c r="AE12" s="82"/>
      <c r="AF12" s="82"/>
    </row>
    <row r="13" customFormat="false" ht="11.1" hidden="false" customHeight="true" outlineLevel="0" collapsed="false">
      <c r="A13" s="62" t="n">
        <f aca="false">A12+1</f>
        <v>4</v>
      </c>
      <c r="B13" s="80" t="n">
        <v>6894.77</v>
      </c>
      <c r="C13" s="57" t="n">
        <v>264684</v>
      </c>
      <c r="D13" s="61" t="n">
        <f aca="false">C13-C12</f>
        <v>-529</v>
      </c>
      <c r="E13" s="57" t="n">
        <f aca="false">C13-152000</f>
        <v>112684</v>
      </c>
      <c r="F13" s="56" t="n">
        <f aca="false">D13/$D$2</f>
        <v>-266.700277287623</v>
      </c>
      <c r="G13" s="56" t="n">
        <v>91</v>
      </c>
      <c r="H13" s="58" t="n">
        <v>0</v>
      </c>
      <c r="I13" s="56" t="n">
        <f aca="false">G13+H13</f>
        <v>91</v>
      </c>
      <c r="J13" s="81" t="n">
        <f aca="false">IF(L13&gt;0,L13,0)</f>
        <v>0</v>
      </c>
      <c r="K13" s="56" t="n">
        <f aca="false">I13+J13</f>
        <v>91</v>
      </c>
      <c r="L13" s="56" t="n">
        <f aca="false">F13-(I13-W13)</f>
        <v>-42.9002772876229</v>
      </c>
      <c r="M13" s="56" t="n">
        <v>139</v>
      </c>
      <c r="N13" s="56" t="n">
        <f aca="false">(9.1+9.5)*1.05</f>
        <v>19.53</v>
      </c>
      <c r="O13" s="56" t="n">
        <f aca="false">M13-N13</f>
        <v>119.47</v>
      </c>
      <c r="P13" s="56" t="n">
        <v>90</v>
      </c>
      <c r="Q13" s="56" t="n">
        <v>45</v>
      </c>
      <c r="R13" s="56" t="n">
        <f aca="false">SUM(O13:Q13)</f>
        <v>254.47</v>
      </c>
      <c r="S13" s="57" t="n">
        <f aca="false">(I13-R13)+S12</f>
        <v>-6768.94019334509</v>
      </c>
      <c r="T13" s="56" t="n">
        <v>1.8</v>
      </c>
      <c r="U13" s="56" t="n">
        <v>39</v>
      </c>
      <c r="V13" s="57" t="n">
        <f aca="false">V12-U13</f>
        <v>7952</v>
      </c>
      <c r="W13" s="56" t="n">
        <f aca="false">R13+T13+N13+U13</f>
        <v>314.8</v>
      </c>
      <c r="X13" s="56" t="n">
        <f aca="false">IF(L13&lt;0,L13*-1,0)</f>
        <v>42.9002772876229</v>
      </c>
      <c r="Y13" s="56" t="n">
        <f aca="false">W13+X13</f>
        <v>357.700277287623</v>
      </c>
      <c r="Z13" s="60" t="n">
        <v>0.53</v>
      </c>
      <c r="AA13" s="61" t="n">
        <v>56</v>
      </c>
      <c r="AB13" s="61" t="n">
        <v>32</v>
      </c>
      <c r="AC13" s="62" t="n">
        <f aca="false">AC12+1</f>
        <v>4</v>
      </c>
      <c r="AD13" s="78"/>
      <c r="AE13" s="82"/>
      <c r="AF13" s="82"/>
    </row>
    <row r="14" customFormat="false" ht="11.1" hidden="false" customHeight="true" outlineLevel="0" collapsed="false">
      <c r="A14" s="62" t="n">
        <f aca="false">A13+1</f>
        <v>5</v>
      </c>
      <c r="B14" s="80" t="n">
        <v>6894.66</v>
      </c>
      <c r="C14" s="57" t="n">
        <v>264296</v>
      </c>
      <c r="D14" s="61" t="n">
        <f aca="false">C14-C13</f>
        <v>-388</v>
      </c>
      <c r="E14" s="57" t="n">
        <f aca="false">C14-152000</f>
        <v>112296</v>
      </c>
      <c r="F14" s="56" t="n">
        <f aca="false">D14/$D$2</f>
        <v>-195.613813965213</v>
      </c>
      <c r="G14" s="56" t="n">
        <v>94</v>
      </c>
      <c r="H14" s="58" t="n">
        <v>0</v>
      </c>
      <c r="I14" s="56" t="n">
        <f aca="false">G14+H14</f>
        <v>94</v>
      </c>
      <c r="J14" s="81" t="n">
        <f aca="false">IF(L14&gt;0,L14,0)</f>
        <v>16.386186034787</v>
      </c>
      <c r="K14" s="56" t="n">
        <f aca="false">I14+J14</f>
        <v>110.386186034787</v>
      </c>
      <c r="L14" s="56" t="n">
        <f aca="false">F14-(I14-W14)</f>
        <v>16.386186034787</v>
      </c>
      <c r="M14" s="56" t="n">
        <v>149</v>
      </c>
      <c r="N14" s="56" t="n">
        <f aca="false">(19+20)*1.05</f>
        <v>40.95</v>
      </c>
      <c r="O14" s="56" t="n">
        <f aca="false">M14-N14</f>
        <v>108.05</v>
      </c>
      <c r="P14" s="56" t="n">
        <v>75</v>
      </c>
      <c r="Q14" s="56" t="n">
        <v>43</v>
      </c>
      <c r="R14" s="56" t="n">
        <f aca="false">SUM(O14:Q14)</f>
        <v>226.05</v>
      </c>
      <c r="S14" s="57" t="n">
        <f aca="false">(I14-R14)+S13</f>
        <v>-6900.99019334509</v>
      </c>
      <c r="T14" s="56" t="n">
        <v>0</v>
      </c>
      <c r="U14" s="56" t="n">
        <v>39</v>
      </c>
      <c r="V14" s="57" t="n">
        <f aca="false">V13-U14</f>
        <v>7913</v>
      </c>
      <c r="W14" s="56" t="n">
        <f aca="false">R14+T14+N14+U14</f>
        <v>306</v>
      </c>
      <c r="X14" s="56" t="n">
        <f aca="false">IF(L14&lt;0,L14*-1,0)</f>
        <v>0</v>
      </c>
      <c r="Y14" s="56" t="n">
        <f aca="false">W14+X14</f>
        <v>306</v>
      </c>
      <c r="Z14" s="60" t="n">
        <v>0</v>
      </c>
      <c r="AA14" s="61" t="n">
        <v>55</v>
      </c>
      <c r="AB14" s="61" t="n">
        <v>28</v>
      </c>
      <c r="AC14" s="62" t="n">
        <f aca="false">AC13+1</f>
        <v>5</v>
      </c>
      <c r="AD14" s="78"/>
      <c r="AE14" s="82"/>
      <c r="AF14" s="82"/>
    </row>
    <row r="15" customFormat="false" ht="11.1" hidden="false" customHeight="true" outlineLevel="0" collapsed="false">
      <c r="A15" s="62" t="n">
        <f aca="false">A14+1</f>
        <v>6</v>
      </c>
      <c r="B15" s="80" t="n">
        <v>6894.47</v>
      </c>
      <c r="C15" s="57" t="n">
        <v>263625</v>
      </c>
      <c r="D15" s="61" t="n">
        <f aca="false">C15-C14</f>
        <v>-671</v>
      </c>
      <c r="E15" s="57" t="n">
        <f aca="false">C15-152000</f>
        <v>111625</v>
      </c>
      <c r="F15" s="56" t="n">
        <f aca="false">D15/$D$2</f>
        <v>-338.290899924376</v>
      </c>
      <c r="G15" s="56" t="n">
        <v>79</v>
      </c>
      <c r="H15" s="58" t="n">
        <v>0</v>
      </c>
      <c r="I15" s="56" t="n">
        <f aca="false">G15+H15</f>
        <v>79</v>
      </c>
      <c r="J15" s="81" t="n">
        <f aca="false">IF(L15&gt;0,L15,0)</f>
        <v>0</v>
      </c>
      <c r="K15" s="56" t="n">
        <f aca="false">I15+J15</f>
        <v>79</v>
      </c>
      <c r="L15" s="56" t="n">
        <f aca="false">F15-(I15-W15)</f>
        <v>-97.2908999243761</v>
      </c>
      <c r="M15" s="56" t="n">
        <v>164</v>
      </c>
      <c r="N15" s="56" t="n">
        <f aca="false">(28+28)*1.05</f>
        <v>58.8</v>
      </c>
      <c r="O15" s="56" t="n">
        <f aca="false">M15-N15</f>
        <v>105.2</v>
      </c>
      <c r="P15" s="56" t="n">
        <v>68</v>
      </c>
      <c r="Q15" s="56" t="n">
        <v>43</v>
      </c>
      <c r="R15" s="56" t="n">
        <f aca="false">SUM(O15:Q15)</f>
        <v>216.2</v>
      </c>
      <c r="S15" s="57" t="n">
        <f aca="false">(I15-R15)+S14</f>
        <v>-7038.19019334509</v>
      </c>
      <c r="T15" s="56" t="n">
        <v>0</v>
      </c>
      <c r="U15" s="56" t="n">
        <v>45</v>
      </c>
      <c r="V15" s="57" t="n">
        <f aca="false">V14-U15</f>
        <v>7868</v>
      </c>
      <c r="W15" s="56" t="n">
        <f aca="false">R15+T15+N15+U15</f>
        <v>320</v>
      </c>
      <c r="X15" s="56" t="n">
        <f aca="false">IF(L15&lt;0,L15*-1,0)</f>
        <v>97.2908999243761</v>
      </c>
      <c r="Y15" s="56" t="n">
        <f aca="false">W15+X15</f>
        <v>417.290899924376</v>
      </c>
      <c r="Z15" s="60" t="n">
        <v>0</v>
      </c>
      <c r="AA15" s="61" t="n">
        <v>67</v>
      </c>
      <c r="AB15" s="61" t="n">
        <v>29</v>
      </c>
      <c r="AC15" s="62" t="n">
        <f aca="false">AC14+1</f>
        <v>6</v>
      </c>
      <c r="AD15" s="78"/>
      <c r="AE15" s="82"/>
      <c r="AF15" s="82"/>
    </row>
    <row r="16" customFormat="false" ht="11.1" hidden="false" customHeight="true" outlineLevel="0" collapsed="false">
      <c r="A16" s="62" t="n">
        <f aca="false">A15+1</f>
        <v>7</v>
      </c>
      <c r="B16" s="80" t="n">
        <v>6894.32</v>
      </c>
      <c r="C16" s="57" t="n">
        <v>263096</v>
      </c>
      <c r="D16" s="61" t="n">
        <f aca="false">C16-C15</f>
        <v>-529</v>
      </c>
      <c r="E16" s="57" t="n">
        <f aca="false">C16-152000</f>
        <v>111096</v>
      </c>
      <c r="F16" s="56" t="n">
        <f aca="false">D16/$D$2</f>
        <v>-266.700277287623</v>
      </c>
      <c r="G16" s="56" t="n">
        <v>75</v>
      </c>
      <c r="H16" s="58" t="n">
        <v>0</v>
      </c>
      <c r="I16" s="56" t="n">
        <f aca="false">G16+H16</f>
        <v>75</v>
      </c>
      <c r="J16" s="81" t="n">
        <f aca="false">IF(L16&gt;0,L16,0)</f>
        <v>0</v>
      </c>
      <c r="K16" s="56" t="n">
        <f aca="false">I16+J16</f>
        <v>75</v>
      </c>
      <c r="L16" s="56" t="n">
        <f aca="false">F16-(I16-W16)</f>
        <v>-17.7002772876229</v>
      </c>
      <c r="M16" s="56" t="n">
        <v>166</v>
      </c>
      <c r="N16" s="56" t="n">
        <f aca="false">(29+29)*1.05</f>
        <v>60.9</v>
      </c>
      <c r="O16" s="56" t="n">
        <f aca="false">M16-N16</f>
        <v>105.1</v>
      </c>
      <c r="P16" s="56" t="n">
        <v>67</v>
      </c>
      <c r="Q16" s="56" t="n">
        <v>41</v>
      </c>
      <c r="R16" s="56" t="n">
        <f aca="false">SUM(O16:Q16)</f>
        <v>213.1</v>
      </c>
      <c r="S16" s="57" t="n">
        <f aca="false">(I16-R16)+S15</f>
        <v>-7176.29019334509</v>
      </c>
      <c r="T16" s="56" t="n">
        <v>0</v>
      </c>
      <c r="U16" s="56" t="n">
        <v>50</v>
      </c>
      <c r="V16" s="57" t="n">
        <f aca="false">V15-U16</f>
        <v>7818</v>
      </c>
      <c r="W16" s="56" t="n">
        <f aca="false">R16+T16+N16+U16</f>
        <v>324</v>
      </c>
      <c r="X16" s="56" t="n">
        <f aca="false">IF(L16&lt;0,L16*-1,0)</f>
        <v>17.7002772876229</v>
      </c>
      <c r="Y16" s="56" t="n">
        <f aca="false">W16+X16</f>
        <v>341.700277287623</v>
      </c>
      <c r="Z16" s="60" t="n">
        <v>0</v>
      </c>
      <c r="AA16" s="61" t="n">
        <v>74</v>
      </c>
      <c r="AB16" s="61" t="n">
        <v>34</v>
      </c>
      <c r="AC16" s="62" t="n">
        <f aca="false">AC15+1</f>
        <v>7</v>
      </c>
      <c r="AD16" s="78"/>
      <c r="AE16" s="82"/>
      <c r="AF16" s="82"/>
    </row>
    <row r="17" customFormat="false" ht="11.1" hidden="false" customHeight="true" outlineLevel="0" collapsed="false">
      <c r="A17" s="62" t="n">
        <f aca="false">A16+1</f>
        <v>8</v>
      </c>
      <c r="B17" s="80" t="n">
        <v>6894.17</v>
      </c>
      <c r="C17" s="57" t="n">
        <v>262567</v>
      </c>
      <c r="D17" s="61" t="n">
        <f aca="false">C17-C16</f>
        <v>-529</v>
      </c>
      <c r="E17" s="57" t="n">
        <f aca="false">C17-152000</f>
        <v>110567</v>
      </c>
      <c r="F17" s="56" t="n">
        <f aca="false">D17/$D$2</f>
        <v>-266.700277287623</v>
      </c>
      <c r="G17" s="56" t="n">
        <v>81</v>
      </c>
      <c r="H17" s="58" t="n">
        <v>0</v>
      </c>
      <c r="I17" s="56" t="n">
        <f aca="false">G17+H17</f>
        <v>81</v>
      </c>
      <c r="J17" s="81" t="n">
        <f aca="false">IF(L17&gt;0,L17,0)</f>
        <v>0</v>
      </c>
      <c r="K17" s="56" t="n">
        <f aca="false">I17+J17</f>
        <v>81</v>
      </c>
      <c r="L17" s="56" t="n">
        <f aca="false">F17-(I17-W17)</f>
        <v>-30.7002772876229</v>
      </c>
      <c r="M17" s="56" t="n">
        <v>159</v>
      </c>
      <c r="N17" s="56" t="n">
        <f aca="false">(30+29)*1.05</f>
        <v>61.95</v>
      </c>
      <c r="O17" s="56" t="n">
        <f aca="false">M17-N17</f>
        <v>97.05</v>
      </c>
      <c r="P17" s="56" t="n">
        <v>68</v>
      </c>
      <c r="Q17" s="56" t="n">
        <v>40</v>
      </c>
      <c r="R17" s="56" t="n">
        <f aca="false">SUM(O17:Q17)</f>
        <v>205.05</v>
      </c>
      <c r="S17" s="57" t="n">
        <f aca="false">(I17-R17)+S16</f>
        <v>-7300.34019334509</v>
      </c>
      <c r="T17" s="56" t="n">
        <f aca="false">(AD17-AD16)/$D$2</f>
        <v>0</v>
      </c>
      <c r="U17" s="56" t="n">
        <v>50</v>
      </c>
      <c r="V17" s="57" t="n">
        <f aca="false">V16-U17</f>
        <v>7768</v>
      </c>
      <c r="W17" s="56" t="n">
        <f aca="false">R17+T17+N17+U17</f>
        <v>317</v>
      </c>
      <c r="X17" s="56" t="n">
        <f aca="false">IF(L17&lt;0,L17*-1,0)</f>
        <v>30.7002772876229</v>
      </c>
      <c r="Y17" s="56" t="n">
        <f aca="false">W17+X17</f>
        <v>347.700277287623</v>
      </c>
      <c r="Z17" s="60" t="n">
        <v>0</v>
      </c>
      <c r="AA17" s="61" t="n">
        <v>75</v>
      </c>
      <c r="AB17" s="61" t="n">
        <v>39</v>
      </c>
      <c r="AC17" s="62" t="n">
        <f aca="false">AC16+1</f>
        <v>8</v>
      </c>
      <c r="AD17" s="78"/>
      <c r="AE17" s="82"/>
      <c r="AF17" s="82"/>
    </row>
    <row r="18" customFormat="false" ht="11.1" hidden="false" customHeight="true" outlineLevel="0" collapsed="false">
      <c r="A18" s="62" t="n">
        <f aca="false">A17+1</f>
        <v>9</v>
      </c>
      <c r="B18" s="80" t="n">
        <v>6894.02</v>
      </c>
      <c r="C18" s="57" t="n">
        <v>262037</v>
      </c>
      <c r="D18" s="61" t="n">
        <f aca="false">C18-C17</f>
        <v>-530</v>
      </c>
      <c r="E18" s="57" t="n">
        <f aca="false">C18-152000</f>
        <v>110037</v>
      </c>
      <c r="F18" s="56" t="n">
        <f aca="false">D18/$D$2</f>
        <v>-267.204436601966</v>
      </c>
      <c r="G18" s="56" t="n">
        <v>78</v>
      </c>
      <c r="H18" s="58" t="n">
        <v>0</v>
      </c>
      <c r="I18" s="56" t="n">
        <f aca="false">G18+H18</f>
        <v>78</v>
      </c>
      <c r="J18" s="81" t="n">
        <f aca="false">IF(L18&gt;0,L18,0)</f>
        <v>0</v>
      </c>
      <c r="K18" s="56" t="n">
        <f aca="false">I18+J18</f>
        <v>78</v>
      </c>
      <c r="L18" s="56" t="n">
        <f aca="false">F18-(I18-W18)</f>
        <v>-10.2044366019662</v>
      </c>
      <c r="M18" s="56" t="n">
        <v>178</v>
      </c>
      <c r="N18" s="56" t="n">
        <f aca="false">(32+31)*1.05</f>
        <v>66.15</v>
      </c>
      <c r="O18" s="56" t="n">
        <f aca="false">M18-N18</f>
        <v>111.85</v>
      </c>
      <c r="P18" s="56" t="n">
        <v>67</v>
      </c>
      <c r="Q18" s="56" t="n">
        <v>40</v>
      </c>
      <c r="R18" s="56" t="n">
        <f aca="false">SUM(O18:Q18)</f>
        <v>218.85</v>
      </c>
      <c r="S18" s="57" t="n">
        <f aca="false">(I18-R18)+S17</f>
        <v>-7441.19019334509</v>
      </c>
      <c r="T18" s="56" t="n">
        <f aca="false">(AD18-AD17)/$D$2</f>
        <v>0</v>
      </c>
      <c r="U18" s="56" t="n">
        <v>50</v>
      </c>
      <c r="V18" s="57" t="n">
        <f aca="false">V17-U18</f>
        <v>7718</v>
      </c>
      <c r="W18" s="56" t="n">
        <f aca="false">R18+T18+N18+U18</f>
        <v>335</v>
      </c>
      <c r="X18" s="56" t="n">
        <f aca="false">IF(L18&lt;0,L18*-1,0)</f>
        <v>10.2044366019662</v>
      </c>
      <c r="Y18" s="56" t="n">
        <f aca="false">W18+X18</f>
        <v>345.204436601966</v>
      </c>
      <c r="Z18" s="60" t="n">
        <v>0</v>
      </c>
      <c r="AA18" s="90" t="n">
        <v>75</v>
      </c>
      <c r="AB18" s="61" t="n">
        <v>40</v>
      </c>
      <c r="AC18" s="62" t="n">
        <f aca="false">AC17+1</f>
        <v>9</v>
      </c>
      <c r="AD18" s="78"/>
      <c r="AE18" s="82"/>
      <c r="AF18" s="82"/>
    </row>
    <row r="19" customFormat="false" ht="11.1" hidden="false" customHeight="true" outlineLevel="0" collapsed="false">
      <c r="A19" s="62" t="n">
        <f aca="false">A18+1</f>
        <v>10</v>
      </c>
      <c r="B19" s="80" t="n">
        <v>6893.87</v>
      </c>
      <c r="C19" s="57" t="n">
        <v>261512</v>
      </c>
      <c r="D19" s="61" t="n">
        <f aca="false">C19-C18</f>
        <v>-525</v>
      </c>
      <c r="E19" s="57" t="n">
        <f aca="false">C19-152000</f>
        <v>109512</v>
      </c>
      <c r="F19" s="56" t="n">
        <f aca="false">D19/$D$2</f>
        <v>-264.68364003025</v>
      </c>
      <c r="G19" s="56" t="n">
        <v>70</v>
      </c>
      <c r="H19" s="58" t="n">
        <v>0</v>
      </c>
      <c r="I19" s="56" t="n">
        <f aca="false">G19+H19</f>
        <v>70</v>
      </c>
      <c r="J19" s="81" t="n">
        <f aca="false">IF(L19&gt;0,L19,0)</f>
        <v>0</v>
      </c>
      <c r="K19" s="56" t="n">
        <f aca="false">I19+J19</f>
        <v>70</v>
      </c>
      <c r="L19" s="56" t="n">
        <f aca="false">F19-(I19-W19)</f>
        <v>-59.6836400302495</v>
      </c>
      <c r="M19" s="56" t="n">
        <v>118</v>
      </c>
      <c r="N19" s="56" t="n">
        <f aca="false">(11+11)*1.05</f>
        <v>23.1</v>
      </c>
      <c r="O19" s="56" t="n">
        <f aca="false">M19-N19</f>
        <v>94.9</v>
      </c>
      <c r="P19" s="56" t="n">
        <v>67</v>
      </c>
      <c r="Q19" s="56" t="n">
        <v>40</v>
      </c>
      <c r="R19" s="56" t="n">
        <f aca="false">SUM(O19:Q19)</f>
        <v>201.9</v>
      </c>
      <c r="S19" s="57" t="n">
        <f aca="false">(I19-R19)+S18</f>
        <v>-7573.09019334509</v>
      </c>
      <c r="T19" s="56" t="n">
        <f aca="false">(AD19-AD18)/$D$2</f>
        <v>0</v>
      </c>
      <c r="U19" s="56" t="n">
        <v>50</v>
      </c>
      <c r="V19" s="57" t="n">
        <f aca="false">V18-U19</f>
        <v>7668</v>
      </c>
      <c r="W19" s="56" t="n">
        <f aca="false">R19+T19+N19+U19</f>
        <v>275</v>
      </c>
      <c r="X19" s="56" t="n">
        <f aca="false">IF(L19&lt;0,L19*-1,0)</f>
        <v>59.6836400302495</v>
      </c>
      <c r="Y19" s="56" t="n">
        <f aca="false">W19+X19</f>
        <v>334.68364003025</v>
      </c>
      <c r="Z19" s="60" t="n">
        <v>0</v>
      </c>
      <c r="AA19" s="61" t="n">
        <v>71</v>
      </c>
      <c r="AB19" s="61" t="n">
        <v>39</v>
      </c>
      <c r="AC19" s="62" t="n">
        <f aca="false">AC18+1</f>
        <v>10</v>
      </c>
      <c r="AD19" s="78"/>
      <c r="AE19" s="82"/>
      <c r="AF19" s="82"/>
    </row>
    <row r="20" customFormat="false" ht="11.1" hidden="false" customHeight="true" outlineLevel="0" collapsed="false">
      <c r="A20" s="62" t="n">
        <f aca="false">A19+1</f>
        <v>11</v>
      </c>
      <c r="B20" s="80" t="n">
        <v>6893.74</v>
      </c>
      <c r="C20" s="57" t="n">
        <v>261057</v>
      </c>
      <c r="D20" s="61" t="n">
        <f aca="false">C20-C19</f>
        <v>-455</v>
      </c>
      <c r="E20" s="57" t="n">
        <f aca="false">C20-152000</f>
        <v>109057</v>
      </c>
      <c r="F20" s="56" t="n">
        <f aca="false">D20/$D$2</f>
        <v>-229.392488026216</v>
      </c>
      <c r="G20" s="56" t="n">
        <v>65</v>
      </c>
      <c r="H20" s="58" t="n">
        <v>0</v>
      </c>
      <c r="I20" s="56" t="n">
        <f aca="false">G20+H20</f>
        <v>65</v>
      </c>
      <c r="J20" s="81" t="n">
        <f aca="false">IF(L20&gt;0,L20,0)</f>
        <v>0</v>
      </c>
      <c r="K20" s="56" t="n">
        <f aca="false">I20+J20</f>
        <v>65</v>
      </c>
      <c r="L20" s="56" t="n">
        <f aca="false">F20-(I20-W20)</f>
        <v>-24.3924880262163</v>
      </c>
      <c r="M20" s="56" t="n">
        <v>114</v>
      </c>
      <c r="N20" s="56" t="n">
        <f aca="false">(5.8+5.7)*1.05</f>
        <v>12.075</v>
      </c>
      <c r="O20" s="56" t="n">
        <f aca="false">M20-N20</f>
        <v>101.925</v>
      </c>
      <c r="P20" s="56" t="n">
        <v>67</v>
      </c>
      <c r="Q20" s="56" t="n">
        <v>39</v>
      </c>
      <c r="R20" s="56" t="n">
        <f aca="false">SUM(O20:Q20)</f>
        <v>207.925</v>
      </c>
      <c r="S20" s="57" t="n">
        <f aca="false">(I20-R20)+S19</f>
        <v>-7716.01519334509</v>
      </c>
      <c r="T20" s="56" t="n">
        <f aca="false">(AD20-AD19)/$D$2</f>
        <v>0</v>
      </c>
      <c r="U20" s="56" t="n">
        <v>50</v>
      </c>
      <c r="V20" s="57" t="n">
        <f aca="false">V19-U20</f>
        <v>7618</v>
      </c>
      <c r="W20" s="56" t="n">
        <f aca="false">R20+T20+N20+U20</f>
        <v>270</v>
      </c>
      <c r="X20" s="56" t="n">
        <f aca="false">IF(L20&lt;0,L20*-1,0)</f>
        <v>24.3924880262163</v>
      </c>
      <c r="Y20" s="56" t="n">
        <f aca="false">W20+X20</f>
        <v>294.392488026216</v>
      </c>
      <c r="Z20" s="60" t="n">
        <v>0</v>
      </c>
      <c r="AA20" s="61" t="n">
        <v>74</v>
      </c>
      <c r="AB20" s="61" t="n">
        <v>33</v>
      </c>
      <c r="AC20" s="62" t="n">
        <f aca="false">AC19+1</f>
        <v>11</v>
      </c>
      <c r="AD20" s="78"/>
      <c r="AE20" s="82"/>
      <c r="AF20" s="82"/>
      <c r="AG20" s="132"/>
      <c r="AH20" s="132"/>
      <c r="AI20" s="132"/>
    </row>
    <row r="21" customFormat="false" ht="11.1" hidden="false" customHeight="true" outlineLevel="0" collapsed="false">
      <c r="A21" s="62" t="n">
        <f aca="false">A20+1</f>
        <v>12</v>
      </c>
      <c r="B21" s="80" t="n">
        <v>6893.62</v>
      </c>
      <c r="C21" s="57" t="n">
        <v>260638</v>
      </c>
      <c r="D21" s="61" t="n">
        <f aca="false">C21-C20</f>
        <v>-419</v>
      </c>
      <c r="E21" s="57" t="n">
        <f aca="false">C21-152000</f>
        <v>108638</v>
      </c>
      <c r="F21" s="56" t="n">
        <f aca="false">D21/$D$2</f>
        <v>-211.242752709856</v>
      </c>
      <c r="G21" s="56" t="n">
        <v>62</v>
      </c>
      <c r="H21" s="58" t="n">
        <v>0</v>
      </c>
      <c r="I21" s="56" t="n">
        <f aca="false">G21+H21</f>
        <v>62</v>
      </c>
      <c r="J21" s="81" t="n">
        <f aca="false">IF(L21&gt;0,L21,0)</f>
        <v>0</v>
      </c>
      <c r="K21" s="56" t="n">
        <f aca="false">I21+J21</f>
        <v>62</v>
      </c>
      <c r="L21" s="56" t="n">
        <f aca="false">F21-(I21-W21)</f>
        <v>-5.24275270985632</v>
      </c>
      <c r="M21" s="56" t="n">
        <v>113</v>
      </c>
      <c r="N21" s="56" t="n">
        <f aca="false">(4.3+4)*1.05</f>
        <v>8.715</v>
      </c>
      <c r="O21" s="56" t="n">
        <f aca="false">M21-N21</f>
        <v>104.285</v>
      </c>
      <c r="P21" s="56" t="n">
        <v>67</v>
      </c>
      <c r="Q21" s="56" t="n">
        <v>39</v>
      </c>
      <c r="R21" s="56" t="n">
        <f aca="false">SUM(O21:Q21)</f>
        <v>210.285</v>
      </c>
      <c r="S21" s="57" t="n">
        <f aca="false">(I21-R21)+S20</f>
        <v>-7864.30019334509</v>
      </c>
      <c r="T21" s="56" t="n">
        <f aca="false">(AD21-AD20)/$D$2</f>
        <v>0</v>
      </c>
      <c r="U21" s="56" t="n">
        <v>49</v>
      </c>
      <c r="V21" s="57" t="n">
        <f aca="false">V20-U21</f>
        <v>7569</v>
      </c>
      <c r="W21" s="56" t="n">
        <f aca="false">R21+T21+N21+U21</f>
        <v>268</v>
      </c>
      <c r="X21" s="56" t="n">
        <f aca="false">IF(L21&lt;0,L21*-1,0)</f>
        <v>5.24275270985632</v>
      </c>
      <c r="Y21" s="56" t="n">
        <f aca="false">W21+X21</f>
        <v>273.242752709856</v>
      </c>
      <c r="Z21" s="60" t="n">
        <v>0</v>
      </c>
      <c r="AA21" s="61" t="n">
        <v>76</v>
      </c>
      <c r="AB21" s="61" t="n">
        <v>42</v>
      </c>
      <c r="AC21" s="62" t="n">
        <f aca="false">AC20+1</f>
        <v>12</v>
      </c>
      <c r="AD21" s="78"/>
      <c r="AE21" s="78"/>
      <c r="AF21" s="82"/>
    </row>
    <row r="22" customFormat="false" ht="11.1" hidden="false" customHeight="true" outlineLevel="0" collapsed="false">
      <c r="A22" s="62" t="n">
        <f aca="false">A21+1</f>
        <v>13</v>
      </c>
      <c r="B22" s="80" t="n">
        <v>6893.49</v>
      </c>
      <c r="C22" s="57" t="n">
        <v>260183</v>
      </c>
      <c r="D22" s="61" t="n">
        <f aca="false">C22-C21</f>
        <v>-455</v>
      </c>
      <c r="E22" s="57" t="n">
        <f aca="false">C22-152000</f>
        <v>108183</v>
      </c>
      <c r="F22" s="56" t="n">
        <f aca="false">D22/$D$2</f>
        <v>-229.392488026216</v>
      </c>
      <c r="G22" s="56" t="n">
        <v>58</v>
      </c>
      <c r="H22" s="58" t="n">
        <v>0</v>
      </c>
      <c r="I22" s="56" t="n">
        <f aca="false">G22+H22</f>
        <v>58</v>
      </c>
      <c r="J22" s="81" t="n">
        <f aca="false">IF(L22&gt;0,L22,0)</f>
        <v>0</v>
      </c>
      <c r="K22" s="56" t="n">
        <f aca="false">I22+J22</f>
        <v>58</v>
      </c>
      <c r="L22" s="56" t="n">
        <f aca="false">F22-(I22-W22)</f>
        <v>-31.3924880262163</v>
      </c>
      <c r="M22" s="56" t="n">
        <v>101</v>
      </c>
      <c r="N22" s="56" t="n">
        <f aca="false">(2.7+2.4)*1.05</f>
        <v>5.355</v>
      </c>
      <c r="O22" s="56" t="n">
        <f aca="false">M22-N22</f>
        <v>95.645</v>
      </c>
      <c r="P22" s="56" t="n">
        <v>67</v>
      </c>
      <c r="Q22" s="56" t="n">
        <v>39</v>
      </c>
      <c r="R22" s="56" t="n">
        <f aca="false">SUM(O22:Q22)</f>
        <v>201.645</v>
      </c>
      <c r="S22" s="57" t="n">
        <f aca="false">(I22-R22)+S21</f>
        <v>-8007.94519334509</v>
      </c>
      <c r="T22" s="56" t="n">
        <f aca="false">(AD22-AD21)/$D$2</f>
        <v>0</v>
      </c>
      <c r="U22" s="56" t="n">
        <v>49</v>
      </c>
      <c r="V22" s="57" t="n">
        <f aca="false">V21-U22</f>
        <v>7520</v>
      </c>
      <c r="W22" s="56" t="n">
        <f aca="false">R22+T22+N22+U22</f>
        <v>256</v>
      </c>
      <c r="X22" s="56" t="n">
        <f aca="false">IF(L22&lt;0,L22*-1,0)</f>
        <v>31.3924880262163</v>
      </c>
      <c r="Y22" s="56" t="n">
        <f aca="false">W22+X22</f>
        <v>287.392488026216</v>
      </c>
      <c r="Z22" s="60" t="n">
        <v>0</v>
      </c>
      <c r="AA22" s="61" t="n">
        <v>80</v>
      </c>
      <c r="AB22" s="61" t="n">
        <v>42</v>
      </c>
      <c r="AC22" s="62" t="n">
        <f aca="false">AC21+1</f>
        <v>13</v>
      </c>
      <c r="AD22" s="78"/>
      <c r="AE22" s="78"/>
      <c r="AF22" s="82"/>
    </row>
    <row r="23" customFormat="false" ht="11.1" hidden="false" customHeight="true" outlineLevel="0" collapsed="false">
      <c r="A23" s="62" t="n">
        <f aca="false">A22+1</f>
        <v>14</v>
      </c>
      <c r="B23" s="80" t="n">
        <v>6893.34</v>
      </c>
      <c r="C23" s="57" t="n">
        <v>259638</v>
      </c>
      <c r="D23" s="61" t="n">
        <f aca="false">C23-C22</f>
        <v>-545</v>
      </c>
      <c r="E23" s="57" t="n">
        <f aca="false">C23-152000</f>
        <v>107638</v>
      </c>
      <c r="F23" s="56" t="n">
        <f aca="false">D23/$D$2</f>
        <v>-274.766826317116</v>
      </c>
      <c r="G23" s="56" t="n">
        <v>56</v>
      </c>
      <c r="H23" s="58" t="n">
        <v>0</v>
      </c>
      <c r="I23" s="56" t="n">
        <f aca="false">G23+H23</f>
        <v>56</v>
      </c>
      <c r="J23" s="81" t="n">
        <f aca="false">IF(L23&gt;0,L23,0)</f>
        <v>0</v>
      </c>
      <c r="K23" s="56" t="n">
        <f aca="false">I23+J23</f>
        <v>56</v>
      </c>
      <c r="L23" s="56" t="n">
        <f aca="false">F23-(I23-W23)</f>
        <v>-71.7668263171162</v>
      </c>
      <c r="M23" s="56" t="n">
        <v>104</v>
      </c>
      <c r="N23" s="56" t="n">
        <f aca="false">(5.6+6.1)*1.05</f>
        <v>12.285</v>
      </c>
      <c r="O23" s="56" t="n">
        <f aca="false">M23-N23</f>
        <v>91.715</v>
      </c>
      <c r="P23" s="56" t="n">
        <v>67</v>
      </c>
      <c r="Q23" s="103" t="n">
        <v>39</v>
      </c>
      <c r="R23" s="56" t="n">
        <f aca="false">SUM(O23:Q23)</f>
        <v>197.715</v>
      </c>
      <c r="S23" s="57" t="n">
        <f aca="false">(I23-R23)+S22</f>
        <v>-8149.6601933451</v>
      </c>
      <c r="T23" s="56" t="n">
        <f aca="false">(AD23-AD22)/$D$2</f>
        <v>0</v>
      </c>
      <c r="U23" s="56" t="n">
        <v>49</v>
      </c>
      <c r="V23" s="57" t="n">
        <f aca="false">V22-U23</f>
        <v>7471</v>
      </c>
      <c r="W23" s="56" t="n">
        <f aca="false">R23+T23+N23+U23</f>
        <v>259</v>
      </c>
      <c r="X23" s="56" t="n">
        <f aca="false">IF(L23&lt;0,L23*-1,0)</f>
        <v>71.7668263171162</v>
      </c>
      <c r="Y23" s="56" t="n">
        <f aca="false">W23+X23</f>
        <v>330.766826317116</v>
      </c>
      <c r="Z23" s="60" t="n">
        <v>0</v>
      </c>
      <c r="AA23" s="90" t="n">
        <v>75</v>
      </c>
      <c r="AB23" s="61" t="n">
        <v>43</v>
      </c>
      <c r="AC23" s="62" t="n">
        <f aca="false">AC22+1</f>
        <v>14</v>
      </c>
      <c r="AD23" s="78"/>
      <c r="AE23" s="78"/>
      <c r="AF23" s="82"/>
    </row>
    <row r="24" customFormat="false" ht="11.1" hidden="false" customHeight="true" outlineLevel="0" collapsed="false">
      <c r="A24" s="62" t="n">
        <f aca="false">A23+1</f>
        <v>15</v>
      </c>
      <c r="B24" s="80" t="n">
        <v>6893.22</v>
      </c>
      <c r="C24" s="57" t="n">
        <v>259239</v>
      </c>
      <c r="D24" s="61" t="n">
        <f aca="false">C24-C23</f>
        <v>-399</v>
      </c>
      <c r="E24" s="57" t="n">
        <f aca="false">C24-152000</f>
        <v>107239</v>
      </c>
      <c r="F24" s="56" t="n">
        <f aca="false">D24/$D$2</f>
        <v>-201.15956642299</v>
      </c>
      <c r="G24" s="56" t="n">
        <v>54</v>
      </c>
      <c r="H24" s="58" t="n">
        <v>0</v>
      </c>
      <c r="I24" s="56" t="n">
        <f aca="false">G24+H24</f>
        <v>54</v>
      </c>
      <c r="J24" s="81" t="n">
        <f aca="false">IF(L24&gt;0,L24,0)</f>
        <v>18.8404335770103</v>
      </c>
      <c r="K24" s="56" t="n">
        <f aca="false">I24+J24</f>
        <v>72.8404335770103</v>
      </c>
      <c r="L24" s="56" t="n">
        <f aca="false">F24-(I24-W24)</f>
        <v>18.8404335770103</v>
      </c>
      <c r="M24" s="56" t="n">
        <v>120</v>
      </c>
      <c r="N24" s="56" t="n">
        <f aca="false">(9.5+11)*1.05</f>
        <v>21.525</v>
      </c>
      <c r="O24" s="56" t="n">
        <f aca="false">M24-N24</f>
        <v>98.475</v>
      </c>
      <c r="P24" s="56" t="n">
        <v>67</v>
      </c>
      <c r="Q24" s="103" t="n">
        <v>38</v>
      </c>
      <c r="R24" s="56" t="n">
        <f aca="false">SUM(O24:Q24)</f>
        <v>203.475</v>
      </c>
      <c r="S24" s="57" t="n">
        <f aca="false">(I24-R24)+S23</f>
        <v>-8299.13519334509</v>
      </c>
      <c r="T24" s="56" t="n">
        <f aca="false">(AD24-AD23)/$D$2</f>
        <v>0</v>
      </c>
      <c r="U24" s="56" t="n">
        <v>49</v>
      </c>
      <c r="V24" s="57" t="n">
        <f aca="false">V23-U24</f>
        <v>7422</v>
      </c>
      <c r="W24" s="56" t="n">
        <f aca="false">R24+T24+N24+U24</f>
        <v>274</v>
      </c>
      <c r="X24" s="56" t="n">
        <f aca="false">IF(L24&lt;0,L24*-1,0)</f>
        <v>0</v>
      </c>
      <c r="Y24" s="56" t="n">
        <f aca="false">W24+X24</f>
        <v>274</v>
      </c>
      <c r="Z24" s="60" t="n">
        <v>0</v>
      </c>
      <c r="AA24" s="90" t="n">
        <v>69</v>
      </c>
      <c r="AB24" s="61" t="n">
        <v>40</v>
      </c>
      <c r="AC24" s="62" t="n">
        <f aca="false">AC23+1</f>
        <v>15</v>
      </c>
      <c r="AD24" s="78"/>
      <c r="AE24" s="78"/>
      <c r="AF24" s="82"/>
    </row>
    <row r="25" customFormat="false" ht="11.1" hidden="false" customHeight="true" outlineLevel="0" collapsed="false">
      <c r="A25" s="62" t="n">
        <f aca="false">A24+1</f>
        <v>16</v>
      </c>
      <c r="B25" s="80" t="n">
        <v>6893.07</v>
      </c>
      <c r="C25" s="57" t="n">
        <v>258714</v>
      </c>
      <c r="D25" s="61" t="n">
        <f aca="false">C25-C24</f>
        <v>-525</v>
      </c>
      <c r="E25" s="57" t="n">
        <f aca="false">C25-152000</f>
        <v>106714</v>
      </c>
      <c r="F25" s="56" t="n">
        <f aca="false">D25/$D$2</f>
        <v>-264.68364003025</v>
      </c>
      <c r="G25" s="56" t="n">
        <v>60</v>
      </c>
      <c r="H25" s="58" t="n">
        <v>0</v>
      </c>
      <c r="I25" s="56" t="n">
        <f aca="false">G25+H25</f>
        <v>60</v>
      </c>
      <c r="J25" s="81" t="n">
        <f aca="false">IF(L25&gt;0,L25,0)</f>
        <v>66.3163599697505</v>
      </c>
      <c r="K25" s="56" t="n">
        <f aca="false">I25+J25</f>
        <v>126.31635996975</v>
      </c>
      <c r="L25" s="56" t="n">
        <f aca="false">F25-(I25-W25)</f>
        <v>66.3163599697505</v>
      </c>
      <c r="M25" s="56" t="n">
        <v>119</v>
      </c>
      <c r="N25" s="56" t="n">
        <f aca="false">(14+14)*1.05</f>
        <v>29.4</v>
      </c>
      <c r="O25" s="56" t="n">
        <f aca="false">M25-N25</f>
        <v>89.6</v>
      </c>
      <c r="P25" s="56" t="n">
        <v>186</v>
      </c>
      <c r="Q25" s="56" t="n">
        <v>37</v>
      </c>
      <c r="R25" s="56" t="n">
        <f aca="false">SUM(O25:Q25)</f>
        <v>312.6</v>
      </c>
      <c r="S25" s="57" t="n">
        <f aca="false">(I25-R25)+S24</f>
        <v>-8551.7351933451</v>
      </c>
      <c r="T25" s="56" t="n">
        <f aca="false">(AD25-AD24)/$D$2</f>
        <v>0</v>
      </c>
      <c r="U25" s="56" t="n">
        <v>49</v>
      </c>
      <c r="V25" s="57" t="n">
        <f aca="false">V24-U25</f>
        <v>7373</v>
      </c>
      <c r="W25" s="56" t="n">
        <f aca="false">R25+T25+N25+U25</f>
        <v>391</v>
      </c>
      <c r="X25" s="56" t="n">
        <f aca="false">IF(L25&lt;0,L25*-1,0)</f>
        <v>0</v>
      </c>
      <c r="Y25" s="56" t="n">
        <f aca="false">W25+X25</f>
        <v>391</v>
      </c>
      <c r="Z25" s="60" t="n">
        <v>0.23</v>
      </c>
      <c r="AA25" s="90" t="n">
        <v>50</v>
      </c>
      <c r="AB25" s="61" t="n">
        <v>28</v>
      </c>
      <c r="AC25" s="62" t="n">
        <f aca="false">AC24+1</f>
        <v>16</v>
      </c>
      <c r="AD25" s="78"/>
      <c r="AE25" s="78"/>
      <c r="AF25" s="82"/>
    </row>
    <row r="26" customFormat="false" ht="11.1" hidden="false" customHeight="true" outlineLevel="0" collapsed="false">
      <c r="A26" s="62" t="n">
        <f aca="false">A25+1</f>
        <v>17</v>
      </c>
      <c r="B26" s="80" t="n">
        <v>6892.91</v>
      </c>
      <c r="C26" s="57" t="n">
        <v>258157</v>
      </c>
      <c r="D26" s="61" t="n">
        <f aca="false">C26-C25</f>
        <v>-557</v>
      </c>
      <c r="E26" s="57" t="n">
        <f aca="false">C26-152000</f>
        <v>106157</v>
      </c>
      <c r="F26" s="56" t="n">
        <f aca="false">D26/$D$2</f>
        <v>-280.816738089236</v>
      </c>
      <c r="G26" s="56" t="n">
        <v>72</v>
      </c>
      <c r="H26" s="58" t="n">
        <v>0</v>
      </c>
      <c r="I26" s="56" t="n">
        <f aca="false">G26+H26</f>
        <v>72</v>
      </c>
      <c r="J26" s="81" t="n">
        <f aca="false">IF(L26&gt;0,L26,0)</f>
        <v>49.1832619107638</v>
      </c>
      <c r="K26" s="56" t="n">
        <f aca="false">I26+J26</f>
        <v>121.183261910764</v>
      </c>
      <c r="L26" s="56" t="n">
        <f aca="false">F26-(I26-W26)</f>
        <v>49.1832619107638</v>
      </c>
      <c r="M26" s="56" t="n">
        <v>80</v>
      </c>
      <c r="N26" s="56" t="n">
        <f aca="false">(7.5+6.9)*1.05</f>
        <v>15.12</v>
      </c>
      <c r="O26" s="56" t="n">
        <f aca="false">M26-N26</f>
        <v>64.88</v>
      </c>
      <c r="P26" s="56" t="n">
        <v>240</v>
      </c>
      <c r="Q26" s="56" t="n">
        <v>33</v>
      </c>
      <c r="R26" s="56" t="n">
        <f aca="false">SUM(O26:Q26)</f>
        <v>337.88</v>
      </c>
      <c r="S26" s="57" t="n">
        <f aca="false">(I26-R26)+S25</f>
        <v>-8817.61519334509</v>
      </c>
      <c r="T26" s="56" t="n">
        <f aca="false">(AD26-AD25)/$D$2</f>
        <v>0</v>
      </c>
      <c r="U26" s="56" t="n">
        <v>49</v>
      </c>
      <c r="V26" s="57" t="n">
        <f aca="false">V25-U26</f>
        <v>7324</v>
      </c>
      <c r="W26" s="56" t="n">
        <f aca="false">R26+T26+N26+U26</f>
        <v>402</v>
      </c>
      <c r="X26" s="56" t="n">
        <f aca="false">IF(L26&lt;0,L26*-1,0)</f>
        <v>0</v>
      </c>
      <c r="Y26" s="56" t="n">
        <f aca="false">W26+X26</f>
        <v>402</v>
      </c>
      <c r="Z26" s="60" t="n">
        <v>0.51</v>
      </c>
      <c r="AA26" s="90" t="n">
        <v>51</v>
      </c>
      <c r="AB26" s="61" t="n">
        <v>26</v>
      </c>
      <c r="AC26" s="62" t="n">
        <f aca="false">AC25+1</f>
        <v>17</v>
      </c>
      <c r="AD26" s="78"/>
      <c r="AE26" s="78"/>
      <c r="AF26" s="82"/>
    </row>
    <row r="27" customFormat="false" ht="11.1" hidden="false" customHeight="true" outlineLevel="0" collapsed="false">
      <c r="A27" s="62" t="n">
        <f aca="false">A26+1</f>
        <v>18</v>
      </c>
      <c r="B27" s="80" t="n">
        <v>6892.69</v>
      </c>
      <c r="C27" s="57" t="n">
        <v>257395</v>
      </c>
      <c r="D27" s="61" t="n">
        <f aca="false">C27-C26</f>
        <v>-762</v>
      </c>
      <c r="E27" s="57" t="n">
        <f aca="false">C27-152000</f>
        <v>105395</v>
      </c>
      <c r="F27" s="56" t="n">
        <f aca="false">D27/$D$2</f>
        <v>-384.169397529619</v>
      </c>
      <c r="G27" s="56" t="n">
        <v>67</v>
      </c>
      <c r="H27" s="58" t="n">
        <v>0</v>
      </c>
      <c r="I27" s="56" t="n">
        <f aca="false">G27+H27</f>
        <v>67</v>
      </c>
      <c r="J27" s="81" t="n">
        <f aca="false">IF(L27&gt;0,L27,0)</f>
        <v>0</v>
      </c>
      <c r="K27" s="56" t="n">
        <f aca="false">I27+J27</f>
        <v>67</v>
      </c>
      <c r="L27" s="56" t="n">
        <f aca="false">F27-(I27-W27)</f>
        <v>-63.1693975296193</v>
      </c>
      <c r="M27" s="56" t="n">
        <v>69</v>
      </c>
      <c r="N27" s="56" t="n">
        <f aca="false">(2.7+2.4)*1.05</f>
        <v>5.355</v>
      </c>
      <c r="O27" s="56" t="n">
        <f aca="false">M27-N27</f>
        <v>63.645</v>
      </c>
      <c r="P27" s="56" t="n">
        <v>238</v>
      </c>
      <c r="Q27" s="56" t="n">
        <v>32</v>
      </c>
      <c r="R27" s="56" t="n">
        <f aca="false">SUM(O27:Q27)</f>
        <v>333.645</v>
      </c>
      <c r="S27" s="57" t="n">
        <f aca="false">(I27-R27)+S26</f>
        <v>-9084.2601933451</v>
      </c>
      <c r="T27" s="56" t="n">
        <f aca="false">(AD27-AD26)/$D$2</f>
        <v>0</v>
      </c>
      <c r="U27" s="56" t="n">
        <v>49</v>
      </c>
      <c r="V27" s="57" t="n">
        <f aca="false">V26-U27</f>
        <v>7275</v>
      </c>
      <c r="W27" s="56" t="n">
        <f aca="false">R27+T27+N27+U27</f>
        <v>388</v>
      </c>
      <c r="X27" s="56" t="n">
        <f aca="false">IF(L27&lt;0,L27*-1,0)</f>
        <v>63.1693975296193</v>
      </c>
      <c r="Y27" s="56" t="n">
        <f aca="false">W27+X27</f>
        <v>451.169397529619</v>
      </c>
      <c r="Z27" s="60" t="n">
        <v>0</v>
      </c>
      <c r="AA27" s="90" t="n">
        <v>62</v>
      </c>
      <c r="AB27" s="61" t="n">
        <v>27</v>
      </c>
      <c r="AC27" s="62" t="n">
        <f aca="false">AC26+1</f>
        <v>18</v>
      </c>
      <c r="AD27" s="78"/>
      <c r="AE27" s="78"/>
      <c r="AF27" s="82"/>
    </row>
    <row r="28" customFormat="false" ht="11.1" hidden="false" customHeight="true" outlineLevel="0" collapsed="false">
      <c r="A28" s="62" t="n">
        <f aca="false">A27+1</f>
        <v>19</v>
      </c>
      <c r="B28" s="80" t="n">
        <v>6892.51</v>
      </c>
      <c r="C28" s="97" t="n">
        <v>256771</v>
      </c>
      <c r="D28" s="61" t="n">
        <f aca="false">C28-C27</f>
        <v>-624</v>
      </c>
      <c r="E28" s="57" t="n">
        <f aca="false">C28-152000</f>
        <v>104771</v>
      </c>
      <c r="F28" s="56" t="n">
        <f aca="false">D28/$D$2</f>
        <v>-314.595412150239</v>
      </c>
      <c r="G28" s="56" t="n">
        <v>65</v>
      </c>
      <c r="H28" s="58" t="n">
        <v>0</v>
      </c>
      <c r="I28" s="56" t="n">
        <f aca="false">G28+H28</f>
        <v>65</v>
      </c>
      <c r="J28" s="81" t="n">
        <f aca="false">IF(L28&gt;0,L28,0)</f>
        <v>0</v>
      </c>
      <c r="K28" s="56" t="n">
        <f aca="false">I28+J28</f>
        <v>65</v>
      </c>
      <c r="L28" s="56" t="n">
        <f aca="false">F28-(I28-W28)</f>
        <v>-5.5954121502395</v>
      </c>
      <c r="M28" s="56" t="n">
        <v>57</v>
      </c>
      <c r="N28" s="56" t="n">
        <f aca="false">(1.3+1.6)*1.05</f>
        <v>3.045</v>
      </c>
      <c r="O28" s="56" t="n">
        <f aca="false">M28-N28</f>
        <v>53.955</v>
      </c>
      <c r="P28" s="56" t="n">
        <v>238</v>
      </c>
      <c r="Q28" s="56" t="n">
        <v>29</v>
      </c>
      <c r="R28" s="56" t="n">
        <f aca="false">SUM(O28:Q28)</f>
        <v>320.955</v>
      </c>
      <c r="S28" s="57" t="n">
        <f aca="false">(I28-R28)+S27</f>
        <v>-9340.2151933451</v>
      </c>
      <c r="T28" s="56" t="n">
        <f aca="false">(AD28-AD27)/$D$2</f>
        <v>0</v>
      </c>
      <c r="U28" s="56" t="n">
        <v>50</v>
      </c>
      <c r="V28" s="57" t="n">
        <f aca="false">V27-U28</f>
        <v>7225</v>
      </c>
      <c r="W28" s="56" t="n">
        <f aca="false">R28+T28+N28+U28</f>
        <v>374</v>
      </c>
      <c r="X28" s="56" t="n">
        <f aca="false">IF(L28&lt;0,L28*-1,0)</f>
        <v>5.5954121502395</v>
      </c>
      <c r="Y28" s="56" t="n">
        <f aca="false">W28+X28</f>
        <v>379.595412150239</v>
      </c>
      <c r="Z28" s="60" t="n">
        <v>0</v>
      </c>
      <c r="AA28" s="90" t="n">
        <v>69</v>
      </c>
      <c r="AB28" s="61" t="n">
        <v>34</v>
      </c>
      <c r="AC28" s="62" t="n">
        <f aca="false">AC27+1</f>
        <v>19</v>
      </c>
      <c r="AD28" s="78"/>
      <c r="AE28" s="78"/>
      <c r="AF28" s="82"/>
    </row>
    <row r="29" customFormat="false" ht="11.1" hidden="false" customHeight="true" outlineLevel="0" collapsed="false">
      <c r="A29" s="62" t="n">
        <f aca="false">A28+1</f>
        <v>20</v>
      </c>
      <c r="B29" s="80" t="n">
        <v>6892.34</v>
      </c>
      <c r="C29" s="57" t="n">
        <v>256181</v>
      </c>
      <c r="D29" s="61" t="n">
        <f aca="false">C29-C28</f>
        <v>-590</v>
      </c>
      <c r="E29" s="57" t="n">
        <f aca="false">C29-152000</f>
        <v>104181</v>
      </c>
      <c r="F29" s="56" t="n">
        <f aca="false">D29/$D$2</f>
        <v>-297.453995462566</v>
      </c>
      <c r="G29" s="56" t="n">
        <v>71</v>
      </c>
      <c r="H29" s="58" t="n">
        <v>0</v>
      </c>
      <c r="I29" s="56" t="n">
        <f aca="false">G29+H29</f>
        <v>71</v>
      </c>
      <c r="J29" s="81" t="n">
        <f aca="false">IF(L29&gt;0,L29,0)</f>
        <v>10.5460045374338</v>
      </c>
      <c r="K29" s="56" t="n">
        <f aca="false">I29+J29</f>
        <v>81.5460045374338</v>
      </c>
      <c r="L29" s="56" t="n">
        <f aca="false">F29-(I29-W29)</f>
        <v>10.5460045374338</v>
      </c>
      <c r="M29" s="56" t="n">
        <v>68</v>
      </c>
      <c r="N29" s="56" t="n">
        <f aca="false">(0.86+3.4)*1.05</f>
        <v>4.473</v>
      </c>
      <c r="O29" s="56" t="n">
        <f aca="false">M29-N29</f>
        <v>63.527</v>
      </c>
      <c r="P29" s="56" t="n">
        <v>237</v>
      </c>
      <c r="Q29" s="56" t="n">
        <v>24</v>
      </c>
      <c r="R29" s="56" t="n">
        <f aca="false">SUM(O29:Q29)</f>
        <v>324.527</v>
      </c>
      <c r="S29" s="57" t="n">
        <f aca="false">(I29-R29)+S28</f>
        <v>-9593.7421933451</v>
      </c>
      <c r="T29" s="56" t="n">
        <f aca="false">(AD29-AD28)/$D$2</f>
        <v>0</v>
      </c>
      <c r="U29" s="56" t="n">
        <v>50</v>
      </c>
      <c r="V29" s="57" t="n">
        <f aca="false">V28-U29</f>
        <v>7175</v>
      </c>
      <c r="W29" s="56" t="n">
        <f aca="false">R29+T29+N29+U29</f>
        <v>379</v>
      </c>
      <c r="X29" s="56" t="n">
        <f aca="false">IF(L29&lt;0,L29*-1,0)</f>
        <v>0</v>
      </c>
      <c r="Y29" s="56" t="n">
        <f aca="false">W29+X29</f>
        <v>379</v>
      </c>
      <c r="Z29" s="60" t="n">
        <v>0</v>
      </c>
      <c r="AA29" s="90" t="n">
        <v>68</v>
      </c>
      <c r="AB29" s="61" t="n">
        <v>44</v>
      </c>
      <c r="AC29" s="62" t="n">
        <f aca="false">AC28+1</f>
        <v>20</v>
      </c>
      <c r="AD29" s="78"/>
      <c r="AE29" s="78"/>
      <c r="AF29" s="82"/>
    </row>
    <row r="30" customFormat="false" ht="11.1" hidden="false" customHeight="true" outlineLevel="0" collapsed="false">
      <c r="A30" s="62" t="n">
        <f aca="false">A29+1</f>
        <v>21</v>
      </c>
      <c r="B30" s="80" t="n">
        <v>6892.29</v>
      </c>
      <c r="C30" s="57" t="n">
        <v>256008</v>
      </c>
      <c r="D30" s="61" t="n">
        <f aca="false">C30-C29</f>
        <v>-173</v>
      </c>
      <c r="E30" s="57" t="n">
        <f aca="false">C30-152000</f>
        <v>104008</v>
      </c>
      <c r="F30" s="56" t="n">
        <f aca="false">D30/$D$2</f>
        <v>-87.2195613813965</v>
      </c>
      <c r="G30" s="56" t="n">
        <v>89</v>
      </c>
      <c r="H30" s="58" t="n">
        <v>0</v>
      </c>
      <c r="I30" s="56" t="n">
        <f aca="false">G30+H30</f>
        <v>89</v>
      </c>
      <c r="J30" s="81" t="n">
        <f aca="false">IF(L30&gt;0,L30,0)</f>
        <v>26.7804386186035</v>
      </c>
      <c r="K30" s="56" t="n">
        <f aca="false">I30+J30</f>
        <v>115.780438618603</v>
      </c>
      <c r="L30" s="56" t="n">
        <f aca="false">F30-(I30-W30)</f>
        <v>26.7804386186035</v>
      </c>
      <c r="M30" s="56" t="n">
        <v>80</v>
      </c>
      <c r="N30" s="56" t="n">
        <f aca="false">(2.8+5.1)*1.05</f>
        <v>8.295</v>
      </c>
      <c r="O30" s="56" t="n">
        <f aca="false">M30-N30</f>
        <v>71.705</v>
      </c>
      <c r="P30" s="56" t="n">
        <v>49</v>
      </c>
      <c r="Q30" s="56" t="n">
        <v>23</v>
      </c>
      <c r="R30" s="56" t="n">
        <f aca="false">SUM(O30:Q30)</f>
        <v>143.705</v>
      </c>
      <c r="S30" s="57" t="n">
        <f aca="false">(I30-R30)+S29</f>
        <v>-9648.4471933451</v>
      </c>
      <c r="T30" s="56" t="n">
        <f aca="false">(AD30-AD29)/$D$2</f>
        <v>0</v>
      </c>
      <c r="U30" s="56" t="n">
        <v>51</v>
      </c>
      <c r="V30" s="57" t="n">
        <f aca="false">V29-U30</f>
        <v>7124</v>
      </c>
      <c r="W30" s="56" t="n">
        <f aca="false">R30+T30+N30+U30</f>
        <v>203</v>
      </c>
      <c r="X30" s="56" t="n">
        <f aca="false">IF(L30&lt;0,L30*-1,0)</f>
        <v>0</v>
      </c>
      <c r="Y30" s="56" t="n">
        <f aca="false">W30+X30</f>
        <v>203</v>
      </c>
      <c r="Z30" s="60" t="n">
        <v>0.37</v>
      </c>
      <c r="AA30" s="61" t="n">
        <v>50</v>
      </c>
      <c r="AB30" s="61" t="n">
        <v>39</v>
      </c>
      <c r="AC30" s="62" t="n">
        <f aca="false">AC29+1</f>
        <v>21</v>
      </c>
      <c r="AD30" s="78"/>
      <c r="AE30" s="78"/>
      <c r="AF30" s="82"/>
    </row>
    <row r="31" customFormat="false" ht="11.1" hidden="false" customHeight="true" outlineLevel="0" collapsed="false">
      <c r="A31" s="62" t="n">
        <f aca="false">A30+1</f>
        <v>22</v>
      </c>
      <c r="B31" s="80" t="n">
        <v>6892.29</v>
      </c>
      <c r="C31" s="57" t="n">
        <v>256008</v>
      </c>
      <c r="D31" s="61" t="n">
        <f aca="false">C31-C30</f>
        <v>0</v>
      </c>
      <c r="E31" s="57" t="n">
        <f aca="false">C31-152000</f>
        <v>104008</v>
      </c>
      <c r="F31" s="56" t="n">
        <f aca="false">D31/$D$2</f>
        <v>0</v>
      </c>
      <c r="G31" s="56" t="n">
        <v>111</v>
      </c>
      <c r="H31" s="58" t="n">
        <v>0</v>
      </c>
      <c r="I31" s="56" t="n">
        <f aca="false">G31+H31</f>
        <v>111</v>
      </c>
      <c r="J31" s="81" t="n">
        <f aca="false">IF(L31&gt;0,L31,0)</f>
        <v>29</v>
      </c>
      <c r="K31" s="56" t="n">
        <f aca="false">I31+J31</f>
        <v>140</v>
      </c>
      <c r="L31" s="56" t="n">
        <f aca="false">F31-(I31-W31)</f>
        <v>29</v>
      </c>
      <c r="M31" s="56" t="n">
        <v>66</v>
      </c>
      <c r="N31" s="56" t="n">
        <f aca="false">(4+5.1)*1.05</f>
        <v>9.555</v>
      </c>
      <c r="O31" s="56" t="n">
        <f aca="false">M31-N31</f>
        <v>56.445</v>
      </c>
      <c r="P31" s="56" t="n">
        <v>0</v>
      </c>
      <c r="Q31" s="56" t="n">
        <v>23</v>
      </c>
      <c r="R31" s="56" t="n">
        <f aca="false">SUM(O31:Q31)</f>
        <v>79.445</v>
      </c>
      <c r="S31" s="57" t="n">
        <f aca="false">(I31-R31)+S30</f>
        <v>-9616.89219334509</v>
      </c>
      <c r="T31" s="56" t="n">
        <f aca="false">(AD31-AD30)/$D$2</f>
        <v>0</v>
      </c>
      <c r="U31" s="56" t="n">
        <v>51</v>
      </c>
      <c r="V31" s="57" t="n">
        <f aca="false">V30-U31</f>
        <v>7073</v>
      </c>
      <c r="W31" s="56" t="n">
        <f aca="false">R31+T31+N31+U31</f>
        <v>140</v>
      </c>
      <c r="X31" s="56" t="n">
        <f aca="false">IF(L31&lt;0,L31*-1,0)</f>
        <v>0</v>
      </c>
      <c r="Y31" s="56" t="n">
        <f aca="false">W31+X31</f>
        <v>140</v>
      </c>
      <c r="Z31" s="60" t="n">
        <v>0</v>
      </c>
      <c r="AA31" s="61" t="n">
        <v>60</v>
      </c>
      <c r="AB31" s="61" t="n">
        <v>42</v>
      </c>
      <c r="AC31" s="62" t="n">
        <f aca="false">AC30+1</f>
        <v>22</v>
      </c>
      <c r="AD31" s="78"/>
      <c r="AE31" s="78"/>
      <c r="AF31" s="82"/>
      <c r="AG31" s="132"/>
      <c r="AH31" s="132"/>
      <c r="AI31" s="132"/>
    </row>
    <row r="32" customFormat="false" ht="11.1" hidden="false" customHeight="true" outlineLevel="0" collapsed="false">
      <c r="A32" s="62" t="n">
        <f aca="false">A31+1</f>
        <v>23</v>
      </c>
      <c r="B32" s="80" t="n">
        <v>6892.26</v>
      </c>
      <c r="C32" s="57" t="n">
        <v>255904</v>
      </c>
      <c r="D32" s="61" t="n">
        <f aca="false">C32-C31</f>
        <v>-104</v>
      </c>
      <c r="E32" s="57" t="n">
        <f aca="false">C32-152000</f>
        <v>103904</v>
      </c>
      <c r="F32" s="56" t="n">
        <f aca="false">D32/$D$2</f>
        <v>-52.4325686917066</v>
      </c>
      <c r="G32" s="56" t="n">
        <v>109</v>
      </c>
      <c r="H32" s="58" t="n">
        <v>0</v>
      </c>
      <c r="I32" s="56" t="n">
        <f aca="false">G32+H32</f>
        <v>109</v>
      </c>
      <c r="J32" s="81" t="n">
        <f aca="false">IF(L32&gt;0,L32,0)</f>
        <v>0</v>
      </c>
      <c r="K32" s="56" t="n">
        <f aca="false">I32+J32</f>
        <v>109</v>
      </c>
      <c r="L32" s="56" t="n">
        <f aca="false">F32-(I32-W32)</f>
        <v>-30.4325686917066</v>
      </c>
      <c r="M32" s="56" t="n">
        <v>57</v>
      </c>
      <c r="N32" s="56" t="n">
        <f aca="false">(3+4)*1.05</f>
        <v>7.35</v>
      </c>
      <c r="O32" s="56" t="n">
        <f aca="false">M32-N32</f>
        <v>49.65</v>
      </c>
      <c r="P32" s="56" t="n">
        <v>0</v>
      </c>
      <c r="Q32" s="56" t="n">
        <v>23</v>
      </c>
      <c r="R32" s="56" t="n">
        <f aca="false">SUM(O32:Q32)</f>
        <v>72.65</v>
      </c>
      <c r="S32" s="57" t="n">
        <f aca="false">(I32-R32)+S31</f>
        <v>-9580.54219334509</v>
      </c>
      <c r="T32" s="56" t="n">
        <f aca="false">(AD32-AD31)/$D$2</f>
        <v>0</v>
      </c>
      <c r="U32" s="56" t="n">
        <v>51</v>
      </c>
      <c r="V32" s="57" t="n">
        <f aca="false">V31-U32</f>
        <v>7022</v>
      </c>
      <c r="W32" s="56" t="n">
        <f aca="false">R32+T32+N32+U32</f>
        <v>131</v>
      </c>
      <c r="X32" s="56" t="n">
        <f aca="false">IF(L32&lt;0,L32*-1,0)</f>
        <v>30.4325686917066</v>
      </c>
      <c r="Y32" s="56" t="n">
        <f aca="false">W32+X32</f>
        <v>161.432568691707</v>
      </c>
      <c r="Z32" s="60" t="n">
        <v>0</v>
      </c>
      <c r="AA32" s="61" t="n">
        <v>63</v>
      </c>
      <c r="AB32" s="90" t="n">
        <v>37</v>
      </c>
      <c r="AC32" s="62" t="n">
        <f aca="false">AC31+1</f>
        <v>23</v>
      </c>
      <c r="AD32" s="78"/>
      <c r="AE32" s="78"/>
      <c r="AF32" s="82"/>
    </row>
    <row r="33" customFormat="false" ht="11.1" hidden="false" customHeight="true" outlineLevel="0" collapsed="false">
      <c r="A33" s="62" t="n">
        <f aca="false">A32+1</f>
        <v>24</v>
      </c>
      <c r="B33" s="80" t="n">
        <v>6892.24</v>
      </c>
      <c r="C33" s="57" t="n">
        <v>255835</v>
      </c>
      <c r="D33" s="61" t="n">
        <f aca="false">C33-C32</f>
        <v>-69</v>
      </c>
      <c r="E33" s="57" t="n">
        <f aca="false">C33-152000</f>
        <v>103835</v>
      </c>
      <c r="F33" s="56" t="n">
        <f aca="false">D33/$D$2</f>
        <v>-34.7869926896899</v>
      </c>
      <c r="G33" s="56" t="n">
        <v>108</v>
      </c>
      <c r="H33" s="58" t="n">
        <v>0</v>
      </c>
      <c r="I33" s="56" t="n">
        <f aca="false">G33+H33</f>
        <v>108</v>
      </c>
      <c r="J33" s="81" t="n">
        <f aca="false">IF(L33&gt;0,L33,0)</f>
        <v>0</v>
      </c>
      <c r="K33" s="56" t="n">
        <f aca="false">I33+J33</f>
        <v>108</v>
      </c>
      <c r="L33" s="56" t="n">
        <f aca="false">F33-(I33-W33)</f>
        <v>-9.78699268968994</v>
      </c>
      <c r="M33" s="56" t="n">
        <v>60</v>
      </c>
      <c r="N33" s="56" t="n">
        <f aca="false">(4.5+4.7)*1.05</f>
        <v>9.66</v>
      </c>
      <c r="O33" s="56" t="n">
        <f aca="false">M33-N33</f>
        <v>50.34</v>
      </c>
      <c r="P33" s="56" t="n">
        <v>0</v>
      </c>
      <c r="Q33" s="56" t="n">
        <v>23</v>
      </c>
      <c r="R33" s="56" t="n">
        <f aca="false">SUM(O33:Q33)</f>
        <v>73.34</v>
      </c>
      <c r="S33" s="57" t="n">
        <f aca="false">(I33-R33)+S32</f>
        <v>-9545.8821933451</v>
      </c>
      <c r="T33" s="56" t="n">
        <f aca="false">(AD33-AD32)/$D$2</f>
        <v>0</v>
      </c>
      <c r="U33" s="56" t="n">
        <v>50</v>
      </c>
      <c r="V33" s="57" t="n">
        <f aca="false">V32-U33</f>
        <v>6972</v>
      </c>
      <c r="W33" s="56" t="n">
        <f aca="false">R33+T33+N33+U33</f>
        <v>133</v>
      </c>
      <c r="X33" s="56" t="n">
        <f aca="false">IF(L33&lt;0,L33*-1,0)</f>
        <v>9.78699268968994</v>
      </c>
      <c r="Y33" s="56" t="n">
        <f aca="false">W33+X33</f>
        <v>142.78699268969</v>
      </c>
      <c r="Z33" s="60" t="n">
        <v>0.87</v>
      </c>
      <c r="AA33" s="61" t="n">
        <v>63</v>
      </c>
      <c r="AB33" s="90" t="n">
        <v>32</v>
      </c>
      <c r="AC33" s="62" t="n">
        <f aca="false">AC32+1</f>
        <v>24</v>
      </c>
      <c r="AD33" s="78"/>
      <c r="AE33" s="78"/>
      <c r="AF33" s="82"/>
    </row>
    <row r="34" customFormat="false" ht="11.1" hidden="false" customHeight="true" outlineLevel="0" collapsed="false">
      <c r="A34" s="62" t="n">
        <v>25</v>
      </c>
      <c r="B34" s="80" t="n">
        <v>6892.38</v>
      </c>
      <c r="C34" s="57" t="n">
        <v>256320</v>
      </c>
      <c r="D34" s="61" t="n">
        <f aca="false">C34-C33</f>
        <v>485</v>
      </c>
      <c r="E34" s="57" t="n">
        <f aca="false">C34-152000</f>
        <v>104320</v>
      </c>
      <c r="F34" s="56" t="n">
        <f aca="false">D34/$D$2</f>
        <v>244.517267456516</v>
      </c>
      <c r="G34" s="56" t="n">
        <v>108</v>
      </c>
      <c r="H34" s="58" t="n">
        <v>1.9</v>
      </c>
      <c r="I34" s="56" t="n">
        <f aca="false">G34+H34</f>
        <v>109.9</v>
      </c>
      <c r="J34" s="81" t="n">
        <f aca="false">IF(L34&gt;0,L34,0)</f>
        <v>271.617267456516</v>
      </c>
      <c r="K34" s="56" t="n">
        <f aca="false">I34+J34</f>
        <v>381.517267456516</v>
      </c>
      <c r="L34" s="56" t="n">
        <f aca="false">F34-(I34-W34)</f>
        <v>271.617267456516</v>
      </c>
      <c r="M34" s="56" t="n">
        <v>63</v>
      </c>
      <c r="N34" s="56" t="n">
        <f aca="false">(5.1+7.1)*1.05</f>
        <v>12.81</v>
      </c>
      <c r="O34" s="56" t="n">
        <f aca="false">M34-N34</f>
        <v>50.19</v>
      </c>
      <c r="P34" s="56" t="n">
        <v>0</v>
      </c>
      <c r="Q34" s="56" t="n">
        <v>23</v>
      </c>
      <c r="R34" s="56" t="n">
        <f aca="false">SUM(O34:Q34)</f>
        <v>73.19</v>
      </c>
      <c r="S34" s="57" t="n">
        <f aca="false">(I34-R34)+S33</f>
        <v>-9509.1721933451</v>
      </c>
      <c r="T34" s="56" t="n">
        <f aca="false">(AD34-AD33)/$D$2</f>
        <v>0</v>
      </c>
      <c r="U34" s="56" t="n">
        <v>51</v>
      </c>
      <c r="V34" s="57" t="n">
        <f aca="false">V33-U34</f>
        <v>6921</v>
      </c>
      <c r="W34" s="56" t="n">
        <f aca="false">R34+T34+N34+U34</f>
        <v>137</v>
      </c>
      <c r="X34" s="56" t="n">
        <f aca="false">IF(L34&lt;0,L34*-1,0)</f>
        <v>0</v>
      </c>
      <c r="Y34" s="56" t="n">
        <f aca="false">W34+X34</f>
        <v>137</v>
      </c>
      <c r="Z34" s="60" t="n">
        <v>1.1</v>
      </c>
      <c r="AA34" s="61" t="n">
        <v>61</v>
      </c>
      <c r="AB34" s="90" t="n">
        <v>39</v>
      </c>
      <c r="AC34" s="62" t="n">
        <v>25</v>
      </c>
      <c r="AD34" s="78"/>
      <c r="AE34" s="78"/>
      <c r="AF34" s="82"/>
    </row>
    <row r="35" customFormat="false" ht="11.1" hidden="false" customHeight="true" outlineLevel="0" collapsed="false">
      <c r="A35" s="62" t="n">
        <v>26</v>
      </c>
      <c r="B35" s="80" t="n">
        <v>6892.43</v>
      </c>
      <c r="C35" s="57" t="n">
        <v>256493</v>
      </c>
      <c r="D35" s="61" t="n">
        <f aca="false">C35-C34</f>
        <v>173</v>
      </c>
      <c r="E35" s="57" t="n">
        <f aca="false">C35-152000</f>
        <v>104493</v>
      </c>
      <c r="F35" s="56" t="n">
        <f aca="false">D35/$D$2</f>
        <v>87.2195613813965</v>
      </c>
      <c r="G35" s="56" t="n">
        <v>201</v>
      </c>
      <c r="H35" s="58" t="n">
        <v>4.9</v>
      </c>
      <c r="I35" s="56" t="n">
        <f aca="false">G35+H35</f>
        <v>205.9</v>
      </c>
      <c r="J35" s="81" t="n">
        <f aca="false">IF(L35&gt;0,L35,0)</f>
        <v>0</v>
      </c>
      <c r="K35" s="56" t="n">
        <f aca="false">I35+J35</f>
        <v>205.9</v>
      </c>
      <c r="L35" s="56" t="n">
        <f aca="false">F35-(I35-W35)</f>
        <v>-12.6804386186035</v>
      </c>
      <c r="M35" s="56" t="n">
        <v>38</v>
      </c>
      <c r="N35" s="56" t="n">
        <f aca="false">(7.1+8.3)*1.05</f>
        <v>16.17</v>
      </c>
      <c r="O35" s="56" t="n">
        <f aca="false">M35-N35</f>
        <v>21.83</v>
      </c>
      <c r="P35" s="56" t="n">
        <v>0</v>
      </c>
      <c r="Q35" s="56" t="n">
        <v>18</v>
      </c>
      <c r="R35" s="56" t="n">
        <f aca="false">SUM(O35:Q35)</f>
        <v>39.83</v>
      </c>
      <c r="S35" s="57" t="n">
        <f aca="false">(I35-R35)+S34</f>
        <v>-9343.1021933451</v>
      </c>
      <c r="T35" s="56" t="n">
        <f aca="false">(AD35-AD34)/$D$2</f>
        <v>0</v>
      </c>
      <c r="U35" s="56" t="n">
        <v>50</v>
      </c>
      <c r="V35" s="57" t="n">
        <f aca="false">V34-U35</f>
        <v>6871</v>
      </c>
      <c r="W35" s="56" t="n">
        <f aca="false">R35+T35+N35+U35</f>
        <v>106</v>
      </c>
      <c r="X35" s="56" t="n">
        <f aca="false">IF(L35&lt;0,L35*-1,0)</f>
        <v>12.6804386186035</v>
      </c>
      <c r="Y35" s="56" t="n">
        <f aca="false">W35+X35</f>
        <v>118.680438618604</v>
      </c>
      <c r="Z35" s="60" t="n">
        <v>0.61</v>
      </c>
      <c r="AA35" s="61" t="n">
        <v>57</v>
      </c>
      <c r="AB35" s="90" t="n">
        <v>39</v>
      </c>
      <c r="AC35" s="62" t="n">
        <v>26</v>
      </c>
      <c r="AD35" s="78"/>
      <c r="AE35" s="78"/>
      <c r="AF35" s="82"/>
    </row>
    <row r="36" customFormat="false" ht="11.1" hidden="false" customHeight="true" outlineLevel="0" collapsed="false">
      <c r="A36" s="62" t="n">
        <v>27</v>
      </c>
      <c r="B36" s="80" t="n">
        <v>6892.63</v>
      </c>
      <c r="C36" s="57" t="n">
        <v>257187</v>
      </c>
      <c r="D36" s="61" t="n">
        <f aca="false">C36-C35</f>
        <v>694</v>
      </c>
      <c r="E36" s="57" t="n">
        <f aca="false">C36-152000</f>
        <v>105187</v>
      </c>
      <c r="F36" s="56" t="n">
        <f aca="false">D36/$D$2</f>
        <v>349.886564154273</v>
      </c>
      <c r="G36" s="56" t="n">
        <v>209</v>
      </c>
      <c r="H36" s="58" t="n">
        <v>5.4</v>
      </c>
      <c r="I36" s="56" t="n">
        <f aca="false">G36+H36</f>
        <v>214.4</v>
      </c>
      <c r="J36" s="81" t="n">
        <f aca="false">IF(L36&gt;0,L36,0)</f>
        <v>219.486564154273</v>
      </c>
      <c r="K36" s="56" t="n">
        <f aca="false">I36+J36</f>
        <v>433.886564154273</v>
      </c>
      <c r="L36" s="56" t="n">
        <f aca="false">F36-(I36-W36)</f>
        <v>219.486564154273</v>
      </c>
      <c r="M36" s="56" t="n">
        <v>24</v>
      </c>
      <c r="N36" s="56" t="n">
        <f aca="false">(6.1+8.3)*1.05</f>
        <v>15.12</v>
      </c>
      <c r="O36" s="56" t="n">
        <f aca="false">M36-N36</f>
        <v>8.88</v>
      </c>
      <c r="P36" s="56" t="n">
        <v>0</v>
      </c>
      <c r="Q36" s="56" t="n">
        <v>11</v>
      </c>
      <c r="R36" s="56" t="n">
        <f aca="false">SUM(O36:Q36)</f>
        <v>19.88</v>
      </c>
      <c r="S36" s="57" t="n">
        <f aca="false">(I36-R36)+S35</f>
        <v>-9148.5821933451</v>
      </c>
      <c r="T36" s="56" t="n">
        <f aca="false">(AD36-AD35)/$D$2</f>
        <v>0</v>
      </c>
      <c r="U36" s="56" t="n">
        <v>49</v>
      </c>
      <c r="V36" s="57" t="n">
        <f aca="false">V35-U36</f>
        <v>6822</v>
      </c>
      <c r="W36" s="56" t="n">
        <f aca="false">R36+T36+N36+U36</f>
        <v>84</v>
      </c>
      <c r="X36" s="56" t="n">
        <f aca="false">IF(L36&lt;0,L36*-1,0)</f>
        <v>0</v>
      </c>
      <c r="Y36" s="56" t="n">
        <f aca="false">W36+X36</f>
        <v>84</v>
      </c>
      <c r="Z36" s="60" t="n">
        <v>0.7</v>
      </c>
      <c r="AA36" s="61" t="n">
        <v>51</v>
      </c>
      <c r="AB36" s="90" t="n">
        <v>34</v>
      </c>
      <c r="AC36" s="62" t="n">
        <v>27</v>
      </c>
      <c r="AD36" s="78"/>
      <c r="AE36" s="78"/>
      <c r="AF36" s="82"/>
    </row>
    <row r="37" customFormat="false" ht="11.1" hidden="false" customHeight="true" outlineLevel="0" collapsed="false">
      <c r="A37" s="62" t="n">
        <v>28</v>
      </c>
      <c r="B37" s="80" t="n">
        <v>6892.76</v>
      </c>
      <c r="C37" s="57" t="n">
        <v>257637</v>
      </c>
      <c r="D37" s="61" t="n">
        <f aca="false">C37-C36</f>
        <v>450</v>
      </c>
      <c r="E37" s="57" t="n">
        <f aca="false">C37-152000</f>
        <v>105637</v>
      </c>
      <c r="F37" s="56" t="n">
        <f aca="false">D37/$D$2</f>
        <v>226.8716914545</v>
      </c>
      <c r="G37" s="56" t="n">
        <v>223</v>
      </c>
      <c r="H37" s="58" t="n">
        <v>4.8</v>
      </c>
      <c r="I37" s="56" t="n">
        <f aca="false">G37+H37</f>
        <v>227.8</v>
      </c>
      <c r="J37" s="81" t="n">
        <f aca="false">IF(L37&gt;0,L37,0)</f>
        <v>76.4716914544996</v>
      </c>
      <c r="K37" s="56" t="n">
        <f aca="false">I37+J37</f>
        <v>304.2716914545</v>
      </c>
      <c r="L37" s="56" t="n">
        <f aca="false">F37-(I37-W37)</f>
        <v>76.4716914544996</v>
      </c>
      <c r="M37" s="56" t="n">
        <v>22</v>
      </c>
      <c r="N37" s="56" t="n">
        <f aca="false">(1.9+2.2)*1.05</f>
        <v>4.305</v>
      </c>
      <c r="O37" s="56" t="n">
        <f aca="false">M37-N37</f>
        <v>17.695</v>
      </c>
      <c r="P37" s="56" t="n">
        <v>0</v>
      </c>
      <c r="Q37" s="56" t="n">
        <v>6.4</v>
      </c>
      <c r="R37" s="56" t="n">
        <f aca="false">SUM(O37:Q37)</f>
        <v>24.095</v>
      </c>
      <c r="S37" s="57" t="n">
        <f aca="false">(I37-R37)+S36</f>
        <v>-8944.87719334509</v>
      </c>
      <c r="T37" s="56" t="n">
        <f aca="false">(AD37-AD36)/$D$2</f>
        <v>0</v>
      </c>
      <c r="U37" s="56" t="n">
        <v>49</v>
      </c>
      <c r="V37" s="57" t="n">
        <f aca="false">V36-U37</f>
        <v>6773</v>
      </c>
      <c r="W37" s="56" t="n">
        <f aca="false">R37+T37+N37+U37</f>
        <v>77.4</v>
      </c>
      <c r="X37" s="56" t="n">
        <f aca="false">IF(L37&lt;0,L37*-1,0)</f>
        <v>0</v>
      </c>
      <c r="Y37" s="56" t="n">
        <f aca="false">W37+X37</f>
        <v>77.4</v>
      </c>
      <c r="Z37" s="60" t="n">
        <v>0.1</v>
      </c>
      <c r="AA37" s="61" t="n">
        <v>48</v>
      </c>
      <c r="AB37" s="90" t="n">
        <v>32</v>
      </c>
      <c r="AC37" s="62" t="n">
        <v>28</v>
      </c>
      <c r="AD37" s="78"/>
      <c r="AE37" s="78"/>
      <c r="AF37" s="82"/>
    </row>
    <row r="38" customFormat="false" ht="11.1" hidden="false" customHeight="true" outlineLevel="0" collapsed="false">
      <c r="A38" s="62" t="n">
        <v>29</v>
      </c>
      <c r="B38" s="80" t="n">
        <v>6892.81</v>
      </c>
      <c r="C38" s="57" t="n">
        <v>257810</v>
      </c>
      <c r="D38" s="61" t="n">
        <f aca="false">C38-C37</f>
        <v>173</v>
      </c>
      <c r="E38" s="57" t="n">
        <f aca="false">C38-152000</f>
        <v>105810</v>
      </c>
      <c r="F38" s="56" t="n">
        <f aca="false">D38/$D$2</f>
        <v>87.2195613813965</v>
      </c>
      <c r="G38" s="56" t="n">
        <v>162</v>
      </c>
      <c r="H38" s="58" t="n">
        <v>3.5</v>
      </c>
      <c r="I38" s="56" t="n">
        <f aca="false">G38+H38</f>
        <v>165.5</v>
      </c>
      <c r="J38" s="81" t="n">
        <f aca="false">IF(L38&gt;0,L38,0)</f>
        <v>2.11956138139652</v>
      </c>
      <c r="K38" s="56" t="n">
        <f aca="false">I38+J38</f>
        <v>167.619561381397</v>
      </c>
      <c r="L38" s="56" t="n">
        <f aca="false">F38-(I38-W38)</f>
        <v>2.11956138139652</v>
      </c>
      <c r="M38" s="56" t="n">
        <v>23</v>
      </c>
      <c r="N38" s="56" t="n">
        <f aca="false">(0.3)*1.05</f>
        <v>0.315</v>
      </c>
      <c r="O38" s="56" t="n">
        <f aca="false">M38-N38</f>
        <v>22.685</v>
      </c>
      <c r="P38" s="56" t="n">
        <v>0</v>
      </c>
      <c r="Q38" s="56" t="n">
        <v>8.4</v>
      </c>
      <c r="R38" s="56" t="n">
        <f aca="false">SUM(O38:Q38)</f>
        <v>31.085</v>
      </c>
      <c r="S38" s="57" t="n">
        <f aca="false">(I38-R38)+S37</f>
        <v>-8810.46219334509</v>
      </c>
      <c r="T38" s="56" t="n">
        <f aca="false">(AD38-AD37)/$D$2</f>
        <v>0</v>
      </c>
      <c r="U38" s="56" t="n">
        <v>49</v>
      </c>
      <c r="V38" s="57" t="n">
        <f aca="false">V37-U38</f>
        <v>6724</v>
      </c>
      <c r="W38" s="56" t="n">
        <f aca="false">R38+T38+N38+U38</f>
        <v>80.4</v>
      </c>
      <c r="X38" s="56" t="n">
        <f aca="false">IF(L38&lt;0,L38*-1,0)</f>
        <v>0</v>
      </c>
      <c r="Y38" s="56" t="n">
        <f aca="false">W38+X38</f>
        <v>80.4</v>
      </c>
      <c r="Z38" s="60" t="n">
        <v>0</v>
      </c>
      <c r="AA38" s="61" t="n">
        <v>57</v>
      </c>
      <c r="AB38" s="90" t="n">
        <v>28</v>
      </c>
      <c r="AC38" s="62" t="n">
        <v>29</v>
      </c>
      <c r="AD38" s="78"/>
      <c r="AE38" s="78"/>
      <c r="AF38" s="82"/>
    </row>
    <row r="39" customFormat="false" ht="11.1" hidden="false" customHeight="true" outlineLevel="0" collapsed="false">
      <c r="A39" s="62" t="n">
        <v>30</v>
      </c>
      <c r="B39" s="80" t="n">
        <v>6892.9</v>
      </c>
      <c r="C39" s="57" t="n">
        <v>258122</v>
      </c>
      <c r="D39" s="61" t="n">
        <f aca="false">C39-C38</f>
        <v>312</v>
      </c>
      <c r="E39" s="57" t="n">
        <f aca="false">C39-152000</f>
        <v>106122</v>
      </c>
      <c r="F39" s="56" t="n">
        <f aca="false">D39/$D$2</f>
        <v>157.29770607512</v>
      </c>
      <c r="G39" s="56" t="n">
        <v>145</v>
      </c>
      <c r="H39" s="58" t="n">
        <v>2.7</v>
      </c>
      <c r="I39" s="56" t="n">
        <f aca="false">G39+H39</f>
        <v>147.7</v>
      </c>
      <c r="J39" s="81" t="n">
        <f aca="false">IF(L39&gt;0,L39,0)</f>
        <v>89.9977060751198</v>
      </c>
      <c r="K39" s="56" t="n">
        <f aca="false">I39+J39</f>
        <v>237.69770607512</v>
      </c>
      <c r="L39" s="56" t="n">
        <f aca="false">F39-(I39-W39)</f>
        <v>89.9977060751198</v>
      </c>
      <c r="M39" s="56" t="n">
        <v>23</v>
      </c>
      <c r="N39" s="56" t="n">
        <f aca="false">(0.97)*1.05</f>
        <v>1.0185</v>
      </c>
      <c r="O39" s="56" t="n">
        <f aca="false">M39-N39</f>
        <v>21.9815</v>
      </c>
      <c r="P39" s="56" t="n">
        <v>0</v>
      </c>
      <c r="Q39" s="56" t="n">
        <v>8.4</v>
      </c>
      <c r="R39" s="56" t="n">
        <f aca="false">SUM(O39:Q39)</f>
        <v>30.3815</v>
      </c>
      <c r="S39" s="57" t="n">
        <f aca="false">(I39-R39)+S38</f>
        <v>-8693.14369334509</v>
      </c>
      <c r="T39" s="56" t="n">
        <f aca="false">(AD39-AD38)/$D$2</f>
        <v>0</v>
      </c>
      <c r="U39" s="56" t="n">
        <v>49</v>
      </c>
      <c r="V39" s="57" t="n">
        <f aca="false">V38-U39</f>
        <v>6675</v>
      </c>
      <c r="W39" s="56" t="n">
        <f aca="false">R39+T39+N39+U39</f>
        <v>80.4</v>
      </c>
      <c r="X39" s="56" t="n">
        <f aca="false">IF(L39&lt;0,L39*-1,0)</f>
        <v>0</v>
      </c>
      <c r="Y39" s="56" t="n">
        <f aca="false">W39+X39</f>
        <v>80.4</v>
      </c>
      <c r="Z39" s="60" t="n">
        <v>0.25</v>
      </c>
      <c r="AA39" s="61" t="n">
        <v>58</v>
      </c>
      <c r="AB39" s="90" t="n">
        <v>34</v>
      </c>
      <c r="AC39" s="62" t="n">
        <v>30</v>
      </c>
      <c r="AD39" s="78"/>
      <c r="AE39" s="78"/>
      <c r="AF39" s="82"/>
    </row>
    <row r="40" customFormat="false" ht="11.1" hidden="false" customHeight="true" outlineLevel="0" collapsed="false">
      <c r="A40" s="62" t="n">
        <v>31</v>
      </c>
      <c r="B40" s="80" t="n">
        <v>6892.93</v>
      </c>
      <c r="C40" s="57" t="n">
        <v>258226</v>
      </c>
      <c r="D40" s="61" t="n">
        <f aca="false">C40-C39</f>
        <v>104</v>
      </c>
      <c r="E40" s="57" t="n">
        <f aca="false">C40-152000</f>
        <v>106226</v>
      </c>
      <c r="F40" s="56" t="n">
        <f aca="false">D40/$D$2</f>
        <v>52.4325686917066</v>
      </c>
      <c r="G40" s="56" t="n">
        <v>145</v>
      </c>
      <c r="H40" s="58" t="n">
        <v>2.6</v>
      </c>
      <c r="I40" s="56" t="n">
        <f aca="false">G40+H40</f>
        <v>147.6</v>
      </c>
      <c r="J40" s="81" t="n">
        <f aca="false">IF(L40&gt;0,L40,0)</f>
        <v>0</v>
      </c>
      <c r="K40" s="56" t="n">
        <f aca="false">I40+J40</f>
        <v>147.6</v>
      </c>
      <c r="L40" s="56" t="n">
        <f aca="false">F40-(I40-W40)</f>
        <v>-14.7674313082934</v>
      </c>
      <c r="M40" s="56" t="n">
        <v>23</v>
      </c>
      <c r="N40" s="56" t="n">
        <f aca="false">(1.2+1.4)*1.05</f>
        <v>2.73</v>
      </c>
      <c r="O40" s="56" t="n">
        <f aca="false">M40-N40</f>
        <v>20.27</v>
      </c>
      <c r="P40" s="56" t="n">
        <v>0</v>
      </c>
      <c r="Q40" s="56" t="n">
        <v>8.4</v>
      </c>
      <c r="R40" s="56" t="n">
        <f aca="false">SUM(O40:Q40)</f>
        <v>28.67</v>
      </c>
      <c r="S40" s="57" t="n">
        <f aca="false">(I40-R40)+S39</f>
        <v>-8574.2136933451</v>
      </c>
      <c r="T40" s="56" t="n">
        <f aca="false">(AD40-AD39)/$D$2</f>
        <v>0</v>
      </c>
      <c r="U40" s="56" t="n">
        <v>49</v>
      </c>
      <c r="V40" s="57" t="n">
        <f aca="false">V39-U40</f>
        <v>6626</v>
      </c>
      <c r="W40" s="56" t="n">
        <f aca="false">R40+T40+N40+U40</f>
        <v>80.4</v>
      </c>
      <c r="X40" s="56" t="n">
        <f aca="false">IF(L40&lt;0,L40*-1,0)</f>
        <v>14.7674313082934</v>
      </c>
      <c r="Y40" s="56" t="n">
        <f aca="false">W40+X40</f>
        <v>95.1674313082934</v>
      </c>
      <c r="Z40" s="60" t="n">
        <v>0</v>
      </c>
      <c r="AA40" s="61" t="n">
        <v>58</v>
      </c>
      <c r="AB40" s="90" t="n">
        <v>33</v>
      </c>
      <c r="AC40" s="62" t="n">
        <v>31</v>
      </c>
      <c r="AD40" s="78"/>
      <c r="AE40" s="78"/>
      <c r="AF40" s="82"/>
    </row>
    <row r="41" customFormat="false" ht="3" hidden="false" customHeight="true" outlineLevel="0" collapsed="false">
      <c r="A41" s="83"/>
      <c r="B41" s="83"/>
      <c r="C41" s="85"/>
      <c r="D41" s="83"/>
      <c r="E41" s="85"/>
      <c r="F41" s="83"/>
      <c r="G41" s="83"/>
      <c r="H41" s="86" t="n">
        <v>0</v>
      </c>
      <c r="I41" s="83"/>
      <c r="J41" s="83"/>
      <c r="K41" s="83"/>
      <c r="L41" s="83"/>
      <c r="M41" s="83" t="n">
        <v>0</v>
      </c>
      <c r="N41" s="83"/>
      <c r="O41" s="83"/>
      <c r="P41" s="83"/>
      <c r="Q41" s="83" t="n">
        <v>0</v>
      </c>
      <c r="R41" s="83"/>
      <c r="S41" s="85"/>
      <c r="T41" s="83"/>
      <c r="U41" s="83" t="n">
        <v>0</v>
      </c>
      <c r="V41" s="83"/>
      <c r="W41" s="83"/>
      <c r="X41" s="83"/>
      <c r="Y41" s="83"/>
      <c r="Z41" s="87"/>
      <c r="AA41" s="88"/>
      <c r="AB41" s="88"/>
      <c r="AC41" s="89"/>
      <c r="AD41" s="78"/>
      <c r="AE41" s="78"/>
      <c r="AF41" s="79"/>
    </row>
    <row r="42" customFormat="false" ht="11.1" hidden="false" customHeight="true" outlineLevel="0" collapsed="false">
      <c r="A42" s="56" t="s">
        <v>45</v>
      </c>
      <c r="B42" s="56"/>
      <c r="C42" s="57"/>
      <c r="D42" s="57"/>
      <c r="E42" s="57"/>
      <c r="F42" s="57" t="n">
        <f aca="false">SUM(F10:F40)</f>
        <v>-4562.13763549282</v>
      </c>
      <c r="G42" s="57" t="n">
        <f aca="false">SUM(G10:G40)</f>
        <v>3027</v>
      </c>
      <c r="H42" s="57" t="n">
        <f aca="false">SUM(H10:H40)</f>
        <v>25.8</v>
      </c>
      <c r="I42" s="57" t="n">
        <f aca="false">SUM(I10:I40)</f>
        <v>3052.8</v>
      </c>
      <c r="J42" s="57" t="n">
        <f aca="false">SUM(J10:J40)</f>
        <v>901.870758759768</v>
      </c>
      <c r="K42" s="57" t="n">
        <f aca="false">SUM(K10:K40)</f>
        <v>3954.67075875977</v>
      </c>
      <c r="L42" s="57" t="n">
        <f aca="false">SUM(L10:L40)</f>
        <v>284.462364507184</v>
      </c>
      <c r="M42" s="57" t="n">
        <f aca="false">SUM(M11:M40)</f>
        <v>2837</v>
      </c>
      <c r="N42" s="57" t="n">
        <f aca="false">SUM(N10:N40)</f>
        <v>650.5065</v>
      </c>
      <c r="O42" s="57" t="n">
        <f aca="false">SUM(O10:O40)</f>
        <v>2369.4935</v>
      </c>
      <c r="P42" s="57" t="n">
        <f aca="false">SUM(P10:P40)</f>
        <v>2369</v>
      </c>
      <c r="Q42" s="57" t="n">
        <f aca="false">SUM(Q10:Q40)</f>
        <v>958.6</v>
      </c>
      <c r="R42" s="57" t="n">
        <f aca="false">SUM(R10:R40)</f>
        <v>5697.0935</v>
      </c>
      <c r="S42" s="57" t="n">
        <f aca="false">S21</f>
        <v>-7864.30019334509</v>
      </c>
      <c r="T42" s="57" t="n">
        <f aca="false">SUM(T10:T40)</f>
        <v>35.8</v>
      </c>
      <c r="U42" s="57" t="n">
        <f aca="false">SUM(U10:U40)</f>
        <v>1516</v>
      </c>
      <c r="V42" s="57"/>
      <c r="W42" s="57" t="n">
        <f aca="false">SUM(W10:W40)</f>
        <v>7899.4</v>
      </c>
      <c r="X42" s="57" t="n">
        <f aca="false">SUM(X10:X40)</f>
        <v>617.408394252584</v>
      </c>
      <c r="Y42" s="57" t="n">
        <f aca="false">SUM(Y10:Y40)</f>
        <v>8516.80839425259</v>
      </c>
      <c r="Z42" s="60" t="n">
        <f aca="false">SUM(Z10:Z40)</f>
        <v>5.27</v>
      </c>
      <c r="AA42" s="61" t="n">
        <f aca="false">AVERAGE(AA10:AA40)</f>
        <v>64</v>
      </c>
      <c r="AB42" s="61" t="n">
        <f aca="false">AVERAGE(AB10:AB40)</f>
        <v>35.8709677419355</v>
      </c>
      <c r="AC42" s="62"/>
      <c r="AD42" s="78"/>
      <c r="AE42" s="78"/>
      <c r="AF42" s="79"/>
    </row>
    <row r="43" customFormat="false" ht="11.1" hidden="false" customHeight="true" outlineLevel="0" collapsed="false">
      <c r="A43" s="56" t="s">
        <v>46</v>
      </c>
      <c r="B43" s="56"/>
      <c r="C43" s="57"/>
      <c r="D43" s="57" t="n">
        <f aca="false">SUM(D10:D40)</f>
        <v>-9049</v>
      </c>
      <c r="E43" s="57"/>
      <c r="F43" s="57" t="n">
        <f aca="false">F42*$D$2</f>
        <v>-9049</v>
      </c>
      <c r="G43" s="57" t="n">
        <f aca="false">G42*$D$2</f>
        <v>6004.0545</v>
      </c>
      <c r="H43" s="57" t="n">
        <f aca="false">H42*$D$2</f>
        <v>51.1743</v>
      </c>
      <c r="I43" s="57" t="n">
        <f aca="false">I42*$D$2</f>
        <v>6055.2288</v>
      </c>
      <c r="J43" s="57" t="n">
        <f aca="false">J42*$D$2</f>
        <v>1788.86065</v>
      </c>
      <c r="K43" s="57" t="n">
        <f aca="false">K42*$D$2</f>
        <v>7844.08945</v>
      </c>
      <c r="L43" s="57" t="n">
        <f aca="false">L42*$D$2</f>
        <v>564.2311</v>
      </c>
      <c r="M43" s="57" t="n">
        <f aca="false">M42*$D$2</f>
        <v>5627.1895</v>
      </c>
      <c r="N43" s="57" t="n">
        <f aca="false">N42*$D$2</f>
        <v>1290.27964275</v>
      </c>
      <c r="O43" s="57" t="n">
        <f aca="false">O42*$D$2</f>
        <v>4699.89035725</v>
      </c>
      <c r="P43" s="57" t="n">
        <f aca="false">P42*$D$2</f>
        <v>4698.9115</v>
      </c>
      <c r="Q43" s="57" t="n">
        <f aca="false">Q42*$D$2</f>
        <v>1901.3831</v>
      </c>
      <c r="R43" s="57" t="n">
        <f aca="false">R42*$D$2</f>
        <v>11300.18495725</v>
      </c>
      <c r="S43" s="57" t="n">
        <f aca="false">S42*$D$2</f>
        <v>-15598.8394335</v>
      </c>
      <c r="T43" s="57" t="n">
        <f aca="false">T42*$D$2</f>
        <v>71.0093</v>
      </c>
      <c r="U43" s="57" t="n">
        <f aca="false">U42*$D$2</f>
        <v>3006.986</v>
      </c>
      <c r="V43" s="57" t="n">
        <f aca="false">V42*$D$2</f>
        <v>0</v>
      </c>
      <c r="W43" s="57" t="n">
        <f aca="false">W42*$D$2</f>
        <v>15668.4599</v>
      </c>
      <c r="X43" s="57" t="n">
        <f aca="false">X42*$D$2</f>
        <v>1224.62955</v>
      </c>
      <c r="Y43" s="57" t="n">
        <f aca="false">Y42*$D$2</f>
        <v>16893.08945</v>
      </c>
      <c r="Z43" s="60"/>
      <c r="AA43" s="61" t="n">
        <f aca="false">MAX(AA10:AA40)</f>
        <v>80</v>
      </c>
      <c r="AB43" s="61" t="n">
        <f aca="false">MAX(AB10:AB40)</f>
        <v>47</v>
      </c>
      <c r="AC43" s="62" t="s">
        <v>47</v>
      </c>
      <c r="AD43" s="78"/>
      <c r="AE43" s="78"/>
      <c r="AF43" s="79"/>
    </row>
    <row r="44" customFormat="false" ht="3" hidden="false" customHeight="true" outlineLevel="0" collapsed="false">
      <c r="A44" s="83"/>
      <c r="B44" s="83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3"/>
      <c r="W44" s="85"/>
      <c r="X44" s="85"/>
      <c r="Y44" s="85"/>
      <c r="Z44" s="60"/>
      <c r="AA44" s="61"/>
      <c r="AB44" s="61"/>
      <c r="AC44" s="62"/>
      <c r="AD44" s="78"/>
      <c r="AE44" s="78"/>
      <c r="AF44" s="79"/>
    </row>
    <row r="45" customFormat="false" ht="11.1" hidden="false" customHeight="true" outlineLevel="0" collapsed="false">
      <c r="A45" s="56" t="s">
        <v>48</v>
      </c>
      <c r="B45" s="56"/>
      <c r="C45" s="57"/>
      <c r="D45" s="57"/>
      <c r="E45" s="57"/>
      <c r="F45" s="57" t="n">
        <f aca="false">F7+F42</f>
        <v>-51353.1635996975</v>
      </c>
      <c r="G45" s="57" t="n">
        <f aca="false">G7+G42</f>
        <v>142389.03</v>
      </c>
      <c r="H45" s="57" t="n">
        <f aca="false">H7+H42</f>
        <v>8238.05</v>
      </c>
      <c r="I45" s="57" t="n">
        <f aca="false">I7+I42</f>
        <v>150627.08</v>
      </c>
      <c r="J45" s="57" t="n">
        <f aca="false">J7+J42</f>
        <v>24631.140136123</v>
      </c>
      <c r="K45" s="57" t="n">
        <f aca="false">K7+K42</f>
        <v>175258.220136123</v>
      </c>
      <c r="L45" s="57" t="n">
        <f aca="false">L7+L42</f>
        <v>18827.1564003025</v>
      </c>
      <c r="M45" s="57" t="n">
        <f aca="false">M7+M42</f>
        <v>44636.6</v>
      </c>
      <c r="N45" s="57" t="n">
        <f aca="false">N7+N42</f>
        <v>9646.2555</v>
      </c>
      <c r="O45" s="57" t="n">
        <f aca="false">O7+O42</f>
        <v>35173.3445</v>
      </c>
      <c r="P45" s="57" t="n">
        <f aca="false">P7+P42</f>
        <v>24390</v>
      </c>
      <c r="Q45" s="57" t="n">
        <f aca="false">Q7+Q42</f>
        <v>11773.6</v>
      </c>
      <c r="R45" s="57" t="n">
        <f aca="false">R7+R42</f>
        <v>71336.9445</v>
      </c>
      <c r="S45" s="57" t="n">
        <f aca="false">S40</f>
        <v>-8574.2136933451</v>
      </c>
      <c r="T45" s="57" t="n">
        <f aca="false">T7+T42</f>
        <v>23799.2</v>
      </c>
      <c r="U45" s="57" t="n">
        <f aca="false">U7+U42</f>
        <v>116025</v>
      </c>
      <c r="V45" s="57"/>
      <c r="W45" s="57" t="n">
        <f aca="false">W7+W42</f>
        <v>220807.4</v>
      </c>
      <c r="X45" s="57" t="n">
        <f aca="false">X7+X42</f>
        <v>5803.98373582052</v>
      </c>
      <c r="Y45" s="57" t="n">
        <f aca="false">Y7+Y42</f>
        <v>226611.383735821</v>
      </c>
      <c r="Z45" s="60"/>
      <c r="AA45" s="61" t="n">
        <f aca="false">MIN(AA10:AA40)</f>
        <v>48</v>
      </c>
      <c r="AB45" s="61" t="n">
        <f aca="false">MIN(AB10:AB40)</f>
        <v>26</v>
      </c>
      <c r="AC45" s="62" t="s">
        <v>49</v>
      </c>
      <c r="AD45" s="78"/>
      <c r="AE45" s="78"/>
      <c r="AF45" s="79"/>
    </row>
    <row r="46" customFormat="false" ht="11.1" hidden="false" customHeight="true" outlineLevel="0" collapsed="false">
      <c r="A46" s="56" t="s">
        <v>50</v>
      </c>
      <c r="B46" s="56"/>
      <c r="C46" s="57"/>
      <c r="D46" s="57"/>
      <c r="E46" s="57"/>
      <c r="F46" s="57" t="n">
        <f aca="false">F45*$D$2</f>
        <v>-101859</v>
      </c>
      <c r="G46" s="57" t="n">
        <f aca="false">G45*$D$2</f>
        <v>282428.641005</v>
      </c>
      <c r="H46" s="57" t="n">
        <f aca="false">H45*$D$2</f>
        <v>16340.172175</v>
      </c>
      <c r="I46" s="57" t="n">
        <f aca="false">I45*$D$2</f>
        <v>298768.81318</v>
      </c>
      <c r="J46" s="57" t="n">
        <f aca="false">J45*$D$2</f>
        <v>48855.86646</v>
      </c>
      <c r="K46" s="57" t="n">
        <f aca="false">K45*$D$2</f>
        <v>347624.67964</v>
      </c>
      <c r="L46" s="57" t="n">
        <f aca="false">L45*$D$2</f>
        <v>37343.66472</v>
      </c>
      <c r="M46" s="57" t="n">
        <f aca="false">M45*$D$2</f>
        <v>88536.6961</v>
      </c>
      <c r="N46" s="57" t="n">
        <f aca="false">N45*$D$2</f>
        <v>19133.34778425</v>
      </c>
      <c r="O46" s="57" t="n">
        <f aca="false">O45*$D$2</f>
        <v>69766.32881575</v>
      </c>
      <c r="P46" s="57" t="n">
        <f aca="false">P45*$D$2</f>
        <v>48377.565</v>
      </c>
      <c r="Q46" s="57" t="n">
        <f aca="false">Q45*$D$2</f>
        <v>23352.9356</v>
      </c>
      <c r="R46" s="57" t="n">
        <f aca="false">R45*$D$2</f>
        <v>141496.82941575</v>
      </c>
      <c r="S46" s="57" t="n">
        <f aca="false">S45*$D$2</f>
        <v>-17006.95286075</v>
      </c>
      <c r="T46" s="57" t="n">
        <f aca="false">T45*$D$2</f>
        <v>47205.7132</v>
      </c>
      <c r="U46" s="57" t="n">
        <f aca="false">U45*$D$2</f>
        <v>230135.5875</v>
      </c>
      <c r="V46" s="57" t="n">
        <f aca="false">V45*$D$2</f>
        <v>0</v>
      </c>
      <c r="W46" s="57" t="n">
        <f aca="false">W45*$D$2</f>
        <v>437971.4779</v>
      </c>
      <c r="X46" s="57" t="n">
        <f aca="false">X45*$D$2</f>
        <v>11512.20174</v>
      </c>
      <c r="Y46" s="57" t="n">
        <f aca="false">Y45*$D$2</f>
        <v>449483.67964</v>
      </c>
      <c r="Z46" s="60"/>
      <c r="AA46" s="61"/>
      <c r="AB46" s="61"/>
      <c r="AC46" s="62"/>
      <c r="AD46" s="78"/>
      <c r="AE46" s="78"/>
      <c r="AF46" s="79"/>
    </row>
    <row r="47" customFormat="false" ht="3" hidden="false" customHeight="true" outlineLevel="0" collapsed="false">
      <c r="A47" s="83"/>
      <c r="B47" s="83"/>
      <c r="C47" s="85"/>
      <c r="D47" s="85"/>
      <c r="E47" s="85"/>
      <c r="F47" s="85"/>
      <c r="G47" s="85"/>
      <c r="H47" s="88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7"/>
      <c r="AA47" s="61"/>
      <c r="AB47" s="61"/>
      <c r="AC47" s="62"/>
      <c r="AD47" s="78"/>
      <c r="AE47" s="78"/>
      <c r="AF47" s="79"/>
    </row>
    <row r="48" customFormat="false" ht="11.1" hidden="false" customHeight="true" outlineLevel="0" collapsed="false">
      <c r="A48" s="56" t="s">
        <v>51</v>
      </c>
      <c r="B48" s="56"/>
      <c r="C48" s="57"/>
      <c r="D48" s="57"/>
      <c r="E48" s="57"/>
      <c r="F48" s="57" t="n">
        <f aca="false">F8+F42</f>
        <v>-37934.4592891354</v>
      </c>
      <c r="G48" s="57" t="n">
        <f aca="false">G8+G42</f>
        <v>159062.03</v>
      </c>
      <c r="H48" s="61" t="n">
        <f aca="false">H8+H42</f>
        <v>10042.35</v>
      </c>
      <c r="I48" s="57" t="n">
        <f aca="false">I8+I42</f>
        <v>169097.48</v>
      </c>
      <c r="J48" s="57" t="n">
        <f aca="false">J8+J42</f>
        <v>29878.6661557852</v>
      </c>
      <c r="K48" s="57" t="n">
        <f aca="false">K8+K42</f>
        <v>198967.746155785</v>
      </c>
      <c r="L48" s="57" t="n">
        <f aca="false">L8+L42</f>
        <v>23042.5807108646</v>
      </c>
      <c r="M48" s="57" t="n">
        <f aca="false">M8+M42</f>
        <v>46166.56</v>
      </c>
      <c r="N48" s="57" t="n">
        <f aca="false">N8+N42</f>
        <v>9706.0005</v>
      </c>
      <c r="O48" s="57" t="n">
        <f aca="false">O8+O42</f>
        <v>35994.3195</v>
      </c>
      <c r="P48" s="57" t="n">
        <f aca="false">P8+P42</f>
        <v>25179</v>
      </c>
      <c r="Q48" s="57" t="n">
        <f aca="false">Q8+Q42</f>
        <v>11919.8</v>
      </c>
      <c r="R48" s="57" t="n">
        <f aca="false">R8+R42</f>
        <v>73485.1095</v>
      </c>
      <c r="S48" s="57"/>
      <c r="T48" s="57" t="n">
        <f aca="false">T8+T42</f>
        <v>23799.2</v>
      </c>
      <c r="U48" s="57" t="n">
        <f aca="false">U8+U42</f>
        <v>122826.96</v>
      </c>
      <c r="V48" s="57" t="n">
        <f aca="false">V40</f>
        <v>6626</v>
      </c>
      <c r="W48" s="57" t="n">
        <f aca="false">W8+W42</f>
        <v>230074.52</v>
      </c>
      <c r="X48" s="57" t="n">
        <f aca="false">X8+X42</f>
        <v>6836.08544492059</v>
      </c>
      <c r="Y48" s="57" t="n">
        <f aca="false">Y8+Y42</f>
        <v>236910.605444921</v>
      </c>
      <c r="Z48" s="81" t="n">
        <f aca="false">Z8+Z42</f>
        <v>18.68</v>
      </c>
      <c r="AA48" s="61"/>
      <c r="AB48" s="61"/>
      <c r="AC48" s="62"/>
      <c r="AD48" s="78"/>
      <c r="AE48" s="78"/>
      <c r="AF48" s="79"/>
    </row>
    <row r="49" customFormat="false" ht="11.1" hidden="false" customHeight="true" outlineLevel="0" collapsed="false">
      <c r="A49" s="56" t="s">
        <v>52</v>
      </c>
      <c r="B49" s="56"/>
      <c r="C49" s="57"/>
      <c r="D49" s="57" t="n">
        <f aca="false">D8+D43</f>
        <v>-47020</v>
      </c>
      <c r="E49" s="57" t="n">
        <f aca="false">E40</f>
        <v>106226</v>
      </c>
      <c r="F49" s="57" t="n">
        <f aca="false">F48*$D$2</f>
        <v>-75243</v>
      </c>
      <c r="G49" s="57" t="n">
        <f aca="false">G48*$D$2</f>
        <v>315499.536505</v>
      </c>
      <c r="H49" s="61" t="n">
        <f aca="false">H48*$D$2</f>
        <v>19919.001225</v>
      </c>
      <c r="I49" s="57" t="n">
        <f aca="false">I48*$D$2</f>
        <v>335404.85158</v>
      </c>
      <c r="J49" s="57" t="n">
        <f aca="false">J48*$D$2</f>
        <v>59264.33432</v>
      </c>
      <c r="K49" s="57" t="n">
        <f aca="false">K48*$D$2</f>
        <v>394652.5245</v>
      </c>
      <c r="L49" s="57" t="n">
        <f aca="false">L48*$D$2</f>
        <v>45704.95884</v>
      </c>
      <c r="M49" s="57" t="n">
        <f aca="false">M48*$D$2</f>
        <v>91571.37176</v>
      </c>
      <c r="N49" s="57" t="n">
        <f aca="false">N48*$D$2</f>
        <v>19251.85199175</v>
      </c>
      <c r="O49" s="57" t="n">
        <f aca="false">O48*$D$2</f>
        <v>71394.73272825</v>
      </c>
      <c r="P49" s="57" t="n">
        <f aca="false">P48*$D$2</f>
        <v>49942.5465</v>
      </c>
      <c r="Q49" s="57" t="n">
        <f aca="false">Q48*$D$2</f>
        <v>23642.9233</v>
      </c>
      <c r="R49" s="57" t="n">
        <f aca="false">R48*$D$2</f>
        <v>145757.71469325</v>
      </c>
      <c r="S49" s="57" t="n">
        <f aca="false">S48*$D$2</f>
        <v>0</v>
      </c>
      <c r="T49" s="57" t="n">
        <f aca="false">T48*$D$2</f>
        <v>47205.7132</v>
      </c>
      <c r="U49" s="57" t="n">
        <f aca="false">U48*$D$2</f>
        <v>243627.27516</v>
      </c>
      <c r="V49" s="57" t="n">
        <f aca="false">V48*$D$2</f>
        <v>13142.671</v>
      </c>
      <c r="W49" s="57" t="n">
        <f aca="false">W48*$D$2</f>
        <v>456352.81042</v>
      </c>
      <c r="X49" s="57" t="n">
        <f aca="false">X48*$D$2</f>
        <v>13559.37548</v>
      </c>
      <c r="Y49" s="57" t="n">
        <f aca="false">Y48*$D$2</f>
        <v>469912.1859</v>
      </c>
      <c r="Z49" s="60"/>
      <c r="AA49" s="61"/>
      <c r="AB49" s="61"/>
      <c r="AC49" s="62"/>
      <c r="AD49" s="78"/>
      <c r="AE49" s="78"/>
      <c r="AF49" s="79"/>
    </row>
    <row r="50" customFormat="false" ht="3" hidden="false" customHeight="true" outlineLevel="0" collapsed="false">
      <c r="A50" s="83"/>
      <c r="B50" s="83"/>
      <c r="C50" s="85"/>
      <c r="D50" s="83"/>
      <c r="E50" s="85"/>
      <c r="F50" s="83"/>
      <c r="G50" s="83"/>
      <c r="H50" s="86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5"/>
      <c r="T50" s="83"/>
      <c r="U50" s="83"/>
      <c r="V50" s="85"/>
      <c r="W50" s="83"/>
      <c r="X50" s="83"/>
      <c r="Y50" s="83"/>
      <c r="Z50" s="60"/>
      <c r="AA50" s="61"/>
      <c r="AB50" s="61"/>
      <c r="AC50" s="62"/>
      <c r="AD50" s="78"/>
      <c r="AE50" s="78"/>
      <c r="AF50" s="79"/>
    </row>
    <row r="51" customFormat="false" ht="11.1" hidden="false" customHeight="true" outlineLevel="0" collapsed="false">
      <c r="A51" s="137" t="str">
        <f aca="false">"NOV /7"</f>
        <v>NOV /7</v>
      </c>
      <c r="B51" s="93"/>
      <c r="C51" s="57"/>
      <c r="D51" s="56"/>
      <c r="E51" s="57"/>
      <c r="F51" s="56"/>
      <c r="G51" s="56"/>
      <c r="H51" s="58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7"/>
      <c r="T51" s="56"/>
      <c r="U51" s="56"/>
      <c r="V51" s="57"/>
      <c r="W51" s="56"/>
      <c r="X51" s="56"/>
      <c r="Y51" s="56"/>
      <c r="Z51" s="60"/>
      <c r="AA51" s="61"/>
      <c r="AB51" s="61"/>
      <c r="AC51" s="62"/>
      <c r="AD51" s="63"/>
      <c r="AE51" s="63"/>
    </row>
    <row r="52" customFormat="false" ht="11.1" hidden="false" customHeight="true" outlineLevel="0" collapsed="false">
      <c r="A52" s="56"/>
      <c r="B52" s="80" t="n">
        <v>6889.52</v>
      </c>
      <c r="C52" s="57" t="n">
        <v>246552</v>
      </c>
      <c r="D52" s="90"/>
      <c r="E52" s="57" t="n">
        <f aca="false">C52-152000</f>
        <v>94552</v>
      </c>
      <c r="F52" s="56"/>
      <c r="G52" s="56"/>
      <c r="H52" s="90"/>
      <c r="I52" s="58"/>
      <c r="J52" s="56"/>
      <c r="K52" s="46"/>
      <c r="L52" s="56"/>
      <c r="M52" s="56"/>
      <c r="N52" s="56"/>
      <c r="O52" s="49"/>
      <c r="S52" s="57"/>
      <c r="T52" s="111" t="n">
        <v>53026</v>
      </c>
      <c r="U52" s="49" t="str">
        <f aca="false">"= FS metered "</f>
        <v>= FS metered </v>
      </c>
      <c r="V52" s="57"/>
      <c r="W52" s="56"/>
      <c r="X52" s="56"/>
      <c r="Y52" s="56"/>
      <c r="Z52" s="60"/>
      <c r="AA52" s="61"/>
      <c r="AB52" s="61"/>
      <c r="AC52" s="62"/>
      <c r="AD52" s="63"/>
      <c r="AE52" s="63"/>
    </row>
    <row r="53" customFormat="false" ht="11.1" hidden="false" customHeight="true" outlineLevel="0" collapsed="false">
      <c r="A53" s="90" t="str">
        <f aca="false">"9/12/96 thru 10/7/96"</f>
        <v>9/12/96 thru 10/7/96</v>
      </c>
      <c r="B53" s="90"/>
      <c r="C53" s="57"/>
      <c r="D53" s="57"/>
      <c r="E53" s="57"/>
      <c r="F53" s="90"/>
      <c r="G53" s="90"/>
      <c r="H53" s="58"/>
      <c r="I53" s="90"/>
      <c r="J53" s="90"/>
      <c r="K53" s="90"/>
      <c r="L53" s="90"/>
      <c r="M53" s="81"/>
      <c r="N53" s="81"/>
      <c r="O53" s="81"/>
      <c r="P53" s="56" t="s">
        <v>111</v>
      </c>
      <c r="Q53" s="56"/>
      <c r="R53" s="57" t="n">
        <v>3803</v>
      </c>
      <c r="S53" s="57"/>
      <c r="T53" s="146" t="n">
        <f aca="false">T52/T49</f>
        <v>1.12329623694786</v>
      </c>
      <c r="U53" s="49" t="str">
        <f aca="false">"= FS Delivery Efficiency"</f>
        <v>= FS Delivery Efficiency</v>
      </c>
      <c r="V53" s="57"/>
      <c r="W53" s="90"/>
      <c r="X53" s="90"/>
      <c r="Y53" s="90"/>
      <c r="Z53" s="60"/>
      <c r="AA53" s="61"/>
      <c r="AB53" s="61"/>
      <c r="AC53" s="62"/>
      <c r="AD53" s="94"/>
      <c r="AE53" s="94"/>
    </row>
    <row r="54" customFormat="false" ht="11.1" hidden="false" customHeight="true" outlineLevel="0" collapsed="false">
      <c r="A54" s="90"/>
      <c r="B54" s="60" t="n">
        <f aca="false">B52-B21</f>
        <v>-4.09999999999945</v>
      </c>
      <c r="C54" s="57"/>
      <c r="D54" s="57" t="n">
        <f aca="false">C52-C21</f>
        <v>-14086</v>
      </c>
      <c r="E54" s="57"/>
      <c r="F54" s="90"/>
      <c r="G54" s="90"/>
      <c r="H54" s="58"/>
      <c r="I54" s="90"/>
      <c r="J54" s="90"/>
      <c r="K54" s="90"/>
      <c r="L54" s="90"/>
      <c r="M54" s="81"/>
      <c r="N54" s="81"/>
      <c r="O54" s="81"/>
      <c r="P54" s="90" t="s">
        <v>112</v>
      </c>
      <c r="Q54" s="90"/>
      <c r="R54" s="111" t="n">
        <v>1189</v>
      </c>
      <c r="S54" s="57"/>
      <c r="T54" s="90"/>
      <c r="V54" s="57"/>
      <c r="W54" s="90"/>
      <c r="X54" s="90"/>
      <c r="Y54" s="90"/>
      <c r="Z54" s="60"/>
      <c r="AA54" s="61"/>
      <c r="AB54" s="61"/>
      <c r="AC54" s="62"/>
      <c r="AD54" s="94"/>
      <c r="AE54" s="94"/>
    </row>
    <row r="55" customFormat="false" ht="11.1" hidden="false" customHeight="true" outlineLevel="0" collapsed="false">
      <c r="A55" s="90"/>
      <c r="B55" s="90"/>
      <c r="C55" s="57"/>
      <c r="D55" s="90"/>
      <c r="E55" s="57"/>
      <c r="F55" s="90"/>
      <c r="G55" s="95"/>
      <c r="H55" s="58"/>
      <c r="I55" s="90"/>
      <c r="J55" s="90"/>
      <c r="K55" s="90"/>
      <c r="L55" s="90"/>
      <c r="M55" s="81"/>
      <c r="N55" s="81"/>
      <c r="O55" s="81"/>
      <c r="P55" s="90" t="s">
        <v>113</v>
      </c>
      <c r="Q55" s="90"/>
      <c r="R55" s="57" t="n">
        <f aca="false">R49-(R53+R54)</f>
        <v>140765.71469325</v>
      </c>
      <c r="S55" s="57"/>
      <c r="T55" s="90"/>
      <c r="V55" s="57"/>
      <c r="W55" s="90"/>
      <c r="X55" s="90"/>
      <c r="Y55" s="90"/>
      <c r="Z55" s="60"/>
      <c r="AA55" s="61"/>
      <c r="AB55" s="61"/>
      <c r="AC55" s="62"/>
      <c r="AD55" s="94"/>
      <c r="AE55" s="9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La Von Millard</cp:lastModifiedBy>
  <cp:lastPrinted>1998-11-03T10:28:45Z</cp:lastPrinted>
  <dcterms:modified xsi:type="dcterms:W3CDTF">2014-03-26T14:13:34Z</dcterms:modified>
  <cp:revision>0</cp:revision>
  <dc:subject>MCPHEE IN/OUT FLOW</dc:subject>
  <dc:title>RIVER</dc:title>
</cp:coreProperties>
</file>