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externalReferences>
    <externalReference r:id="rId14"/>
  </externalReferences>
  <definedNames>
    <definedName function="false" hidden="false" localSheetId="5" name="_xlnm.Print_Area" vbProcedure="false">APR!$A$1:$AD$49</definedName>
    <definedName function="false" hidden="false" localSheetId="9" name="_xlnm.Print_Area" vbProcedure="false">AUG!$A$1:$AD$53</definedName>
    <definedName function="false" hidden="false" localSheetId="1" name="_xlnm.Print_Area" vbProcedure="false">DEC!$A$1:$AD$52</definedName>
    <definedName function="false" hidden="false" localSheetId="3" name="_xlnm.Print_Area" vbProcedure="false">FEB!$A$1:$AD$52</definedName>
    <definedName function="false" hidden="false" localSheetId="2" name="_xlnm.Print_Area" vbProcedure="false">JAN!$A$1:$AD$55</definedName>
    <definedName function="false" hidden="false" localSheetId="8" name="_xlnm.Print_Area" vbProcedure="false">JUL!$A$1:$AD$50</definedName>
    <definedName function="false" hidden="false" localSheetId="7" name="_xlnm.Print_Area" vbProcedure="false">JUN!$A$1:$AD$51</definedName>
    <definedName function="false" hidden="false" localSheetId="4" name="_xlnm.Print_Area" vbProcedure="false">MAR!$A$1:$AD$55</definedName>
    <definedName function="false" hidden="false" localSheetId="6" name="_xlnm.Print_Area" vbProcedure="false">MAY!$A$1:$AD$51</definedName>
    <definedName function="false" hidden="false" localSheetId="0" name="_xlnm.Print_Area" vbProcedure="false">NOV!$A$1:$AB$54</definedName>
    <definedName function="false" hidden="false" localSheetId="11" name="_xlnm.Print_Area" vbProcedure="false">OCT!$A$1:$AD$50</definedName>
    <definedName function="false" hidden="false" localSheetId="10" name="_xlnm.Print_Area" vbProcedure="false">SEP!$A$1:$AD$53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<sst xmlns="http://schemas.openxmlformats.org/spreadsheetml/2006/main" count="836" uniqueCount="85">
  <si>
    <t xml:space="preserve">MC  PHEE  RESERVOIR  IN/OUT  FLOW  TABULATION</t>
  </si>
  <si>
    <t xml:space="preserve">AF/cfs  CONVERT FACTOR</t>
  </si>
  <si>
    <t xml:space="preserve">NOVEMBER  "92"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</si>
  <si>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</si>
  <si>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</si>
  <si>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</si>
  <si>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</si>
  <si>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</si>
  <si>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</si>
  <si>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</si>
  <si>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</si>
  <si>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</si>
  <si>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</si>
  <si>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MVI</t>
  </si>
  <si>
    <t xml:space="preserve">U</t>
  </si>
  <si>
    <t xml:space="preserve">DV  CR</t>
  </si>
  <si>
    <t xml:space="preserve">UTE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</si>
  <si>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</si>
  <si>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</si>
  <si>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</si>
  <si>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</si>
  <si>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</si>
  <si>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</si>
  <si>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</si>
  <si>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</si>
  <si>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</si>
  <si>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</si>
  <si>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</si>
  <si>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</si>
  <si>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</si>
  <si>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</si>
  <si>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TUNNEL</t>
  </si>
  <si>
    <t xml:space="preserve">DIVER</t>
  </si>
  <si>
    <t xml:space="preserve">LATERAL</t>
  </si>
  <si>
    <t xml:space="preserve">CALL</t>
  </si>
  <si>
    <t xml:space="preserve">CANAL</t>
  </si>
  <si>
    <t xml:space="preserve">F &amp; R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</si>
  <si>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</si>
  <si>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</si>
  <si>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</si>
  <si>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</si>
  <si>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</si>
  <si>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</si>
  <si>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</si>
  <si>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</si>
  <si>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</si>
  <si>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</si>
  <si>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</si>
  <si>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</si>
  <si>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</si>
  <si>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</si>
  <si>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"92"</t>
  </si>
  <si>
    <t xml:space="preserve">'DEC''</t>
  </si>
  <si>
    <t xml:space="preserve">JANUARY  "1993"</t>
  </si>
  <si>
    <t xml:space="preserve">DOLORES TUNNEL</t>
  </si>
  <si>
    <t xml:space="preserve">LONE</t>
  </si>
  <si>
    <t xml:space="preserve">"JAN"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</si>
  <si>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</si>
  <si>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</si>
  <si>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</si>
  <si>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</si>
  <si>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</si>
  <si>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</si>
  <si>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AVE</t>
  </si>
  <si>
    <t xml:space="preserve">FEBRUARY  "1993"</t>
  </si>
  <si>
    <t xml:space="preserve">FEB</t>
  </si>
  <si>
    <t xml:space="preserve">MARCH  "1993"</t>
  </si>
  <si>
    <t xml:space="preserve">MAR</t>
  </si>
  <si>
    <t xml:space="preserve">APRIL  "1993"</t>
  </si>
  <si>
    <t xml:space="preserve">"APR"</t>
  </si>
  <si>
    <t xml:space="preserve">MVI/CTZ/MWC</t>
  </si>
  <si>
    <t xml:space="preserve">Avg</t>
  </si>
  <si>
    <t xml:space="preserve">MAY  "1993"</t>
  </si>
  <si>
    <t xml:space="preserve">"MAY"</t>
  </si>
  <si>
    <t xml:space="preserve">AVG</t>
  </si>
  <si>
    <t xml:space="preserve">JUNE  "1993"</t>
  </si>
  <si>
    <t xml:space="preserve">"JUN"</t>
  </si>
  <si>
    <t xml:space="preserve">JULY  "1993"</t>
  </si>
  <si>
    <t xml:space="preserve">"JUL"</t>
  </si>
  <si>
    <t xml:space="preserve">AUGUST  "1993"</t>
  </si>
  <si>
    <t xml:space="preserve">"AUG"</t>
  </si>
  <si>
    <t xml:space="preserve">SEPTEMBER  "1993"</t>
  </si>
  <si>
    <t xml:space="preserve">"SEP"</t>
  </si>
  <si>
    <t xml:space="preserve">OCTOBER  "1993"</t>
  </si>
  <si>
    <t xml:space="preserve">"OCT"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</si>
</sst>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##0.0"/>
    <numFmt numFmtId="171" formatCode="0.0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#,##0.00000"/>
    <numFmt numFmtId="179" formatCode="#,##0.0000"/>
    <numFmt numFmtId="180" formatCode="0.0_);[RED]\(0.0\)"/>
  </numFmts>
  <fonts count="16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b val="true"/>
      <sz val="9"/>
      <name val="Arial Narrow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sz val="6"/>
      <name val="Arial Narrow"/>
      <family val="2"/>
    </font>
    <font>
      <b val="true"/>
      <sz val="8"/>
      <name val="Arial Narrow"/>
      <family val="0"/>
    </font>
    <font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1EFC1E"/>
        <bgColor rgb="FF33CCCC"/>
      </patternFill>
    </fill>
    <fill>
      <patternFill patternType="solid">
        <fgColor rgb="FFCC9CCC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CCC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externalLink" Target="externalLinks/externalLink1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22320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44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129600</xdr:colOff>
      <xdr:row>9</xdr:row>
      <xdr:rowOff>57240</xdr:rowOff>
    </xdr:from>
    <xdr:to>
      <xdr:col>23</xdr:col>
      <xdr:colOff>216000</xdr:colOff>
      <xdr:row>11</xdr:row>
      <xdr:rowOff>19440</xdr:rowOff>
    </xdr:to>
    <xdr:sp>
      <xdr:nvSpPr>
        <xdr:cNvPr id="1" name="Text 2"/>
        <xdr:cNvSpPr/>
      </xdr:nvSpPr>
      <xdr:spPr>
        <a:xfrm>
          <a:off x="9507960" y="1299240"/>
          <a:ext cx="52848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2" name="Rectangle 1"/>
        <xdr:cNvSpPr/>
      </xdr:nvSpPr>
      <xdr:spPr>
        <a:xfrm>
          <a:off x="599364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3" name="Rectangle 3"/>
        <xdr:cNvSpPr/>
      </xdr:nvSpPr>
      <xdr:spPr>
        <a:xfrm>
          <a:off x="599364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4" name="Rectangle 4"/>
        <xdr:cNvSpPr/>
      </xdr:nvSpPr>
      <xdr:spPr>
        <a:xfrm>
          <a:off x="599364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5" name="Rectangle 6"/>
        <xdr:cNvSpPr/>
      </xdr:nvSpPr>
      <xdr:spPr>
        <a:xfrm>
          <a:off x="599364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6" name="Rectangle 8"/>
        <xdr:cNvSpPr/>
      </xdr:nvSpPr>
      <xdr:spPr>
        <a:xfrm>
          <a:off x="599364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124200</xdr:rowOff>
    </xdr:from>
    <xdr:to>
      <xdr:col>14</xdr:col>
      <xdr:colOff>11160</xdr:colOff>
      <xdr:row>34</xdr:row>
      <xdr:rowOff>140760</xdr:rowOff>
    </xdr:to>
    <xdr:sp>
      <xdr:nvSpPr>
        <xdr:cNvPr id="7" name="Rectangle 10"/>
        <xdr:cNvSpPr/>
      </xdr:nvSpPr>
      <xdr:spPr>
        <a:xfrm>
          <a:off x="5993640" y="4890600"/>
          <a:ext cx="11160" cy="165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8" name="Rectangle 11"/>
        <xdr:cNvSpPr/>
      </xdr:nvSpPr>
      <xdr:spPr>
        <a:xfrm>
          <a:off x="5993640" y="4766400"/>
          <a:ext cx="420840" cy="140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360</xdr:colOff>
      <xdr:row>28</xdr:row>
      <xdr:rowOff>141120</xdr:rowOff>
    </xdr:to>
    <xdr:sp>
      <xdr:nvSpPr>
        <xdr:cNvPr id="9" name="Rectangle 12"/>
        <xdr:cNvSpPr/>
      </xdr:nvSpPr>
      <xdr:spPr>
        <a:xfrm>
          <a:off x="5993640" y="3920400"/>
          <a:ext cx="4208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360</xdr:colOff>
      <xdr:row>28</xdr:row>
      <xdr:rowOff>141120</xdr:rowOff>
    </xdr:to>
    <xdr:sp>
      <xdr:nvSpPr>
        <xdr:cNvPr id="10" name="Rectangle 13"/>
        <xdr:cNvSpPr/>
      </xdr:nvSpPr>
      <xdr:spPr>
        <a:xfrm>
          <a:off x="5993640" y="3920400"/>
          <a:ext cx="4208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RIVER93.XLW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39">
          <cell r="B39">
            <v>6905.35</v>
          </cell>
          <cell r="C39">
            <v>303746</v>
          </cell>
        </row>
        <row r="39">
          <cell r="E39">
            <v>151746</v>
          </cell>
        </row>
        <row r="47">
          <cell r="F47">
            <v>-116.46080161331</v>
          </cell>
          <cell r="G47">
            <v>2415.2</v>
          </cell>
          <cell r="H47">
            <v>0</v>
          </cell>
          <cell r="I47">
            <v>2415.2</v>
          </cell>
          <cell r="J47">
            <v>225.837711116713</v>
          </cell>
          <cell r="K47">
            <v>2641.03771111671</v>
          </cell>
          <cell r="L47">
            <v>-673.96080161331</v>
          </cell>
          <cell r="M47">
            <v>540.3</v>
          </cell>
          <cell r="N47">
            <v>0</v>
          </cell>
          <cell r="O47">
            <v>178.7</v>
          </cell>
          <cell r="P47">
            <v>719</v>
          </cell>
        </row>
        <row r="47">
          <cell r="R47">
            <v>0</v>
          </cell>
          <cell r="S47">
            <v>0</v>
          </cell>
          <cell r="T47">
            <v>1138.7</v>
          </cell>
          <cell r="U47">
            <v>14158.3</v>
          </cell>
          <cell r="V47">
            <v>1857.7</v>
          </cell>
          <cell r="W47">
            <v>899.798512730023</v>
          </cell>
          <cell r="X47">
            <v>2757.49851273002</v>
          </cell>
          <cell r="Y47">
            <v>0.47</v>
          </cell>
        </row>
        <row r="48">
          <cell r="D48">
            <v>-231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E28" activePane="bottomRight" state="frozen"/>
      <selection pane="topLeft" activeCell="A1" activeCellId="0" sqref="A1"/>
      <selection pane="topRight" activeCell="E1" activeCellId="0" sqref="E1"/>
      <selection pane="bottomLeft" activeCell="A28" activeCellId="0" sqref="A28"/>
      <selection pane="bottomRight" activeCell="E51" activeCellId="0" sqref="E51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4" min="24" style="0" width="7.82"/>
    <col collapsed="false" customWidth="true" hidden="false" outlineLevel="0" max="25" min="25" style="0" width="5.66"/>
    <col collapsed="false" customWidth="true" hidden="false" outlineLevel="0" max="26" min="26" style="2" width="4.16"/>
    <col collapsed="false" customWidth="true" hidden="false" outlineLevel="0" max="27" min="27" style="2" width="4.66"/>
    <col collapsed="false" customWidth="true" hidden="false" outlineLevel="0" max="28" min="28" style="4" width="4.66"/>
  </cols>
  <sheetData>
    <row r="1" customFormat="false" ht="14.1" hidden="false" customHeight="true" outlineLevel="0" collapsed="false">
      <c r="A1" s="5"/>
      <c r="B1" s="5"/>
      <c r="C1" s="6"/>
      <c r="D1" s="5"/>
      <c r="E1" s="6"/>
      <c r="F1" s="5"/>
      <c r="G1" s="5"/>
      <c r="H1" s="7"/>
      <c r="I1" s="5"/>
      <c r="J1" s="5"/>
      <c r="K1" s="8" t="s">
        <v>0</v>
      </c>
      <c r="L1" s="5"/>
      <c r="M1" s="5"/>
      <c r="N1" s="5"/>
      <c r="O1" s="5"/>
      <c r="P1" s="5"/>
      <c r="Q1" s="6"/>
      <c r="R1" s="5"/>
      <c r="S1" s="5"/>
      <c r="T1" s="5"/>
      <c r="U1" s="6"/>
      <c r="V1" s="5"/>
      <c r="W1" s="5"/>
      <c r="X1" s="5"/>
      <c r="Y1" s="9"/>
      <c r="Z1" s="10"/>
      <c r="AA1" s="10"/>
      <c r="AB1" s="11"/>
    </row>
    <row r="2" customFormat="false" ht="14.1" hidden="false" customHeight="true" outlineLevel="0" collapsed="false">
      <c r="A2" s="5" t="s">
        <v>1</v>
      </c>
      <c r="B2" s="5"/>
      <c r="C2" s="6"/>
      <c r="D2" s="12" t="n">
        <v>1.9835</v>
      </c>
      <c r="E2" s="6"/>
      <c r="F2" s="5"/>
      <c r="G2" s="5"/>
      <c r="H2" s="7"/>
      <c r="I2" s="5"/>
      <c r="J2" s="5"/>
      <c r="K2" s="5"/>
      <c r="L2" s="8" t="s">
        <v>2</v>
      </c>
      <c r="M2" s="5"/>
      <c r="N2" s="5"/>
      <c r="O2" s="5"/>
      <c r="P2" s="5"/>
      <c r="Q2" s="6"/>
      <c r="R2" s="5"/>
      <c r="S2" s="5"/>
      <c r="T2" s="5"/>
      <c r="U2" s="6"/>
      <c r="V2" s="5"/>
      <c r="W2" s="5"/>
      <c r="X2" s="5"/>
      <c r="Y2" s="9"/>
      <c r="Z2" s="10"/>
      <c r="AA2" s="10"/>
      <c r="AB2" s="11"/>
    </row>
    <row r="3" customFormat="false" ht="11.1" hidden="false" customHeight="true" outlineLevel="0" collapsed="false">
      <c r="A3" s="5"/>
      <c r="B3" s="5"/>
      <c r="C3" s="6"/>
      <c r="D3" s="13"/>
      <c r="E3" s="6"/>
      <c r="F3" s="5"/>
      <c r="G3" s="5"/>
      <c r="H3" s="7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6"/>
      <c r="V3" s="5"/>
      <c r="W3" s="5"/>
      <c r="X3" s="5"/>
      <c r="Y3" s="9"/>
      <c r="Z3" s="10"/>
      <c r="AA3" s="10"/>
      <c r="AB3" s="11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6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4" t="s">
        <v>8</v>
      </c>
      <c r="N4" s="14" t="s">
        <v>13</v>
      </c>
      <c r="O4" s="14" t="s">
        <v>14</v>
      </c>
      <c r="P4" s="14" t="s">
        <v>12</v>
      </c>
      <c r="Q4" s="15" t="s">
        <v>13</v>
      </c>
      <c r="R4" s="14" t="s">
        <v>15</v>
      </c>
      <c r="S4" s="14" t="s">
        <v>16</v>
      </c>
      <c r="T4" s="14" t="s">
        <v>17</v>
      </c>
      <c r="U4" s="15" t="s">
        <v>18</v>
      </c>
      <c r="V4" s="14" t="s">
        <v>10</v>
      </c>
      <c r="W4" s="14" t="s">
        <v>11</v>
      </c>
      <c r="X4" s="14" t="s">
        <v>12</v>
      </c>
      <c r="Y4" s="17" t="s">
        <v>19</v>
      </c>
      <c r="Z4" s="18" t="s">
        <v>20</v>
      </c>
      <c r="AA4" s="18" t="s">
        <v>21</v>
      </c>
      <c r="AB4" s="18" t="s">
        <v>3</v>
      </c>
    </row>
    <row r="5" customFormat="false" ht="11.1" hidden="false" customHeight="true" outlineLevel="0" collapsed="false">
      <c r="A5" s="19" t="s">
        <v>22</v>
      </c>
      <c r="B5" s="14" t="s">
        <v>23</v>
      </c>
      <c r="C5" s="15" t="s">
        <v>5</v>
      </c>
      <c r="D5" s="14" t="s">
        <v>24</v>
      </c>
      <c r="E5" s="15" t="s">
        <v>25</v>
      </c>
      <c r="F5" s="14" t="s">
        <v>26</v>
      </c>
      <c r="G5" s="14" t="s">
        <v>27</v>
      </c>
      <c r="H5" s="16" t="s">
        <v>28</v>
      </c>
      <c r="I5" s="14" t="s">
        <v>29</v>
      </c>
      <c r="J5" s="14" t="s">
        <v>29</v>
      </c>
      <c r="K5" s="14" t="s">
        <v>29</v>
      </c>
      <c r="L5" s="14" t="s">
        <v>30</v>
      </c>
      <c r="M5" s="14" t="s">
        <v>31</v>
      </c>
      <c r="N5" s="14" t="s">
        <v>32</v>
      </c>
      <c r="O5" s="14" t="s">
        <v>33</v>
      </c>
      <c r="P5" s="14" t="s">
        <v>13</v>
      </c>
      <c r="Q5" s="15" t="s">
        <v>34</v>
      </c>
      <c r="R5" s="14" t="s">
        <v>35</v>
      </c>
      <c r="S5" s="14" t="s">
        <v>36</v>
      </c>
      <c r="T5" s="14" t="s">
        <v>37</v>
      </c>
      <c r="U5" s="15" t="s">
        <v>38</v>
      </c>
      <c r="V5" s="14" t="s">
        <v>39</v>
      </c>
      <c r="W5" s="14" t="s">
        <v>39</v>
      </c>
      <c r="X5" s="14" t="s">
        <v>39</v>
      </c>
      <c r="Y5" s="20"/>
      <c r="Z5" s="18" t="s">
        <v>40</v>
      </c>
      <c r="AA5" s="18" t="s">
        <v>40</v>
      </c>
      <c r="AB5" s="21" t="s">
        <v>22</v>
      </c>
    </row>
    <row r="6" customFormat="false" ht="11.1" hidden="false" customHeight="true" outlineLevel="0" collapsed="false">
      <c r="A6" s="22"/>
      <c r="B6" s="22"/>
      <c r="C6" s="23"/>
      <c r="D6" s="22"/>
      <c r="E6" s="23"/>
      <c r="F6" s="22"/>
      <c r="G6" s="22"/>
      <c r="H6" s="24"/>
      <c r="I6" s="22"/>
      <c r="J6" s="22"/>
      <c r="K6" s="22"/>
      <c r="L6" s="22"/>
      <c r="M6" s="22"/>
      <c r="N6" s="22"/>
      <c r="O6" s="22"/>
      <c r="P6" s="22"/>
      <c r="Q6" s="23"/>
      <c r="R6" s="22"/>
      <c r="S6" s="22"/>
      <c r="T6" s="22"/>
      <c r="U6" s="23"/>
      <c r="V6" s="22"/>
      <c r="W6" s="22"/>
      <c r="X6" s="22"/>
      <c r="Y6" s="9"/>
      <c r="Z6" s="11"/>
      <c r="AA6" s="11"/>
      <c r="AB6" s="11"/>
    </row>
    <row r="7" customFormat="false" ht="11.1" hidden="false" customHeight="true" outlineLevel="0" collapsed="false">
      <c r="A7" s="5" t="s">
        <v>41</v>
      </c>
      <c r="B7" s="5"/>
      <c r="C7" s="6"/>
      <c r="D7" s="6"/>
      <c r="E7" s="6"/>
      <c r="F7" s="6"/>
      <c r="G7" s="6"/>
      <c r="H7" s="1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9"/>
      <c r="Z7" s="10"/>
      <c r="AA7" s="10"/>
      <c r="AB7" s="11"/>
    </row>
    <row r="8" s="1" customFormat="true" ht="11.1" hidden="false" customHeight="true" outlineLevel="0" collapsed="false">
      <c r="A8" s="6" t="s">
        <v>42</v>
      </c>
      <c r="B8" s="25" t="n">
        <v>6905.41</v>
      </c>
      <c r="C8" s="6" t="n">
        <v>303977</v>
      </c>
      <c r="D8" s="6"/>
      <c r="E8" s="6"/>
      <c r="F8" s="6"/>
      <c r="G8" s="6"/>
      <c r="H8" s="1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 t="n">
        <v>15297</v>
      </c>
      <c r="V8" s="6"/>
      <c r="W8" s="6"/>
      <c r="X8" s="6"/>
      <c r="Y8" s="26"/>
      <c r="Z8" s="10"/>
      <c r="AA8" s="10"/>
      <c r="AB8" s="11"/>
    </row>
    <row r="9" customFormat="false" ht="3" hidden="false" customHeight="true" outlineLevel="0" collapsed="false">
      <c r="A9" s="27"/>
      <c r="B9" s="28"/>
      <c r="C9" s="29"/>
      <c r="D9" s="27"/>
      <c r="E9" s="29"/>
      <c r="F9" s="27"/>
      <c r="G9" s="27"/>
      <c r="H9" s="30"/>
      <c r="I9" s="27"/>
      <c r="J9" s="27"/>
      <c r="K9" s="27"/>
      <c r="L9" s="27"/>
      <c r="M9" s="27"/>
      <c r="N9" s="27"/>
      <c r="O9" s="27"/>
      <c r="P9" s="27"/>
      <c r="Q9" s="29"/>
      <c r="R9" s="27"/>
      <c r="S9" s="27"/>
      <c r="T9" s="27"/>
      <c r="U9" s="29"/>
      <c r="V9" s="27"/>
      <c r="W9" s="27"/>
      <c r="X9" s="27"/>
      <c r="Y9" s="31"/>
      <c r="Z9" s="32"/>
      <c r="AA9" s="32"/>
      <c r="AB9" s="33"/>
    </row>
    <row r="10" customFormat="false" ht="11.1" hidden="false" customHeight="true" outlineLevel="0" collapsed="false">
      <c r="A10" s="11" t="n">
        <v>1</v>
      </c>
      <c r="B10" s="25" t="n">
        <v>6905.51</v>
      </c>
      <c r="C10" s="6" t="n">
        <v>304361</v>
      </c>
      <c r="D10" s="10" t="n">
        <f aca="false">C10-C8</f>
        <v>384</v>
      </c>
      <c r="E10" s="6" t="n">
        <f aca="false">C10-152000</f>
        <v>152361</v>
      </c>
      <c r="F10" s="5" t="n">
        <f aca="false">D10/$D$2</f>
        <v>193.59717670784</v>
      </c>
      <c r="G10" s="5" t="n">
        <v>116.1</v>
      </c>
      <c r="H10" s="7" t="n">
        <v>0</v>
      </c>
      <c r="I10" s="5" t="n">
        <f aca="false">G10+H10</f>
        <v>116.1</v>
      </c>
      <c r="J10" s="26" t="n">
        <f aca="false">IF(L10&gt;0,L10,0)</f>
        <v>153.39717670784</v>
      </c>
      <c r="K10" s="5" t="n">
        <f aca="false">I10+J10</f>
        <v>269.49717670784</v>
      </c>
      <c r="L10" s="5" t="n">
        <f aca="false">F10-(I10-V10)</f>
        <v>153.39717670784</v>
      </c>
      <c r="M10" s="5" t="n">
        <v>26.2</v>
      </c>
      <c r="N10" s="5" t="n">
        <v>0</v>
      </c>
      <c r="O10" s="5" t="n">
        <v>10.8</v>
      </c>
      <c r="P10" s="5" t="n">
        <f aca="false">SUM(M10:O10)</f>
        <v>37</v>
      </c>
      <c r="Q10" s="6" t="n">
        <v>0</v>
      </c>
      <c r="R10" s="5" t="n">
        <v>0</v>
      </c>
      <c r="S10" s="5" t="n">
        <v>0</v>
      </c>
      <c r="T10" s="5" t="n">
        <v>38.9</v>
      </c>
      <c r="U10" s="6" t="n">
        <f aca="false">U8-T10</f>
        <v>15258.1</v>
      </c>
      <c r="V10" s="5" t="n">
        <f aca="false">P10+R10+S10+T10</f>
        <v>75.9</v>
      </c>
      <c r="W10" s="5" t="n">
        <f aca="false">IF(L10&lt;0,L10*-1,0)</f>
        <v>0</v>
      </c>
      <c r="X10" s="5" t="n">
        <f aca="false">V10+W10</f>
        <v>75.9</v>
      </c>
      <c r="Y10" s="9" t="n">
        <v>0</v>
      </c>
      <c r="Z10" s="10" t="n">
        <v>58</v>
      </c>
      <c r="AA10" s="10" t="n">
        <v>27</v>
      </c>
      <c r="AB10" s="11" t="n">
        <v>1</v>
      </c>
    </row>
    <row r="11" customFormat="false" ht="11.1" hidden="false" customHeight="true" outlineLevel="0" collapsed="false">
      <c r="A11" s="11" t="n">
        <f aca="false">A10+1</f>
        <v>2</v>
      </c>
      <c r="B11" s="34" t="n">
        <v>6905.52</v>
      </c>
      <c r="C11" s="6" t="n">
        <v>304401</v>
      </c>
      <c r="D11" s="10" t="n">
        <f aca="false">C11-C10</f>
        <v>40</v>
      </c>
      <c r="E11" s="6" t="n">
        <f aca="false">C11-152000</f>
        <v>152401</v>
      </c>
      <c r="F11" s="5" t="n">
        <f aca="false">D11/$D$2</f>
        <v>20.1663725737333</v>
      </c>
      <c r="G11" s="5" t="n">
        <v>96.1</v>
      </c>
      <c r="H11" s="7" t="n">
        <v>0</v>
      </c>
      <c r="I11" s="5" t="n">
        <f aca="false">G11+H11</f>
        <v>96.1</v>
      </c>
      <c r="J11" s="26" t="n">
        <f aca="false">IF(L11&gt;0,L11,0)</f>
        <v>0</v>
      </c>
      <c r="K11" s="5" t="n">
        <f aca="false">I11+J11</f>
        <v>96.1</v>
      </c>
      <c r="L11" s="5" t="n">
        <f aca="false">F11-(I11-V11)</f>
        <v>-3.1336274262667</v>
      </c>
      <c r="M11" s="5" t="n">
        <v>23.4</v>
      </c>
      <c r="N11" s="5" t="n">
        <v>0</v>
      </c>
      <c r="O11" s="5" t="n">
        <v>10.6</v>
      </c>
      <c r="P11" s="5" t="n">
        <f aca="false">SUM(M11:O11)</f>
        <v>34</v>
      </c>
      <c r="Q11" s="6" t="n">
        <v>0</v>
      </c>
      <c r="R11" s="5" t="n">
        <v>0</v>
      </c>
      <c r="S11" s="5" t="n">
        <v>0</v>
      </c>
      <c r="T11" s="5" t="n">
        <v>38.8</v>
      </c>
      <c r="U11" s="6" t="n">
        <f aca="false">U10-T11</f>
        <v>15219.3</v>
      </c>
      <c r="V11" s="5" t="n">
        <f aca="false">P11+R11+S11+T11</f>
        <v>72.8</v>
      </c>
      <c r="W11" s="5" t="n">
        <f aca="false">IF(L11&lt;0,L11*-1,0)</f>
        <v>3.1336274262667</v>
      </c>
      <c r="X11" s="5" t="n">
        <f aca="false">V11+W11</f>
        <v>75.9336274262667</v>
      </c>
      <c r="Y11" s="9" t="n">
        <v>0</v>
      </c>
      <c r="Z11" s="10" t="n">
        <v>30</v>
      </c>
      <c r="AA11" s="10" t="n">
        <v>26</v>
      </c>
      <c r="AB11" s="11" t="n">
        <f aca="false">AB10+1</f>
        <v>2</v>
      </c>
    </row>
    <row r="12" customFormat="false" ht="11.1" hidden="false" customHeight="true" outlineLevel="0" collapsed="false">
      <c r="A12" s="11" t="n">
        <f aca="false">A11+1</f>
        <v>3</v>
      </c>
      <c r="B12" s="25" t="n">
        <v>6905.51</v>
      </c>
      <c r="C12" s="6" t="n">
        <v>304361</v>
      </c>
      <c r="D12" s="10" t="n">
        <f aca="false">C12-C11</f>
        <v>-40</v>
      </c>
      <c r="E12" s="6" t="n">
        <f aca="false">C12-152000</f>
        <v>152361</v>
      </c>
      <c r="F12" s="5" t="n">
        <f aca="false">D12/$D$2</f>
        <v>-20.1663725737333</v>
      </c>
      <c r="G12" s="5" t="n">
        <v>84.7</v>
      </c>
      <c r="H12" s="7" t="n">
        <v>0</v>
      </c>
      <c r="I12" s="5" t="n">
        <f aca="false">G12+H12</f>
        <v>84.7</v>
      </c>
      <c r="J12" s="26" t="n">
        <f aca="false">IF(L12&gt;0,L12,0)</f>
        <v>0</v>
      </c>
      <c r="K12" s="5" t="n">
        <f aca="false">I12+J12</f>
        <v>84.7</v>
      </c>
      <c r="L12" s="5" t="n">
        <f aca="false">F12-(I12-V12)</f>
        <v>-35.0663725737333</v>
      </c>
      <c r="M12" s="5" t="n">
        <v>21.3</v>
      </c>
      <c r="N12" s="5" t="n">
        <v>0</v>
      </c>
      <c r="O12" s="5" t="n">
        <v>9.7</v>
      </c>
      <c r="P12" s="5" t="n">
        <f aca="false">SUM(M12:O12)</f>
        <v>31</v>
      </c>
      <c r="Q12" s="6" t="n">
        <v>0</v>
      </c>
      <c r="R12" s="5" t="n">
        <v>0</v>
      </c>
      <c r="S12" s="5" t="n">
        <v>0</v>
      </c>
      <c r="T12" s="5" t="n">
        <v>38.8</v>
      </c>
      <c r="U12" s="6" t="n">
        <f aca="false">U11-T12</f>
        <v>15180.5</v>
      </c>
      <c r="V12" s="5" t="n">
        <f aca="false">P12+R12+S12+T12</f>
        <v>69.8</v>
      </c>
      <c r="W12" s="5" t="n">
        <f aca="false">IF(L12&lt;0,L12*-1,0)</f>
        <v>35.0663725737333</v>
      </c>
      <c r="X12" s="5" t="n">
        <f aca="false">V12+W12</f>
        <v>104.866372573733</v>
      </c>
      <c r="Y12" s="9" t="n">
        <v>0</v>
      </c>
      <c r="Z12" s="10" t="n">
        <v>46</v>
      </c>
      <c r="AA12" s="10" t="n">
        <v>24</v>
      </c>
      <c r="AB12" s="11" t="n">
        <f aca="false">AB11+1</f>
        <v>3</v>
      </c>
    </row>
    <row r="13" customFormat="false" ht="11.1" hidden="false" customHeight="true" outlineLevel="0" collapsed="false">
      <c r="A13" s="11" t="n">
        <f aca="false">A12+1</f>
        <v>4</v>
      </c>
      <c r="B13" s="25" t="n">
        <v>6905.49</v>
      </c>
      <c r="C13" s="6" t="n">
        <v>304286</v>
      </c>
      <c r="D13" s="10" t="n">
        <f aca="false">C13-C12</f>
        <v>-75</v>
      </c>
      <c r="E13" s="6" t="n">
        <f aca="false">C13-152000</f>
        <v>152286</v>
      </c>
      <c r="F13" s="5" t="n">
        <f aca="false">D13/$D$2</f>
        <v>-37.8119485757499</v>
      </c>
      <c r="G13" s="5" t="n">
        <v>66.6</v>
      </c>
      <c r="H13" s="7" t="n">
        <v>0</v>
      </c>
      <c r="I13" s="5" t="n">
        <f aca="false">G13+H13</f>
        <v>66.6</v>
      </c>
      <c r="J13" s="26" t="n">
        <f aca="false">IF(L13&gt;0,L13,0)</f>
        <v>0</v>
      </c>
      <c r="K13" s="5" t="n">
        <f aca="false">I13+J13</f>
        <v>66.6</v>
      </c>
      <c r="L13" s="5" t="n">
        <f aca="false">F13-(I13-V13)</f>
        <v>-34.6119485757499</v>
      </c>
      <c r="M13" s="5" t="n">
        <v>20.9</v>
      </c>
      <c r="N13" s="5" t="n">
        <v>0</v>
      </c>
      <c r="O13" s="5" t="n">
        <v>10.1</v>
      </c>
      <c r="P13" s="5" t="n">
        <f aca="false">SUM(M13:O13)</f>
        <v>31</v>
      </c>
      <c r="Q13" s="6" t="n">
        <v>0</v>
      </c>
      <c r="R13" s="5" t="n">
        <v>0</v>
      </c>
      <c r="S13" s="5" t="n">
        <v>0</v>
      </c>
      <c r="T13" s="5" t="n">
        <v>38.8</v>
      </c>
      <c r="U13" s="6" t="n">
        <f aca="false">U12-T13</f>
        <v>15141.7</v>
      </c>
      <c r="V13" s="5" t="n">
        <f aca="false">P13+R13+S13+T13</f>
        <v>69.8</v>
      </c>
      <c r="W13" s="5" t="n">
        <f aca="false">IF(L13&lt;0,L13*-1,0)</f>
        <v>34.6119485757499</v>
      </c>
      <c r="X13" s="5" t="n">
        <f aca="false">V13+W13</f>
        <v>104.41194857575</v>
      </c>
      <c r="Y13" s="9" t="n">
        <v>0</v>
      </c>
      <c r="Z13" s="10" t="n">
        <v>42</v>
      </c>
      <c r="AA13" s="10" t="n">
        <v>18</v>
      </c>
      <c r="AB13" s="11" t="n">
        <f aca="false">AB12+1</f>
        <v>4</v>
      </c>
    </row>
    <row r="14" customFormat="false" ht="11.1" hidden="false" customHeight="true" outlineLevel="0" collapsed="false">
      <c r="A14" s="11" t="n">
        <f aca="false">A13+1</f>
        <v>5</v>
      </c>
      <c r="B14" s="25" t="n">
        <v>6905.46</v>
      </c>
      <c r="C14" s="6" t="n">
        <v>304169</v>
      </c>
      <c r="D14" s="10" t="n">
        <f aca="false">C14-C13</f>
        <v>-117</v>
      </c>
      <c r="E14" s="6" t="n">
        <f aca="false">C14-152000</f>
        <v>152169</v>
      </c>
      <c r="F14" s="5" t="n">
        <f aca="false">D14/$D$2</f>
        <v>-58.9866397781699</v>
      </c>
      <c r="G14" s="5" t="n">
        <v>69.4</v>
      </c>
      <c r="H14" s="7" t="n">
        <v>0</v>
      </c>
      <c r="I14" s="5" t="n">
        <f aca="false">G14+H14</f>
        <v>69.4</v>
      </c>
      <c r="J14" s="26" t="n">
        <f aca="false">IF(L14&gt;0,L14,0)</f>
        <v>0</v>
      </c>
      <c r="K14" s="5" t="n">
        <f aca="false">I14+J14</f>
        <v>69.4</v>
      </c>
      <c r="L14" s="5" t="n">
        <f aca="false">F14-(I14-V14)</f>
        <v>-59.5866397781699</v>
      </c>
      <c r="M14" s="5" t="n">
        <v>20.7</v>
      </c>
      <c r="N14" s="5" t="n">
        <v>0</v>
      </c>
      <c r="O14" s="5" t="n">
        <v>9.3</v>
      </c>
      <c r="P14" s="5" t="n">
        <f aca="false">SUM(M14:O14)</f>
        <v>30</v>
      </c>
      <c r="Q14" s="6" t="n">
        <v>0</v>
      </c>
      <c r="R14" s="5" t="n">
        <v>0</v>
      </c>
      <c r="S14" s="5" t="n">
        <v>0</v>
      </c>
      <c r="T14" s="5" t="n">
        <v>38.8</v>
      </c>
      <c r="U14" s="6" t="n">
        <f aca="false">U13-T14</f>
        <v>15102.9</v>
      </c>
      <c r="V14" s="5" t="n">
        <f aca="false">P14+R14+S14+T14</f>
        <v>68.8</v>
      </c>
      <c r="W14" s="5" t="n">
        <f aca="false">IF(L14&lt;0,L14*-1,0)</f>
        <v>59.5866397781699</v>
      </c>
      <c r="X14" s="5" t="n">
        <f aca="false">V14+W14</f>
        <v>128.38663977817</v>
      </c>
      <c r="Y14" s="9" t="n">
        <v>0</v>
      </c>
      <c r="Z14" s="10" t="n">
        <v>44</v>
      </c>
      <c r="AA14" s="10" t="n">
        <v>19</v>
      </c>
      <c r="AB14" s="11" t="n">
        <f aca="false">AB13+1</f>
        <v>5</v>
      </c>
    </row>
    <row r="15" customFormat="false" ht="11.1" hidden="false" customHeight="true" outlineLevel="0" collapsed="false">
      <c r="A15" s="11" t="n">
        <f aca="false">A14+1</f>
        <v>6</v>
      </c>
      <c r="B15" s="25" t="n">
        <v>6905.46</v>
      </c>
      <c r="C15" s="6" t="n">
        <v>304169</v>
      </c>
      <c r="D15" s="10" t="n">
        <f aca="false">C15-C14</f>
        <v>0</v>
      </c>
      <c r="E15" s="6" t="n">
        <f aca="false">C15-152000</f>
        <v>152169</v>
      </c>
      <c r="F15" s="5" t="n">
        <f aca="false">D15/$D$2</f>
        <v>0</v>
      </c>
      <c r="G15" s="5" t="n">
        <v>73.3</v>
      </c>
      <c r="H15" s="7" t="n">
        <v>0</v>
      </c>
      <c r="I15" s="5" t="n">
        <f aca="false">G15+H15</f>
        <v>73.3</v>
      </c>
      <c r="J15" s="26" t="n">
        <f aca="false">IF(L15&gt;0,L15,0)</f>
        <v>0</v>
      </c>
      <c r="K15" s="5" t="n">
        <f aca="false">I15+J15</f>
        <v>73.3</v>
      </c>
      <c r="L15" s="5" t="n">
        <f aca="false">F15-(I15-V15)</f>
        <v>-4.7</v>
      </c>
      <c r="M15" s="5" t="n">
        <v>20.5</v>
      </c>
      <c r="N15" s="5" t="n">
        <v>0</v>
      </c>
      <c r="O15" s="5" t="n">
        <v>9.5</v>
      </c>
      <c r="P15" s="5" t="n">
        <f aca="false">SUM(M15:O15)</f>
        <v>30</v>
      </c>
      <c r="Q15" s="6" t="n">
        <v>0</v>
      </c>
      <c r="R15" s="5" t="n">
        <v>0</v>
      </c>
      <c r="S15" s="5" t="n">
        <v>0</v>
      </c>
      <c r="T15" s="5" t="n">
        <v>38.6</v>
      </c>
      <c r="U15" s="6" t="n">
        <f aca="false">U14-T15</f>
        <v>15064.3</v>
      </c>
      <c r="V15" s="5" t="n">
        <f aca="false">P15+R15+S15+T15</f>
        <v>68.6</v>
      </c>
      <c r="W15" s="5" t="n">
        <f aca="false">IF(L15&lt;0,L15*-1,0)</f>
        <v>4.7</v>
      </c>
      <c r="X15" s="5" t="n">
        <f aca="false">V15+W15</f>
        <v>73.3</v>
      </c>
      <c r="Y15" s="9" t="n">
        <v>0</v>
      </c>
      <c r="Z15" s="10" t="n">
        <v>47</v>
      </c>
      <c r="AA15" s="10" t="n">
        <v>21</v>
      </c>
      <c r="AB15" s="11" t="n">
        <f aca="false">AB14+1</f>
        <v>6</v>
      </c>
    </row>
    <row r="16" customFormat="false" ht="11.1" hidden="false" customHeight="true" outlineLevel="0" collapsed="false">
      <c r="A16" s="11" t="n">
        <f aca="false">A15+1</f>
        <v>7</v>
      </c>
      <c r="B16" s="25" t="n">
        <v>6905.46</v>
      </c>
      <c r="C16" s="6" t="n">
        <v>304169</v>
      </c>
      <c r="D16" s="10" t="n">
        <f aca="false">C16-C15</f>
        <v>0</v>
      </c>
      <c r="E16" s="6" t="n">
        <f aca="false">C16-152000</f>
        <v>152169</v>
      </c>
      <c r="F16" s="5" t="n">
        <f aca="false">D16/$D$2</f>
        <v>0</v>
      </c>
      <c r="G16" s="5" t="n">
        <v>75.9</v>
      </c>
      <c r="H16" s="7" t="n">
        <v>0</v>
      </c>
      <c r="I16" s="5" t="n">
        <f aca="false">G16+H16</f>
        <v>75.9</v>
      </c>
      <c r="J16" s="26" t="n">
        <f aca="false">IF(L16&gt;0,L16,0)</f>
        <v>0</v>
      </c>
      <c r="K16" s="5" t="n">
        <f aca="false">I16+J16</f>
        <v>75.9</v>
      </c>
      <c r="L16" s="5" t="n">
        <f aca="false">F16-(I16-V16)</f>
        <v>-7.30000000000001</v>
      </c>
      <c r="M16" s="5" t="n">
        <v>20.5</v>
      </c>
      <c r="N16" s="5" t="n">
        <v>0</v>
      </c>
      <c r="O16" s="5" t="n">
        <v>9.5</v>
      </c>
      <c r="P16" s="5" t="n">
        <f aca="false">SUM(M16:O16)</f>
        <v>30</v>
      </c>
      <c r="Q16" s="6" t="n">
        <v>0</v>
      </c>
      <c r="R16" s="5" t="n">
        <v>0</v>
      </c>
      <c r="S16" s="5" t="n">
        <v>0</v>
      </c>
      <c r="T16" s="5" t="n">
        <v>38.6</v>
      </c>
      <c r="U16" s="6" t="n">
        <f aca="false">U15-T16</f>
        <v>15025.7</v>
      </c>
      <c r="V16" s="5" t="n">
        <f aca="false">P16+R16+S16+T16</f>
        <v>68.6</v>
      </c>
      <c r="W16" s="5" t="n">
        <f aca="false">IF(L16&lt;0,L16*-1,0)</f>
        <v>7.30000000000001</v>
      </c>
      <c r="X16" s="5" t="n">
        <f aca="false">V16+W16</f>
        <v>75.9</v>
      </c>
      <c r="Y16" s="9" t="n">
        <v>0</v>
      </c>
      <c r="Z16" s="10" t="n">
        <v>53</v>
      </c>
      <c r="AA16" s="10" t="n">
        <v>24</v>
      </c>
      <c r="AB16" s="11" t="n">
        <f aca="false">AB15+1</f>
        <v>7</v>
      </c>
    </row>
    <row r="17" customFormat="false" ht="11.1" hidden="false" customHeight="true" outlineLevel="0" collapsed="false">
      <c r="A17" s="11" t="n">
        <f aca="false">A16+1</f>
        <v>8</v>
      </c>
      <c r="B17" s="25" t="n">
        <v>6905.44</v>
      </c>
      <c r="C17" s="6" t="n">
        <v>304092</v>
      </c>
      <c r="D17" s="10" t="n">
        <f aca="false">C17-C16</f>
        <v>-77</v>
      </c>
      <c r="E17" s="6" t="n">
        <f aca="false">C17-152000</f>
        <v>152092</v>
      </c>
      <c r="F17" s="5" t="n">
        <f aca="false">D17/$D$2</f>
        <v>-38.8202672044366</v>
      </c>
      <c r="G17" s="5" t="n">
        <v>79.4</v>
      </c>
      <c r="H17" s="7" t="n">
        <v>0</v>
      </c>
      <c r="I17" s="5" t="n">
        <f aca="false">G17+H17</f>
        <v>79.4</v>
      </c>
      <c r="J17" s="26" t="n">
        <f aca="false">IF(L17&gt;0,L17,0)</f>
        <v>0</v>
      </c>
      <c r="K17" s="5" t="n">
        <f aca="false">I17+J17</f>
        <v>79.4</v>
      </c>
      <c r="L17" s="5" t="n">
        <f aca="false">F17-(I17-V17)</f>
        <v>-49.7202672044366</v>
      </c>
      <c r="M17" s="5" t="n">
        <v>20.7</v>
      </c>
      <c r="N17" s="5" t="n">
        <v>0</v>
      </c>
      <c r="O17" s="5" t="n">
        <v>9.3</v>
      </c>
      <c r="P17" s="5" t="n">
        <f aca="false">SUM(M17:O17)</f>
        <v>30</v>
      </c>
      <c r="Q17" s="6" t="n">
        <v>0</v>
      </c>
      <c r="R17" s="5" t="n">
        <v>0</v>
      </c>
      <c r="S17" s="5" t="n">
        <v>0</v>
      </c>
      <c r="T17" s="5" t="n">
        <v>38.5</v>
      </c>
      <c r="U17" s="6" t="n">
        <f aca="false">U16-T17</f>
        <v>14987.2</v>
      </c>
      <c r="V17" s="5" t="n">
        <f aca="false">P17+R17+S17+T17</f>
        <v>68.5</v>
      </c>
      <c r="W17" s="5" t="n">
        <f aca="false">IF(L17&lt;0,L17*-1,0)</f>
        <v>49.7202672044366</v>
      </c>
      <c r="X17" s="5" t="n">
        <f aca="false">V17+W17</f>
        <v>118.220267204437</v>
      </c>
      <c r="Y17" s="9" t="n">
        <v>0</v>
      </c>
      <c r="Z17" s="10" t="n">
        <v>56</v>
      </c>
      <c r="AA17" s="10" t="n">
        <v>33</v>
      </c>
      <c r="AB17" s="11" t="n">
        <f aca="false">AB16+1</f>
        <v>8</v>
      </c>
    </row>
    <row r="18" customFormat="false" ht="11.1" hidden="false" customHeight="true" outlineLevel="0" collapsed="false">
      <c r="A18" s="11" t="n">
        <f aca="false">A17+1</f>
        <v>9</v>
      </c>
      <c r="B18" s="25" t="n">
        <v>6905.42</v>
      </c>
      <c r="C18" s="6" t="n">
        <v>304015</v>
      </c>
      <c r="D18" s="10" t="n">
        <f aca="false">C18-C17</f>
        <v>-77</v>
      </c>
      <c r="E18" s="6" t="n">
        <f aca="false">C18-152000</f>
        <v>152015</v>
      </c>
      <c r="F18" s="5" t="n">
        <f aca="false">D18/$D$2</f>
        <v>-38.8202672044366</v>
      </c>
      <c r="G18" s="5" t="n">
        <v>90</v>
      </c>
      <c r="H18" s="7" t="n">
        <v>0</v>
      </c>
      <c r="I18" s="5" t="n">
        <f aca="false">G18+H18</f>
        <v>90</v>
      </c>
      <c r="J18" s="26" t="n">
        <f aca="false">IF(L18&gt;0,L18,0)</f>
        <v>0</v>
      </c>
      <c r="K18" s="5" t="n">
        <f aca="false">I18+J18</f>
        <v>90</v>
      </c>
      <c r="L18" s="5" t="n">
        <f aca="false">F18-(I18-V18)</f>
        <v>-56.9202672044366</v>
      </c>
      <c r="M18" s="5" t="n">
        <v>20.7</v>
      </c>
      <c r="N18" s="5" t="n">
        <v>0</v>
      </c>
      <c r="O18" s="5" t="n">
        <v>9.3</v>
      </c>
      <c r="P18" s="5" t="n">
        <f aca="false">SUM(M18:O18)</f>
        <v>30</v>
      </c>
      <c r="Q18" s="6" t="n">
        <v>0</v>
      </c>
      <c r="R18" s="5" t="n">
        <v>0</v>
      </c>
      <c r="S18" s="5" t="n">
        <v>0</v>
      </c>
      <c r="T18" s="5" t="n">
        <v>41.9</v>
      </c>
      <c r="U18" s="6" t="n">
        <f aca="false">U17-T18</f>
        <v>14945.3</v>
      </c>
      <c r="V18" s="5" t="n">
        <f aca="false">P18+R18+S18+T18</f>
        <v>71.9</v>
      </c>
      <c r="W18" s="5" t="n">
        <f aca="false">IF(L18&lt;0,L18*-1,0)</f>
        <v>56.9202672044366</v>
      </c>
      <c r="X18" s="5" t="n">
        <f aca="false">V18+W18</f>
        <v>128.820267204437</v>
      </c>
      <c r="Y18" s="9" t="n">
        <v>0</v>
      </c>
      <c r="Z18" s="35" t="n">
        <v>50</v>
      </c>
      <c r="AA18" s="10" t="n">
        <v>30</v>
      </c>
      <c r="AB18" s="11" t="n">
        <f aca="false">AB17+1</f>
        <v>9</v>
      </c>
    </row>
    <row r="19" customFormat="false" ht="11.1" hidden="false" customHeight="true" outlineLevel="0" collapsed="false">
      <c r="A19" s="11" t="n">
        <f aca="false">A18+1</f>
        <v>10</v>
      </c>
      <c r="B19" s="25" t="n">
        <v>6905.46</v>
      </c>
      <c r="C19" s="6" t="n">
        <v>304169</v>
      </c>
      <c r="D19" s="10" t="n">
        <f aca="false">C19-C18</f>
        <v>154</v>
      </c>
      <c r="E19" s="6" t="n">
        <f aca="false">C19-152000</f>
        <v>152169</v>
      </c>
      <c r="F19" s="5" t="n">
        <f aca="false">D19/$D$2</f>
        <v>77.6405344088732</v>
      </c>
      <c r="G19" s="5" t="n">
        <v>80.4</v>
      </c>
      <c r="H19" s="7" t="n">
        <v>0</v>
      </c>
      <c r="I19" s="5" t="n">
        <f aca="false">G19+H19</f>
        <v>80.4</v>
      </c>
      <c r="J19" s="26" t="n">
        <f aca="false">IF(L19&gt;0,L19,0)</f>
        <v>66.1405344088732</v>
      </c>
      <c r="K19" s="5" t="n">
        <f aca="false">I19+J19</f>
        <v>146.540534408873</v>
      </c>
      <c r="L19" s="5" t="n">
        <f aca="false">F19-(I19-V19)</f>
        <v>66.1405344088732</v>
      </c>
      <c r="M19" s="5" t="n">
        <v>20.9</v>
      </c>
      <c r="N19" s="5" t="n">
        <v>0</v>
      </c>
      <c r="O19" s="5" t="n">
        <v>9.1</v>
      </c>
      <c r="P19" s="5" t="n">
        <f aca="false">SUM(M19:O19)</f>
        <v>30</v>
      </c>
      <c r="Q19" s="6" t="n">
        <v>0</v>
      </c>
      <c r="R19" s="5" t="n">
        <v>0</v>
      </c>
      <c r="S19" s="5" t="n">
        <v>0</v>
      </c>
      <c r="T19" s="5" t="n">
        <v>38.9</v>
      </c>
      <c r="U19" s="6" t="n">
        <f aca="false">U18-T19</f>
        <v>14906.4</v>
      </c>
      <c r="V19" s="5" t="n">
        <f aca="false">P19+R19+S19+T19</f>
        <v>68.9</v>
      </c>
      <c r="W19" s="5" t="n">
        <f aca="false">IF(L19&lt;0,L19*-1,0)</f>
        <v>0</v>
      </c>
      <c r="X19" s="5" t="n">
        <f aca="false">V19+W19</f>
        <v>68.9</v>
      </c>
      <c r="Y19" s="9" t="n">
        <v>0.32</v>
      </c>
      <c r="Z19" s="10" t="n">
        <v>45</v>
      </c>
      <c r="AA19" s="10" t="n">
        <v>20</v>
      </c>
      <c r="AB19" s="11" t="n">
        <f aca="false">AB18+1</f>
        <v>10</v>
      </c>
    </row>
    <row r="20" customFormat="false" ht="11.1" hidden="false" customHeight="true" outlineLevel="0" collapsed="false">
      <c r="A20" s="11" t="n">
        <f aca="false">A19+1</f>
        <v>11</v>
      </c>
      <c r="B20" s="25" t="n">
        <v>6905.45</v>
      </c>
      <c r="C20" s="6" t="n">
        <v>304132</v>
      </c>
      <c r="D20" s="10" t="n">
        <f aca="false">C20-C19</f>
        <v>-37</v>
      </c>
      <c r="E20" s="6" t="n">
        <f aca="false">C20-152000</f>
        <v>152132</v>
      </c>
      <c r="F20" s="5" t="n">
        <f aca="false">D20/$D$2</f>
        <v>-18.6538946307033</v>
      </c>
      <c r="G20" s="5" t="n">
        <v>79.5</v>
      </c>
      <c r="H20" s="7" t="n">
        <v>0</v>
      </c>
      <c r="I20" s="5" t="n">
        <f aca="false">G20+H20</f>
        <v>79.5</v>
      </c>
      <c r="J20" s="26" t="n">
        <f aca="false">IF(L20&gt;0,L20,0)</f>
        <v>0</v>
      </c>
      <c r="K20" s="5" t="n">
        <f aca="false">I20+J20</f>
        <v>79.5</v>
      </c>
      <c r="L20" s="5" t="n">
        <f aca="false">F20-(I20-V20)</f>
        <v>-29.1538946307033</v>
      </c>
      <c r="M20" s="5" t="n">
        <v>20.7</v>
      </c>
      <c r="N20" s="5" t="n">
        <v>0</v>
      </c>
      <c r="O20" s="5" t="n">
        <v>9.3</v>
      </c>
      <c r="P20" s="5" t="n">
        <f aca="false">SUM(M20:O20)</f>
        <v>30</v>
      </c>
      <c r="Q20" s="6" t="n">
        <v>0</v>
      </c>
      <c r="R20" s="5" t="n">
        <v>0</v>
      </c>
      <c r="S20" s="5" t="n">
        <v>0</v>
      </c>
      <c r="T20" s="5" t="n">
        <v>39</v>
      </c>
      <c r="U20" s="6" t="n">
        <f aca="false">U19-T20</f>
        <v>14867.4</v>
      </c>
      <c r="V20" s="5" t="n">
        <f aca="false">P20+R20+S20+T20</f>
        <v>69</v>
      </c>
      <c r="W20" s="5" t="n">
        <f aca="false">IF(L20&lt;0,L20*-1,0)</f>
        <v>29.1538946307033</v>
      </c>
      <c r="X20" s="5" t="n">
        <f aca="false">V20+W20</f>
        <v>98.1538946307033</v>
      </c>
      <c r="Y20" s="9" t="n">
        <v>0</v>
      </c>
      <c r="Z20" s="10" t="n">
        <v>37</v>
      </c>
      <c r="AA20" s="10" t="n">
        <v>20</v>
      </c>
      <c r="AB20" s="11" t="n">
        <f aca="false">AB19+1</f>
        <v>11</v>
      </c>
    </row>
    <row r="21" customFormat="false" ht="11.1" hidden="false" customHeight="true" outlineLevel="0" collapsed="false">
      <c r="A21" s="11" t="n">
        <f aca="false">A20+1</f>
        <v>12</v>
      </c>
      <c r="B21" s="25" t="n">
        <v>6905.44</v>
      </c>
      <c r="C21" s="6" t="n">
        <v>304092</v>
      </c>
      <c r="D21" s="10" t="n">
        <f aca="false">C21-C20</f>
        <v>-40</v>
      </c>
      <c r="E21" s="6" t="n">
        <f aca="false">C21-152000</f>
        <v>152092</v>
      </c>
      <c r="F21" s="5" t="n">
        <f aca="false">D21/$D$2</f>
        <v>-20.1663725737333</v>
      </c>
      <c r="G21" s="5" t="n">
        <v>66.6</v>
      </c>
      <c r="H21" s="7" t="n">
        <v>0</v>
      </c>
      <c r="I21" s="5" t="n">
        <f aca="false">G21+H21</f>
        <v>66.6</v>
      </c>
      <c r="J21" s="26" t="n">
        <f aca="false">IF(L21&gt;0,L21,0)</f>
        <v>0</v>
      </c>
      <c r="K21" s="5" t="n">
        <f aca="false">I21+J21</f>
        <v>66.6</v>
      </c>
      <c r="L21" s="5" t="n">
        <f aca="false">F21-(I21-V21)</f>
        <v>-17.7663725737333</v>
      </c>
      <c r="M21" s="5" t="n">
        <v>20.1</v>
      </c>
      <c r="N21" s="5" t="n">
        <v>0</v>
      </c>
      <c r="O21" s="5" t="n">
        <v>9.9</v>
      </c>
      <c r="P21" s="5" t="n">
        <f aca="false">SUM(M21:O21)</f>
        <v>30</v>
      </c>
      <c r="Q21" s="6" t="n">
        <v>0</v>
      </c>
      <c r="R21" s="5" t="n">
        <v>0</v>
      </c>
      <c r="S21" s="5" t="n">
        <v>0</v>
      </c>
      <c r="T21" s="5" t="n">
        <v>39</v>
      </c>
      <c r="U21" s="6" t="n">
        <f aca="false">U20-T21</f>
        <v>14828.4</v>
      </c>
      <c r="V21" s="5" t="n">
        <f aca="false">P21+R21+S21+T21</f>
        <v>69</v>
      </c>
      <c r="W21" s="5" t="n">
        <f aca="false">IF(L21&lt;0,L21*-1,0)</f>
        <v>17.7663725737333</v>
      </c>
      <c r="X21" s="5" t="n">
        <f aca="false">V21+W21</f>
        <v>86.7663725737333</v>
      </c>
      <c r="Y21" s="9" t="n">
        <v>0</v>
      </c>
      <c r="Z21" s="10" t="n">
        <v>44</v>
      </c>
      <c r="AA21" s="10" t="n">
        <v>16</v>
      </c>
      <c r="AB21" s="11" t="n">
        <f aca="false">AB20+1</f>
        <v>12</v>
      </c>
    </row>
    <row r="22" customFormat="false" ht="11.1" hidden="false" customHeight="true" outlineLevel="0" collapsed="false">
      <c r="A22" s="11" t="n">
        <f aca="false">A21+1</f>
        <v>13</v>
      </c>
      <c r="B22" s="25" t="n">
        <v>6905.44</v>
      </c>
      <c r="C22" s="6" t="n">
        <v>304092</v>
      </c>
      <c r="D22" s="10" t="n">
        <f aca="false">C22-C21</f>
        <v>0</v>
      </c>
      <c r="E22" s="6" t="n">
        <f aca="false">C22-152000</f>
        <v>152092</v>
      </c>
      <c r="F22" s="5" t="n">
        <f aca="false">D22/$D$2</f>
        <v>0</v>
      </c>
      <c r="G22" s="5" t="n">
        <v>70.4</v>
      </c>
      <c r="H22" s="7" t="n">
        <v>0</v>
      </c>
      <c r="I22" s="5" t="n">
        <f aca="false">G22+H22</f>
        <v>70.4</v>
      </c>
      <c r="J22" s="26" t="n">
        <f aca="false">IF(L22&gt;0,L22,0)</f>
        <v>2.89999999999999</v>
      </c>
      <c r="K22" s="5" t="n">
        <f aca="false">I22+J22</f>
        <v>73.3</v>
      </c>
      <c r="L22" s="5" t="n">
        <f aca="false">F22-(I22-V22)</f>
        <v>2.89999999999999</v>
      </c>
      <c r="M22" s="5" t="n">
        <v>25</v>
      </c>
      <c r="N22" s="5" t="n">
        <v>0</v>
      </c>
      <c r="O22" s="5" t="n">
        <v>9</v>
      </c>
      <c r="P22" s="5" t="n">
        <f aca="false">SUM(M22:O22)</f>
        <v>34</v>
      </c>
      <c r="Q22" s="6" t="n">
        <v>0</v>
      </c>
      <c r="R22" s="5" t="n">
        <v>0</v>
      </c>
      <c r="S22" s="5" t="n">
        <v>0</v>
      </c>
      <c r="T22" s="5" t="n">
        <v>39.3</v>
      </c>
      <c r="U22" s="6" t="n">
        <f aca="false">U21-T22</f>
        <v>14789.1</v>
      </c>
      <c r="V22" s="5" t="n">
        <f aca="false">P22+R22+S22+T22</f>
        <v>73.3</v>
      </c>
      <c r="W22" s="5" t="n">
        <f aca="false">IF(L22&lt;0,L22*-1,0)</f>
        <v>0</v>
      </c>
      <c r="X22" s="5" t="n">
        <f aca="false">V22+W22</f>
        <v>73.3</v>
      </c>
      <c r="Y22" s="9" t="n">
        <v>0</v>
      </c>
      <c r="Z22" s="10" t="n">
        <v>49</v>
      </c>
      <c r="AA22" s="10" t="n">
        <v>16</v>
      </c>
      <c r="AB22" s="11" t="n">
        <f aca="false">AB21+1</f>
        <v>13</v>
      </c>
    </row>
    <row r="23" customFormat="false" ht="11.1" hidden="false" customHeight="true" outlineLevel="0" collapsed="false">
      <c r="A23" s="11" t="n">
        <f aca="false">A22+1</f>
        <v>14</v>
      </c>
      <c r="B23" s="25" t="n">
        <v>6905.42</v>
      </c>
      <c r="C23" s="6" t="n">
        <v>304015</v>
      </c>
      <c r="D23" s="10" t="n">
        <f aca="false">C23-C22</f>
        <v>-77</v>
      </c>
      <c r="E23" s="6" t="n">
        <f aca="false">C23-152000</f>
        <v>152015</v>
      </c>
      <c r="F23" s="5" t="n">
        <f aca="false">D23/$D$2</f>
        <v>-38.8202672044366</v>
      </c>
      <c r="G23" s="5" t="n">
        <v>72.6</v>
      </c>
      <c r="H23" s="7" t="n">
        <v>0</v>
      </c>
      <c r="I23" s="5" t="n">
        <f aca="false">G23+H23</f>
        <v>72.6</v>
      </c>
      <c r="J23" s="26" t="n">
        <f aca="false">IF(L23&gt;0,L23,0)</f>
        <v>0</v>
      </c>
      <c r="K23" s="5" t="n">
        <f aca="false">I23+J23</f>
        <v>72.6</v>
      </c>
      <c r="L23" s="5" t="n">
        <f aca="false">F23-(I23-V23)</f>
        <v>-33.9202672044366</v>
      </c>
      <c r="M23" s="5" t="n">
        <v>29</v>
      </c>
      <c r="N23" s="5" t="n">
        <v>0</v>
      </c>
      <c r="O23" s="5" t="n">
        <v>9</v>
      </c>
      <c r="P23" s="5" t="n">
        <f aca="false">SUM(M23:O23)</f>
        <v>38</v>
      </c>
      <c r="Q23" s="6" t="n">
        <v>0</v>
      </c>
      <c r="R23" s="5" t="n">
        <v>0</v>
      </c>
      <c r="S23" s="5" t="n">
        <v>0</v>
      </c>
      <c r="T23" s="5" t="n">
        <v>39.5</v>
      </c>
      <c r="U23" s="6" t="n">
        <f aca="false">U22-T23</f>
        <v>14749.6</v>
      </c>
      <c r="V23" s="5" t="n">
        <f aca="false">P23+R23+S23+T23</f>
        <v>77.5</v>
      </c>
      <c r="W23" s="5" t="n">
        <f aca="false">IF(L23&lt;0,L23*-1,0)</f>
        <v>33.9202672044366</v>
      </c>
      <c r="X23" s="5" t="n">
        <f aca="false">V23+W23</f>
        <v>111.420267204437</v>
      </c>
      <c r="Y23" s="9" t="n">
        <v>0</v>
      </c>
      <c r="Z23" s="35" t="n">
        <v>52</v>
      </c>
      <c r="AA23" s="10" t="n">
        <v>18</v>
      </c>
      <c r="AB23" s="11" t="n">
        <f aca="false">AB22+1</f>
        <v>14</v>
      </c>
    </row>
    <row r="24" customFormat="false" ht="11.1" hidden="false" customHeight="true" outlineLevel="0" collapsed="false">
      <c r="A24" s="11" t="n">
        <f aca="false">A23+1</f>
        <v>15</v>
      </c>
      <c r="B24" s="25" t="n">
        <v>6905.42</v>
      </c>
      <c r="C24" s="6" t="n">
        <v>304015</v>
      </c>
      <c r="D24" s="10" t="n">
        <f aca="false">C24-C23</f>
        <v>0</v>
      </c>
      <c r="E24" s="6" t="n">
        <f aca="false">C24-152000</f>
        <v>152015</v>
      </c>
      <c r="F24" s="5" t="n">
        <f aca="false">D24/$D$2</f>
        <v>0</v>
      </c>
      <c r="G24" s="5" t="n">
        <v>74.2</v>
      </c>
      <c r="H24" s="7" t="n">
        <v>0</v>
      </c>
      <c r="I24" s="5" t="n">
        <f aca="false">G24+H24</f>
        <v>74.2</v>
      </c>
      <c r="J24" s="26" t="n">
        <f aca="false">IF(L24&gt;0,L24,0)</f>
        <v>3.39999999999999</v>
      </c>
      <c r="K24" s="5" t="n">
        <f aca="false">I24+J24</f>
        <v>77.6</v>
      </c>
      <c r="L24" s="5" t="n">
        <f aca="false">F24-(I24-V24)</f>
        <v>3.39999999999999</v>
      </c>
      <c r="M24" s="5" t="n">
        <v>29</v>
      </c>
      <c r="N24" s="5" t="n">
        <v>0</v>
      </c>
      <c r="O24" s="5" t="n">
        <v>9</v>
      </c>
      <c r="P24" s="5" t="n">
        <f aca="false">SUM(M24:O24)</f>
        <v>38</v>
      </c>
      <c r="Q24" s="6" t="n">
        <v>0</v>
      </c>
      <c r="R24" s="5" t="n">
        <v>0</v>
      </c>
      <c r="S24" s="5" t="n">
        <v>0</v>
      </c>
      <c r="T24" s="5" t="n">
        <v>39.6</v>
      </c>
      <c r="U24" s="6" t="n">
        <f aca="false">U23-T24</f>
        <v>14710</v>
      </c>
      <c r="V24" s="5" t="n">
        <f aca="false">P24+R24+S24+T24</f>
        <v>77.6</v>
      </c>
      <c r="W24" s="5" t="n">
        <f aca="false">IF(L24&lt;0,L24*-1,0)</f>
        <v>0</v>
      </c>
      <c r="X24" s="5" t="n">
        <f aca="false">V24+W24</f>
        <v>77.6</v>
      </c>
      <c r="Y24" s="9" t="n">
        <v>0</v>
      </c>
      <c r="Z24" s="35" t="n">
        <v>51</v>
      </c>
      <c r="AA24" s="10" t="n">
        <v>21</v>
      </c>
      <c r="AB24" s="11" t="n">
        <f aca="false">AB23+1</f>
        <v>15</v>
      </c>
    </row>
    <row r="25" customFormat="false" ht="11.1" hidden="false" customHeight="true" outlineLevel="0" collapsed="false">
      <c r="A25" s="11" t="n">
        <f aca="false">A24+1</f>
        <v>16</v>
      </c>
      <c r="B25" s="25" t="n">
        <v>6905.42</v>
      </c>
      <c r="C25" s="6" t="n">
        <v>304015</v>
      </c>
      <c r="D25" s="10" t="n">
        <f aca="false">C25-C24</f>
        <v>0</v>
      </c>
      <c r="E25" s="6" t="n">
        <f aca="false">C25-152000</f>
        <v>152015</v>
      </c>
      <c r="F25" s="5" t="n">
        <f aca="false">D25/$D$2</f>
        <v>0</v>
      </c>
      <c r="G25" s="5" t="n">
        <v>74.6</v>
      </c>
      <c r="H25" s="7" t="n">
        <v>0</v>
      </c>
      <c r="I25" s="5" t="n">
        <f aca="false">G25+H25</f>
        <v>74.6</v>
      </c>
      <c r="J25" s="26" t="n">
        <f aca="false">IF(L25&gt;0,L25,0)</f>
        <v>0</v>
      </c>
      <c r="K25" s="5" t="n">
        <f aca="false">I25+J25</f>
        <v>74.6</v>
      </c>
      <c r="L25" s="5" t="n">
        <f aca="false">F25-(I25-V25)</f>
        <v>-2</v>
      </c>
      <c r="M25" s="5" t="n">
        <v>24.2</v>
      </c>
      <c r="N25" s="5" t="n">
        <v>0</v>
      </c>
      <c r="O25" s="5" t="n">
        <v>8.8</v>
      </c>
      <c r="P25" s="5" t="n">
        <f aca="false">SUM(M25:O25)</f>
        <v>33</v>
      </c>
      <c r="Q25" s="6" t="n">
        <v>0</v>
      </c>
      <c r="R25" s="5" t="n">
        <v>0</v>
      </c>
      <c r="S25" s="5" t="n">
        <v>0</v>
      </c>
      <c r="T25" s="5" t="n">
        <v>39.6</v>
      </c>
      <c r="U25" s="6" t="n">
        <f aca="false">U24-T25</f>
        <v>14670.4</v>
      </c>
      <c r="V25" s="5" t="n">
        <f aca="false">P25+R25+S25+T25</f>
        <v>72.6</v>
      </c>
      <c r="W25" s="5" t="n">
        <f aca="false">IF(L25&lt;0,L25*-1,0)</f>
        <v>2</v>
      </c>
      <c r="X25" s="5" t="n">
        <f aca="false">V25+W25</f>
        <v>74.6</v>
      </c>
      <c r="Y25" s="9" t="n">
        <v>0</v>
      </c>
      <c r="Z25" s="35" t="n">
        <v>56</v>
      </c>
      <c r="AA25" s="10" t="n">
        <v>22</v>
      </c>
      <c r="AB25" s="11" t="n">
        <f aca="false">AB24+1</f>
        <v>16</v>
      </c>
    </row>
    <row r="26" customFormat="false" ht="11.1" hidden="false" customHeight="true" outlineLevel="0" collapsed="false">
      <c r="A26" s="11" t="n">
        <f aca="false">A25+1</f>
        <v>17</v>
      </c>
      <c r="B26" s="25" t="n">
        <v>6905.41</v>
      </c>
      <c r="C26" s="6" t="n">
        <v>303977</v>
      </c>
      <c r="D26" s="10" t="n">
        <f aca="false">C26-C25</f>
        <v>-38</v>
      </c>
      <c r="E26" s="6" t="n">
        <f aca="false">C26-152000</f>
        <v>151977</v>
      </c>
      <c r="F26" s="5" t="n">
        <f aca="false">D26/$D$2</f>
        <v>-19.1580539450466</v>
      </c>
      <c r="G26" s="5" t="n">
        <v>79.7</v>
      </c>
      <c r="H26" s="7" t="n">
        <v>0</v>
      </c>
      <c r="I26" s="5" t="n">
        <f aca="false">G26+H26</f>
        <v>79.7</v>
      </c>
      <c r="J26" s="26" t="n">
        <f aca="false">IF(L26&gt;0,L26,0)</f>
        <v>0</v>
      </c>
      <c r="K26" s="5" t="n">
        <f aca="false">I26+J26</f>
        <v>79.7</v>
      </c>
      <c r="L26" s="5" t="n">
        <f aca="false">F26-(I26-V26)</f>
        <v>-29.2580539450466</v>
      </c>
      <c r="M26" s="5" t="n">
        <v>20.3</v>
      </c>
      <c r="N26" s="5" t="n">
        <v>0</v>
      </c>
      <c r="O26" s="5" t="n">
        <v>9.7</v>
      </c>
      <c r="P26" s="5" t="n">
        <f aca="false">SUM(M26:O26)</f>
        <v>30</v>
      </c>
      <c r="Q26" s="6" t="n">
        <v>0</v>
      </c>
      <c r="R26" s="5" t="n">
        <v>0</v>
      </c>
      <c r="S26" s="5" t="n">
        <v>0</v>
      </c>
      <c r="T26" s="5" t="n">
        <v>39.6</v>
      </c>
      <c r="U26" s="6" t="n">
        <f aca="false">U25-T26</f>
        <v>14630.8</v>
      </c>
      <c r="V26" s="5" t="n">
        <f aca="false">P26+R26+S26+T26</f>
        <v>69.6</v>
      </c>
      <c r="W26" s="5" t="n">
        <f aca="false">IF(L26&lt;0,L26*-1,0)</f>
        <v>29.2580539450466</v>
      </c>
      <c r="X26" s="5" t="n">
        <f aca="false">V26+W26</f>
        <v>98.8580539450466</v>
      </c>
      <c r="Y26" s="9" t="n">
        <v>0</v>
      </c>
      <c r="Z26" s="35" t="n">
        <v>51</v>
      </c>
      <c r="AA26" s="10" t="n">
        <v>24</v>
      </c>
      <c r="AB26" s="11" t="n">
        <f aca="false">AB25+1</f>
        <v>17</v>
      </c>
    </row>
    <row r="27" customFormat="false" ht="11.1" hidden="false" customHeight="true" outlineLevel="0" collapsed="false">
      <c r="A27" s="11" t="n">
        <f aca="false">A26+1</f>
        <v>18</v>
      </c>
      <c r="B27" s="25" t="n">
        <v>6905.39</v>
      </c>
      <c r="C27" s="6" t="n">
        <v>303900</v>
      </c>
      <c r="D27" s="10" t="n">
        <f aca="false">C27-C26</f>
        <v>-77</v>
      </c>
      <c r="E27" s="6" t="n">
        <f aca="false">C27-152000</f>
        <v>151900</v>
      </c>
      <c r="F27" s="5" t="n">
        <f aca="false">D27/$D$2</f>
        <v>-38.8202672044366</v>
      </c>
      <c r="G27" s="5" t="n">
        <v>75.6</v>
      </c>
      <c r="H27" s="7" t="n">
        <v>0</v>
      </c>
      <c r="I27" s="5" t="n">
        <f aca="false">G27+H27</f>
        <v>75.6</v>
      </c>
      <c r="J27" s="26" t="n">
        <f aca="false">IF(L27&gt;0,L27,0)</f>
        <v>0</v>
      </c>
      <c r="K27" s="5" t="n">
        <f aca="false">I27+J27</f>
        <v>75.6</v>
      </c>
      <c r="L27" s="5" t="n">
        <f aca="false">F27-(I27-V27)</f>
        <v>-43.8202672044366</v>
      </c>
      <c r="M27" s="5" t="n">
        <v>21.4</v>
      </c>
      <c r="N27" s="5" t="n">
        <v>0</v>
      </c>
      <c r="O27" s="5" t="n">
        <v>9.6</v>
      </c>
      <c r="P27" s="5" t="n">
        <f aca="false">SUM(M27:O27)</f>
        <v>31</v>
      </c>
      <c r="Q27" s="6" t="n">
        <v>0</v>
      </c>
      <c r="R27" s="5" t="n">
        <v>0</v>
      </c>
      <c r="S27" s="5" t="n">
        <v>0</v>
      </c>
      <c r="T27" s="5" t="n">
        <v>39.6</v>
      </c>
      <c r="U27" s="6" t="n">
        <f aca="false">U26-T27</f>
        <v>14591.2</v>
      </c>
      <c r="V27" s="5" t="n">
        <f aca="false">P27+R27+S27+T27</f>
        <v>70.6</v>
      </c>
      <c r="W27" s="5" t="n">
        <f aca="false">IF(L27&lt;0,L27*-1,0)</f>
        <v>43.8202672044366</v>
      </c>
      <c r="X27" s="5" t="n">
        <f aca="false">V27+W27</f>
        <v>114.420267204437</v>
      </c>
      <c r="Y27" s="9" t="n">
        <v>0</v>
      </c>
      <c r="Z27" s="35" t="n">
        <v>50</v>
      </c>
      <c r="AA27" s="10" t="n">
        <v>31</v>
      </c>
      <c r="AB27" s="11" t="n">
        <f aca="false">AB26+1</f>
        <v>18</v>
      </c>
    </row>
    <row r="28" customFormat="false" ht="11.1" hidden="false" customHeight="true" outlineLevel="0" collapsed="false">
      <c r="A28" s="11" t="n">
        <f aca="false">A27+1</f>
        <v>19</v>
      </c>
      <c r="B28" s="25" t="n">
        <v>6905.39</v>
      </c>
      <c r="C28" s="6" t="n">
        <v>303900</v>
      </c>
      <c r="D28" s="10" t="n">
        <f aca="false">C28-C27</f>
        <v>0</v>
      </c>
      <c r="E28" s="6" t="n">
        <f aca="false">C28-152000</f>
        <v>151900</v>
      </c>
      <c r="F28" s="5" t="n">
        <f aca="false">D28/$D$2</f>
        <v>0</v>
      </c>
      <c r="G28" s="5" t="n">
        <v>69.1</v>
      </c>
      <c r="H28" s="7" t="n">
        <v>0</v>
      </c>
      <c r="I28" s="5" t="n">
        <f aca="false">G28+H28</f>
        <v>69.1</v>
      </c>
      <c r="J28" s="26" t="n">
        <f aca="false">IF(L28&gt;0,L28,0)</f>
        <v>0</v>
      </c>
      <c r="K28" s="5" t="n">
        <f aca="false">I28+J28</f>
        <v>69.1</v>
      </c>
      <c r="L28" s="5" t="n">
        <f aca="false">F28-(I28-V28)</f>
        <v>-0.5</v>
      </c>
      <c r="M28" s="5" t="n">
        <v>21.8</v>
      </c>
      <c r="N28" s="5" t="n">
        <v>0</v>
      </c>
      <c r="O28" s="5" t="n">
        <v>7.2</v>
      </c>
      <c r="P28" s="5" t="n">
        <f aca="false">SUM(M28:O28)</f>
        <v>29</v>
      </c>
      <c r="Q28" s="6" t="n">
        <v>0</v>
      </c>
      <c r="R28" s="5" t="n">
        <v>0</v>
      </c>
      <c r="S28" s="5" t="n">
        <v>0</v>
      </c>
      <c r="T28" s="5" t="n">
        <v>39.6</v>
      </c>
      <c r="U28" s="6" t="n">
        <f aca="false">U27-T28</f>
        <v>14551.6</v>
      </c>
      <c r="V28" s="5" t="n">
        <f aca="false">P28+R28+S28+T28</f>
        <v>68.6</v>
      </c>
      <c r="W28" s="5" t="n">
        <f aca="false">IF(L28&lt;0,L28*-1,0)</f>
        <v>0.5</v>
      </c>
      <c r="X28" s="5" t="n">
        <f aca="false">V28+W28</f>
        <v>69.1</v>
      </c>
      <c r="Y28" s="9" t="n">
        <v>0</v>
      </c>
      <c r="Z28" s="35" t="n">
        <v>46</v>
      </c>
      <c r="AA28" s="10" t="n">
        <v>26</v>
      </c>
      <c r="AB28" s="11" t="n">
        <f aca="false">AB27+1</f>
        <v>19</v>
      </c>
    </row>
    <row r="29" customFormat="false" ht="11.1" hidden="false" customHeight="true" outlineLevel="0" collapsed="false">
      <c r="A29" s="11" t="n">
        <f aca="false">A28+1</f>
        <v>20</v>
      </c>
      <c r="B29" s="25" t="n">
        <v>6905.38</v>
      </c>
      <c r="C29" s="6" t="n">
        <v>303860</v>
      </c>
      <c r="D29" s="10" t="n">
        <f aca="false">C29-C28</f>
        <v>-40</v>
      </c>
      <c r="E29" s="6" t="n">
        <f aca="false">C29-152000</f>
        <v>151860</v>
      </c>
      <c r="F29" s="5" t="n">
        <f aca="false">D29/$D$2</f>
        <v>-20.1663725737333</v>
      </c>
      <c r="G29" s="5" t="n">
        <v>76.7</v>
      </c>
      <c r="H29" s="7" t="n">
        <v>0</v>
      </c>
      <c r="I29" s="5" t="n">
        <f aca="false">G29+H29</f>
        <v>76.7</v>
      </c>
      <c r="J29" s="26" t="n">
        <f aca="false">IF(L29&gt;0,L29,0)</f>
        <v>0</v>
      </c>
      <c r="K29" s="5" t="n">
        <f aca="false">I29+J29</f>
        <v>76.7</v>
      </c>
      <c r="L29" s="5" t="n">
        <f aca="false">F29-(I29-V29)</f>
        <v>-41.1663725737333</v>
      </c>
      <c r="M29" s="5" t="n">
        <v>15.9</v>
      </c>
      <c r="N29" s="5" t="n">
        <v>0</v>
      </c>
      <c r="O29" s="5" t="n">
        <v>0</v>
      </c>
      <c r="P29" s="5" t="n">
        <f aca="false">SUM(M29:O29)</f>
        <v>15.9</v>
      </c>
      <c r="Q29" s="6" t="n">
        <v>0</v>
      </c>
      <c r="R29" s="5" t="n">
        <v>0</v>
      </c>
      <c r="S29" s="5" t="n">
        <v>0</v>
      </c>
      <c r="T29" s="5" t="n">
        <v>39.8</v>
      </c>
      <c r="U29" s="6" t="n">
        <f aca="false">U28-T29</f>
        <v>14511.8</v>
      </c>
      <c r="V29" s="5" t="n">
        <f aca="false">P29+R29+S29+T29</f>
        <v>55.7</v>
      </c>
      <c r="W29" s="5" t="n">
        <f aca="false">IF(L29&lt;0,L29*-1,0)</f>
        <v>41.1663725737333</v>
      </c>
      <c r="X29" s="5" t="n">
        <f aca="false">V29+W29</f>
        <v>96.8663725737333</v>
      </c>
      <c r="Y29" s="9" t="n">
        <v>0.15</v>
      </c>
      <c r="Z29" s="35" t="n">
        <v>41</v>
      </c>
      <c r="AA29" s="10" t="n">
        <v>18</v>
      </c>
      <c r="AB29" s="11" t="n">
        <f aca="false">AB28+1</f>
        <v>20</v>
      </c>
    </row>
    <row r="30" customFormat="false" ht="11.1" hidden="false" customHeight="true" outlineLevel="0" collapsed="false">
      <c r="A30" s="11" t="n">
        <f aca="false">A29+1</f>
        <v>21</v>
      </c>
      <c r="B30" s="25" t="n">
        <v>6905.38</v>
      </c>
      <c r="C30" s="6" t="n">
        <v>303860</v>
      </c>
      <c r="D30" s="10" t="n">
        <f aca="false">C30-C29</f>
        <v>0</v>
      </c>
      <c r="E30" s="6" t="n">
        <f aca="false">C30-152000</f>
        <v>151860</v>
      </c>
      <c r="F30" s="5" t="n">
        <f aca="false">D30/$D$2</f>
        <v>0</v>
      </c>
      <c r="G30" s="5" t="n">
        <v>66.6</v>
      </c>
      <c r="H30" s="7" t="n">
        <v>0</v>
      </c>
      <c r="I30" s="5" t="n">
        <f aca="false">G30+H30</f>
        <v>66.6</v>
      </c>
      <c r="J30" s="26" t="n">
        <f aca="false">IF(L30&gt;0,L30,0)</f>
        <v>0</v>
      </c>
      <c r="K30" s="5" t="n">
        <f aca="false">I30+J30</f>
        <v>66.6</v>
      </c>
      <c r="L30" s="5" t="n">
        <f aca="false">F30-(I30-V30)</f>
        <v>-9.79999999999999</v>
      </c>
      <c r="M30" s="5" t="n">
        <v>17.1</v>
      </c>
      <c r="N30" s="5" t="n">
        <v>0</v>
      </c>
      <c r="O30" s="5" t="n">
        <v>0</v>
      </c>
      <c r="P30" s="5" t="n">
        <f aca="false">SUM(M30:O30)</f>
        <v>17.1</v>
      </c>
      <c r="Q30" s="6" t="n">
        <v>0</v>
      </c>
      <c r="R30" s="5" t="n">
        <v>0</v>
      </c>
      <c r="S30" s="5" t="n">
        <v>0</v>
      </c>
      <c r="T30" s="5" t="n">
        <v>39.7</v>
      </c>
      <c r="U30" s="6" t="n">
        <f aca="false">U29-T30</f>
        <v>14472.1</v>
      </c>
      <c r="V30" s="5" t="n">
        <f aca="false">P30+R30+S30+T30</f>
        <v>56.8</v>
      </c>
      <c r="W30" s="5" t="n">
        <f aca="false">IF(L30&lt;0,L30*-1,0)</f>
        <v>9.79999999999999</v>
      </c>
      <c r="X30" s="5" t="n">
        <f aca="false">V30+W30</f>
        <v>66.6</v>
      </c>
      <c r="Y30" s="9" t="n">
        <v>0</v>
      </c>
      <c r="Z30" s="10" t="n">
        <v>39</v>
      </c>
      <c r="AA30" s="10" t="n">
        <v>16</v>
      </c>
      <c r="AB30" s="11" t="n">
        <f aca="false">AB29+1</f>
        <v>21</v>
      </c>
    </row>
    <row r="31" customFormat="false" ht="11.1" hidden="false" customHeight="true" outlineLevel="0" collapsed="false">
      <c r="A31" s="11" t="n">
        <f aca="false">A30+1</f>
        <v>22</v>
      </c>
      <c r="B31" s="25" t="n">
        <v>6905.37</v>
      </c>
      <c r="C31" s="6" t="n">
        <v>303823</v>
      </c>
      <c r="D31" s="10" t="n">
        <f aca="false">C31-C30</f>
        <v>-37</v>
      </c>
      <c r="E31" s="6" t="n">
        <f aca="false">C31-152000</f>
        <v>151823</v>
      </c>
      <c r="F31" s="5" t="n">
        <f aca="false">D31/$D$2</f>
        <v>-18.6538946307033</v>
      </c>
      <c r="G31" s="5" t="n">
        <v>73.6</v>
      </c>
      <c r="H31" s="7" t="n">
        <v>0</v>
      </c>
      <c r="I31" s="5" t="n">
        <f aca="false">G31+H31</f>
        <v>73.6</v>
      </c>
      <c r="J31" s="26" t="n">
        <f aca="false">IF(L31&gt;0,L31,0)</f>
        <v>0</v>
      </c>
      <c r="K31" s="5" t="n">
        <f aca="false">I31+J31</f>
        <v>73.6</v>
      </c>
      <c r="L31" s="5" t="n">
        <f aca="false">F31-(I31-V31)</f>
        <v>-27.8538946307033</v>
      </c>
      <c r="M31" s="5" t="n">
        <v>24.8</v>
      </c>
      <c r="N31" s="5" t="n">
        <v>0</v>
      </c>
      <c r="O31" s="5" t="n">
        <v>0</v>
      </c>
      <c r="P31" s="5" t="n">
        <f aca="false">SUM(M31:O31)</f>
        <v>24.8</v>
      </c>
      <c r="Q31" s="6" t="n">
        <v>0</v>
      </c>
      <c r="R31" s="5" t="n">
        <v>0</v>
      </c>
      <c r="S31" s="5" t="n">
        <v>0</v>
      </c>
      <c r="T31" s="5" t="n">
        <v>39.6</v>
      </c>
      <c r="U31" s="6" t="n">
        <f aca="false">U30-T31</f>
        <v>14432.5</v>
      </c>
      <c r="V31" s="5" t="n">
        <f aca="false">P31+R31+S31+T31</f>
        <v>64.4</v>
      </c>
      <c r="W31" s="5" t="n">
        <f aca="false">IF(L31&lt;0,L31*-1,0)</f>
        <v>27.8538946307033</v>
      </c>
      <c r="X31" s="5" t="n">
        <f aca="false">V31+W31</f>
        <v>92.2538946307033</v>
      </c>
      <c r="Y31" s="9" t="n">
        <v>0</v>
      </c>
      <c r="Z31" s="10" t="n">
        <v>38</v>
      </c>
      <c r="AA31" s="10" t="n">
        <v>14</v>
      </c>
      <c r="AB31" s="11" t="n">
        <f aca="false">AB30+1</f>
        <v>22</v>
      </c>
    </row>
    <row r="32" customFormat="false" ht="11.1" hidden="false" customHeight="true" outlineLevel="0" collapsed="false">
      <c r="A32" s="11" t="n">
        <f aca="false">A31+1</f>
        <v>23</v>
      </c>
      <c r="B32" s="25" t="n">
        <v>6905.37</v>
      </c>
      <c r="C32" s="6" t="n">
        <v>303823</v>
      </c>
      <c r="D32" s="10" t="n">
        <f aca="false">C32-C31</f>
        <v>0</v>
      </c>
      <c r="E32" s="6" t="n">
        <f aca="false">C32-152000</f>
        <v>151823</v>
      </c>
      <c r="F32" s="5" t="n">
        <f aca="false">D32/$D$2</f>
        <v>0</v>
      </c>
      <c r="G32" s="5" t="n">
        <v>83.8</v>
      </c>
      <c r="H32" s="7" t="n">
        <v>0</v>
      </c>
      <c r="I32" s="5" t="n">
        <f aca="false">G32+H32</f>
        <v>83.8</v>
      </c>
      <c r="J32" s="26" t="n">
        <f aca="false">IF(L32&gt;0,L32,0)</f>
        <v>0</v>
      </c>
      <c r="K32" s="5" t="n">
        <f aca="false">I32+J32</f>
        <v>83.8</v>
      </c>
      <c r="L32" s="5" t="n">
        <f aca="false">F32-(I32-V32)</f>
        <v>-27.5</v>
      </c>
      <c r="M32" s="5" t="n">
        <v>16.6</v>
      </c>
      <c r="N32" s="5" t="n">
        <v>0</v>
      </c>
      <c r="O32" s="5" t="n">
        <v>0</v>
      </c>
      <c r="P32" s="5" t="n">
        <f aca="false">SUM(M32:O32)</f>
        <v>16.6</v>
      </c>
      <c r="Q32" s="6" t="n">
        <v>0</v>
      </c>
      <c r="R32" s="5" t="n">
        <v>0</v>
      </c>
      <c r="S32" s="5" t="n">
        <v>0</v>
      </c>
      <c r="T32" s="5" t="n">
        <v>39.7</v>
      </c>
      <c r="U32" s="6" t="n">
        <f aca="false">U31-T32</f>
        <v>14392.8</v>
      </c>
      <c r="V32" s="5" t="n">
        <f aca="false">P32+R32+S32+T32</f>
        <v>56.3</v>
      </c>
      <c r="W32" s="5" t="n">
        <f aca="false">IF(L32&lt;0,L32*-1,0)</f>
        <v>27.5</v>
      </c>
      <c r="X32" s="5" t="n">
        <f aca="false">V32+W32</f>
        <v>83.8</v>
      </c>
      <c r="Y32" s="9" t="n">
        <v>0</v>
      </c>
      <c r="Z32" s="10" t="n">
        <v>28</v>
      </c>
      <c r="AA32" s="35" t="n">
        <v>10</v>
      </c>
      <c r="AB32" s="11" t="n">
        <f aca="false">AB31+1</f>
        <v>23</v>
      </c>
    </row>
    <row r="33" customFormat="false" ht="11.1" hidden="false" customHeight="true" outlineLevel="0" collapsed="false">
      <c r="A33" s="11" t="n">
        <f aca="false">A32+1</f>
        <v>24</v>
      </c>
      <c r="B33" s="25" t="n">
        <v>6905.37</v>
      </c>
      <c r="C33" s="6" t="n">
        <v>303823</v>
      </c>
      <c r="D33" s="10" t="n">
        <f aca="false">C33-C32</f>
        <v>0</v>
      </c>
      <c r="E33" s="6" t="n">
        <f aca="false">C33-152000</f>
        <v>151823</v>
      </c>
      <c r="F33" s="5" t="n">
        <f aca="false">D33/$D$2</f>
        <v>0</v>
      </c>
      <c r="G33" s="5" t="n">
        <v>60.2</v>
      </c>
      <c r="H33" s="7" t="n">
        <v>0</v>
      </c>
      <c r="I33" s="5" t="n">
        <f aca="false">G33+H33</f>
        <v>60.2</v>
      </c>
      <c r="J33" s="26" t="n">
        <f aca="false">IF(L33&gt;0,L33,0)</f>
        <v>0</v>
      </c>
      <c r="K33" s="5" t="n">
        <f aca="false">I33+J33</f>
        <v>60.2</v>
      </c>
      <c r="L33" s="5" t="n">
        <f aca="false">F33-(I33-V33)</f>
        <v>-17.4</v>
      </c>
      <c r="M33" s="5" t="n">
        <v>6.7</v>
      </c>
      <c r="N33" s="5" t="n">
        <v>0</v>
      </c>
      <c r="O33" s="5" t="n">
        <v>0</v>
      </c>
      <c r="P33" s="5" t="n">
        <f aca="false">SUM(M33:O33)</f>
        <v>6.7</v>
      </c>
      <c r="Q33" s="6" t="n">
        <v>0</v>
      </c>
      <c r="R33" s="5" t="n">
        <v>0</v>
      </c>
      <c r="S33" s="5" t="n">
        <v>0</v>
      </c>
      <c r="T33" s="5" t="n">
        <v>36.1</v>
      </c>
      <c r="U33" s="6" t="n">
        <f aca="false">U32-T33</f>
        <v>14356.7</v>
      </c>
      <c r="V33" s="5" t="n">
        <f aca="false">P33+R33+S33+T33</f>
        <v>42.8</v>
      </c>
      <c r="W33" s="5" t="n">
        <f aca="false">IF(L33&lt;0,L33*-1,0)</f>
        <v>17.4</v>
      </c>
      <c r="X33" s="5" t="n">
        <f aca="false">V33+W33</f>
        <v>60.2</v>
      </c>
      <c r="Y33" s="9" t="n">
        <v>0</v>
      </c>
      <c r="Z33" s="10" t="n">
        <v>29</v>
      </c>
      <c r="AA33" s="35" t="n">
        <v>4</v>
      </c>
      <c r="AB33" s="11" t="n">
        <f aca="false">AB32+1</f>
        <v>24</v>
      </c>
    </row>
    <row r="34" customFormat="false" ht="11.1" hidden="false" customHeight="true" outlineLevel="0" collapsed="false">
      <c r="A34" s="11" t="n">
        <f aca="false">A33+1</f>
        <v>25</v>
      </c>
      <c r="B34" s="25" t="n">
        <v>6905.37</v>
      </c>
      <c r="C34" s="6" t="n">
        <v>303823</v>
      </c>
      <c r="D34" s="10" t="n">
        <f aca="false">C34-C33</f>
        <v>0</v>
      </c>
      <c r="E34" s="6" t="n">
        <f aca="false">C34-152000</f>
        <v>151823</v>
      </c>
      <c r="F34" s="5" t="n">
        <f aca="false">D34/$D$2</f>
        <v>0</v>
      </c>
      <c r="G34" s="5" t="n">
        <v>57.9</v>
      </c>
      <c r="H34" s="7" t="n">
        <v>0</v>
      </c>
      <c r="I34" s="5" t="n">
        <f aca="false">G34+H34</f>
        <v>57.9</v>
      </c>
      <c r="J34" s="26" t="n">
        <f aca="false">IF(L34&gt;0,L34,0)</f>
        <v>0</v>
      </c>
      <c r="K34" s="5" t="n">
        <f aca="false">I34+J34</f>
        <v>57.9</v>
      </c>
      <c r="L34" s="5" t="n">
        <f aca="false">F34-(I34-V34)</f>
        <v>-19.2</v>
      </c>
      <c r="M34" s="5" t="n">
        <v>5.6</v>
      </c>
      <c r="N34" s="5" t="n">
        <v>0</v>
      </c>
      <c r="O34" s="5" t="n">
        <v>0</v>
      </c>
      <c r="P34" s="5" t="n">
        <f aca="false">SUM(M34:O34)</f>
        <v>5.6</v>
      </c>
      <c r="Q34" s="6" t="n">
        <v>0</v>
      </c>
      <c r="R34" s="5" t="n">
        <v>0</v>
      </c>
      <c r="S34" s="5" t="n">
        <v>0</v>
      </c>
      <c r="T34" s="5" t="n">
        <v>33.1</v>
      </c>
      <c r="U34" s="6" t="n">
        <f aca="false">U33-T34</f>
        <v>14323.6</v>
      </c>
      <c r="V34" s="5" t="n">
        <f aca="false">P34+R34+S34+T34</f>
        <v>38.7</v>
      </c>
      <c r="W34" s="5" t="n">
        <f aca="false">IF(L34&lt;0,L34*-1,0)</f>
        <v>19.2</v>
      </c>
      <c r="X34" s="5" t="n">
        <f aca="false">V34+W34</f>
        <v>57.9</v>
      </c>
      <c r="Y34" s="9" t="n">
        <v>0</v>
      </c>
      <c r="Z34" s="10" t="n">
        <v>29</v>
      </c>
      <c r="AA34" s="35" t="n">
        <v>4</v>
      </c>
      <c r="AB34" s="11" t="n">
        <f aca="false">AB33+1</f>
        <v>25</v>
      </c>
    </row>
    <row r="35" customFormat="false" ht="11.1" hidden="false" customHeight="true" outlineLevel="0" collapsed="false">
      <c r="A35" s="11" t="n">
        <f aca="false">A34+1</f>
        <v>26</v>
      </c>
      <c r="B35" s="25" t="n">
        <v>6905.37</v>
      </c>
      <c r="C35" s="6" t="n">
        <v>303823</v>
      </c>
      <c r="D35" s="10" t="n">
        <f aca="false">C35-C34</f>
        <v>0</v>
      </c>
      <c r="E35" s="6" t="n">
        <f aca="false">C35-152000</f>
        <v>151823</v>
      </c>
      <c r="F35" s="5" t="n">
        <f aca="false">D35/$D$2</f>
        <v>0</v>
      </c>
      <c r="G35" s="5" t="n">
        <v>71.4</v>
      </c>
      <c r="H35" s="7" t="n">
        <v>0</v>
      </c>
      <c r="I35" s="5" t="n">
        <f aca="false">G35+H35</f>
        <v>71.4</v>
      </c>
      <c r="J35" s="26" t="n">
        <f aca="false">IF(L35&gt;0,L35,0)</f>
        <v>0</v>
      </c>
      <c r="K35" s="5" t="n">
        <f aca="false">I35+J35</f>
        <v>71.4</v>
      </c>
      <c r="L35" s="5" t="n">
        <f aca="false">F35-(I35-V35)</f>
        <v>-33</v>
      </c>
      <c r="M35" s="5" t="n">
        <v>5.5</v>
      </c>
      <c r="N35" s="5" t="n">
        <v>0</v>
      </c>
      <c r="O35" s="5" t="n">
        <v>0</v>
      </c>
      <c r="P35" s="5" t="n">
        <f aca="false">SUM(M35:O35)</f>
        <v>5.5</v>
      </c>
      <c r="Q35" s="6" t="n">
        <v>0</v>
      </c>
      <c r="R35" s="5" t="n">
        <v>0</v>
      </c>
      <c r="S35" s="5" t="n">
        <v>0</v>
      </c>
      <c r="T35" s="5" t="n">
        <v>32.9</v>
      </c>
      <c r="U35" s="6" t="n">
        <f aca="false">U34-T35</f>
        <v>14290.7</v>
      </c>
      <c r="V35" s="5" t="n">
        <f aca="false">P35+R35+S35+T35</f>
        <v>38.4</v>
      </c>
      <c r="W35" s="5" t="n">
        <f aca="false">IF(L35&lt;0,L35*-1,0)</f>
        <v>33</v>
      </c>
      <c r="X35" s="5" t="n">
        <f aca="false">V35+W35</f>
        <v>71.4</v>
      </c>
      <c r="Y35" s="9" t="n">
        <v>0</v>
      </c>
      <c r="Z35" s="10" t="n">
        <v>34</v>
      </c>
      <c r="AA35" s="10" t="n">
        <v>6</v>
      </c>
      <c r="AB35" s="11" t="n">
        <f aca="false">AB34+1</f>
        <v>26</v>
      </c>
    </row>
    <row r="36" customFormat="false" ht="11.1" hidden="false" customHeight="true" outlineLevel="0" collapsed="false">
      <c r="A36" s="11" t="n">
        <f aca="false">A35+1</f>
        <v>27</v>
      </c>
      <c r="B36" s="25" t="n">
        <v>6905.36</v>
      </c>
      <c r="C36" s="6" t="n">
        <v>303783</v>
      </c>
      <c r="D36" s="10" t="n">
        <f aca="false">C36-C35</f>
        <v>-40</v>
      </c>
      <c r="E36" s="6" t="n">
        <f aca="false">C36-152000</f>
        <v>151783</v>
      </c>
      <c r="F36" s="5" t="n">
        <f aca="false">D36/$D$2</f>
        <v>-20.1663725737333</v>
      </c>
      <c r="G36" s="5" t="n">
        <v>121.5</v>
      </c>
      <c r="H36" s="7" t="n">
        <v>0</v>
      </c>
      <c r="I36" s="5" t="n">
        <f aca="false">G36+H36</f>
        <v>121.5</v>
      </c>
      <c r="J36" s="26" t="n">
        <f aca="false">IF(L36&gt;0,L36,0)</f>
        <v>0</v>
      </c>
      <c r="K36" s="5" t="n">
        <f aca="false">I36+J36</f>
        <v>121.5</v>
      </c>
      <c r="L36" s="5" t="n">
        <f aca="false">F36-(I36-V36)</f>
        <v>-102.966372573733</v>
      </c>
      <c r="M36" s="5" t="n">
        <v>5.7</v>
      </c>
      <c r="N36" s="5" t="n">
        <v>0</v>
      </c>
      <c r="O36" s="5" t="n">
        <v>0</v>
      </c>
      <c r="P36" s="5" t="n">
        <f aca="false">SUM(M36:O36)</f>
        <v>5.7</v>
      </c>
      <c r="Q36" s="6" t="n">
        <v>0</v>
      </c>
      <c r="R36" s="5" t="n">
        <v>0</v>
      </c>
      <c r="S36" s="5" t="n">
        <v>0</v>
      </c>
      <c r="T36" s="5" t="n">
        <v>33</v>
      </c>
      <c r="U36" s="6" t="n">
        <f aca="false">U35-T36</f>
        <v>14257.7</v>
      </c>
      <c r="V36" s="5" t="n">
        <f aca="false">P36+R36+S36+T36</f>
        <v>38.7</v>
      </c>
      <c r="W36" s="5" t="n">
        <f aca="false">IF(L36&lt;0,L36*-1,0)</f>
        <v>102.966372573733</v>
      </c>
      <c r="X36" s="5" t="n">
        <f aca="false">V36+W36</f>
        <v>141.666372573733</v>
      </c>
      <c r="Y36" s="9" t="n">
        <v>0</v>
      </c>
      <c r="Z36" s="10" t="n">
        <v>37</v>
      </c>
      <c r="AA36" s="10" t="n">
        <v>8</v>
      </c>
      <c r="AB36" s="11" t="n">
        <f aca="false">AB35+1</f>
        <v>27</v>
      </c>
    </row>
    <row r="37" customFormat="false" ht="11.1" hidden="false" customHeight="true" outlineLevel="0" collapsed="false">
      <c r="A37" s="11" t="n">
        <f aca="false">A36+1</f>
        <v>28</v>
      </c>
      <c r="B37" s="25" t="n">
        <v>6905.36</v>
      </c>
      <c r="C37" s="6" t="n">
        <v>303783</v>
      </c>
      <c r="D37" s="10" t="n">
        <f aca="false">C37-C36</f>
        <v>0</v>
      </c>
      <c r="E37" s="6" t="n">
        <f aca="false">C37-152000</f>
        <v>151783</v>
      </c>
      <c r="F37" s="5" t="n">
        <f aca="false">D37/$D$2</f>
        <v>0</v>
      </c>
      <c r="G37" s="5" t="n">
        <v>106.6</v>
      </c>
      <c r="H37" s="7" t="n">
        <v>0</v>
      </c>
      <c r="I37" s="5" t="n">
        <f aca="false">G37+H37</f>
        <v>106.6</v>
      </c>
      <c r="J37" s="26" t="n">
        <f aca="false">IF(L37&gt;0,L37,0)</f>
        <v>0</v>
      </c>
      <c r="K37" s="5" t="n">
        <f aca="false">I37+J37</f>
        <v>106.6</v>
      </c>
      <c r="L37" s="5" t="n">
        <f aca="false">F37-(I37-V37)</f>
        <v>-68</v>
      </c>
      <c r="M37" s="5" t="n">
        <v>5.6</v>
      </c>
      <c r="N37" s="5" t="n">
        <v>0</v>
      </c>
      <c r="O37" s="5" t="n">
        <v>0</v>
      </c>
      <c r="P37" s="5" t="n">
        <f aca="false">SUM(M37:O37)</f>
        <v>5.6</v>
      </c>
      <c r="Q37" s="6" t="n">
        <v>0</v>
      </c>
      <c r="R37" s="5" t="n">
        <v>0</v>
      </c>
      <c r="S37" s="5" t="n">
        <v>0</v>
      </c>
      <c r="T37" s="5" t="n">
        <v>33</v>
      </c>
      <c r="U37" s="6" t="n">
        <f aca="false">U36-T37</f>
        <v>14224.7</v>
      </c>
      <c r="V37" s="5" t="n">
        <f aca="false">P37+R37+S37+T37</f>
        <v>38.6</v>
      </c>
      <c r="W37" s="5" t="n">
        <f aca="false">IF(L37&lt;0,L37*-1,0)</f>
        <v>68</v>
      </c>
      <c r="X37" s="5" t="n">
        <f aca="false">V37+W37</f>
        <v>106.6</v>
      </c>
      <c r="Y37" s="9" t="n">
        <v>0</v>
      </c>
      <c r="Z37" s="10" t="n">
        <v>40</v>
      </c>
      <c r="AA37" s="10" t="n">
        <v>11</v>
      </c>
      <c r="AB37" s="11" t="n">
        <f aca="false">AB36+1</f>
        <v>28</v>
      </c>
    </row>
    <row r="38" customFormat="false" ht="11.1" hidden="false" customHeight="true" outlineLevel="0" collapsed="false">
      <c r="A38" s="11" t="n">
        <f aca="false">A37+1</f>
        <v>29</v>
      </c>
      <c r="B38" s="25" t="n">
        <v>6905.36</v>
      </c>
      <c r="C38" s="6" t="n">
        <v>303783</v>
      </c>
      <c r="D38" s="10" t="n">
        <f aca="false">C38-C37</f>
        <v>0</v>
      </c>
      <c r="E38" s="6" t="n">
        <f aca="false">C38-152000</f>
        <v>151783</v>
      </c>
      <c r="F38" s="5" t="n">
        <f aca="false">D38/$D$2</f>
        <v>0</v>
      </c>
      <c r="G38" s="5" t="n">
        <v>99</v>
      </c>
      <c r="H38" s="7" t="n">
        <v>0</v>
      </c>
      <c r="I38" s="5" t="n">
        <f aca="false">G38+H38</f>
        <v>99</v>
      </c>
      <c r="J38" s="26" t="n">
        <f aca="false">IF(L38&gt;0,L38,0)</f>
        <v>0</v>
      </c>
      <c r="K38" s="5" t="n">
        <f aca="false">I38+J38</f>
        <v>99</v>
      </c>
      <c r="L38" s="5" t="n">
        <f aca="false">F38-(I38-V38)</f>
        <v>-60.3</v>
      </c>
      <c r="M38" s="5" t="n">
        <v>5.7</v>
      </c>
      <c r="N38" s="5" t="n">
        <v>0</v>
      </c>
      <c r="O38" s="5" t="n">
        <v>0</v>
      </c>
      <c r="P38" s="5" t="n">
        <f aca="false">SUM(M38:O38)</f>
        <v>5.7</v>
      </c>
      <c r="Q38" s="6" t="n">
        <v>0</v>
      </c>
      <c r="R38" s="5" t="n">
        <v>0</v>
      </c>
      <c r="S38" s="5" t="n">
        <v>0</v>
      </c>
      <c r="T38" s="5" t="n">
        <v>33</v>
      </c>
      <c r="U38" s="6" t="n">
        <f aca="false">U37-T38</f>
        <v>14191.7</v>
      </c>
      <c r="V38" s="5" t="n">
        <f aca="false">P38+R38+S38+T38</f>
        <v>38.7</v>
      </c>
      <c r="W38" s="5" t="n">
        <f aca="false">IF(L38&lt;0,L38*-1,0)</f>
        <v>60.3</v>
      </c>
      <c r="X38" s="5" t="n">
        <f aca="false">V38+W38</f>
        <v>99</v>
      </c>
      <c r="Y38" s="9" t="n">
        <v>0</v>
      </c>
      <c r="Z38" s="35" t="n">
        <v>34</v>
      </c>
      <c r="AA38" s="10" t="n">
        <v>4</v>
      </c>
      <c r="AB38" s="11" t="n">
        <f aca="false">AB37+1</f>
        <v>29</v>
      </c>
    </row>
    <row r="39" customFormat="false" ht="11.1" hidden="false" customHeight="true" outlineLevel="0" collapsed="false">
      <c r="A39" s="11" t="n">
        <v>30</v>
      </c>
      <c r="B39" s="25" t="n">
        <v>6905.35</v>
      </c>
      <c r="C39" s="6" t="n">
        <v>303746</v>
      </c>
      <c r="D39" s="10" t="n">
        <f aca="false">C39-C38</f>
        <v>-37</v>
      </c>
      <c r="E39" s="6" t="n">
        <f aca="false">C39-152000</f>
        <v>151746</v>
      </c>
      <c r="F39" s="5" t="n">
        <f aca="false">D39/$D$2</f>
        <v>-18.6538946307033</v>
      </c>
      <c r="G39" s="5" t="n">
        <v>103.7</v>
      </c>
      <c r="H39" s="7" t="n">
        <v>0</v>
      </c>
      <c r="I39" s="5" t="n">
        <f aca="false">G39+H39</f>
        <v>103.7</v>
      </c>
      <c r="J39" s="26" t="n">
        <f aca="false">IF(L39&gt;0,L39,0)</f>
        <v>0</v>
      </c>
      <c r="K39" s="5" t="n">
        <f aca="false">I39+J39</f>
        <v>103.7</v>
      </c>
      <c r="L39" s="5" t="n">
        <f aca="false">F39-(I39-V39)</f>
        <v>-85.1538946307033</v>
      </c>
      <c r="M39" s="5" t="n">
        <v>3.8</v>
      </c>
      <c r="N39" s="5" t="n">
        <v>0</v>
      </c>
      <c r="O39" s="5" t="n">
        <v>0</v>
      </c>
      <c r="P39" s="5" t="n">
        <f aca="false">SUM(M39:O39)</f>
        <v>3.8</v>
      </c>
      <c r="Q39" s="6" t="n">
        <v>0</v>
      </c>
      <c r="R39" s="5" t="n">
        <v>0</v>
      </c>
      <c r="S39" s="5" t="n">
        <v>0</v>
      </c>
      <c r="T39" s="5" t="n">
        <v>33.4</v>
      </c>
      <c r="U39" s="6" t="n">
        <f aca="false">U38-T39</f>
        <v>14158.3</v>
      </c>
      <c r="V39" s="5" t="n">
        <f aca="false">P39+R39+S39+T39</f>
        <v>37.2</v>
      </c>
      <c r="W39" s="5" t="n">
        <f aca="false">IF(L39&lt;0,L39*-1,0)</f>
        <v>85.1538946307033</v>
      </c>
      <c r="X39" s="5" t="n">
        <f aca="false">V39+W39</f>
        <v>122.353894630703</v>
      </c>
      <c r="Y39" s="9" t="n">
        <v>0</v>
      </c>
      <c r="Z39" s="35" t="n">
        <v>36</v>
      </c>
      <c r="AA39" s="10" t="n">
        <v>2</v>
      </c>
      <c r="AB39" s="11" t="n">
        <v>30</v>
      </c>
    </row>
    <row r="40" customFormat="false" ht="3" hidden="false" customHeight="true" outlineLevel="0" collapsed="false">
      <c r="A40" s="27"/>
      <c r="B40" s="27"/>
      <c r="C40" s="29"/>
      <c r="D40" s="27"/>
      <c r="E40" s="29"/>
      <c r="F40" s="27"/>
      <c r="G40" s="27"/>
      <c r="H40" s="30"/>
      <c r="I40" s="27"/>
      <c r="J40" s="27"/>
      <c r="K40" s="27"/>
      <c r="L40" s="27"/>
      <c r="M40" s="27"/>
      <c r="N40" s="27"/>
      <c r="O40" s="27"/>
      <c r="P40" s="27"/>
      <c r="Q40" s="29"/>
      <c r="R40" s="27"/>
      <c r="S40" s="27"/>
      <c r="T40" s="27"/>
      <c r="U40" s="27"/>
      <c r="V40" s="27"/>
      <c r="W40" s="27"/>
      <c r="X40" s="27"/>
      <c r="Y40" s="31"/>
      <c r="Z40" s="32" t="n">
        <v>73</v>
      </c>
      <c r="AA40" s="32"/>
      <c r="AB40" s="33"/>
    </row>
    <row r="41" customFormat="false" ht="11.1" hidden="false" customHeight="true" outlineLevel="0" collapsed="false">
      <c r="A41" s="5" t="s">
        <v>43</v>
      </c>
      <c r="B41" s="5"/>
      <c r="C41" s="6"/>
      <c r="D41" s="6"/>
      <c r="E41" s="6"/>
      <c r="F41" s="6" t="n">
        <f aca="false">SUM(F10:F39)</f>
        <v>-116.46080161331</v>
      </c>
      <c r="G41" s="6" t="n">
        <f aca="false">SUM(G10:G39)</f>
        <v>2415.2</v>
      </c>
      <c r="H41" s="6" t="n">
        <f aca="false">SUM(H10:H39)</f>
        <v>0</v>
      </c>
      <c r="I41" s="6" t="n">
        <f aca="false">SUM(I10:I39)</f>
        <v>2415.2</v>
      </c>
      <c r="J41" s="6" t="n">
        <f aca="false">SUM(J10:J39)</f>
        <v>225.837711116713</v>
      </c>
      <c r="K41" s="6" t="n">
        <f aca="false">SUM(K10:K39)</f>
        <v>2641.03771111671</v>
      </c>
      <c r="L41" s="6" t="n">
        <f aca="false">SUM(L10:L39)</f>
        <v>-673.96080161331</v>
      </c>
      <c r="M41" s="6" t="n">
        <f aca="false">SUM(M10:M39)</f>
        <v>540.3</v>
      </c>
      <c r="N41" s="6" t="n">
        <f aca="false">SUM(N10:N39)</f>
        <v>0</v>
      </c>
      <c r="O41" s="6" t="n">
        <f aca="false">SUM(O10:O39)</f>
        <v>178.7</v>
      </c>
      <c r="P41" s="6" t="n">
        <f aca="false">SUM(P10:P39)</f>
        <v>719</v>
      </c>
      <c r="Q41" s="6"/>
      <c r="R41" s="6" t="n">
        <f aca="false">SUM(R10:R39)</f>
        <v>0</v>
      </c>
      <c r="S41" s="6" t="n">
        <f aca="false">SUM(S10:S39)</f>
        <v>0</v>
      </c>
      <c r="T41" s="6" t="n">
        <f aca="false">SUM(T10:T39)</f>
        <v>1138.7</v>
      </c>
      <c r="U41" s="6"/>
      <c r="V41" s="6" t="n">
        <f aca="false">SUM(V10:V39)</f>
        <v>1857.7</v>
      </c>
      <c r="W41" s="6" t="n">
        <f aca="false">SUM(W10:W39)</f>
        <v>899.798512730023</v>
      </c>
      <c r="X41" s="6" t="n">
        <f aca="false">SUM(X10:X39)</f>
        <v>2757.49851273002</v>
      </c>
      <c r="Y41" s="9" t="n">
        <f aca="false">SUM(Y10:Y39)</f>
        <v>0.47</v>
      </c>
      <c r="Z41" s="10" t="n">
        <f aca="false">AVERAGE(Z10:Z39)</f>
        <v>43.0666666666667</v>
      </c>
      <c r="AA41" s="10" t="n">
        <f aca="false">AVERAGE(AA10:AA39)</f>
        <v>17.7666666666667</v>
      </c>
      <c r="AB41" s="11"/>
    </row>
    <row r="42" customFormat="false" ht="11.1" hidden="false" customHeight="true" outlineLevel="0" collapsed="false">
      <c r="A42" s="5" t="s">
        <v>44</v>
      </c>
      <c r="B42" s="5"/>
      <c r="C42" s="6"/>
      <c r="D42" s="6" t="n">
        <f aca="false">SUM(D10:D39)</f>
        <v>-231</v>
      </c>
      <c r="E42" s="6"/>
      <c r="F42" s="6" t="n">
        <f aca="false">F41*$D$2</f>
        <v>-231</v>
      </c>
      <c r="G42" s="6" t="n">
        <f aca="false">G41*$D$2</f>
        <v>4790.5492</v>
      </c>
      <c r="H42" s="6" t="n">
        <f aca="false">H41*$D$2</f>
        <v>0</v>
      </c>
      <c r="I42" s="6" t="n">
        <f aca="false">I41*$D$2</f>
        <v>4790.5492</v>
      </c>
      <c r="J42" s="6" t="n">
        <f aca="false">J41*$D$2</f>
        <v>447.9491</v>
      </c>
      <c r="K42" s="6" t="n">
        <f aca="false">K41*$D$2</f>
        <v>5238.4983</v>
      </c>
      <c r="L42" s="6" t="n">
        <f aca="false">L41*$D$2</f>
        <v>-1336.80125</v>
      </c>
      <c r="M42" s="6" t="n">
        <f aca="false">M41*$D$2</f>
        <v>1071.68505</v>
      </c>
      <c r="N42" s="6" t="n">
        <f aca="false">N41*$D$2</f>
        <v>0</v>
      </c>
      <c r="O42" s="6" t="n">
        <f aca="false">O41*$D$2</f>
        <v>354.45145</v>
      </c>
      <c r="P42" s="6" t="n">
        <f aca="false">P41*$D$2</f>
        <v>1426.1365</v>
      </c>
      <c r="Q42" s="6"/>
      <c r="R42" s="6" t="n">
        <f aca="false">R41*$D$2</f>
        <v>0</v>
      </c>
      <c r="S42" s="6" t="n">
        <f aca="false">S41*$D$2</f>
        <v>0</v>
      </c>
      <c r="T42" s="6" t="n">
        <f aca="false">T41*$D$2</f>
        <v>2258.61145</v>
      </c>
      <c r="U42" s="6"/>
      <c r="V42" s="6" t="n">
        <f aca="false">V41*$D$2</f>
        <v>3684.74795</v>
      </c>
      <c r="W42" s="6" t="n">
        <f aca="false">W41*$D$2</f>
        <v>1784.75035</v>
      </c>
      <c r="X42" s="6" t="n">
        <f aca="false">X41*$D$2</f>
        <v>5469.4983</v>
      </c>
      <c r="Y42" s="9"/>
      <c r="Z42" s="10" t="n">
        <v>82</v>
      </c>
      <c r="AA42" s="10" t="n">
        <v>54</v>
      </c>
      <c r="AB42" s="11" t="s">
        <v>45</v>
      </c>
    </row>
    <row r="43" customFormat="false" ht="3" hidden="false" customHeight="true" outlineLevel="0" collapsed="false">
      <c r="A43" s="27"/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7"/>
      <c r="V43" s="29"/>
      <c r="W43" s="29"/>
      <c r="X43" s="29"/>
      <c r="Y43" s="9"/>
      <c r="Z43" s="10"/>
      <c r="AA43" s="10"/>
      <c r="AB43" s="11"/>
    </row>
    <row r="44" customFormat="false" ht="11.1" hidden="false" customHeight="true" outlineLevel="0" collapsed="false">
      <c r="A44" s="5" t="s">
        <v>46</v>
      </c>
      <c r="B44" s="5"/>
      <c r="C44" s="6"/>
      <c r="D44" s="6"/>
      <c r="E44" s="6"/>
      <c r="F44" s="6"/>
      <c r="G44" s="6"/>
      <c r="H44" s="10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9"/>
      <c r="Z44" s="10" t="n">
        <v>59</v>
      </c>
      <c r="AA44" s="10" t="n">
        <v>32</v>
      </c>
      <c r="AB44" s="11" t="s">
        <v>47</v>
      </c>
    </row>
    <row r="45" customFormat="false" ht="11.1" hidden="false" customHeight="true" outlineLevel="0" collapsed="false">
      <c r="A45" s="5" t="s">
        <v>48</v>
      </c>
      <c r="B45" s="5"/>
      <c r="C45" s="6"/>
      <c r="D45" s="6"/>
      <c r="E45" s="6"/>
      <c r="F45" s="6"/>
      <c r="G45" s="6"/>
      <c r="H45" s="10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9"/>
      <c r="Z45" s="10"/>
      <c r="AA45" s="10"/>
      <c r="AB45" s="11"/>
    </row>
    <row r="46" customFormat="false" ht="3" hidden="false" customHeight="true" outlineLevel="0" collapsed="false">
      <c r="A46" s="27"/>
      <c r="B46" s="27"/>
      <c r="C46" s="29"/>
      <c r="D46" s="29"/>
      <c r="E46" s="29"/>
      <c r="F46" s="29"/>
      <c r="G46" s="29"/>
      <c r="H46" s="3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31"/>
      <c r="Z46" s="10"/>
      <c r="AA46" s="10"/>
      <c r="AB46" s="11"/>
    </row>
    <row r="47" customFormat="false" ht="11.1" hidden="false" customHeight="true" outlineLevel="0" collapsed="false">
      <c r="A47" s="5" t="s">
        <v>49</v>
      </c>
      <c r="B47" s="5"/>
      <c r="C47" s="6"/>
      <c r="D47" s="6"/>
      <c r="E47" s="6"/>
      <c r="F47" s="6" t="n">
        <f aca="false">F8+F41</f>
        <v>-116.46080161331</v>
      </c>
      <c r="G47" s="6" t="n">
        <f aca="false">G8+G41</f>
        <v>2415.2</v>
      </c>
      <c r="H47" s="10" t="n">
        <f aca="false">H8+H41</f>
        <v>0</v>
      </c>
      <c r="I47" s="6" t="n">
        <f aca="false">I8+I41</f>
        <v>2415.2</v>
      </c>
      <c r="J47" s="6" t="n">
        <f aca="false">J8+J41</f>
        <v>225.837711116713</v>
      </c>
      <c r="K47" s="6" t="n">
        <f aca="false">K8+K41</f>
        <v>2641.03771111671</v>
      </c>
      <c r="L47" s="6" t="n">
        <f aca="false">L8+L41</f>
        <v>-673.96080161331</v>
      </c>
      <c r="M47" s="6" t="n">
        <f aca="false">M8+M41</f>
        <v>540.3</v>
      </c>
      <c r="N47" s="6" t="n">
        <f aca="false">N8+N41</f>
        <v>0</v>
      </c>
      <c r="O47" s="6" t="n">
        <f aca="false">O8+O41</f>
        <v>178.7</v>
      </c>
      <c r="P47" s="6" t="n">
        <f aca="false">P8+P41</f>
        <v>719</v>
      </c>
      <c r="Q47" s="6"/>
      <c r="R47" s="6" t="n">
        <f aca="false">R8+R41</f>
        <v>0</v>
      </c>
      <c r="S47" s="6" t="n">
        <f aca="false">S8+S41</f>
        <v>0</v>
      </c>
      <c r="T47" s="6" t="n">
        <f aca="false">T8+T41</f>
        <v>1138.7</v>
      </c>
      <c r="U47" s="6" t="n">
        <f aca="false">U39</f>
        <v>14158.3</v>
      </c>
      <c r="V47" s="6" t="n">
        <f aca="false">V8+V41</f>
        <v>1857.7</v>
      </c>
      <c r="W47" s="6" t="n">
        <f aca="false">W8+W41</f>
        <v>899.798512730023</v>
      </c>
      <c r="X47" s="6" t="n">
        <f aca="false">X8+X41</f>
        <v>2757.49851273002</v>
      </c>
      <c r="Y47" s="26" t="n">
        <f aca="false">Y8+Y41</f>
        <v>0.47</v>
      </c>
      <c r="Z47" s="10"/>
      <c r="AA47" s="10"/>
      <c r="AB47" s="11"/>
    </row>
    <row r="48" customFormat="false" ht="11.1" hidden="false" customHeight="true" outlineLevel="0" collapsed="false">
      <c r="A48" s="5" t="s">
        <v>50</v>
      </c>
      <c r="B48" s="5"/>
      <c r="C48" s="6"/>
      <c r="D48" s="6" t="n">
        <f aca="false">D8+D42</f>
        <v>-231</v>
      </c>
      <c r="E48" s="6" t="n">
        <f aca="false">E39</f>
        <v>151746</v>
      </c>
      <c r="F48" s="6" t="n">
        <f aca="false">F47*$D$2</f>
        <v>-231</v>
      </c>
      <c r="G48" s="6" t="n">
        <f aca="false">G47*$D$2</f>
        <v>4790.5492</v>
      </c>
      <c r="H48" s="10" t="n">
        <f aca="false">H47*$D$2</f>
        <v>0</v>
      </c>
      <c r="I48" s="6" t="n">
        <f aca="false">I47*$D$2</f>
        <v>4790.5492</v>
      </c>
      <c r="J48" s="6" t="n">
        <f aca="false">J47*$D$2</f>
        <v>447.9491</v>
      </c>
      <c r="K48" s="6" t="n">
        <f aca="false">K47*$D$2</f>
        <v>5238.4983</v>
      </c>
      <c r="L48" s="6" t="n">
        <f aca="false">L47*$D$2</f>
        <v>-1336.80125</v>
      </c>
      <c r="M48" s="6" t="n">
        <f aca="false">M47*$D$2</f>
        <v>1071.68505</v>
      </c>
      <c r="N48" s="6" t="n">
        <f aca="false">N47*$D$2</f>
        <v>0</v>
      </c>
      <c r="O48" s="6" t="n">
        <f aca="false">O47*$D$2</f>
        <v>354.45145</v>
      </c>
      <c r="P48" s="6" t="n">
        <f aca="false">P47*$D$2</f>
        <v>1426.1365</v>
      </c>
      <c r="Q48" s="6" t="n">
        <f aca="false">Q47*$D$2</f>
        <v>0</v>
      </c>
      <c r="R48" s="6" t="n">
        <f aca="false">R47*$D$2</f>
        <v>0</v>
      </c>
      <c r="S48" s="6" t="n">
        <f aca="false">S47*$D$2</f>
        <v>0</v>
      </c>
      <c r="T48" s="6" t="n">
        <f aca="false">T47*$D$2</f>
        <v>2258.61145</v>
      </c>
      <c r="U48" s="6" t="n">
        <f aca="false">U47*$D$2</f>
        <v>28082.98805</v>
      </c>
      <c r="V48" s="6" t="n">
        <f aca="false">V47*$D$2</f>
        <v>3684.74795</v>
      </c>
      <c r="W48" s="6" t="n">
        <f aca="false">W47*$D$2</f>
        <v>1784.75035</v>
      </c>
      <c r="X48" s="6" t="n">
        <f aca="false">X47*$D$2</f>
        <v>5469.4983</v>
      </c>
      <c r="Y48" s="9"/>
      <c r="Z48" s="10"/>
      <c r="AA48" s="10"/>
      <c r="AB48" s="11"/>
    </row>
    <row r="49" customFormat="false" ht="3" hidden="false" customHeight="true" outlineLevel="0" collapsed="false">
      <c r="A49" s="27"/>
      <c r="B49" s="27"/>
      <c r="C49" s="29"/>
      <c r="D49" s="27"/>
      <c r="E49" s="29"/>
      <c r="F49" s="27"/>
      <c r="G49" s="27"/>
      <c r="H49" s="30"/>
      <c r="I49" s="27"/>
      <c r="J49" s="27"/>
      <c r="K49" s="27"/>
      <c r="L49" s="27"/>
      <c r="M49" s="27"/>
      <c r="N49" s="27"/>
      <c r="O49" s="27"/>
      <c r="P49" s="27"/>
      <c r="Q49" s="29"/>
      <c r="R49" s="27"/>
      <c r="S49" s="27"/>
      <c r="T49" s="27"/>
      <c r="U49" s="29"/>
      <c r="V49" s="27"/>
      <c r="W49" s="27"/>
      <c r="X49" s="27"/>
      <c r="Y49" s="9"/>
      <c r="Z49" s="10"/>
      <c r="AA49" s="10"/>
      <c r="AB49" s="11"/>
    </row>
    <row r="50" customFormat="false" ht="14.1" hidden="false" customHeight="true" outlineLevel="0" collapsed="false">
      <c r="A50" s="36"/>
      <c r="B50" s="37"/>
      <c r="C50" s="6"/>
      <c r="D50" s="5"/>
      <c r="E50" s="6"/>
      <c r="F50" s="5"/>
      <c r="G50" s="5"/>
      <c r="H50" s="38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5"/>
      <c r="V50" s="5"/>
      <c r="W50" s="6"/>
      <c r="X50" s="5"/>
      <c r="Y50" s="5"/>
      <c r="Z50" s="38"/>
      <c r="AA50" s="38"/>
      <c r="AB50" s="10"/>
    </row>
    <row r="51" customFormat="false" ht="11.1" hidden="false" customHeight="true" outlineLevel="0" collapsed="false">
      <c r="A51" s="5"/>
      <c r="B51" s="25"/>
      <c r="C51" s="6"/>
      <c r="D51" s="35"/>
      <c r="E51" s="6"/>
      <c r="F51" s="5"/>
      <c r="G51" s="5"/>
      <c r="H51" s="38"/>
      <c r="I51" s="7"/>
      <c r="J51" s="5"/>
      <c r="K51" s="39"/>
      <c r="L51" s="5"/>
      <c r="M51" s="5"/>
      <c r="N51" s="5"/>
      <c r="O51" s="5"/>
      <c r="P51" s="5"/>
      <c r="Q51" s="5"/>
      <c r="R51" s="5"/>
      <c r="S51" s="5"/>
      <c r="T51" s="6"/>
      <c r="U51" s="5"/>
      <c r="V51" s="5"/>
      <c r="W51" s="6"/>
      <c r="X51" s="5"/>
      <c r="Y51" s="5"/>
      <c r="Z51" s="38"/>
      <c r="AA51" s="38"/>
      <c r="AB51" s="10"/>
    </row>
    <row r="52" customFormat="false" ht="11.1" hidden="false" customHeight="true" outlineLevel="0" collapsed="false">
      <c r="B52" s="35"/>
      <c r="C52" s="6"/>
      <c r="D52" s="6"/>
      <c r="E52" s="6"/>
      <c r="F52" s="35"/>
      <c r="G52" s="35"/>
      <c r="H52" s="38"/>
      <c r="I52" s="35"/>
      <c r="J52" s="35"/>
      <c r="K52" s="35"/>
      <c r="L52" s="35"/>
      <c r="M52" s="26"/>
      <c r="N52" s="26"/>
      <c r="O52" s="26"/>
      <c r="P52" s="26"/>
      <c r="Q52" s="35"/>
      <c r="R52" s="35"/>
      <c r="S52" s="35"/>
      <c r="T52" s="6"/>
      <c r="U52" s="35"/>
      <c r="V52" s="35"/>
      <c r="W52" s="6"/>
      <c r="X52" s="35"/>
      <c r="Y52" s="35"/>
      <c r="Z52" s="38"/>
      <c r="AA52" s="38"/>
      <c r="AB52" s="10"/>
    </row>
    <row r="53" customFormat="false" ht="11.1" hidden="false" customHeight="true" outlineLevel="0" collapsed="false">
      <c r="A53" s="35"/>
      <c r="B53" s="9"/>
      <c r="C53" s="6"/>
      <c r="D53" s="6"/>
      <c r="E53" s="6"/>
      <c r="F53" s="35"/>
      <c r="G53" s="35"/>
      <c r="H53" s="38"/>
      <c r="I53" s="35"/>
      <c r="J53" s="35"/>
      <c r="K53" s="35"/>
      <c r="L53" s="35"/>
      <c r="M53" s="26"/>
      <c r="N53" s="26"/>
      <c r="O53" s="26"/>
      <c r="P53" s="26"/>
      <c r="Q53" s="35"/>
      <c r="R53" s="35"/>
      <c r="S53" s="35"/>
      <c r="T53" s="6"/>
      <c r="U53" s="35"/>
      <c r="V53" s="35"/>
      <c r="W53" s="6"/>
      <c r="X53" s="35"/>
      <c r="Y53" s="35"/>
      <c r="Z53" s="38"/>
      <c r="AA53" s="38"/>
      <c r="AB53" s="10"/>
    </row>
    <row r="54" customFormat="false" ht="11.1" hidden="false" customHeight="true" outlineLevel="0" collapsed="false">
      <c r="A54" s="35"/>
      <c r="B54" s="35"/>
      <c r="C54" s="6"/>
      <c r="D54" s="35"/>
      <c r="E54" s="6"/>
      <c r="F54" s="35"/>
      <c r="G54" s="40"/>
      <c r="H54" s="38"/>
      <c r="I54" s="35"/>
      <c r="J54" s="35"/>
      <c r="K54" s="35"/>
      <c r="L54" s="35"/>
      <c r="M54" s="26"/>
      <c r="N54" s="26"/>
      <c r="O54" s="26"/>
      <c r="P54" s="35"/>
      <c r="Q54" s="35"/>
      <c r="R54" s="35"/>
      <c r="S54" s="6"/>
      <c r="T54" s="35"/>
      <c r="U54" s="35"/>
      <c r="V54" s="6"/>
      <c r="W54" s="35"/>
      <c r="X54" s="35"/>
      <c r="Y54" s="35"/>
      <c r="Z54" s="38"/>
      <c r="AA54" s="38"/>
      <c r="AB54" s="10"/>
    </row>
  </sheetData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I22" activePane="bottomRight" state="frozen"/>
      <selection pane="topLeft" activeCell="A1" activeCellId="0" sqref="A1"/>
      <selection pane="topRight" activeCell="I1" activeCellId="0" sqref="I1"/>
      <selection pane="bottomLeft" activeCell="A22" activeCellId="0" sqref="A22"/>
      <selection pane="bottomRight" activeCell="I52" activeCellId="0" sqref="I52"/>
    </sheetView>
  </sheetViews>
  <sheetFormatPr defaultColWidth="9.328125" defaultRowHeight="11.1" zeroHeight="false" outlineLevelRow="0" outlineLevelCol="0"/>
  <cols>
    <col collapsed="false" customWidth="true" hidden="false" outlineLevel="0" max="1" min="1" style="41" width="5.66"/>
    <col collapsed="false" customWidth="true" hidden="false" outlineLevel="0" max="2" min="2" style="41" width="7.82"/>
    <col collapsed="false" customWidth="true" hidden="false" outlineLevel="0" max="3" min="3" style="42" width="7.66"/>
    <col collapsed="false" customWidth="true" hidden="false" outlineLevel="0" max="4" min="4" style="41" width="6.99"/>
    <col collapsed="false" customWidth="true" hidden="false" outlineLevel="0" max="5" min="5" style="42" width="7.66"/>
    <col collapsed="false" customWidth="true" hidden="false" outlineLevel="0" max="6" min="6" style="41" width="7.66"/>
    <col collapsed="false" customWidth="true" hidden="false" outlineLevel="0" max="7" min="7" style="41" width="7.16"/>
    <col collapsed="false" customWidth="true" hidden="false" outlineLevel="0" max="8" min="8" style="43" width="6.66"/>
    <col collapsed="false" customWidth="true" hidden="false" outlineLevel="0" max="9" min="9" style="41" width="7.99"/>
    <col collapsed="false" customWidth="true" hidden="false" outlineLevel="0" max="10" min="10" style="41" width="6.66"/>
    <col collapsed="false" customWidth="true" hidden="false" outlineLevel="0" max="12" min="11" style="41" width="7.16"/>
    <col collapsed="false" customWidth="true" hidden="false" outlineLevel="0" max="13" min="13" style="44" width="6.16"/>
    <col collapsed="false" customWidth="true" hidden="false" outlineLevel="0" max="14" min="14" style="44" width="7.32"/>
    <col collapsed="false" customWidth="true" hidden="false" outlineLevel="0" max="15" min="15" style="44" width="6.49"/>
    <col collapsed="false" customWidth="true" hidden="false" outlineLevel="0" max="16" min="16" style="41" width="7.16"/>
    <col collapsed="false" customWidth="true" hidden="false" outlineLevel="0" max="17" min="17" style="41" width="6.32"/>
    <col collapsed="false" customWidth="true" hidden="false" outlineLevel="0" max="18" min="18" style="41" width="5.82"/>
    <col collapsed="false" customWidth="true" hidden="false" outlineLevel="0" max="19" min="19" style="42" width="6.82"/>
    <col collapsed="false" customWidth="true" hidden="false" outlineLevel="0" max="20" min="20" style="41" width="7.66"/>
    <col collapsed="false" customWidth="true" hidden="false" outlineLevel="0" max="21" min="21" style="41" width="5.99"/>
    <col collapsed="false" customWidth="true" hidden="false" outlineLevel="0" max="22" min="22" style="42" width="6.66"/>
    <col collapsed="false" customWidth="true" hidden="false" outlineLevel="0" max="23" min="23" style="41" width="6.82"/>
    <col collapsed="false" customWidth="true" hidden="false" outlineLevel="0" max="24" min="24" style="41" width="7.82"/>
    <col collapsed="false" customWidth="true" hidden="false" outlineLevel="0" max="25" min="25" style="41" width="5.49"/>
    <col collapsed="false" customWidth="true" hidden="false" outlineLevel="0" max="26" min="26" style="45" width="3.99"/>
    <col collapsed="false" customWidth="true" hidden="false" outlineLevel="0" max="27" min="27" style="43" width="4.66"/>
    <col collapsed="false" customWidth="true" hidden="false" outlineLevel="0" max="28" min="28" style="46" width="4.66"/>
    <col collapsed="false" customWidth="true" hidden="false" outlineLevel="0" max="29" min="29" style="47" width="4.66"/>
    <col collapsed="false" customWidth="true" hidden="false" outlineLevel="0" max="30" min="30" style="41" width="5.66"/>
    <col collapsed="false" customWidth="false" hidden="false" outlineLevel="0" max="257" min="31" style="41" width="9.32"/>
  </cols>
  <sheetData>
    <row r="1" customFormat="false" ht="14.1" hidden="false" customHeight="true" outlineLevel="0" collapsed="false">
      <c r="A1" s="5"/>
      <c r="B1" s="5"/>
      <c r="C1" s="6"/>
      <c r="D1" s="5"/>
      <c r="E1" s="6"/>
      <c r="F1" s="5"/>
      <c r="G1" s="5"/>
      <c r="H1" s="7"/>
      <c r="I1" s="5"/>
      <c r="J1" s="5"/>
      <c r="K1" s="8" t="s">
        <v>0</v>
      </c>
      <c r="L1" s="5"/>
      <c r="M1" s="5"/>
      <c r="N1" s="5"/>
      <c r="O1" s="5"/>
      <c r="P1" s="5"/>
      <c r="Q1" s="6"/>
      <c r="R1" s="5"/>
      <c r="S1" s="5"/>
      <c r="T1" s="5"/>
      <c r="U1" s="6"/>
      <c r="V1" s="5"/>
      <c r="W1" s="5"/>
      <c r="X1" s="5"/>
      <c r="Y1" s="9"/>
      <c r="Z1" s="10"/>
      <c r="AA1" s="10"/>
      <c r="AB1" s="11"/>
      <c r="AC1" s="48"/>
    </row>
    <row r="2" customFormat="false" ht="14.1" hidden="false" customHeight="true" outlineLevel="0" collapsed="false">
      <c r="A2" s="5" t="s">
        <v>1</v>
      </c>
      <c r="B2" s="5"/>
      <c r="C2" s="6"/>
      <c r="D2" s="12" t="n">
        <v>1.9835</v>
      </c>
      <c r="E2" s="6"/>
      <c r="F2" s="5"/>
      <c r="G2" s="5"/>
      <c r="H2" s="7"/>
      <c r="I2" s="5"/>
      <c r="J2" s="5"/>
      <c r="K2" s="5"/>
      <c r="L2" s="8" t="s">
        <v>51</v>
      </c>
      <c r="M2" s="5"/>
      <c r="N2" s="5"/>
      <c r="O2" s="5"/>
      <c r="P2" s="5"/>
      <c r="Q2" s="6"/>
      <c r="R2" s="5"/>
      <c r="S2" s="5"/>
      <c r="T2" s="5"/>
      <c r="U2" s="6"/>
      <c r="V2" s="5"/>
      <c r="W2" s="5"/>
      <c r="X2" s="5"/>
      <c r="Y2" s="9"/>
      <c r="Z2" s="10"/>
      <c r="AA2" s="10"/>
      <c r="AB2" s="11"/>
      <c r="AC2" s="48"/>
    </row>
    <row r="3" customFormat="false" ht="11.1" hidden="false" customHeight="true" outlineLevel="0" collapsed="false">
      <c r="A3" s="5"/>
      <c r="B3" s="5"/>
      <c r="C3" s="6"/>
      <c r="D3" s="13"/>
      <c r="E3" s="6"/>
      <c r="F3" s="5"/>
      <c r="G3" s="5"/>
      <c r="H3" s="7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6"/>
      <c r="V3" s="5"/>
      <c r="W3" s="5"/>
      <c r="X3" s="5"/>
      <c r="Y3" s="9"/>
      <c r="Z3" s="10"/>
      <c r="AA3" s="10"/>
      <c r="AB3" s="11"/>
      <c r="AC3" s="48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6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4" t="s">
        <v>8</v>
      </c>
      <c r="N4" s="14" t="s">
        <v>13</v>
      </c>
      <c r="O4" s="14" t="s">
        <v>14</v>
      </c>
      <c r="P4" s="14" t="s">
        <v>12</v>
      </c>
      <c r="Q4" s="15" t="s">
        <v>13</v>
      </c>
      <c r="R4" s="14" t="s">
        <v>15</v>
      </c>
      <c r="S4" s="14" t="s">
        <v>16</v>
      </c>
      <c r="T4" s="14" t="s">
        <v>17</v>
      </c>
      <c r="U4" s="15" t="s">
        <v>18</v>
      </c>
      <c r="V4" s="14" t="s">
        <v>10</v>
      </c>
      <c r="W4" s="14" t="s">
        <v>11</v>
      </c>
      <c r="X4" s="14" t="s">
        <v>12</v>
      </c>
      <c r="Y4" s="17" t="s">
        <v>19</v>
      </c>
      <c r="Z4" s="18" t="s">
        <v>20</v>
      </c>
      <c r="AA4" s="18" t="s">
        <v>21</v>
      </c>
      <c r="AB4" s="18" t="s">
        <v>3</v>
      </c>
      <c r="AC4" s="49"/>
      <c r="AD4" s="49"/>
    </row>
    <row r="5" customFormat="false" ht="11.1" hidden="false" customHeight="true" outlineLevel="0" collapsed="false">
      <c r="A5" s="19" t="s">
        <v>52</v>
      </c>
      <c r="B5" s="14" t="s">
        <v>23</v>
      </c>
      <c r="C5" s="15" t="s">
        <v>5</v>
      </c>
      <c r="D5" s="14" t="s">
        <v>24</v>
      </c>
      <c r="E5" s="15" t="s">
        <v>25</v>
      </c>
      <c r="F5" s="14" t="s">
        <v>26</v>
      </c>
      <c r="G5" s="14" t="s">
        <v>27</v>
      </c>
      <c r="H5" s="16" t="s">
        <v>28</v>
      </c>
      <c r="I5" s="14" t="s">
        <v>29</v>
      </c>
      <c r="J5" s="14" t="s">
        <v>29</v>
      </c>
      <c r="K5" s="14" t="s">
        <v>29</v>
      </c>
      <c r="L5" s="14" t="s">
        <v>30</v>
      </c>
      <c r="M5" s="14" t="s">
        <v>31</v>
      </c>
      <c r="N5" s="14" t="s">
        <v>32</v>
      </c>
      <c r="O5" s="14" t="s">
        <v>33</v>
      </c>
      <c r="P5" s="14" t="s">
        <v>13</v>
      </c>
      <c r="Q5" s="15" t="s">
        <v>34</v>
      </c>
      <c r="R5" s="14" t="s">
        <v>35</v>
      </c>
      <c r="S5" s="14" t="s">
        <v>36</v>
      </c>
      <c r="T5" s="14" t="s">
        <v>37</v>
      </c>
      <c r="U5" s="15" t="s">
        <v>38</v>
      </c>
      <c r="V5" s="14" t="s">
        <v>39</v>
      </c>
      <c r="W5" s="14" t="s">
        <v>39</v>
      </c>
      <c r="X5" s="14" t="s">
        <v>39</v>
      </c>
      <c r="Y5" s="20"/>
      <c r="Z5" s="18" t="s">
        <v>40</v>
      </c>
      <c r="AA5" s="18" t="s">
        <v>40</v>
      </c>
      <c r="AB5" s="21" t="s">
        <v>52</v>
      </c>
      <c r="AC5" s="49"/>
      <c r="AD5" s="50"/>
    </row>
    <row r="6" customFormat="false" ht="11.1" hidden="false" customHeight="true" outlineLevel="0" collapsed="false">
      <c r="A6" s="22"/>
      <c r="B6" s="22"/>
      <c r="C6" s="23"/>
      <c r="D6" s="22"/>
      <c r="E6" s="23"/>
      <c r="F6" s="22"/>
      <c r="G6" s="22"/>
      <c r="H6" s="24"/>
      <c r="I6" s="22"/>
      <c r="J6" s="22"/>
      <c r="K6" s="22"/>
      <c r="L6" s="22"/>
      <c r="M6" s="22"/>
      <c r="N6" s="22"/>
      <c r="O6" s="22"/>
      <c r="P6" s="22"/>
      <c r="Q6" s="23"/>
      <c r="R6" s="22"/>
      <c r="S6" s="22"/>
      <c r="T6" s="22"/>
      <c r="U6" s="23"/>
      <c r="V6" s="22"/>
      <c r="W6" s="22"/>
      <c r="X6" s="22"/>
      <c r="Y6" s="9"/>
      <c r="Z6" s="11"/>
      <c r="AA6" s="11"/>
      <c r="AB6" s="11"/>
      <c r="AC6" s="48"/>
      <c r="AD6" s="48"/>
    </row>
    <row r="7" customFormat="false" ht="11.1" hidden="false" customHeight="true" outlineLevel="0" collapsed="false">
      <c r="A7" s="5" t="s">
        <v>41</v>
      </c>
      <c r="B7" s="5"/>
      <c r="C7" s="6"/>
      <c r="D7" s="6"/>
      <c r="E7" s="6"/>
      <c r="F7" s="6"/>
      <c r="G7" s="6"/>
      <c r="H7" s="1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9"/>
      <c r="Z7" s="10"/>
      <c r="AA7" s="10"/>
      <c r="AB7" s="11"/>
      <c r="AC7" s="51"/>
      <c r="AD7" s="48"/>
    </row>
    <row r="8" s="42" customFormat="true" ht="11.1" hidden="false" customHeight="true" outlineLevel="0" collapsed="false">
      <c r="A8" s="6" t="s">
        <v>42</v>
      </c>
      <c r="B8" s="25" t="n">
        <f aca="false">[1]NOV!B39</f>
        <v>6905.35</v>
      </c>
      <c r="C8" s="6" t="n">
        <f aca="false">[1]NOV!C39</f>
        <v>303746</v>
      </c>
      <c r="D8" s="6" t="n">
        <f aca="false">[1]NOV!$D$48</f>
        <v>-231</v>
      </c>
      <c r="E8" s="6" t="n">
        <f aca="false">[1]NOV!$E$39</f>
        <v>151746</v>
      </c>
      <c r="F8" s="6" t="n">
        <f aca="false" t="array" ref="F8:Y8">[1]NOV!$F$47:$Y$47</f>
        <v>-116.46080161331</v>
      </c>
      <c r="G8" s="6" t="n">
        <v>2415.2</v>
      </c>
      <c r="H8" s="10" t="n">
        <v>0</v>
      </c>
      <c r="I8" s="6" t="n">
        <v>2415.2</v>
      </c>
      <c r="J8" s="6" t="n">
        <v>225.837711116713</v>
      </c>
      <c r="K8" s="6" t="n">
        <v>2641.03771111671</v>
      </c>
      <c r="L8" s="6" t="n">
        <v>-673.96080161331</v>
      </c>
      <c r="M8" s="6" t="n">
        <v>540.3</v>
      </c>
      <c r="N8" s="6" t="n">
        <v>0</v>
      </c>
      <c r="O8" s="6" t="n">
        <v>178.7</v>
      </c>
      <c r="P8" s="6" t="n">
        <v>719</v>
      </c>
      <c r="Q8" s="6" t="n">
        <v>0</v>
      </c>
      <c r="R8" s="6" t="n">
        <v>0</v>
      </c>
      <c r="S8" s="6" t="n">
        <v>0</v>
      </c>
      <c r="T8" s="6" t="n">
        <v>1138.7</v>
      </c>
      <c r="U8" s="6" t="n">
        <v>14158.3</v>
      </c>
      <c r="V8" s="6" t="n">
        <v>1857.7</v>
      </c>
      <c r="W8" s="6" t="n">
        <v>899.798512730023</v>
      </c>
      <c r="X8" s="6" t="n">
        <v>2757.49851273002</v>
      </c>
      <c r="Y8" s="9" t="n">
        <v>0.47</v>
      </c>
      <c r="Z8" s="10"/>
      <c r="AA8" s="10"/>
      <c r="AB8" s="11"/>
      <c r="AC8" s="51"/>
      <c r="AD8" s="48"/>
    </row>
    <row r="9" customFormat="false" ht="3" hidden="false" customHeight="true" outlineLevel="0" collapsed="false">
      <c r="A9" s="27"/>
      <c r="B9" s="28"/>
      <c r="C9" s="29"/>
      <c r="D9" s="27"/>
      <c r="E9" s="29"/>
      <c r="F9" s="27"/>
      <c r="G9" s="27"/>
      <c r="H9" s="30"/>
      <c r="I9" s="27"/>
      <c r="J9" s="27"/>
      <c r="K9" s="27"/>
      <c r="L9" s="27"/>
      <c r="M9" s="27" t="n">
        <v>4</v>
      </c>
      <c r="N9" s="27"/>
      <c r="O9" s="27"/>
      <c r="P9" s="27"/>
      <c r="Q9" s="29"/>
      <c r="R9" s="27"/>
      <c r="S9" s="27"/>
      <c r="T9" s="27"/>
      <c r="U9" s="29"/>
      <c r="V9" s="27"/>
      <c r="W9" s="27"/>
      <c r="X9" s="27"/>
      <c r="Y9" s="31"/>
      <c r="Z9" s="32"/>
      <c r="AA9" s="32"/>
      <c r="AB9" s="33"/>
      <c r="AC9" s="52"/>
      <c r="AD9" s="53"/>
    </row>
    <row r="10" customFormat="false" ht="11.1" hidden="false" customHeight="true" outlineLevel="0" collapsed="false">
      <c r="A10" s="11" t="n">
        <v>1</v>
      </c>
      <c r="B10" s="25" t="n">
        <v>6905.35</v>
      </c>
      <c r="C10" s="6" t="n">
        <v>303746</v>
      </c>
      <c r="D10" s="10" t="n">
        <f aca="false">C10-C8</f>
        <v>0</v>
      </c>
      <c r="E10" s="6" t="n">
        <f aca="false">C10-152000</f>
        <v>151746</v>
      </c>
      <c r="F10" s="5" t="n">
        <f aca="false">D10/$D$2</f>
        <v>0</v>
      </c>
      <c r="G10" s="5" t="n">
        <v>37.9</v>
      </c>
      <c r="H10" s="7" t="n">
        <v>0</v>
      </c>
      <c r="I10" s="5" t="n">
        <f aca="false">G10+H10</f>
        <v>37.9</v>
      </c>
      <c r="J10" s="26" t="n">
        <f aca="false">IF(L10&gt;0,L10,0)</f>
        <v>0</v>
      </c>
      <c r="K10" s="5" t="n">
        <f aca="false">I10+J10</f>
        <v>37.9</v>
      </c>
      <c r="L10" s="5" t="n">
        <f aca="false">F10-(I10-V10)</f>
        <v>0</v>
      </c>
      <c r="M10" s="5" t="n">
        <v>3.7</v>
      </c>
      <c r="N10" s="5" t="n">
        <v>0</v>
      </c>
      <c r="O10" s="5" t="n">
        <v>0</v>
      </c>
      <c r="P10" s="5" t="n">
        <f aca="false">SUM(M10:O10)</f>
        <v>3.7</v>
      </c>
      <c r="Q10" s="6" t="n">
        <v>0</v>
      </c>
      <c r="R10" s="5" t="n">
        <v>0</v>
      </c>
      <c r="S10" s="5" t="n">
        <v>0</v>
      </c>
      <c r="T10" s="5" t="n">
        <v>34.2</v>
      </c>
      <c r="U10" s="6" t="n">
        <f aca="false">U8-T10</f>
        <v>14124.1</v>
      </c>
      <c r="V10" s="5" t="n">
        <f aca="false">P10+R10+S10+T10</f>
        <v>37.9</v>
      </c>
      <c r="W10" s="5" t="n">
        <f aca="false">IF(L10&lt;0,L10*-1,0)</f>
        <v>0</v>
      </c>
      <c r="X10" s="5" t="n">
        <f aca="false">V10+W10</f>
        <v>37.9</v>
      </c>
      <c r="Y10" s="9" t="n">
        <v>0</v>
      </c>
      <c r="Z10" s="10" t="n">
        <v>48</v>
      </c>
      <c r="AA10" s="10" t="n">
        <v>7</v>
      </c>
      <c r="AB10" s="11" t="n">
        <v>1</v>
      </c>
      <c r="AC10" s="51"/>
      <c r="AD10" s="48"/>
    </row>
    <row r="11" customFormat="false" ht="11.1" hidden="false" customHeight="true" outlineLevel="0" collapsed="false">
      <c r="A11" s="11" t="n">
        <f aca="false">A10+1</f>
        <v>2</v>
      </c>
      <c r="B11" s="25" t="n">
        <v>6905.36</v>
      </c>
      <c r="C11" s="6" t="n">
        <v>303783</v>
      </c>
      <c r="D11" s="10" t="n">
        <f aca="false">C11-C10</f>
        <v>37</v>
      </c>
      <c r="E11" s="6" t="n">
        <f aca="false">C11-152000</f>
        <v>151783</v>
      </c>
      <c r="F11" s="5" t="n">
        <f aca="false">D11/$D$2</f>
        <v>18.6538946307033</v>
      </c>
      <c r="G11" s="5" t="n">
        <v>56.5</v>
      </c>
      <c r="H11" s="7" t="n">
        <v>0</v>
      </c>
      <c r="I11" s="5" t="n">
        <f aca="false">G11+H11</f>
        <v>56.5</v>
      </c>
      <c r="J11" s="26" t="n">
        <f aca="false">IF(L11&gt;0,L11,0)</f>
        <v>0.0538946307033079</v>
      </c>
      <c r="K11" s="5" t="n">
        <f aca="false">I11+J11</f>
        <v>56.5538946307033</v>
      </c>
      <c r="L11" s="5" t="n">
        <f aca="false">F11-(I11-V11)</f>
        <v>0.0538946307033079</v>
      </c>
      <c r="M11" s="5" t="n">
        <v>3.7</v>
      </c>
      <c r="N11" s="5" t="n">
        <v>0</v>
      </c>
      <c r="O11" s="5" t="n">
        <v>0</v>
      </c>
      <c r="P11" s="5" t="n">
        <f aca="false">SUM(M11:O11)</f>
        <v>3.7</v>
      </c>
      <c r="Q11" s="6" t="n">
        <v>0</v>
      </c>
      <c r="R11" s="5" t="n">
        <v>0</v>
      </c>
      <c r="S11" s="5" t="n">
        <v>0</v>
      </c>
      <c r="T11" s="5" t="n">
        <v>34.2</v>
      </c>
      <c r="U11" s="6" t="n">
        <f aca="false">U10-T11</f>
        <v>14089.9</v>
      </c>
      <c r="V11" s="5" t="n">
        <f aca="false">P11+R11+S11+T11</f>
        <v>37.9</v>
      </c>
      <c r="W11" s="5" t="n">
        <f aca="false">IF(L11&lt;0,L11*-1,0)</f>
        <v>0</v>
      </c>
      <c r="X11" s="5" t="n">
        <f aca="false">V11+W11</f>
        <v>37.9</v>
      </c>
      <c r="Y11" s="9" t="n">
        <v>0</v>
      </c>
      <c r="Z11" s="10" t="n">
        <v>46</v>
      </c>
      <c r="AA11" s="10" t="n">
        <v>8</v>
      </c>
      <c r="AB11" s="11" t="n">
        <f aca="false">AB10+1</f>
        <v>2</v>
      </c>
      <c r="AC11" s="51"/>
      <c r="AD11" s="48"/>
    </row>
    <row r="12" customFormat="false" ht="11.1" hidden="false" customHeight="true" outlineLevel="0" collapsed="false">
      <c r="A12" s="11" t="n">
        <f aca="false">A11+1</f>
        <v>3</v>
      </c>
      <c r="B12" s="25" t="n">
        <v>6905.36</v>
      </c>
      <c r="C12" s="6" t="n">
        <v>303783</v>
      </c>
      <c r="D12" s="10" t="n">
        <f aca="false">C12-C11</f>
        <v>0</v>
      </c>
      <c r="E12" s="6" t="n">
        <f aca="false">C12-152000</f>
        <v>151783</v>
      </c>
      <c r="F12" s="5" t="n">
        <f aca="false">D12/$D$2</f>
        <v>0</v>
      </c>
      <c r="G12" s="5" t="n">
        <v>38.1</v>
      </c>
      <c r="H12" s="7" t="n">
        <v>0</v>
      </c>
      <c r="I12" s="5" t="n">
        <f aca="false">G12+H12</f>
        <v>38.1</v>
      </c>
      <c r="J12" s="26" t="n">
        <f aca="false">IF(L12&gt;0,L12,0)</f>
        <v>0</v>
      </c>
      <c r="K12" s="5" t="n">
        <f aca="false">I12+J12</f>
        <v>38.1</v>
      </c>
      <c r="L12" s="5" t="n">
        <f aca="false">F12-(I12-V12)</f>
        <v>0</v>
      </c>
      <c r="M12" s="5" t="n">
        <v>3.9</v>
      </c>
      <c r="N12" s="5" t="n">
        <v>0</v>
      </c>
      <c r="O12" s="5" t="n">
        <v>0</v>
      </c>
      <c r="P12" s="5" t="n">
        <f aca="false">SUM(M12:O12)</f>
        <v>3.9</v>
      </c>
      <c r="Q12" s="6" t="n">
        <v>0</v>
      </c>
      <c r="R12" s="5" t="n">
        <v>0</v>
      </c>
      <c r="S12" s="5" t="n">
        <v>0</v>
      </c>
      <c r="T12" s="5" t="n">
        <v>34.2</v>
      </c>
      <c r="U12" s="6" t="n">
        <f aca="false">U11-T12</f>
        <v>14055.7</v>
      </c>
      <c r="V12" s="5" t="n">
        <f aca="false">P12+R12+S12+T12</f>
        <v>38.1</v>
      </c>
      <c r="W12" s="5" t="n">
        <f aca="false">IF(L12&lt;0,L12*-1,0)</f>
        <v>0</v>
      </c>
      <c r="X12" s="5" t="n">
        <f aca="false">V12+W12</f>
        <v>38.1</v>
      </c>
      <c r="Y12" s="9" t="n">
        <v>0</v>
      </c>
      <c r="Z12" s="10" t="n">
        <v>43</v>
      </c>
      <c r="AA12" s="10" t="n">
        <v>26</v>
      </c>
      <c r="AB12" s="11" t="n">
        <f aca="false">AB11+1</f>
        <v>3</v>
      </c>
      <c r="AC12" s="51"/>
      <c r="AD12" s="48"/>
    </row>
    <row r="13" customFormat="false" ht="11.1" hidden="false" customHeight="true" outlineLevel="0" collapsed="false">
      <c r="A13" s="11" t="n">
        <f aca="false">A12+1</f>
        <v>4</v>
      </c>
      <c r="B13" s="25" t="n">
        <v>6905.37</v>
      </c>
      <c r="C13" s="6" t="n">
        <v>303823</v>
      </c>
      <c r="D13" s="10" t="n">
        <f aca="false">C13-C12</f>
        <v>40</v>
      </c>
      <c r="E13" s="6" t="n">
        <f aca="false">C13-152000</f>
        <v>151823</v>
      </c>
      <c r="F13" s="5" t="n">
        <f aca="false">D13/$D$2</f>
        <v>20.1663725737333</v>
      </c>
      <c r="G13" s="5" t="n">
        <v>58.4</v>
      </c>
      <c r="H13" s="7" t="n">
        <v>0</v>
      </c>
      <c r="I13" s="5" t="n">
        <f aca="false">G13+H13</f>
        <v>58.4</v>
      </c>
      <c r="J13" s="26" t="n">
        <f aca="false">IF(L13&gt;0,L13,0)</f>
        <v>0.0663725737333039</v>
      </c>
      <c r="K13" s="5" t="n">
        <f aca="false">I13+J13</f>
        <v>58.4663725737333</v>
      </c>
      <c r="L13" s="5" t="n">
        <f aca="false">F13-(I13-V13)</f>
        <v>0.0663725737333039</v>
      </c>
      <c r="M13" s="5" t="n">
        <v>4.1</v>
      </c>
      <c r="N13" s="5" t="n">
        <v>0</v>
      </c>
      <c r="O13" s="5" t="n">
        <v>0</v>
      </c>
      <c r="P13" s="5" t="n">
        <f aca="false">SUM(M13:O13)</f>
        <v>4.1</v>
      </c>
      <c r="Q13" s="6" t="n">
        <v>0</v>
      </c>
      <c r="R13" s="5" t="n">
        <v>0</v>
      </c>
      <c r="S13" s="5" t="n">
        <v>0</v>
      </c>
      <c r="T13" s="5" t="n">
        <v>34.2</v>
      </c>
      <c r="U13" s="6" t="n">
        <f aca="false">U12-T13</f>
        <v>14021.5</v>
      </c>
      <c r="V13" s="5" t="n">
        <f aca="false">P13+R13+S13+T13</f>
        <v>38.3</v>
      </c>
      <c r="W13" s="5" t="n">
        <f aca="false">IF(L13&lt;0,L13*-1,0)</f>
        <v>0</v>
      </c>
      <c r="X13" s="5" t="n">
        <f aca="false">V13+W13</f>
        <v>38.3</v>
      </c>
      <c r="Y13" s="9" t="n">
        <v>0.14</v>
      </c>
      <c r="Z13" s="10" t="n">
        <v>39</v>
      </c>
      <c r="AA13" s="10" t="n">
        <v>24</v>
      </c>
      <c r="AB13" s="11" t="n">
        <f aca="false">AB12+1</f>
        <v>4</v>
      </c>
      <c r="AC13" s="51"/>
      <c r="AD13" s="48"/>
    </row>
    <row r="14" customFormat="false" ht="11.1" hidden="false" customHeight="true" outlineLevel="0" collapsed="false">
      <c r="A14" s="11" t="n">
        <f aca="false">A13+1</f>
        <v>5</v>
      </c>
      <c r="B14" s="25" t="n">
        <v>6905.37</v>
      </c>
      <c r="C14" s="6" t="n">
        <v>303823</v>
      </c>
      <c r="D14" s="10" t="n">
        <f aca="false">C14-C13</f>
        <v>0</v>
      </c>
      <c r="E14" s="6" t="n">
        <f aca="false">C14-152000</f>
        <v>151823</v>
      </c>
      <c r="F14" s="5" t="n">
        <f aca="false">D14/$D$2</f>
        <v>0</v>
      </c>
      <c r="G14" s="5" t="n">
        <v>38.2</v>
      </c>
      <c r="H14" s="7" t="n">
        <v>0</v>
      </c>
      <c r="I14" s="5" t="n">
        <f aca="false">G14+H14</f>
        <v>38.2</v>
      </c>
      <c r="J14" s="26" t="n">
        <f aca="false">IF(L14&gt;0,L14,0)</f>
        <v>0.100000000000001</v>
      </c>
      <c r="K14" s="5" t="n">
        <f aca="false">I14+J14</f>
        <v>38.3</v>
      </c>
      <c r="L14" s="5" t="n">
        <f aca="false">F14-(I14-V14)</f>
        <v>0.100000000000001</v>
      </c>
      <c r="M14" s="5" t="n">
        <v>4.1</v>
      </c>
      <c r="N14" s="5" t="n">
        <v>0</v>
      </c>
      <c r="O14" s="5" t="n">
        <v>0</v>
      </c>
      <c r="P14" s="5" t="n">
        <f aca="false">SUM(M14:O14)</f>
        <v>4.1</v>
      </c>
      <c r="Q14" s="6" t="n">
        <v>0</v>
      </c>
      <c r="R14" s="5" t="n">
        <v>0</v>
      </c>
      <c r="S14" s="5" t="n">
        <v>0</v>
      </c>
      <c r="T14" s="5" t="n">
        <v>34.2</v>
      </c>
      <c r="U14" s="6" t="n">
        <f aca="false">U13-T14</f>
        <v>13987.3</v>
      </c>
      <c r="V14" s="5" t="n">
        <f aca="false">P14+R14+S14+T14</f>
        <v>38.3</v>
      </c>
      <c r="W14" s="5" t="n">
        <f aca="false">IF(L14&lt;0,L14*-1,0)</f>
        <v>0</v>
      </c>
      <c r="X14" s="5" t="n">
        <f aca="false">V14+W14</f>
        <v>38.3</v>
      </c>
      <c r="Y14" s="9" t="n">
        <v>0.3</v>
      </c>
      <c r="Z14" s="10" t="n">
        <v>32</v>
      </c>
      <c r="AA14" s="10" t="n">
        <v>19</v>
      </c>
      <c r="AB14" s="11" t="n">
        <f aca="false">AB13+1</f>
        <v>5</v>
      </c>
      <c r="AC14" s="51"/>
      <c r="AD14" s="48"/>
    </row>
    <row r="15" customFormat="false" ht="11.1" hidden="false" customHeight="true" outlineLevel="0" collapsed="false">
      <c r="A15" s="11" t="n">
        <f aca="false">A14+1</f>
        <v>6</v>
      </c>
      <c r="B15" s="25" t="n">
        <v>6905.38</v>
      </c>
      <c r="C15" s="6" t="n">
        <v>303860</v>
      </c>
      <c r="D15" s="10" t="n">
        <f aca="false">C15-C14</f>
        <v>37</v>
      </c>
      <c r="E15" s="6" t="n">
        <f aca="false">C15-152000</f>
        <v>151860</v>
      </c>
      <c r="F15" s="5" t="n">
        <f aca="false">D15/$D$2</f>
        <v>18.6538946307033</v>
      </c>
      <c r="G15" s="5" t="n">
        <v>56.9</v>
      </c>
      <c r="H15" s="7" t="n">
        <v>0</v>
      </c>
      <c r="I15" s="5" t="n">
        <f aca="false">G15+H15</f>
        <v>56.9</v>
      </c>
      <c r="J15" s="26" t="n">
        <f aca="false">IF(L15&gt;0,L15,0)</f>
        <v>0.0538946307033079</v>
      </c>
      <c r="K15" s="5" t="n">
        <f aca="false">I15+J15</f>
        <v>56.9538946307033</v>
      </c>
      <c r="L15" s="5" t="n">
        <f aca="false">F15-(I15-V15)</f>
        <v>0.0538946307033079</v>
      </c>
      <c r="M15" s="5" t="n">
        <v>4.1</v>
      </c>
      <c r="N15" s="5" t="n">
        <v>0</v>
      </c>
      <c r="O15" s="5" t="n">
        <v>0</v>
      </c>
      <c r="P15" s="5" t="n">
        <f aca="false">SUM(M15:O15)</f>
        <v>4.1</v>
      </c>
      <c r="Q15" s="6" t="n">
        <v>0</v>
      </c>
      <c r="R15" s="5" t="n">
        <v>0</v>
      </c>
      <c r="S15" s="5" t="n">
        <v>0</v>
      </c>
      <c r="T15" s="5" t="n">
        <v>34.2</v>
      </c>
      <c r="U15" s="6" t="n">
        <f aca="false">U14-T15</f>
        <v>13953.1</v>
      </c>
      <c r="V15" s="5" t="n">
        <f aca="false">P15+R15+S15+T15</f>
        <v>38.3</v>
      </c>
      <c r="W15" s="5" t="n">
        <f aca="false">IF(L15&lt;0,L15*-1,0)</f>
        <v>0</v>
      </c>
      <c r="X15" s="5" t="n">
        <f aca="false">V15+W15</f>
        <v>38.3</v>
      </c>
      <c r="Y15" s="9" t="n">
        <v>0</v>
      </c>
      <c r="Z15" s="10" t="n">
        <v>34</v>
      </c>
      <c r="AA15" s="10" t="n">
        <v>10</v>
      </c>
      <c r="AB15" s="11" t="n">
        <f aca="false">AB14+1</f>
        <v>6</v>
      </c>
      <c r="AC15" s="51"/>
      <c r="AD15" s="48"/>
    </row>
    <row r="16" customFormat="false" ht="11.1" hidden="false" customHeight="true" outlineLevel="0" collapsed="false">
      <c r="A16" s="11" t="n">
        <f aca="false">A15+1</f>
        <v>7</v>
      </c>
      <c r="B16" s="25" t="n">
        <v>6905.38</v>
      </c>
      <c r="C16" s="6" t="n">
        <v>303860</v>
      </c>
      <c r="D16" s="10" t="n">
        <f aca="false">C16-C15</f>
        <v>0</v>
      </c>
      <c r="E16" s="6" t="n">
        <f aca="false">C16-152000</f>
        <v>151860</v>
      </c>
      <c r="F16" s="5" t="n">
        <f aca="false">D16/$D$2</f>
        <v>0</v>
      </c>
      <c r="G16" s="5" t="n">
        <v>38.1</v>
      </c>
      <c r="H16" s="7" t="n">
        <v>0</v>
      </c>
      <c r="I16" s="5" t="n">
        <f aca="false">G16+H16</f>
        <v>38.1</v>
      </c>
      <c r="J16" s="26" t="n">
        <f aca="false">IF(L16&gt;0,L16,0)</f>
        <v>0.100000000000001</v>
      </c>
      <c r="K16" s="5" t="n">
        <f aca="false">I16+J16</f>
        <v>38.2</v>
      </c>
      <c r="L16" s="5" t="n">
        <f aca="false">F16-(I16-V16)</f>
        <v>0.100000000000001</v>
      </c>
      <c r="M16" s="5" t="n">
        <v>4.1</v>
      </c>
      <c r="N16" s="5" t="n">
        <v>0</v>
      </c>
      <c r="O16" s="5" t="n">
        <v>0</v>
      </c>
      <c r="P16" s="5" t="n">
        <f aca="false">SUM(M16:O16)</f>
        <v>4.1</v>
      </c>
      <c r="Q16" s="6" t="n">
        <v>0</v>
      </c>
      <c r="R16" s="5" t="n">
        <v>0</v>
      </c>
      <c r="S16" s="5" t="n">
        <v>0</v>
      </c>
      <c r="T16" s="5" t="n">
        <v>34.1</v>
      </c>
      <c r="U16" s="6" t="n">
        <f aca="false">U15-T16</f>
        <v>13919</v>
      </c>
      <c r="V16" s="5" t="n">
        <f aca="false">P16+R16+S16+T16</f>
        <v>38.2</v>
      </c>
      <c r="W16" s="5" t="n">
        <f aca="false">IF(L16&lt;0,L16*-1,0)</f>
        <v>0</v>
      </c>
      <c r="X16" s="5" t="n">
        <f aca="false">V16+W16</f>
        <v>38.2</v>
      </c>
      <c r="Y16" s="9" t="n">
        <v>0</v>
      </c>
      <c r="Z16" s="10" t="n">
        <v>35</v>
      </c>
      <c r="AA16" s="10" t="n">
        <v>6</v>
      </c>
      <c r="AB16" s="11" t="n">
        <f aca="false">AB15+1</f>
        <v>7</v>
      </c>
      <c r="AC16" s="51"/>
      <c r="AD16" s="48"/>
    </row>
    <row r="17" customFormat="false" ht="11.1" hidden="false" customHeight="true" outlineLevel="0" collapsed="false">
      <c r="A17" s="11" t="n">
        <f aca="false">A16+1</f>
        <v>8</v>
      </c>
      <c r="B17" s="25" t="n">
        <v>6905.39</v>
      </c>
      <c r="C17" s="6" t="n">
        <v>303900</v>
      </c>
      <c r="D17" s="10" t="n">
        <f aca="false">C17-C16</f>
        <v>40</v>
      </c>
      <c r="E17" s="6" t="n">
        <f aca="false">C17-152000</f>
        <v>151900</v>
      </c>
      <c r="F17" s="5" t="n">
        <f aca="false">D17/$D$2</f>
        <v>20.1663725737333</v>
      </c>
      <c r="G17" s="5" t="n">
        <v>58</v>
      </c>
      <c r="H17" s="7" t="n">
        <v>0</v>
      </c>
      <c r="I17" s="5" t="n">
        <f aca="false">G17+H17</f>
        <v>58</v>
      </c>
      <c r="J17" s="26" t="n">
        <f aca="false">IF(L17&gt;0,L17,0)</f>
        <v>0</v>
      </c>
      <c r="K17" s="5" t="n">
        <f aca="false">I17+J17</f>
        <v>58</v>
      </c>
      <c r="L17" s="5" t="n">
        <f aca="false">F17-(I17-V17)</f>
        <v>-0.0336274262666976</v>
      </c>
      <c r="M17" s="5" t="n">
        <v>4.1</v>
      </c>
      <c r="N17" s="5" t="n">
        <v>0</v>
      </c>
      <c r="O17" s="5" t="n">
        <v>0</v>
      </c>
      <c r="P17" s="5" t="n">
        <f aca="false">SUM(M17:O17)</f>
        <v>4.1</v>
      </c>
      <c r="Q17" s="6" t="n">
        <v>0</v>
      </c>
      <c r="R17" s="5" t="n">
        <v>0</v>
      </c>
      <c r="S17" s="5" t="n">
        <v>0</v>
      </c>
      <c r="T17" s="5" t="n">
        <v>33.7</v>
      </c>
      <c r="U17" s="6" t="n">
        <f aca="false">U16-T17</f>
        <v>13885.3</v>
      </c>
      <c r="V17" s="5" t="n">
        <f aca="false">P17+R17+S17+T17</f>
        <v>37.8</v>
      </c>
      <c r="W17" s="5" t="n">
        <f aca="false">IF(L17&lt;0,L17*-1,0)</f>
        <v>0.0336274262666976</v>
      </c>
      <c r="X17" s="5" t="n">
        <f aca="false">V17+W17</f>
        <v>37.8336274262667</v>
      </c>
      <c r="Y17" s="9" t="n">
        <v>0.03</v>
      </c>
      <c r="Z17" s="10" t="n">
        <v>36</v>
      </c>
      <c r="AA17" s="10" t="n">
        <v>14</v>
      </c>
      <c r="AB17" s="11" t="n">
        <f aca="false">AB16+1</f>
        <v>8</v>
      </c>
      <c r="AC17" s="51"/>
      <c r="AD17" s="48"/>
    </row>
    <row r="18" customFormat="false" ht="11.1" hidden="false" customHeight="true" outlineLevel="0" collapsed="false">
      <c r="A18" s="11" t="n">
        <f aca="false">A17+1</f>
        <v>9</v>
      </c>
      <c r="B18" s="25" t="n">
        <v>6905.39</v>
      </c>
      <c r="C18" s="6" t="n">
        <v>303900</v>
      </c>
      <c r="D18" s="10" t="n">
        <f aca="false">C18-C17</f>
        <v>0</v>
      </c>
      <c r="E18" s="6" t="n">
        <f aca="false">C18-152000</f>
        <v>151900</v>
      </c>
      <c r="F18" s="5" t="n">
        <f aca="false">D18/$D$2</f>
        <v>0</v>
      </c>
      <c r="G18" s="5" t="n">
        <v>43.3</v>
      </c>
      <c r="H18" s="7" t="n">
        <v>0</v>
      </c>
      <c r="I18" s="5" t="n">
        <f aca="false">G18+H18</f>
        <v>43.3</v>
      </c>
      <c r="J18" s="26" t="n">
        <f aca="false">IF(L18&gt;0,L18,0)</f>
        <v>0.100000000000001</v>
      </c>
      <c r="K18" s="5" t="n">
        <f aca="false">I18+J18</f>
        <v>43.4</v>
      </c>
      <c r="L18" s="5" t="n">
        <f aca="false">F18-(I18-V18)</f>
        <v>0.100000000000001</v>
      </c>
      <c r="M18" s="5" t="n">
        <v>4.1</v>
      </c>
      <c r="N18" s="5" t="n">
        <v>0</v>
      </c>
      <c r="O18" s="5" t="n">
        <v>0</v>
      </c>
      <c r="P18" s="5" t="n">
        <f aca="false">SUM(M18:O18)</f>
        <v>4.1</v>
      </c>
      <c r="Q18" s="6" t="n">
        <v>0</v>
      </c>
      <c r="R18" s="5" t="n">
        <v>0</v>
      </c>
      <c r="S18" s="5" t="n">
        <v>0</v>
      </c>
      <c r="T18" s="5" t="n">
        <v>39.3</v>
      </c>
      <c r="U18" s="6" t="n">
        <f aca="false">U17-T18</f>
        <v>13846</v>
      </c>
      <c r="V18" s="5" t="n">
        <f aca="false">P18+R18+S18+T18</f>
        <v>43.4</v>
      </c>
      <c r="W18" s="5" t="n">
        <f aca="false">IF(L18&lt;0,L18*-1,0)</f>
        <v>0</v>
      </c>
      <c r="X18" s="5" t="n">
        <f aca="false">V18+W18</f>
        <v>43.4</v>
      </c>
      <c r="Y18" s="9" t="n">
        <v>0</v>
      </c>
      <c r="Z18" s="35" t="n">
        <v>36</v>
      </c>
      <c r="AA18" s="10" t="n">
        <v>12</v>
      </c>
      <c r="AB18" s="11" t="n">
        <f aca="false">AB17+1</f>
        <v>9</v>
      </c>
      <c r="AC18" s="51"/>
      <c r="AD18" s="48"/>
    </row>
    <row r="19" customFormat="false" ht="11.1" hidden="false" customHeight="true" outlineLevel="0" collapsed="false">
      <c r="A19" s="11" t="n">
        <f aca="false">A18+1</f>
        <v>10</v>
      </c>
      <c r="B19" s="25" t="n">
        <v>6905.4</v>
      </c>
      <c r="C19" s="6" t="n">
        <v>303938</v>
      </c>
      <c r="D19" s="10" t="n">
        <f aca="false">C19-C18</f>
        <v>38</v>
      </c>
      <c r="E19" s="6" t="n">
        <f aca="false">C19-152000</f>
        <v>151938</v>
      </c>
      <c r="F19" s="5" t="n">
        <f aca="false">D19/$D$2</f>
        <v>19.1580539450466</v>
      </c>
      <c r="G19" s="5" t="n">
        <v>56.6</v>
      </c>
      <c r="H19" s="7" t="n">
        <v>0</v>
      </c>
      <c r="I19" s="5" t="n">
        <f aca="false">G19+H19</f>
        <v>56.6</v>
      </c>
      <c r="J19" s="26" t="n">
        <f aca="false">IF(L19&gt;0,L19,0)</f>
        <v>0.058053945046634</v>
      </c>
      <c r="K19" s="5" t="n">
        <f aca="false">I19+J19</f>
        <v>56.6580539450466</v>
      </c>
      <c r="L19" s="5" t="n">
        <f aca="false">F19-(I19-V19)</f>
        <v>0.058053945046634</v>
      </c>
      <c r="M19" s="5" t="n">
        <v>4.1</v>
      </c>
      <c r="N19" s="5" t="n">
        <v>0</v>
      </c>
      <c r="O19" s="5" t="n">
        <v>0</v>
      </c>
      <c r="P19" s="5" t="n">
        <f aca="false">SUM(M19:O19)</f>
        <v>4.1</v>
      </c>
      <c r="Q19" s="6" t="n">
        <v>0</v>
      </c>
      <c r="R19" s="5" t="n">
        <v>0</v>
      </c>
      <c r="S19" s="5" t="n">
        <v>0</v>
      </c>
      <c r="T19" s="5" t="n">
        <v>33.4</v>
      </c>
      <c r="U19" s="6" t="n">
        <f aca="false">U18-T19</f>
        <v>13812.6</v>
      </c>
      <c r="V19" s="5" t="n">
        <f aca="false">P19+R19+S19+T19</f>
        <v>37.5</v>
      </c>
      <c r="W19" s="5" t="n">
        <f aca="false">IF(L19&lt;0,L19*-1,0)</f>
        <v>0</v>
      </c>
      <c r="X19" s="5" t="n">
        <f aca="false">V19+W19</f>
        <v>37.5</v>
      </c>
      <c r="Y19" s="9" t="n">
        <v>0</v>
      </c>
      <c r="Z19" s="10" t="n">
        <v>37</v>
      </c>
      <c r="AA19" s="10" t="n">
        <v>17</v>
      </c>
      <c r="AB19" s="11" t="n">
        <f aca="false">AB18+1</f>
        <v>10</v>
      </c>
      <c r="AC19" s="51"/>
      <c r="AD19" s="48"/>
    </row>
    <row r="20" customFormat="false" ht="11.1" hidden="false" customHeight="true" outlineLevel="0" collapsed="false">
      <c r="A20" s="11" t="n">
        <f aca="false">A19+1</f>
        <v>11</v>
      </c>
      <c r="B20" s="25" t="n">
        <v>6905.4</v>
      </c>
      <c r="C20" s="6" t="n">
        <v>303938</v>
      </c>
      <c r="D20" s="10" t="n">
        <f aca="false">C20-C19</f>
        <v>0</v>
      </c>
      <c r="E20" s="6" t="n">
        <f aca="false">C20-152000</f>
        <v>151938</v>
      </c>
      <c r="F20" s="5" t="n">
        <f aca="false">D20/$D$2</f>
        <v>0</v>
      </c>
      <c r="G20" s="5" t="n">
        <v>37.5</v>
      </c>
      <c r="H20" s="7" t="n">
        <v>0</v>
      </c>
      <c r="I20" s="5" t="n">
        <f aca="false">G20+H20</f>
        <v>37.5</v>
      </c>
      <c r="J20" s="26" t="n">
        <f aca="false">IF(L20&gt;0,L20,0)</f>
        <v>0</v>
      </c>
      <c r="K20" s="5" t="n">
        <f aca="false">I20+J20</f>
        <v>37.5</v>
      </c>
      <c r="L20" s="5" t="n">
        <f aca="false">F20-(I20-V20)</f>
        <v>0</v>
      </c>
      <c r="M20" s="5" t="n">
        <v>4.1</v>
      </c>
      <c r="N20" s="5" t="n">
        <v>0</v>
      </c>
      <c r="O20" s="5" t="n">
        <v>0</v>
      </c>
      <c r="P20" s="5" t="n">
        <f aca="false">SUM(M20:O20)</f>
        <v>4.1</v>
      </c>
      <c r="Q20" s="6" t="n">
        <v>0</v>
      </c>
      <c r="R20" s="5" t="n">
        <v>0</v>
      </c>
      <c r="S20" s="5" t="n">
        <v>0</v>
      </c>
      <c r="T20" s="5" t="n">
        <v>33.4</v>
      </c>
      <c r="U20" s="6" t="n">
        <f aca="false">U19-T20</f>
        <v>13779.2</v>
      </c>
      <c r="V20" s="5" t="n">
        <f aca="false">P20+R20+S20+T20</f>
        <v>37.5</v>
      </c>
      <c r="W20" s="5" t="n">
        <f aca="false">IF(L20&lt;0,L20*-1,0)</f>
        <v>0</v>
      </c>
      <c r="X20" s="5" t="n">
        <f aca="false">V20+W20</f>
        <v>37.5</v>
      </c>
      <c r="Y20" s="9" t="n">
        <v>0</v>
      </c>
      <c r="Z20" s="10" t="n">
        <v>39</v>
      </c>
      <c r="AA20" s="10" t="n">
        <v>14</v>
      </c>
      <c r="AB20" s="11" t="n">
        <f aca="false">AB19+1</f>
        <v>11</v>
      </c>
      <c r="AC20" s="51"/>
      <c r="AD20" s="48"/>
    </row>
    <row r="21" customFormat="false" ht="11.1" hidden="false" customHeight="true" outlineLevel="0" collapsed="false">
      <c r="A21" s="11" t="n">
        <f aca="false">A20+1</f>
        <v>12</v>
      </c>
      <c r="B21" s="25" t="n">
        <v>6905.41</v>
      </c>
      <c r="C21" s="6" t="n">
        <v>303977</v>
      </c>
      <c r="D21" s="10" t="n">
        <f aca="false">C21-C20</f>
        <v>39</v>
      </c>
      <c r="E21" s="6" t="n">
        <f aca="false">C21-152000</f>
        <v>151977</v>
      </c>
      <c r="F21" s="5" t="n">
        <f aca="false">D21/$D$2</f>
        <v>19.66221325939</v>
      </c>
      <c r="G21" s="5" t="n">
        <v>57.2</v>
      </c>
      <c r="H21" s="7" t="n">
        <v>0</v>
      </c>
      <c r="I21" s="5" t="n">
        <f aca="false">G21+H21</f>
        <v>57.2</v>
      </c>
      <c r="J21" s="26" t="n">
        <f aca="false">IF(L21&gt;0,L21,0)</f>
        <v>0</v>
      </c>
      <c r="K21" s="5" t="n">
        <f aca="false">I21+J21</f>
        <v>57.2</v>
      </c>
      <c r="L21" s="5" t="n">
        <f aca="false">F21-(I21-V21)</f>
        <v>-0.0377867406100343</v>
      </c>
      <c r="M21" s="5" t="n">
        <v>4.1</v>
      </c>
      <c r="N21" s="5" t="n">
        <v>0</v>
      </c>
      <c r="O21" s="5" t="n">
        <v>0</v>
      </c>
      <c r="P21" s="5" t="n">
        <f aca="false">SUM(M21:O21)</f>
        <v>4.1</v>
      </c>
      <c r="Q21" s="6" t="n">
        <v>0</v>
      </c>
      <c r="R21" s="5" t="n">
        <v>0</v>
      </c>
      <c r="S21" s="5" t="n">
        <v>0</v>
      </c>
      <c r="T21" s="5" t="n">
        <v>33.4</v>
      </c>
      <c r="U21" s="6" t="n">
        <f aca="false">U20-T21</f>
        <v>13745.8</v>
      </c>
      <c r="V21" s="5" t="n">
        <f aca="false">P21+R21+S21+T21</f>
        <v>37.5</v>
      </c>
      <c r="W21" s="5" t="n">
        <f aca="false">IF(L21&lt;0,L21*-1,0)</f>
        <v>0.0377867406100343</v>
      </c>
      <c r="X21" s="5" t="n">
        <f aca="false">V21+W21</f>
        <v>37.53778674061</v>
      </c>
      <c r="Y21" s="9" t="n">
        <v>0.25</v>
      </c>
      <c r="Z21" s="10" t="n">
        <v>33</v>
      </c>
      <c r="AA21" s="10" t="n">
        <v>12</v>
      </c>
      <c r="AB21" s="11" t="n">
        <f aca="false">AB20+1</f>
        <v>12</v>
      </c>
      <c r="AC21" s="51"/>
      <c r="AD21" s="48"/>
    </row>
    <row r="22" customFormat="false" ht="11.1" hidden="false" customHeight="true" outlineLevel="0" collapsed="false">
      <c r="A22" s="11" t="n">
        <f aca="false">A21+1</f>
        <v>13</v>
      </c>
      <c r="B22" s="25" t="n">
        <v>6905.41</v>
      </c>
      <c r="C22" s="6" t="n">
        <v>303977</v>
      </c>
      <c r="D22" s="10" t="n">
        <f aca="false">C22-C21</f>
        <v>0</v>
      </c>
      <c r="E22" s="6" t="n">
        <f aca="false">C22-152000</f>
        <v>151977</v>
      </c>
      <c r="F22" s="5" t="n">
        <f aca="false">D22/$D$2</f>
        <v>0</v>
      </c>
      <c r="G22" s="5" t="n">
        <v>37.5</v>
      </c>
      <c r="H22" s="7" t="n">
        <v>0</v>
      </c>
      <c r="I22" s="5" t="n">
        <f aca="false">G22+H22</f>
        <v>37.5</v>
      </c>
      <c r="J22" s="26" t="n">
        <f aca="false">IF(L22&gt;0,L22,0)</f>
        <v>0</v>
      </c>
      <c r="K22" s="5" t="n">
        <f aca="false">I22+J22</f>
        <v>37.5</v>
      </c>
      <c r="L22" s="5" t="n">
        <f aca="false">F22-(I22-V22)</f>
        <v>0</v>
      </c>
      <c r="M22" s="5" t="n">
        <v>4.1</v>
      </c>
      <c r="N22" s="5" t="n">
        <v>0</v>
      </c>
      <c r="O22" s="5" t="n">
        <v>0</v>
      </c>
      <c r="P22" s="5" t="n">
        <f aca="false">SUM(M22:O22)</f>
        <v>4.1</v>
      </c>
      <c r="Q22" s="6" t="n">
        <v>0</v>
      </c>
      <c r="R22" s="5" t="n">
        <v>0</v>
      </c>
      <c r="S22" s="5" t="n">
        <v>0</v>
      </c>
      <c r="T22" s="5" t="n">
        <v>33.4</v>
      </c>
      <c r="U22" s="6" t="n">
        <f aca="false">U21-T22</f>
        <v>13712.4</v>
      </c>
      <c r="V22" s="5" t="n">
        <f aca="false">P22+R22+S22+T22</f>
        <v>37.5</v>
      </c>
      <c r="W22" s="5" t="n">
        <f aca="false">IF(L22&lt;0,L22*-1,0)</f>
        <v>0</v>
      </c>
      <c r="X22" s="5" t="n">
        <f aca="false">V22+W22</f>
        <v>37.5</v>
      </c>
      <c r="Y22" s="9" t="n">
        <v>0.09</v>
      </c>
      <c r="Z22" s="10" t="n">
        <v>28</v>
      </c>
      <c r="AA22" s="10" t="n">
        <v>7</v>
      </c>
      <c r="AB22" s="11" t="n">
        <f aca="false">AB21+1</f>
        <v>13</v>
      </c>
      <c r="AC22" s="51"/>
      <c r="AD22" s="48"/>
    </row>
    <row r="23" customFormat="false" ht="11.1" hidden="false" customHeight="true" outlineLevel="0" collapsed="false">
      <c r="A23" s="11" t="n">
        <f aca="false">A22+1</f>
        <v>14</v>
      </c>
      <c r="B23" s="25" t="n">
        <v>6905.42</v>
      </c>
      <c r="C23" s="6" t="n">
        <v>304015</v>
      </c>
      <c r="D23" s="10" t="n">
        <f aca="false">C23-C22</f>
        <v>38</v>
      </c>
      <c r="E23" s="6" t="n">
        <f aca="false">C23-152000</f>
        <v>152015</v>
      </c>
      <c r="F23" s="5" t="n">
        <f aca="false">D23/$D$2</f>
        <v>19.1580539450466</v>
      </c>
      <c r="G23" s="5" t="n">
        <v>57.7</v>
      </c>
      <c r="H23" s="7" t="n">
        <v>0</v>
      </c>
      <c r="I23" s="5" t="n">
        <f aca="false">G23+H23</f>
        <v>57.7</v>
      </c>
      <c r="J23" s="26" t="n">
        <f aca="false">IF(L23&gt;0,L23,0)</f>
        <v>0.0580539450466269</v>
      </c>
      <c r="K23" s="5" t="n">
        <f aca="false">I23+J23</f>
        <v>57.7580539450466</v>
      </c>
      <c r="L23" s="5" t="n">
        <f aca="false">F23-(I23-V23)</f>
        <v>0.0580539450466269</v>
      </c>
      <c r="M23" s="5" t="n">
        <v>4.3</v>
      </c>
      <c r="N23" s="5" t="n">
        <v>0</v>
      </c>
      <c r="O23" s="5" t="n">
        <v>0</v>
      </c>
      <c r="P23" s="5" t="n">
        <f aca="false">SUM(M23:O23)</f>
        <v>4.3</v>
      </c>
      <c r="Q23" s="6" t="n">
        <v>0</v>
      </c>
      <c r="R23" s="5" t="n">
        <v>0</v>
      </c>
      <c r="S23" s="5" t="n">
        <v>0</v>
      </c>
      <c r="T23" s="5" t="n">
        <v>34.3</v>
      </c>
      <c r="U23" s="6" t="n">
        <f aca="false">U22-T23</f>
        <v>13678.1</v>
      </c>
      <c r="V23" s="5" t="n">
        <f aca="false">P23+R23+S23+T23</f>
        <v>38.6</v>
      </c>
      <c r="W23" s="5" t="n">
        <f aca="false">IF(L23&lt;0,L23*-1,0)</f>
        <v>0</v>
      </c>
      <c r="X23" s="5" t="n">
        <f aca="false">V23+W23</f>
        <v>38.6</v>
      </c>
      <c r="Y23" s="9" t="n">
        <v>0</v>
      </c>
      <c r="Z23" s="35" t="n">
        <v>28</v>
      </c>
      <c r="AA23" s="10" t="n">
        <v>2</v>
      </c>
      <c r="AB23" s="11" t="n">
        <f aca="false">AB22+1</f>
        <v>14</v>
      </c>
      <c r="AC23" s="51"/>
      <c r="AD23" s="48"/>
    </row>
    <row r="24" customFormat="false" ht="11.1" hidden="false" customHeight="true" outlineLevel="0" collapsed="false">
      <c r="A24" s="11" t="n">
        <f aca="false">A23+1</f>
        <v>15</v>
      </c>
      <c r="B24" s="25" t="n">
        <v>6905.42</v>
      </c>
      <c r="C24" s="6" t="n">
        <v>304015</v>
      </c>
      <c r="D24" s="10" t="n">
        <f aca="false">C24-C23</f>
        <v>0</v>
      </c>
      <c r="E24" s="6" t="n">
        <f aca="false">C24-152000</f>
        <v>152015</v>
      </c>
      <c r="F24" s="5" t="n">
        <f aca="false">D24/$D$2</f>
        <v>0</v>
      </c>
      <c r="G24" s="5" t="n">
        <v>38.6</v>
      </c>
      <c r="H24" s="7" t="n">
        <v>0</v>
      </c>
      <c r="I24" s="5" t="n">
        <f aca="false">G24+H24</f>
        <v>38.6</v>
      </c>
      <c r="J24" s="26" t="n">
        <f aca="false">IF(L24&gt;0,L24,0)</f>
        <v>0</v>
      </c>
      <c r="K24" s="5" t="n">
        <f aca="false">I24+J24</f>
        <v>38.6</v>
      </c>
      <c r="L24" s="5" t="n">
        <f aca="false">F24-(I24-V24)</f>
        <v>0</v>
      </c>
      <c r="M24" s="5" t="n">
        <v>4.4</v>
      </c>
      <c r="N24" s="5" t="n">
        <v>0</v>
      </c>
      <c r="O24" s="5" t="n">
        <v>0</v>
      </c>
      <c r="P24" s="5" t="n">
        <f aca="false">SUM(M24:O24)</f>
        <v>4.4</v>
      </c>
      <c r="Q24" s="6" t="n">
        <v>0</v>
      </c>
      <c r="R24" s="5" t="n">
        <v>0</v>
      </c>
      <c r="S24" s="5" t="n">
        <v>0</v>
      </c>
      <c r="T24" s="5" t="n">
        <v>34.2</v>
      </c>
      <c r="U24" s="6" t="n">
        <f aca="false">U23-T24</f>
        <v>13643.9</v>
      </c>
      <c r="V24" s="5" t="n">
        <f aca="false">P24+R24+S24+T24</f>
        <v>38.6</v>
      </c>
      <c r="W24" s="5" t="n">
        <f aca="false">IF(L24&lt;0,L24*-1,0)</f>
        <v>0</v>
      </c>
      <c r="X24" s="5" t="n">
        <f aca="false">V24+W24</f>
        <v>38.6</v>
      </c>
      <c r="Y24" s="9" t="n">
        <v>0.06</v>
      </c>
      <c r="Z24" s="35" t="n">
        <v>24</v>
      </c>
      <c r="AA24" s="10" t="n">
        <v>12</v>
      </c>
      <c r="AB24" s="11" t="n">
        <f aca="false">AB23+1</f>
        <v>15</v>
      </c>
      <c r="AC24" s="51"/>
      <c r="AD24" s="48"/>
    </row>
    <row r="25" customFormat="false" ht="11.1" hidden="false" customHeight="true" outlineLevel="0" collapsed="false">
      <c r="A25" s="11" t="n">
        <f aca="false">A24+1</f>
        <v>16</v>
      </c>
      <c r="B25" s="25" t="n">
        <v>6905.42</v>
      </c>
      <c r="C25" s="6" t="n">
        <v>304015</v>
      </c>
      <c r="D25" s="10" t="n">
        <f aca="false">C25-C24</f>
        <v>0</v>
      </c>
      <c r="E25" s="6" t="n">
        <f aca="false">C25-152000</f>
        <v>152015</v>
      </c>
      <c r="F25" s="5" t="n">
        <f aca="false">D25/$D$2</f>
        <v>0</v>
      </c>
      <c r="G25" s="5" t="n">
        <v>38.6</v>
      </c>
      <c r="H25" s="7" t="n">
        <v>0</v>
      </c>
      <c r="I25" s="5" t="n">
        <f aca="false">G25+H25</f>
        <v>38.6</v>
      </c>
      <c r="J25" s="26" t="n">
        <f aca="false">IF(L25&gt;0,L25,0)</f>
        <v>0</v>
      </c>
      <c r="K25" s="5" t="n">
        <f aca="false">I25+J25</f>
        <v>38.6</v>
      </c>
      <c r="L25" s="5" t="n">
        <f aca="false">F25-(I25-V25)</f>
        <v>0</v>
      </c>
      <c r="M25" s="5" t="n">
        <v>4.4</v>
      </c>
      <c r="N25" s="5" t="n">
        <v>0</v>
      </c>
      <c r="O25" s="5" t="n">
        <v>0</v>
      </c>
      <c r="P25" s="5" t="n">
        <f aca="false">SUM(M25:O25)</f>
        <v>4.4</v>
      </c>
      <c r="Q25" s="6" t="n">
        <v>0</v>
      </c>
      <c r="R25" s="5" t="n">
        <v>0</v>
      </c>
      <c r="S25" s="5" t="n">
        <v>0</v>
      </c>
      <c r="T25" s="5" t="n">
        <v>34.2</v>
      </c>
      <c r="U25" s="6" t="n">
        <f aca="false">U24-T25</f>
        <v>13609.7</v>
      </c>
      <c r="V25" s="5" t="n">
        <f aca="false">P25+R25+S25+T25</f>
        <v>38.6</v>
      </c>
      <c r="W25" s="5" t="n">
        <f aca="false">IF(L25&lt;0,L25*-1,0)</f>
        <v>0</v>
      </c>
      <c r="X25" s="5" t="n">
        <f aca="false">V25+W25</f>
        <v>38.6</v>
      </c>
      <c r="Y25" s="9" t="n">
        <v>0</v>
      </c>
      <c r="Z25" s="35" t="n">
        <v>20</v>
      </c>
      <c r="AA25" s="10" t="n">
        <v>10</v>
      </c>
      <c r="AB25" s="11" t="n">
        <f aca="false">AB24+1</f>
        <v>16</v>
      </c>
      <c r="AC25" s="51"/>
      <c r="AD25" s="48"/>
    </row>
    <row r="26" customFormat="false" ht="11.1" hidden="false" customHeight="true" outlineLevel="0" collapsed="false">
      <c r="A26" s="11" t="n">
        <f aca="false">A25+1</f>
        <v>17</v>
      </c>
      <c r="B26" s="25" t="n">
        <v>6905.43</v>
      </c>
      <c r="C26" s="6" t="n">
        <v>304054</v>
      </c>
      <c r="D26" s="10" t="n">
        <f aca="false">C26-C25</f>
        <v>39</v>
      </c>
      <c r="E26" s="6" t="n">
        <f aca="false">C26-152000</f>
        <v>152054</v>
      </c>
      <c r="F26" s="5" t="n">
        <f aca="false">D26/$D$2</f>
        <v>19.66221325939</v>
      </c>
      <c r="G26" s="5" t="n">
        <v>58.3</v>
      </c>
      <c r="H26" s="7" t="n">
        <v>0</v>
      </c>
      <c r="I26" s="5" t="n">
        <f aca="false">G26+H26</f>
        <v>58.3</v>
      </c>
      <c r="J26" s="26" t="n">
        <f aca="false">IF(L26&gt;0,L26,0)</f>
        <v>0</v>
      </c>
      <c r="K26" s="5" t="n">
        <f aca="false">I26+J26</f>
        <v>58.3</v>
      </c>
      <c r="L26" s="5" t="n">
        <f aca="false">F26-(I26-V26)</f>
        <v>-0.0377867406100272</v>
      </c>
      <c r="M26" s="5" t="n">
        <v>4.4</v>
      </c>
      <c r="N26" s="5" t="n">
        <v>0</v>
      </c>
      <c r="O26" s="5" t="n">
        <v>0</v>
      </c>
      <c r="P26" s="5" t="n">
        <f aca="false">SUM(M26:O26)</f>
        <v>4.4</v>
      </c>
      <c r="Q26" s="6" t="n">
        <v>0</v>
      </c>
      <c r="R26" s="5" t="n">
        <v>0</v>
      </c>
      <c r="S26" s="5" t="n">
        <v>0</v>
      </c>
      <c r="T26" s="5" t="n">
        <v>34.2</v>
      </c>
      <c r="U26" s="6" t="n">
        <f aca="false">U25-T26</f>
        <v>13575.5</v>
      </c>
      <c r="V26" s="5" t="n">
        <f aca="false">P26+R26+S26+T26</f>
        <v>38.6</v>
      </c>
      <c r="W26" s="5" t="n">
        <f aca="false">IF(L26&lt;0,L26*-1,0)</f>
        <v>0.0377867406100272</v>
      </c>
      <c r="X26" s="5" t="n">
        <f aca="false">V26+W26</f>
        <v>38.63778674061</v>
      </c>
      <c r="Y26" s="9" t="n">
        <v>0</v>
      </c>
      <c r="Z26" s="35" t="n">
        <v>29</v>
      </c>
      <c r="AA26" s="10" t="n">
        <v>0</v>
      </c>
      <c r="AB26" s="11" t="n">
        <f aca="false">AB25+1</f>
        <v>17</v>
      </c>
      <c r="AC26" s="51"/>
      <c r="AD26" s="48"/>
    </row>
    <row r="27" customFormat="false" ht="11.1" hidden="false" customHeight="true" outlineLevel="0" collapsed="false">
      <c r="A27" s="11" t="n">
        <f aca="false">A26+1</f>
        <v>18</v>
      </c>
      <c r="B27" s="25" t="n">
        <v>6905.43</v>
      </c>
      <c r="C27" s="6" t="n">
        <v>304054</v>
      </c>
      <c r="D27" s="10" t="n">
        <f aca="false">C27-C26</f>
        <v>0</v>
      </c>
      <c r="E27" s="6" t="n">
        <f aca="false">C27-152000</f>
        <v>152054</v>
      </c>
      <c r="F27" s="5" t="n">
        <f aca="false">D27/$D$2</f>
        <v>0</v>
      </c>
      <c r="G27" s="5" t="n">
        <v>38.7</v>
      </c>
      <c r="H27" s="7" t="n">
        <v>0</v>
      </c>
      <c r="I27" s="5" t="n">
        <f aca="false">G27+H27</f>
        <v>38.7</v>
      </c>
      <c r="J27" s="26" t="n">
        <f aca="false">IF(L27&gt;0,L27,0)</f>
        <v>0</v>
      </c>
      <c r="K27" s="5" t="n">
        <f aca="false">I27+J27</f>
        <v>38.7</v>
      </c>
      <c r="L27" s="5" t="n">
        <f aca="false">F27-(I27-V27)</f>
        <v>0</v>
      </c>
      <c r="M27" s="5" t="n">
        <v>4.4</v>
      </c>
      <c r="N27" s="5" t="n">
        <v>0</v>
      </c>
      <c r="O27" s="5" t="n">
        <v>0</v>
      </c>
      <c r="P27" s="5" t="n">
        <f aca="false">SUM(M27:O27)</f>
        <v>4.4</v>
      </c>
      <c r="Q27" s="6" t="n">
        <v>0</v>
      </c>
      <c r="R27" s="5" t="n">
        <v>0</v>
      </c>
      <c r="S27" s="5" t="n">
        <v>0</v>
      </c>
      <c r="T27" s="5" t="n">
        <v>34.3</v>
      </c>
      <c r="U27" s="6" t="n">
        <f aca="false">U26-T27</f>
        <v>13541.2</v>
      </c>
      <c r="V27" s="5" t="n">
        <f aca="false">P27+R27+S27+T27</f>
        <v>38.7</v>
      </c>
      <c r="W27" s="5" t="n">
        <f aca="false">IF(L27&lt;0,L27*-1,0)</f>
        <v>0</v>
      </c>
      <c r="X27" s="5" t="n">
        <f aca="false">V27+W27</f>
        <v>38.7</v>
      </c>
      <c r="Y27" s="9" t="n">
        <v>0.48</v>
      </c>
      <c r="Z27" s="35" t="n">
        <v>30</v>
      </c>
      <c r="AA27" s="10" t="n">
        <v>14</v>
      </c>
      <c r="AB27" s="11" t="n">
        <f aca="false">AB26+1</f>
        <v>18</v>
      </c>
      <c r="AC27" s="51"/>
      <c r="AD27" s="48"/>
    </row>
    <row r="28" customFormat="false" ht="11.1" hidden="false" customHeight="true" outlineLevel="0" collapsed="false">
      <c r="A28" s="11" t="n">
        <f aca="false">A27+1</f>
        <v>19</v>
      </c>
      <c r="B28" s="25" t="n">
        <v>6905.43</v>
      </c>
      <c r="C28" s="6" t="n">
        <v>304054</v>
      </c>
      <c r="D28" s="10" t="n">
        <f aca="false">C28-C27</f>
        <v>0</v>
      </c>
      <c r="E28" s="6" t="n">
        <f aca="false">C28-152000</f>
        <v>152054</v>
      </c>
      <c r="F28" s="5" t="n">
        <f aca="false">D28/$D$2</f>
        <v>0</v>
      </c>
      <c r="G28" s="5" t="n">
        <v>38.6</v>
      </c>
      <c r="H28" s="7" t="n">
        <v>0</v>
      </c>
      <c r="I28" s="5" t="n">
        <f aca="false">G28+H28</f>
        <v>38.6</v>
      </c>
      <c r="J28" s="26" t="n">
        <f aca="false">IF(L28&gt;0,L28,0)</f>
        <v>0</v>
      </c>
      <c r="K28" s="5" t="n">
        <f aca="false">I28+J28</f>
        <v>38.6</v>
      </c>
      <c r="L28" s="5" t="n">
        <f aca="false">F28-(I28-V28)</f>
        <v>0</v>
      </c>
      <c r="M28" s="5" t="n">
        <v>4.4</v>
      </c>
      <c r="N28" s="5" t="n">
        <v>0</v>
      </c>
      <c r="O28" s="5" t="n">
        <v>0</v>
      </c>
      <c r="P28" s="5" t="n">
        <f aca="false">SUM(M28:O28)</f>
        <v>4.4</v>
      </c>
      <c r="Q28" s="6" t="n">
        <v>0</v>
      </c>
      <c r="R28" s="5" t="n">
        <v>0</v>
      </c>
      <c r="S28" s="5" t="n">
        <v>0</v>
      </c>
      <c r="T28" s="5" t="n">
        <v>34.2</v>
      </c>
      <c r="U28" s="6" t="n">
        <f aca="false">U27-T28</f>
        <v>13507</v>
      </c>
      <c r="V28" s="5" t="n">
        <f aca="false">P28+R28+S28+T28</f>
        <v>38.6</v>
      </c>
      <c r="W28" s="5" t="n">
        <f aca="false">IF(L28&lt;0,L28*-1,0)</f>
        <v>0</v>
      </c>
      <c r="X28" s="5" t="n">
        <f aca="false">V28+W28</f>
        <v>38.6</v>
      </c>
      <c r="Y28" s="9" t="n">
        <v>0</v>
      </c>
      <c r="Z28" s="35" t="n">
        <v>25</v>
      </c>
      <c r="AA28" s="10" t="n">
        <v>-4</v>
      </c>
      <c r="AB28" s="11" t="n">
        <f aca="false">AB27+1</f>
        <v>19</v>
      </c>
      <c r="AC28" s="51"/>
      <c r="AD28" s="48"/>
    </row>
    <row r="29" customFormat="false" ht="11.1" hidden="false" customHeight="true" outlineLevel="0" collapsed="false">
      <c r="A29" s="11" t="n">
        <f aca="false">A28+1</f>
        <v>20</v>
      </c>
      <c r="B29" s="25" t="n">
        <v>6905.44</v>
      </c>
      <c r="C29" s="6" t="n">
        <v>304092</v>
      </c>
      <c r="D29" s="10" t="n">
        <f aca="false">C29-C28</f>
        <v>38</v>
      </c>
      <c r="E29" s="6" t="n">
        <f aca="false">C29-152000</f>
        <v>152092</v>
      </c>
      <c r="F29" s="5" t="n">
        <f aca="false">D29/$D$2</f>
        <v>19.1580539450466</v>
      </c>
      <c r="G29" s="5" t="n">
        <v>57.8</v>
      </c>
      <c r="H29" s="7" t="n">
        <v>0</v>
      </c>
      <c r="I29" s="5" t="n">
        <f aca="false">G29+H29</f>
        <v>57.8</v>
      </c>
      <c r="J29" s="26" t="n">
        <f aca="false">IF(L29&gt;0,L29,0)</f>
        <v>0</v>
      </c>
      <c r="K29" s="5" t="n">
        <f aca="false">I29+J29</f>
        <v>57.8</v>
      </c>
      <c r="L29" s="5" t="n">
        <f aca="false">F29-(I29-V29)</f>
        <v>-0.0419460549533603</v>
      </c>
      <c r="M29" s="5" t="n">
        <v>4.4</v>
      </c>
      <c r="N29" s="5" t="n">
        <v>0</v>
      </c>
      <c r="O29" s="5" t="n">
        <v>0</v>
      </c>
      <c r="P29" s="5" t="n">
        <f aca="false">SUM(M29:O29)</f>
        <v>4.4</v>
      </c>
      <c r="Q29" s="6" t="n">
        <v>0</v>
      </c>
      <c r="R29" s="5" t="n">
        <v>0</v>
      </c>
      <c r="S29" s="5" t="n">
        <v>0</v>
      </c>
      <c r="T29" s="5" t="n">
        <v>34.2</v>
      </c>
      <c r="U29" s="6" t="n">
        <f aca="false">U28-T29</f>
        <v>13472.8</v>
      </c>
      <c r="V29" s="5" t="n">
        <f aca="false">P29+R29+S29+T29</f>
        <v>38.6</v>
      </c>
      <c r="W29" s="5" t="n">
        <f aca="false">IF(L29&lt;0,L29*-1,0)</f>
        <v>0.0419460549533603</v>
      </c>
      <c r="X29" s="5" t="n">
        <f aca="false">V29+W29</f>
        <v>38.6419460549534</v>
      </c>
      <c r="Y29" s="9" t="n">
        <v>0</v>
      </c>
      <c r="Z29" s="35" t="n">
        <v>28</v>
      </c>
      <c r="AA29" s="10" t="n">
        <v>-10</v>
      </c>
      <c r="AB29" s="11" t="n">
        <f aca="false">AB28+1</f>
        <v>20</v>
      </c>
      <c r="AC29" s="51"/>
      <c r="AD29" s="48"/>
    </row>
    <row r="30" customFormat="false" ht="11.1" hidden="false" customHeight="true" outlineLevel="0" collapsed="false">
      <c r="A30" s="11" t="n">
        <f aca="false">A29+1</f>
        <v>21</v>
      </c>
      <c r="B30" s="25" t="n">
        <v>6905.44</v>
      </c>
      <c r="C30" s="6" t="n">
        <v>304092</v>
      </c>
      <c r="D30" s="10" t="n">
        <f aca="false">C30-C29</f>
        <v>0</v>
      </c>
      <c r="E30" s="6" t="n">
        <f aca="false">C30-152000</f>
        <v>152092</v>
      </c>
      <c r="F30" s="5" t="n">
        <f aca="false">D30/$D$2</f>
        <v>0</v>
      </c>
      <c r="G30" s="5" t="n">
        <v>37</v>
      </c>
      <c r="H30" s="7" t="n">
        <v>0</v>
      </c>
      <c r="I30" s="5" t="n">
        <f aca="false">G30+H30</f>
        <v>37</v>
      </c>
      <c r="J30" s="26" t="n">
        <f aca="false">IF(L30&gt;0,L30,0)</f>
        <v>0</v>
      </c>
      <c r="K30" s="5" t="n">
        <f aca="false">I30+J30</f>
        <v>37</v>
      </c>
      <c r="L30" s="5" t="n">
        <f aca="false">F30-(I30-V30)</f>
        <v>0</v>
      </c>
      <c r="M30" s="5" t="n">
        <v>4.4</v>
      </c>
      <c r="N30" s="5" t="n">
        <v>0</v>
      </c>
      <c r="O30" s="5" t="n">
        <v>0</v>
      </c>
      <c r="P30" s="5" t="n">
        <f aca="false">SUM(M30:O30)</f>
        <v>4.4</v>
      </c>
      <c r="Q30" s="6" t="n">
        <v>0</v>
      </c>
      <c r="R30" s="5" t="n">
        <v>0</v>
      </c>
      <c r="S30" s="5" t="n">
        <v>0</v>
      </c>
      <c r="T30" s="5" t="n">
        <v>32.6</v>
      </c>
      <c r="U30" s="6" t="n">
        <f aca="false">U29-T30</f>
        <v>13440.2</v>
      </c>
      <c r="V30" s="5" t="n">
        <f aca="false">P30+R30+S30+T30</f>
        <v>37</v>
      </c>
      <c r="W30" s="5" t="n">
        <f aca="false">IF(L30&lt;0,L30*-1,0)</f>
        <v>0</v>
      </c>
      <c r="X30" s="5" t="n">
        <f aca="false">V30+W30</f>
        <v>37</v>
      </c>
      <c r="Y30" s="9" t="n">
        <v>0</v>
      </c>
      <c r="Z30" s="10" t="n">
        <v>35</v>
      </c>
      <c r="AA30" s="10" t="n">
        <v>-4</v>
      </c>
      <c r="AB30" s="11" t="n">
        <f aca="false">AB29+1</f>
        <v>21</v>
      </c>
      <c r="AC30" s="51"/>
      <c r="AD30" s="48"/>
    </row>
    <row r="31" customFormat="false" ht="11.1" hidden="false" customHeight="true" outlineLevel="0" collapsed="false">
      <c r="A31" s="11" t="n">
        <f aca="false">A30+1</f>
        <v>22</v>
      </c>
      <c r="B31" s="25" t="n">
        <v>6905.45</v>
      </c>
      <c r="C31" s="6" t="n">
        <v>304132</v>
      </c>
      <c r="D31" s="10" t="n">
        <f aca="false">C31-C30</f>
        <v>40</v>
      </c>
      <c r="E31" s="6" t="n">
        <f aca="false">C31-152000</f>
        <v>152132</v>
      </c>
      <c r="F31" s="5" t="n">
        <f aca="false">D31/$D$2</f>
        <v>20.1663725737333</v>
      </c>
      <c r="G31" s="5" t="n">
        <v>56</v>
      </c>
      <c r="H31" s="7" t="n">
        <v>0</v>
      </c>
      <c r="I31" s="5" t="n">
        <f aca="false">G31+H31</f>
        <v>56</v>
      </c>
      <c r="J31" s="26" t="n">
        <f aca="false">IF(L31&gt;0,L31,0)</f>
        <v>0</v>
      </c>
      <c r="K31" s="5" t="n">
        <f aca="false">I31+J31</f>
        <v>56</v>
      </c>
      <c r="L31" s="5" t="n">
        <f aca="false">F31-(I31-V31)</f>
        <v>-0.0336274262667047</v>
      </c>
      <c r="M31" s="5" t="n">
        <v>4.4</v>
      </c>
      <c r="N31" s="5" t="n">
        <v>0</v>
      </c>
      <c r="O31" s="5" t="n">
        <v>0</v>
      </c>
      <c r="P31" s="5" t="n">
        <f aca="false">SUM(M31:O31)</f>
        <v>4.4</v>
      </c>
      <c r="Q31" s="6" t="n">
        <v>0</v>
      </c>
      <c r="R31" s="5" t="n">
        <v>0</v>
      </c>
      <c r="S31" s="5" t="n">
        <v>0</v>
      </c>
      <c r="T31" s="5" t="n">
        <v>31.4</v>
      </c>
      <c r="U31" s="6" t="n">
        <f aca="false">U30-T31</f>
        <v>13408.8</v>
      </c>
      <c r="V31" s="5" t="n">
        <f aca="false">P31+R31+S31+T31</f>
        <v>35.8</v>
      </c>
      <c r="W31" s="5" t="n">
        <f aca="false">IF(L31&lt;0,L31*-1,0)</f>
        <v>0.0336274262667047</v>
      </c>
      <c r="X31" s="5" t="n">
        <f aca="false">V31+W31</f>
        <v>35.8336274262667</v>
      </c>
      <c r="Y31" s="9" t="n">
        <v>0</v>
      </c>
      <c r="Z31" s="10" t="n">
        <v>30</v>
      </c>
      <c r="AA31" s="10" t="n">
        <v>2</v>
      </c>
      <c r="AB31" s="11" t="n">
        <f aca="false">AB30+1</f>
        <v>22</v>
      </c>
      <c r="AC31" s="51"/>
      <c r="AD31" s="48"/>
    </row>
    <row r="32" customFormat="false" ht="11.1" hidden="false" customHeight="true" outlineLevel="0" collapsed="false">
      <c r="A32" s="11" t="n">
        <f aca="false">A31+1</f>
        <v>23</v>
      </c>
      <c r="B32" s="25" t="n">
        <v>6905.46</v>
      </c>
      <c r="C32" s="6" t="n">
        <v>304169</v>
      </c>
      <c r="D32" s="10" t="n">
        <f aca="false">C32-C31</f>
        <v>37</v>
      </c>
      <c r="E32" s="6" t="n">
        <f aca="false">C32-152000</f>
        <v>152169</v>
      </c>
      <c r="F32" s="5" t="n">
        <f aca="false">D32/$D$2</f>
        <v>18.6538946307033</v>
      </c>
      <c r="G32" s="5" t="n">
        <v>54.5</v>
      </c>
      <c r="H32" s="7" t="n">
        <v>0</v>
      </c>
      <c r="I32" s="5" t="n">
        <f aca="false">G32+H32</f>
        <v>54.5</v>
      </c>
      <c r="J32" s="26" t="n">
        <f aca="false">IF(L32&gt;0,L32,0)</f>
        <v>0.0538946307033008</v>
      </c>
      <c r="K32" s="5" t="n">
        <f aca="false">I32+J32</f>
        <v>54.5538946307033</v>
      </c>
      <c r="L32" s="5" t="n">
        <f aca="false">F32-(I32-V32)</f>
        <v>0.0538946307033008</v>
      </c>
      <c r="M32" s="5" t="n">
        <v>4.4</v>
      </c>
      <c r="N32" s="5" t="n">
        <v>0</v>
      </c>
      <c r="O32" s="5" t="n">
        <v>0</v>
      </c>
      <c r="P32" s="5" t="n">
        <f aca="false">SUM(M32:O32)</f>
        <v>4.4</v>
      </c>
      <c r="Q32" s="6" t="n">
        <v>0</v>
      </c>
      <c r="R32" s="5" t="n">
        <v>0</v>
      </c>
      <c r="S32" s="5" t="n">
        <v>0</v>
      </c>
      <c r="T32" s="5" t="n">
        <v>31.5</v>
      </c>
      <c r="U32" s="6" t="n">
        <f aca="false">U31-T32</f>
        <v>13377.3</v>
      </c>
      <c r="V32" s="5" t="n">
        <f aca="false">P32+R32+S32+T32</f>
        <v>35.9</v>
      </c>
      <c r="W32" s="5" t="n">
        <f aca="false">IF(L32&lt;0,L32*-1,0)</f>
        <v>0</v>
      </c>
      <c r="X32" s="5" t="n">
        <f aca="false">V32+W32</f>
        <v>35.9</v>
      </c>
      <c r="Y32" s="9" t="n">
        <v>0</v>
      </c>
      <c r="Z32" s="10" t="n">
        <v>34</v>
      </c>
      <c r="AA32" s="35" t="n">
        <v>4</v>
      </c>
      <c r="AB32" s="11" t="n">
        <f aca="false">AB31+1</f>
        <v>23</v>
      </c>
      <c r="AC32" s="54"/>
      <c r="AD32" s="48"/>
    </row>
    <row r="33" customFormat="false" ht="11.1" hidden="false" customHeight="true" outlineLevel="0" collapsed="false">
      <c r="A33" s="11" t="n">
        <f aca="false">A32+1</f>
        <v>24</v>
      </c>
      <c r="B33" s="25" t="n">
        <v>6905.47</v>
      </c>
      <c r="C33" s="6" t="n">
        <v>304209</v>
      </c>
      <c r="D33" s="10" t="n">
        <f aca="false">C33-C32</f>
        <v>40</v>
      </c>
      <c r="E33" s="6" t="n">
        <f aca="false">C33-152000</f>
        <v>152209</v>
      </c>
      <c r="F33" s="5" t="n">
        <f aca="false">D33/$D$2</f>
        <v>20.1663725737333</v>
      </c>
      <c r="G33" s="5" t="n">
        <v>55.1</v>
      </c>
      <c r="H33" s="7" t="n">
        <v>0</v>
      </c>
      <c r="I33" s="5" t="n">
        <f aca="false">G33+H33</f>
        <v>55.1</v>
      </c>
      <c r="J33" s="26" t="n">
        <f aca="false">IF(L33&gt;0,L33,0)</f>
        <v>0</v>
      </c>
      <c r="K33" s="5" t="n">
        <f aca="false">I33+J33</f>
        <v>55.1</v>
      </c>
      <c r="L33" s="5" t="n">
        <f aca="false">F33-(I33-V33)</f>
        <v>-0.0336274262667047</v>
      </c>
      <c r="M33" s="5" t="n">
        <v>4.4</v>
      </c>
      <c r="N33" s="5" t="n">
        <v>0</v>
      </c>
      <c r="O33" s="5" t="n">
        <v>0</v>
      </c>
      <c r="P33" s="5" t="n">
        <f aca="false">SUM(M33:O33)</f>
        <v>4.4</v>
      </c>
      <c r="Q33" s="6" t="n">
        <v>0</v>
      </c>
      <c r="R33" s="5" t="n">
        <v>0</v>
      </c>
      <c r="S33" s="5" t="n">
        <v>0</v>
      </c>
      <c r="T33" s="5" t="n">
        <v>30.5</v>
      </c>
      <c r="U33" s="6" t="n">
        <f aca="false">U32-T33</f>
        <v>13346.8</v>
      </c>
      <c r="V33" s="5" t="n">
        <f aca="false">P33+R33+S33+T33</f>
        <v>34.9</v>
      </c>
      <c r="W33" s="5" t="n">
        <f aca="false">IF(L33&lt;0,L33*-1,0)</f>
        <v>0.0336274262667047</v>
      </c>
      <c r="X33" s="5" t="n">
        <f aca="false">V33+W33</f>
        <v>34.9336274262667</v>
      </c>
      <c r="Y33" s="9" t="n">
        <v>0</v>
      </c>
      <c r="Z33" s="10" t="n">
        <v>33</v>
      </c>
      <c r="AA33" s="35" t="n">
        <v>0</v>
      </c>
      <c r="AB33" s="11" t="n">
        <f aca="false">AB32+1</f>
        <v>24</v>
      </c>
      <c r="AC33" s="54"/>
      <c r="AD33" s="48"/>
    </row>
    <row r="34" customFormat="false" ht="11.1" hidden="false" customHeight="true" outlineLevel="0" collapsed="false">
      <c r="A34" s="11" t="n">
        <f aca="false">A33+1</f>
        <v>25</v>
      </c>
      <c r="B34" s="25" t="n">
        <v>6905.49</v>
      </c>
      <c r="C34" s="6" t="n">
        <v>304286</v>
      </c>
      <c r="D34" s="10" t="n">
        <f aca="false">C34-C33</f>
        <v>77</v>
      </c>
      <c r="E34" s="6" t="n">
        <f aca="false">C34-152000</f>
        <v>152286</v>
      </c>
      <c r="F34" s="5" t="n">
        <f aca="false">D34/$D$2</f>
        <v>38.8202672044366</v>
      </c>
      <c r="G34" s="5" t="n">
        <v>73.7</v>
      </c>
      <c r="H34" s="7" t="n">
        <v>0</v>
      </c>
      <c r="I34" s="5" t="n">
        <f aca="false">G34+H34</f>
        <v>73.7</v>
      </c>
      <c r="J34" s="26" t="n">
        <f aca="false">IF(L34&gt;0,L34,0)</f>
        <v>0.0202672044365997</v>
      </c>
      <c r="K34" s="5" t="n">
        <f aca="false">I34+J34</f>
        <v>73.7202672044366</v>
      </c>
      <c r="L34" s="5" t="n">
        <f aca="false">F34-(I34-V34)</f>
        <v>0.0202672044365997</v>
      </c>
      <c r="M34" s="5" t="n">
        <v>4.4</v>
      </c>
      <c r="N34" s="5" t="n">
        <v>0</v>
      </c>
      <c r="O34" s="5" t="n">
        <v>0</v>
      </c>
      <c r="P34" s="5" t="n">
        <f aca="false">SUM(M34:O34)</f>
        <v>4.4</v>
      </c>
      <c r="Q34" s="6" t="n">
        <v>0</v>
      </c>
      <c r="R34" s="5" t="n">
        <v>0</v>
      </c>
      <c r="S34" s="5" t="n">
        <v>0</v>
      </c>
      <c r="T34" s="5" t="n">
        <v>30.5</v>
      </c>
      <c r="U34" s="6" t="n">
        <f aca="false">U33-T34</f>
        <v>13316.3</v>
      </c>
      <c r="V34" s="5" t="n">
        <f aca="false">P34+R34+S34+T34</f>
        <v>34.9</v>
      </c>
      <c r="W34" s="5" t="n">
        <f aca="false">IF(L34&lt;0,L34*-1,0)</f>
        <v>0</v>
      </c>
      <c r="X34" s="5" t="n">
        <f aca="false">V34+W34</f>
        <v>34.9</v>
      </c>
      <c r="Y34" s="9" t="n">
        <v>0</v>
      </c>
      <c r="Z34" s="10" t="n">
        <v>34</v>
      </c>
      <c r="AA34" s="35" t="n">
        <v>2</v>
      </c>
      <c r="AB34" s="11" t="n">
        <f aca="false">AB33+1</f>
        <v>25</v>
      </c>
      <c r="AC34" s="54"/>
      <c r="AD34" s="48"/>
    </row>
    <row r="35" customFormat="false" ht="11.1" hidden="false" customHeight="true" outlineLevel="0" collapsed="false">
      <c r="A35" s="11" t="n">
        <f aca="false">A34+1</f>
        <v>26</v>
      </c>
      <c r="B35" s="25" t="n">
        <v>6905.5</v>
      </c>
      <c r="C35" s="6" t="n">
        <v>304324</v>
      </c>
      <c r="D35" s="10" t="n">
        <f aca="false">C35-C34</f>
        <v>38</v>
      </c>
      <c r="E35" s="6" t="n">
        <f aca="false">C35-152000</f>
        <v>152324</v>
      </c>
      <c r="F35" s="5" t="n">
        <f aca="false">D35/$D$2</f>
        <v>19.1580539450466</v>
      </c>
      <c r="G35" s="5" t="n">
        <v>54.1</v>
      </c>
      <c r="H35" s="7" t="n">
        <v>0</v>
      </c>
      <c r="I35" s="5" t="n">
        <f aca="false">G35+H35</f>
        <v>54.1</v>
      </c>
      <c r="J35" s="26" t="n">
        <f aca="false">IF(L35&gt;0,L35,0)</f>
        <v>0</v>
      </c>
      <c r="K35" s="5" t="n">
        <f aca="false">I35+J35</f>
        <v>54.1</v>
      </c>
      <c r="L35" s="5" t="n">
        <f aca="false">F35-(I35-V35)</f>
        <v>-0.0419460549533675</v>
      </c>
      <c r="M35" s="5" t="n">
        <v>4.4</v>
      </c>
      <c r="N35" s="5" t="n">
        <v>0</v>
      </c>
      <c r="O35" s="5" t="n">
        <v>0</v>
      </c>
      <c r="P35" s="5" t="n">
        <f aca="false">SUM(M35:O35)</f>
        <v>4.4</v>
      </c>
      <c r="Q35" s="6" t="n">
        <v>0</v>
      </c>
      <c r="R35" s="5" t="n">
        <v>0</v>
      </c>
      <c r="S35" s="5" t="n">
        <v>0</v>
      </c>
      <c r="T35" s="5" t="n">
        <v>30.5</v>
      </c>
      <c r="U35" s="6" t="n">
        <f aca="false">U34-T35</f>
        <v>13285.8</v>
      </c>
      <c r="V35" s="5" t="n">
        <f aca="false">P35+R35+S35+T35</f>
        <v>34.9</v>
      </c>
      <c r="W35" s="5" t="n">
        <f aca="false">IF(L35&lt;0,L35*-1,0)</f>
        <v>0.0419460549533675</v>
      </c>
      <c r="X35" s="5" t="n">
        <f aca="false">V35+W35</f>
        <v>34.9419460549534</v>
      </c>
      <c r="Y35" s="9" t="n">
        <v>0</v>
      </c>
      <c r="Z35" s="10" t="n">
        <v>36</v>
      </c>
      <c r="AA35" s="10" t="n">
        <v>0</v>
      </c>
      <c r="AB35" s="11" t="n">
        <f aca="false">AB34+1</f>
        <v>26</v>
      </c>
      <c r="AC35" s="51"/>
      <c r="AD35" s="48"/>
    </row>
    <row r="36" customFormat="false" ht="11.1" hidden="false" customHeight="true" outlineLevel="0" collapsed="false">
      <c r="A36" s="11" t="n">
        <f aca="false">A35+1</f>
        <v>27</v>
      </c>
      <c r="B36" s="25" t="n">
        <v>6905.51</v>
      </c>
      <c r="C36" s="6" t="n">
        <v>304361</v>
      </c>
      <c r="D36" s="10" t="n">
        <f aca="false">C36-C35</f>
        <v>37</v>
      </c>
      <c r="E36" s="6" t="n">
        <f aca="false">C36-152000</f>
        <v>152361</v>
      </c>
      <c r="F36" s="5" t="n">
        <f aca="false">D36/$D$2</f>
        <v>18.6538946307033</v>
      </c>
      <c r="G36" s="5" t="n">
        <v>53.6</v>
      </c>
      <c r="H36" s="7" t="n">
        <v>0</v>
      </c>
      <c r="I36" s="5" t="n">
        <f aca="false">G36+H36</f>
        <v>53.6</v>
      </c>
      <c r="J36" s="26" t="n">
        <f aca="false">IF(L36&gt;0,L36,0)</f>
        <v>0</v>
      </c>
      <c r="K36" s="5" t="n">
        <f aca="false">I36+J36</f>
        <v>53.6</v>
      </c>
      <c r="L36" s="5" t="n">
        <f aca="false">F36-(I36-V36)</f>
        <v>-0.0461053692967006</v>
      </c>
      <c r="M36" s="5" t="n">
        <v>4.4</v>
      </c>
      <c r="N36" s="5" t="n">
        <v>0</v>
      </c>
      <c r="O36" s="5" t="n">
        <v>0</v>
      </c>
      <c r="P36" s="5" t="n">
        <f aca="false">SUM(M36:O36)</f>
        <v>4.4</v>
      </c>
      <c r="Q36" s="6" t="n">
        <v>0</v>
      </c>
      <c r="R36" s="5" t="n">
        <v>0</v>
      </c>
      <c r="S36" s="5" t="n">
        <v>0</v>
      </c>
      <c r="T36" s="5" t="n">
        <v>30.5</v>
      </c>
      <c r="U36" s="6" t="n">
        <f aca="false">U35-T36</f>
        <v>13255.3</v>
      </c>
      <c r="V36" s="5" t="n">
        <f aca="false">P36+R36+S36+T36</f>
        <v>34.9</v>
      </c>
      <c r="W36" s="5" t="n">
        <f aca="false">IF(L36&lt;0,L36*-1,0)</f>
        <v>0.0461053692967006</v>
      </c>
      <c r="X36" s="5" t="n">
        <f aca="false">V36+W36</f>
        <v>34.9461053692967</v>
      </c>
      <c r="Y36" s="9" t="n">
        <v>0</v>
      </c>
      <c r="Z36" s="10" t="n">
        <v>45</v>
      </c>
      <c r="AA36" s="10" t="n">
        <v>8</v>
      </c>
      <c r="AB36" s="11" t="n">
        <f aca="false">AB35+1</f>
        <v>27</v>
      </c>
      <c r="AC36" s="51"/>
      <c r="AD36" s="48"/>
    </row>
    <row r="37" customFormat="false" ht="11.1" hidden="false" customHeight="true" outlineLevel="0" collapsed="false">
      <c r="A37" s="11" t="n">
        <f aca="false">A36+1</f>
        <v>28</v>
      </c>
      <c r="B37" s="25" t="n">
        <v>6905.52</v>
      </c>
      <c r="C37" s="6" t="n">
        <v>304401</v>
      </c>
      <c r="D37" s="10" t="n">
        <f aca="false">C37-C36</f>
        <v>40</v>
      </c>
      <c r="E37" s="6" t="n">
        <f aca="false">C37-152000</f>
        <v>152401</v>
      </c>
      <c r="F37" s="5" t="n">
        <f aca="false">D37/$D$2</f>
        <v>20.1663725737333</v>
      </c>
      <c r="G37" s="5" t="n">
        <v>56.8</v>
      </c>
      <c r="H37" s="7" t="n">
        <v>0</v>
      </c>
      <c r="I37" s="5" t="n">
        <f aca="false">G37+H37</f>
        <v>56.8</v>
      </c>
      <c r="J37" s="26" t="n">
        <f aca="false">IF(L37&gt;0,L37,0)</f>
        <v>0</v>
      </c>
      <c r="K37" s="5" t="n">
        <f aca="false">I37+J37</f>
        <v>56.8</v>
      </c>
      <c r="L37" s="5" t="n">
        <f aca="false">F37-(I37-V37)</f>
        <v>-0.0336274262666976</v>
      </c>
      <c r="M37" s="5" t="n">
        <v>4.4</v>
      </c>
      <c r="N37" s="5" t="n">
        <v>0</v>
      </c>
      <c r="O37" s="5" t="n">
        <v>0</v>
      </c>
      <c r="P37" s="5" t="n">
        <f aca="false">SUM(M37:O37)</f>
        <v>4.4</v>
      </c>
      <c r="Q37" s="6" t="n">
        <v>0</v>
      </c>
      <c r="R37" s="5" t="n">
        <v>0</v>
      </c>
      <c r="S37" s="5" t="n">
        <v>0</v>
      </c>
      <c r="T37" s="5" t="n">
        <v>32.2</v>
      </c>
      <c r="U37" s="6" t="n">
        <f aca="false">U36-T37</f>
        <v>13223.1</v>
      </c>
      <c r="V37" s="5" t="n">
        <f aca="false">P37+R37+S37+T37</f>
        <v>36.6</v>
      </c>
      <c r="W37" s="5" t="n">
        <f aca="false">IF(L37&lt;0,L37*-1,0)</f>
        <v>0.0336274262666976</v>
      </c>
      <c r="X37" s="5" t="n">
        <f aca="false">V37+W37</f>
        <v>36.6336274262667</v>
      </c>
      <c r="Y37" s="9" t="n">
        <v>0.73</v>
      </c>
      <c r="Z37" s="10" t="n">
        <v>35</v>
      </c>
      <c r="AA37" s="10" t="n">
        <v>30</v>
      </c>
      <c r="AB37" s="11" t="n">
        <f aca="false">AB36+1</f>
        <v>28</v>
      </c>
      <c r="AC37" s="51"/>
      <c r="AD37" s="48"/>
    </row>
    <row r="38" customFormat="false" ht="11.1" hidden="false" customHeight="true" outlineLevel="0" collapsed="false">
      <c r="A38" s="11" t="n">
        <f aca="false">A37+1</f>
        <v>29</v>
      </c>
      <c r="B38" s="25" t="n">
        <v>6905.54</v>
      </c>
      <c r="C38" s="6" t="n">
        <v>304478</v>
      </c>
      <c r="D38" s="10" t="n">
        <f aca="false">C38-C37</f>
        <v>77</v>
      </c>
      <c r="E38" s="6" t="n">
        <f aca="false">C38-152000</f>
        <v>152478</v>
      </c>
      <c r="F38" s="5" t="n">
        <f aca="false">D38/$D$2</f>
        <v>38.8202672044366</v>
      </c>
      <c r="G38" s="5" t="n">
        <v>75.5</v>
      </c>
      <c r="H38" s="7" t="n">
        <v>0</v>
      </c>
      <c r="I38" s="5" t="n">
        <f aca="false">G38+H38</f>
        <v>75.5</v>
      </c>
      <c r="J38" s="26" t="n">
        <f aca="false">IF(L38&gt;0,L38,0)</f>
        <v>0</v>
      </c>
      <c r="K38" s="5" t="n">
        <f aca="false">I38+J38</f>
        <v>75.5</v>
      </c>
      <c r="L38" s="5" t="n">
        <f aca="false">F38-(I38-V38)</f>
        <v>-0.0797327955633946</v>
      </c>
      <c r="M38" s="5" t="n">
        <v>4.4</v>
      </c>
      <c r="N38" s="5" t="n">
        <v>0</v>
      </c>
      <c r="O38" s="5" t="n">
        <v>0</v>
      </c>
      <c r="P38" s="5" t="n">
        <f aca="false">SUM(M38:O38)</f>
        <v>4.4</v>
      </c>
      <c r="Q38" s="6" t="n">
        <v>0</v>
      </c>
      <c r="R38" s="5" t="n">
        <v>0</v>
      </c>
      <c r="S38" s="5" t="n">
        <v>0</v>
      </c>
      <c r="T38" s="5" t="n">
        <v>32.2</v>
      </c>
      <c r="U38" s="6" t="n">
        <f aca="false">U37-T38</f>
        <v>13190.9</v>
      </c>
      <c r="V38" s="5" t="n">
        <f aca="false">P38+R38+S38+T38</f>
        <v>36.6</v>
      </c>
      <c r="W38" s="5" t="n">
        <f aca="false">IF(L38&lt;0,L38*-1,0)</f>
        <v>0.0797327955633946</v>
      </c>
      <c r="X38" s="5" t="n">
        <f aca="false">V38+W38</f>
        <v>36.6797327955634</v>
      </c>
      <c r="Y38" s="9" t="n">
        <v>0</v>
      </c>
      <c r="Z38" s="35" t="n">
        <v>40</v>
      </c>
      <c r="AA38" s="10" t="n">
        <v>30</v>
      </c>
      <c r="AB38" s="11" t="n">
        <f aca="false">AB37+1</f>
        <v>29</v>
      </c>
      <c r="AC38" s="51"/>
      <c r="AD38" s="48"/>
    </row>
    <row r="39" customFormat="false" ht="11.1" hidden="false" customHeight="true" outlineLevel="0" collapsed="false">
      <c r="A39" s="11" t="n">
        <v>30</v>
      </c>
      <c r="B39" s="25" t="n">
        <v>6905.56</v>
      </c>
      <c r="C39" s="6" t="n">
        <v>304555</v>
      </c>
      <c r="D39" s="10" t="n">
        <f aca="false">C39-C38</f>
        <v>77</v>
      </c>
      <c r="E39" s="6" t="n">
        <f aca="false">C39-152000</f>
        <v>152555</v>
      </c>
      <c r="F39" s="5" t="n">
        <f aca="false">D39/$D$2</f>
        <v>38.8202672044366</v>
      </c>
      <c r="G39" s="5" t="n">
        <v>75.4</v>
      </c>
      <c r="H39" s="7" t="n">
        <v>0</v>
      </c>
      <c r="I39" s="5" t="n">
        <f aca="false">G39+H39</f>
        <v>75.4</v>
      </c>
      <c r="J39" s="26" t="n">
        <f aca="false">IF(L39&gt;0,L39,0)</f>
        <v>0.0202672044365997</v>
      </c>
      <c r="K39" s="5" t="n">
        <f aca="false">I39+J39</f>
        <v>75.4202672044366</v>
      </c>
      <c r="L39" s="5" t="n">
        <f aca="false">F39-(I39-V39)</f>
        <v>0.0202672044365997</v>
      </c>
      <c r="M39" s="5" t="n">
        <v>4.4</v>
      </c>
      <c r="N39" s="5" t="n">
        <v>0</v>
      </c>
      <c r="O39" s="5" t="n">
        <v>0</v>
      </c>
      <c r="P39" s="5" t="n">
        <f aca="false">SUM(M39:O39)</f>
        <v>4.4</v>
      </c>
      <c r="Q39" s="6" t="n">
        <v>0</v>
      </c>
      <c r="R39" s="5" t="n">
        <v>0</v>
      </c>
      <c r="S39" s="5" t="n">
        <v>0</v>
      </c>
      <c r="T39" s="5" t="n">
        <v>32.2</v>
      </c>
      <c r="U39" s="6" t="n">
        <f aca="false">U38-T39</f>
        <v>13158.7</v>
      </c>
      <c r="V39" s="5" t="n">
        <f aca="false">P39+R39+S39+T39</f>
        <v>36.6</v>
      </c>
      <c r="W39" s="5" t="n">
        <f aca="false">IF(L39&lt;0,L39*-1,0)</f>
        <v>0</v>
      </c>
      <c r="X39" s="5" t="n">
        <f aca="false">V39+W39</f>
        <v>36.6</v>
      </c>
      <c r="Y39" s="9" t="n">
        <v>0</v>
      </c>
      <c r="Z39" s="35" t="n">
        <v>42</v>
      </c>
      <c r="AA39" s="10" t="n">
        <v>32</v>
      </c>
      <c r="AB39" s="11" t="n">
        <v>30</v>
      </c>
      <c r="AC39" s="51"/>
      <c r="AD39" s="48"/>
    </row>
    <row r="40" customFormat="false" ht="11.1" hidden="false" customHeight="true" outlineLevel="0" collapsed="false">
      <c r="A40" s="11" t="n">
        <v>31</v>
      </c>
      <c r="B40" s="25" t="n">
        <v>6905.58</v>
      </c>
      <c r="C40" s="6" t="n">
        <v>304632</v>
      </c>
      <c r="D40" s="10" t="n">
        <f aca="false">C40-C39</f>
        <v>77</v>
      </c>
      <c r="E40" s="6" t="n">
        <f aca="false">C40-152000</f>
        <v>152632</v>
      </c>
      <c r="F40" s="5" t="n">
        <f aca="false">D40/$D$2</f>
        <v>38.8202672044366</v>
      </c>
      <c r="G40" s="5" t="n">
        <v>76</v>
      </c>
      <c r="H40" s="7" t="n">
        <v>0</v>
      </c>
      <c r="I40" s="5" t="n">
        <f aca="false">G40+H40</f>
        <v>76</v>
      </c>
      <c r="J40" s="26" t="n">
        <f aca="false">IF(L40&gt;0,L40,0)</f>
        <v>0.0202672044365997</v>
      </c>
      <c r="K40" s="5" t="n">
        <f aca="false">I40+J40</f>
        <v>76.0202672044366</v>
      </c>
      <c r="L40" s="5" t="n">
        <f aca="false">F40-(I40-V40)</f>
        <v>0.0202672044365997</v>
      </c>
      <c r="M40" s="5" t="n">
        <v>4.4</v>
      </c>
      <c r="N40" s="5" t="n">
        <v>0</v>
      </c>
      <c r="O40" s="5" t="n">
        <v>0</v>
      </c>
      <c r="P40" s="5" t="n">
        <f aca="false">SUM(M40:O40)</f>
        <v>4.4</v>
      </c>
      <c r="Q40" s="6" t="n">
        <v>0</v>
      </c>
      <c r="R40" s="5" t="n">
        <v>0</v>
      </c>
      <c r="S40" s="5" t="n">
        <v>0</v>
      </c>
      <c r="T40" s="5" t="n">
        <v>32.8</v>
      </c>
      <c r="U40" s="6" t="n">
        <f aca="false">U39-T40</f>
        <v>13125.9</v>
      </c>
      <c r="V40" s="5" t="n">
        <f aca="false">P40+R40+S40+T40</f>
        <v>37.2</v>
      </c>
      <c r="W40" s="5" t="n">
        <f aca="false">IF(L40&lt;0,L40*-1,0)</f>
        <v>0</v>
      </c>
      <c r="X40" s="5" t="n">
        <f aca="false">V40+W40</f>
        <v>37.2</v>
      </c>
      <c r="Y40" s="9" t="n">
        <v>0</v>
      </c>
      <c r="Z40" s="35" t="n">
        <v>47</v>
      </c>
      <c r="AA40" s="10" t="n">
        <v>20</v>
      </c>
      <c r="AB40" s="11" t="n">
        <v>31</v>
      </c>
      <c r="AC40" s="51"/>
      <c r="AD40" s="48"/>
    </row>
    <row r="41" customFormat="false" ht="3" hidden="false" customHeight="true" outlineLevel="0" collapsed="false">
      <c r="A41" s="27"/>
      <c r="B41" s="27"/>
      <c r="C41" s="29"/>
      <c r="D41" s="27"/>
      <c r="E41" s="29"/>
      <c r="F41" s="27"/>
      <c r="G41" s="27"/>
      <c r="H41" s="30"/>
      <c r="I41" s="27"/>
      <c r="J41" s="27"/>
      <c r="K41" s="27"/>
      <c r="L41" s="27"/>
      <c r="M41" s="27"/>
      <c r="N41" s="27"/>
      <c r="O41" s="27"/>
      <c r="P41" s="27"/>
      <c r="Q41" s="29"/>
      <c r="R41" s="27"/>
      <c r="S41" s="27"/>
      <c r="T41" s="27"/>
      <c r="U41" s="27"/>
      <c r="V41" s="27"/>
      <c r="W41" s="27"/>
      <c r="X41" s="27"/>
      <c r="Y41" s="31"/>
      <c r="Z41" s="32" t="n">
        <v>73</v>
      </c>
      <c r="AA41" s="32"/>
      <c r="AB41" s="33"/>
      <c r="AC41" s="52"/>
      <c r="AD41" s="53"/>
    </row>
    <row r="42" customFormat="false" ht="11.1" hidden="false" customHeight="true" outlineLevel="0" collapsed="false">
      <c r="A42" s="5" t="s">
        <v>43</v>
      </c>
      <c r="B42" s="5"/>
      <c r="C42" s="6"/>
      <c r="D42" s="6"/>
      <c r="E42" s="6"/>
      <c r="F42" s="6" t="n">
        <f aca="false">SUM(F10:F40)</f>
        <v>446.685152508193</v>
      </c>
      <c r="G42" s="6" t="n">
        <f aca="false">SUM(G10:G40)</f>
        <v>1610.2</v>
      </c>
      <c r="H42" s="6" t="n">
        <f aca="false">SUM(H10:H40)</f>
        <v>0</v>
      </c>
      <c r="I42" s="6" t="n">
        <f aca="false">SUM(I10:I40)</f>
        <v>1610.2</v>
      </c>
      <c r="J42" s="6" t="n">
        <f aca="false">SUM(J10:J40)</f>
        <v>0.704965969246285</v>
      </c>
      <c r="K42" s="6" t="n">
        <f aca="false">SUM(K10:K40)</f>
        <v>1610.90496596925</v>
      </c>
      <c r="L42" s="6" t="n">
        <f aca="false">SUM(L10:L40)</f>
        <v>0.285152508192596</v>
      </c>
      <c r="M42" s="6" t="n">
        <f aca="false">SUM(M10:M40)</f>
        <v>131.4</v>
      </c>
      <c r="N42" s="6" t="n">
        <f aca="false">SUM(N10:N40)</f>
        <v>0</v>
      </c>
      <c r="O42" s="6" t="n">
        <f aca="false">SUM(O10:O40)</f>
        <v>0</v>
      </c>
      <c r="P42" s="6" t="n">
        <f aca="false">SUM(P10:P40)</f>
        <v>131.4</v>
      </c>
      <c r="Q42" s="6"/>
      <c r="R42" s="6" t="n">
        <f aca="false">SUM(R10:R40)</f>
        <v>0</v>
      </c>
      <c r="S42" s="6" t="n">
        <f aca="false">SUM(S10:S40)</f>
        <v>0</v>
      </c>
      <c r="T42" s="6" t="n">
        <f aca="false">SUM(T10:T40)</f>
        <v>1032.4</v>
      </c>
      <c r="U42" s="6" t="n">
        <f aca="false">U40</f>
        <v>13125.9</v>
      </c>
      <c r="V42" s="6" t="n">
        <f aca="false">SUM(V10:V40)</f>
        <v>1163.8</v>
      </c>
      <c r="W42" s="6" t="n">
        <f aca="false">SUM(W10:W40)</f>
        <v>0.419813461053689</v>
      </c>
      <c r="X42" s="6" t="n">
        <f aca="false">SUM(X10:X40)</f>
        <v>1164.21981346105</v>
      </c>
      <c r="Y42" s="9" t="n">
        <f aca="false">SUM(Y10:Y40)</f>
        <v>2.08</v>
      </c>
      <c r="Z42" s="10" t="n">
        <f aca="false">AVERAGE(Z10:Z40)</f>
        <v>34.8709677419355</v>
      </c>
      <c r="AA42" s="10" t="n">
        <f aca="false">AVERAGE(AA10:AA40)</f>
        <v>10.4516129032258</v>
      </c>
      <c r="AB42" s="11"/>
      <c r="AC42" s="51"/>
      <c r="AD42" s="48"/>
    </row>
    <row r="43" customFormat="false" ht="11.1" hidden="false" customHeight="true" outlineLevel="0" collapsed="false">
      <c r="A43" s="5" t="s">
        <v>44</v>
      </c>
      <c r="B43" s="5"/>
      <c r="C43" s="6"/>
      <c r="D43" s="6" t="n">
        <f aca="false">SUM(D10:D40)</f>
        <v>886</v>
      </c>
      <c r="E43" s="6"/>
      <c r="F43" s="6" t="n">
        <f aca="false">F42*$D$2</f>
        <v>886</v>
      </c>
      <c r="G43" s="6" t="n">
        <f aca="false">G42*$D$2</f>
        <v>3193.8317</v>
      </c>
      <c r="H43" s="6" t="n">
        <f aca="false">H42*$D$2</f>
        <v>0</v>
      </c>
      <c r="I43" s="6" t="n">
        <f aca="false">I42*$D$2</f>
        <v>3193.8317</v>
      </c>
      <c r="J43" s="6" t="n">
        <f aca="false">J42*$D$2</f>
        <v>1.39830000000001</v>
      </c>
      <c r="K43" s="6" t="n">
        <f aca="false">K42*$D$2</f>
        <v>3195.23</v>
      </c>
      <c r="L43" s="6" t="n">
        <f aca="false">L42*$D$2</f>
        <v>0.565600000000013</v>
      </c>
      <c r="M43" s="6" t="n">
        <f aca="false">M42*$D$2</f>
        <v>260.6319</v>
      </c>
      <c r="N43" s="6" t="n">
        <f aca="false">N42*$D$2</f>
        <v>0</v>
      </c>
      <c r="O43" s="6" t="n">
        <f aca="false">O42*$D$2</f>
        <v>0</v>
      </c>
      <c r="P43" s="6" t="n">
        <f aca="false">P42*$D$2</f>
        <v>260.6319</v>
      </c>
      <c r="Q43" s="6"/>
      <c r="R43" s="6" t="n">
        <f aca="false">R42*$D$2</f>
        <v>0</v>
      </c>
      <c r="S43" s="6" t="n">
        <f aca="false">S42*$D$2</f>
        <v>0</v>
      </c>
      <c r="T43" s="6" t="n">
        <f aca="false">T42*$D$2</f>
        <v>2047.7654</v>
      </c>
      <c r="U43" s="6" t="n">
        <f aca="false">U42*$D$2</f>
        <v>26035.22265</v>
      </c>
      <c r="V43" s="6" t="n">
        <f aca="false">V42*$D$2</f>
        <v>2308.3973</v>
      </c>
      <c r="W43" s="6" t="n">
        <f aca="false">W42*$D$2</f>
        <v>0.832699999999992</v>
      </c>
      <c r="X43" s="6" t="n">
        <f aca="false">X42*$D$2</f>
        <v>2309.23</v>
      </c>
      <c r="Y43" s="9"/>
      <c r="Z43" s="10" t="n">
        <f aca="false">MAX(Z10:Z40)</f>
        <v>48</v>
      </c>
      <c r="AA43" s="10" t="n">
        <f aca="false">MAX(AA10:AA40)</f>
        <v>32</v>
      </c>
      <c r="AB43" s="11" t="s">
        <v>45</v>
      </c>
      <c r="AC43" s="51"/>
      <c r="AD43" s="48"/>
    </row>
    <row r="44" customFormat="false" ht="3" hidden="false" customHeight="true" outlineLevel="0" collapsed="false">
      <c r="A44" s="27"/>
      <c r="B44" s="27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7"/>
      <c r="V44" s="29"/>
      <c r="W44" s="29"/>
      <c r="X44" s="29"/>
      <c r="Y44" s="9"/>
      <c r="Z44" s="10"/>
      <c r="AA44" s="10"/>
      <c r="AB44" s="11"/>
      <c r="AC44" s="51"/>
      <c r="AD44" s="48"/>
    </row>
    <row r="45" customFormat="false" ht="11.1" hidden="false" customHeight="true" outlineLevel="0" collapsed="false">
      <c r="A45" s="5" t="s">
        <v>46</v>
      </c>
      <c r="B45" s="5"/>
      <c r="C45" s="6"/>
      <c r="D45" s="6"/>
      <c r="E45" s="6"/>
      <c r="F45" s="6"/>
      <c r="G45" s="6"/>
      <c r="H45" s="10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9"/>
      <c r="Z45" s="10" t="n">
        <f aca="false">MIN(Z10:Z40)</f>
        <v>20</v>
      </c>
      <c r="AA45" s="10" t="n">
        <f aca="false">MIN(AA10:AA40)</f>
        <v>-10</v>
      </c>
      <c r="AB45" s="11" t="s">
        <v>47</v>
      </c>
      <c r="AC45" s="51"/>
      <c r="AD45" s="48"/>
    </row>
    <row r="46" customFormat="false" ht="11.1" hidden="false" customHeight="true" outlineLevel="0" collapsed="false">
      <c r="A46" s="5" t="s">
        <v>48</v>
      </c>
      <c r="B46" s="5"/>
      <c r="C46" s="6"/>
      <c r="D46" s="6"/>
      <c r="E46" s="6"/>
      <c r="F46" s="6"/>
      <c r="G46" s="6"/>
      <c r="H46" s="10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9"/>
      <c r="Z46" s="10"/>
      <c r="AA46" s="10"/>
      <c r="AB46" s="11"/>
      <c r="AC46" s="51"/>
      <c r="AD46" s="48"/>
    </row>
    <row r="47" customFormat="false" ht="3" hidden="false" customHeight="true" outlineLevel="0" collapsed="false">
      <c r="A47" s="27"/>
      <c r="B47" s="27"/>
      <c r="C47" s="29"/>
      <c r="D47" s="29"/>
      <c r="E47" s="29"/>
      <c r="F47" s="29"/>
      <c r="G47" s="29"/>
      <c r="H47" s="32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31"/>
      <c r="Z47" s="10"/>
      <c r="AA47" s="10"/>
      <c r="AB47" s="11"/>
      <c r="AC47" s="51"/>
      <c r="AD47" s="48"/>
    </row>
    <row r="48" customFormat="false" ht="11.1" hidden="false" customHeight="true" outlineLevel="0" collapsed="false">
      <c r="A48" s="5" t="s">
        <v>49</v>
      </c>
      <c r="B48" s="5"/>
      <c r="C48" s="6"/>
      <c r="D48" s="6"/>
      <c r="E48" s="6"/>
      <c r="F48" s="6" t="n">
        <f aca="false">F8+F42</f>
        <v>330.224350894883</v>
      </c>
      <c r="G48" s="6" t="n">
        <f aca="false">G8+G42</f>
        <v>4025.4</v>
      </c>
      <c r="H48" s="10" t="n">
        <f aca="false">H8+H42</f>
        <v>0</v>
      </c>
      <c r="I48" s="6" t="n">
        <f aca="false">I8+I42</f>
        <v>4025.4</v>
      </c>
      <c r="J48" s="6" t="n">
        <f aca="false">J8+J42</f>
        <v>226.542677085959</v>
      </c>
      <c r="K48" s="6" t="n">
        <f aca="false">K8+K42</f>
        <v>4251.94267708596</v>
      </c>
      <c r="L48" s="6" t="n">
        <f aca="false">L8+L42</f>
        <v>-673.675649105117</v>
      </c>
      <c r="M48" s="6" t="n">
        <f aca="false">M8+M42</f>
        <v>671.7</v>
      </c>
      <c r="N48" s="6" t="n">
        <f aca="false">N8+N42</f>
        <v>0</v>
      </c>
      <c r="O48" s="6" t="n">
        <f aca="false">O8+O42</f>
        <v>178.7</v>
      </c>
      <c r="P48" s="6" t="n">
        <f aca="false">P8+P42</f>
        <v>850.4</v>
      </c>
      <c r="Q48" s="6"/>
      <c r="R48" s="6" t="n">
        <f aca="false">R8+R42</f>
        <v>0</v>
      </c>
      <c r="S48" s="6" t="n">
        <f aca="false">S8+S42</f>
        <v>0</v>
      </c>
      <c r="T48" s="6" t="n">
        <f aca="false">T8+T42</f>
        <v>2171.1</v>
      </c>
      <c r="U48" s="6" t="n">
        <f aca="false">U40</f>
        <v>13125.9</v>
      </c>
      <c r="V48" s="6" t="n">
        <f aca="false">V8+V42</f>
        <v>3021.5</v>
      </c>
      <c r="W48" s="6" t="n">
        <f aca="false">W8+W42</f>
        <v>900.218326191076</v>
      </c>
      <c r="X48" s="6" t="n">
        <f aca="false">X8+X42</f>
        <v>3921.71832619108</v>
      </c>
      <c r="Y48" s="9" t="n">
        <f aca="false">Y8+Y42</f>
        <v>2.55</v>
      </c>
      <c r="Z48" s="10"/>
      <c r="AA48" s="10"/>
      <c r="AB48" s="11"/>
      <c r="AC48" s="51"/>
      <c r="AD48" s="48"/>
    </row>
    <row r="49" customFormat="false" ht="11.1" hidden="false" customHeight="true" outlineLevel="0" collapsed="false">
      <c r="A49" s="5" t="s">
        <v>50</v>
      </c>
      <c r="B49" s="5"/>
      <c r="C49" s="6"/>
      <c r="D49" s="6" t="n">
        <f aca="false">D8+D43</f>
        <v>655</v>
      </c>
      <c r="E49" s="6" t="n">
        <f aca="false">E40</f>
        <v>152632</v>
      </c>
      <c r="F49" s="6" t="n">
        <f aca="false">F48*$D$2</f>
        <v>655</v>
      </c>
      <c r="G49" s="6" t="n">
        <f aca="false">G48*$D$2</f>
        <v>7984.3809</v>
      </c>
      <c r="H49" s="10" t="n">
        <f aca="false">H48*$D$2</f>
        <v>0</v>
      </c>
      <c r="I49" s="6" t="n">
        <f aca="false">I48*$D$2</f>
        <v>7984.3809</v>
      </c>
      <c r="J49" s="6" t="n">
        <f aca="false">J48*$D$2</f>
        <v>449.3474</v>
      </c>
      <c r="K49" s="6" t="n">
        <f aca="false">K48*$D$2</f>
        <v>8433.7283</v>
      </c>
      <c r="L49" s="6" t="n">
        <f aca="false">L48*$D$2</f>
        <v>-1336.23565</v>
      </c>
      <c r="M49" s="6" t="n">
        <f aca="false">M48*$D$2</f>
        <v>1332.31695</v>
      </c>
      <c r="N49" s="6" t="n">
        <f aca="false">N48*$D$2</f>
        <v>0</v>
      </c>
      <c r="O49" s="6" t="n">
        <f aca="false">O48*$D$2</f>
        <v>354.45145</v>
      </c>
      <c r="P49" s="6" t="n">
        <f aca="false">P48*$D$2</f>
        <v>1686.7684</v>
      </c>
      <c r="Q49" s="6" t="n">
        <f aca="false">Q48*$D$2</f>
        <v>0</v>
      </c>
      <c r="R49" s="6" t="n">
        <f aca="false">R48*$D$2</f>
        <v>0</v>
      </c>
      <c r="S49" s="6" t="n">
        <f aca="false">S48*$D$2</f>
        <v>0</v>
      </c>
      <c r="T49" s="6" t="n">
        <f aca="false">T48*$D$2</f>
        <v>4306.37685</v>
      </c>
      <c r="U49" s="6" t="n">
        <f aca="false">U40*$D$2</f>
        <v>26035.22265</v>
      </c>
      <c r="V49" s="6" t="n">
        <f aca="false">V48*$D$2</f>
        <v>5993.14525</v>
      </c>
      <c r="W49" s="6" t="n">
        <f aca="false">W48*$D$2</f>
        <v>1785.58305</v>
      </c>
      <c r="X49" s="6" t="n">
        <f aca="false">X48*$D$2</f>
        <v>7778.7283</v>
      </c>
      <c r="Y49" s="9"/>
      <c r="Z49" s="10"/>
      <c r="AA49" s="10"/>
      <c r="AB49" s="11"/>
      <c r="AC49" s="51"/>
      <c r="AD49" s="48"/>
    </row>
    <row r="50" customFormat="false" ht="3" hidden="false" customHeight="true" outlineLevel="0" collapsed="false">
      <c r="A50" s="27"/>
      <c r="B50" s="27"/>
      <c r="C50" s="29"/>
      <c r="D50" s="27"/>
      <c r="E50" s="29"/>
      <c r="F50" s="27"/>
      <c r="G50" s="27"/>
      <c r="H50" s="30"/>
      <c r="I50" s="27"/>
      <c r="J50" s="27"/>
      <c r="K50" s="27"/>
      <c r="L50" s="27"/>
      <c r="M50" s="27"/>
      <c r="N50" s="27"/>
      <c r="O50" s="27"/>
      <c r="P50" s="27"/>
      <c r="Q50" s="29"/>
      <c r="R50" s="27"/>
      <c r="S50" s="27"/>
      <c r="T50" s="27"/>
      <c r="U50" s="29"/>
      <c r="V50" s="27"/>
      <c r="W50" s="27"/>
      <c r="X50" s="27"/>
      <c r="Y50" s="9"/>
      <c r="Z50" s="10"/>
      <c r="AA50" s="10"/>
      <c r="AB50" s="11"/>
      <c r="AC50" s="51"/>
      <c r="AD50" s="48"/>
    </row>
    <row r="51" customFormat="false" ht="11.1" hidden="false" customHeight="true" outlineLevel="0" collapsed="false">
      <c r="A51" s="55"/>
      <c r="B51" s="56"/>
      <c r="C51" s="57"/>
      <c r="D51" s="55"/>
      <c r="E51" s="57"/>
      <c r="F51" s="55"/>
      <c r="G51" s="55"/>
      <c r="H51" s="58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7"/>
      <c r="U51" s="55"/>
      <c r="V51" s="55"/>
      <c r="W51" s="57"/>
      <c r="X51" s="55"/>
      <c r="Y51" s="55"/>
      <c r="Z51" s="55"/>
      <c r="AA51" s="58"/>
      <c r="AB51" s="51"/>
      <c r="AC51" s="51"/>
      <c r="AD51" s="48"/>
    </row>
    <row r="52" customFormat="false" ht="11.1" hidden="false" customHeight="true" outlineLevel="0" collapsed="false">
      <c r="A52" s="55"/>
      <c r="B52" s="59"/>
      <c r="C52" s="57"/>
      <c r="D52" s="54"/>
      <c r="E52" s="57"/>
      <c r="F52" s="55"/>
      <c r="G52" s="55"/>
      <c r="H52" s="58"/>
      <c r="I52" s="60"/>
      <c r="J52" s="55"/>
      <c r="K52" s="39"/>
      <c r="L52" s="55"/>
      <c r="M52" s="55"/>
      <c r="N52" s="55"/>
      <c r="O52" s="55"/>
      <c r="P52" s="55"/>
      <c r="Q52" s="55"/>
      <c r="R52" s="55"/>
      <c r="S52" s="55"/>
      <c r="T52" s="57"/>
      <c r="U52" s="55"/>
      <c r="V52" s="55"/>
      <c r="W52" s="57"/>
      <c r="X52" s="55"/>
      <c r="Y52" s="55"/>
      <c r="Z52" s="55"/>
      <c r="AA52" s="58"/>
      <c r="AB52" s="51"/>
      <c r="AC52" s="51"/>
      <c r="AD52" s="48"/>
    </row>
    <row r="53" customFormat="false" ht="11.1" hidden="false" customHeight="true" outlineLevel="0" collapsed="false">
      <c r="A53" s="54"/>
      <c r="B53" s="54"/>
      <c r="C53" s="57"/>
      <c r="D53" s="57"/>
      <c r="E53" s="57"/>
      <c r="F53" s="54"/>
      <c r="G53" s="54"/>
      <c r="H53" s="58"/>
      <c r="I53" s="54"/>
      <c r="J53" s="54"/>
      <c r="K53" s="54"/>
      <c r="L53" s="54"/>
      <c r="M53" s="61"/>
      <c r="N53" s="61"/>
      <c r="O53" s="61"/>
      <c r="P53" s="61"/>
      <c r="Q53" s="54"/>
      <c r="R53" s="54"/>
      <c r="S53" s="54"/>
      <c r="T53" s="57"/>
      <c r="U53" s="54"/>
      <c r="V53" s="54"/>
      <c r="W53" s="57"/>
      <c r="X53" s="54"/>
      <c r="Y53" s="54"/>
      <c r="Z53" s="54"/>
      <c r="AA53" s="58"/>
      <c r="AB53" s="51"/>
      <c r="AC53" s="51"/>
      <c r="AD53" s="48"/>
    </row>
    <row r="54" customFormat="false" ht="11.1" hidden="false" customHeight="true" outlineLevel="0" collapsed="false">
      <c r="A54" s="54"/>
      <c r="B54" s="62"/>
      <c r="C54" s="57"/>
      <c r="D54" s="57"/>
      <c r="E54" s="57"/>
      <c r="F54" s="54"/>
      <c r="G54" s="54"/>
      <c r="H54" s="58"/>
      <c r="I54" s="54"/>
      <c r="J54" s="54"/>
      <c r="K54" s="54"/>
      <c r="L54" s="54"/>
      <c r="M54" s="61"/>
      <c r="N54" s="61"/>
      <c r="O54" s="61"/>
      <c r="P54" s="54"/>
      <c r="Q54" s="54"/>
      <c r="R54" s="54"/>
      <c r="S54" s="57"/>
      <c r="T54" s="54"/>
      <c r="U54" s="54"/>
      <c r="V54" s="57"/>
      <c r="W54" s="54"/>
      <c r="X54" s="54"/>
      <c r="Y54" s="54"/>
      <c r="Z54" s="62"/>
      <c r="AA54" s="58"/>
      <c r="AB54" s="51"/>
      <c r="AC54" s="48"/>
    </row>
    <row r="55" customFormat="false" ht="11.1" hidden="false" customHeight="true" outlineLevel="0" collapsed="false">
      <c r="A55" s="54"/>
      <c r="B55" s="54"/>
      <c r="C55" s="57"/>
      <c r="D55" s="54"/>
      <c r="E55" s="57"/>
      <c r="F55" s="54"/>
      <c r="G55" s="63"/>
      <c r="H55" s="58"/>
      <c r="I55" s="54"/>
      <c r="J55" s="54"/>
      <c r="K55" s="54"/>
      <c r="L55" s="54"/>
      <c r="M55" s="61"/>
      <c r="N55" s="61"/>
      <c r="O55" s="61"/>
      <c r="P55" s="54"/>
      <c r="Q55" s="54"/>
      <c r="R55" s="54"/>
      <c r="S55" s="57"/>
      <c r="T55" s="54"/>
      <c r="U55" s="54"/>
      <c r="V55" s="57"/>
      <c r="W55" s="54"/>
      <c r="X55" s="54"/>
      <c r="Y55" s="54"/>
      <c r="Z55" s="62"/>
      <c r="AA55" s="58"/>
      <c r="AB55" s="51"/>
      <c r="AC55" s="48"/>
    </row>
  </sheetData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H3" colorId="64" zoomScale="100" zoomScaleNormal="100" zoomScalePageLayoutView="100" workbookViewId="0">
      <selection pane="topLeft" activeCell="H52" activeCellId="0" sqref="H52"/>
    </sheetView>
  </sheetViews>
  <sheetFormatPr defaultColWidth="9.328125" defaultRowHeight="11.1" zeroHeight="false" outlineLevelRow="0" outlineLevelCol="0"/>
  <cols>
    <col collapsed="false" customWidth="true" hidden="false" outlineLevel="0" max="1" min="1" style="41" width="5.66"/>
    <col collapsed="false" customWidth="true" hidden="false" outlineLevel="0" max="2" min="2" style="41" width="7.82"/>
    <col collapsed="false" customWidth="true" hidden="false" outlineLevel="0" max="3" min="3" style="42" width="7.66"/>
    <col collapsed="false" customWidth="true" hidden="false" outlineLevel="0" max="4" min="4" style="41" width="6.99"/>
    <col collapsed="false" customWidth="true" hidden="false" outlineLevel="0" max="5" min="5" style="42" width="7.66"/>
    <col collapsed="false" customWidth="true" hidden="false" outlineLevel="0" max="6" min="6" style="41" width="7.66"/>
    <col collapsed="false" customWidth="true" hidden="false" outlineLevel="0" max="7" min="7" style="41" width="7.16"/>
    <col collapsed="false" customWidth="true" hidden="false" outlineLevel="0" max="8" min="8" style="43" width="6.66"/>
    <col collapsed="false" customWidth="true" hidden="false" outlineLevel="0" max="9" min="9" style="41" width="7.99"/>
    <col collapsed="false" customWidth="true" hidden="false" outlineLevel="0" max="10" min="10" style="41" width="6.66"/>
    <col collapsed="false" customWidth="true" hidden="false" outlineLevel="0" max="12" min="11" style="41" width="7.16"/>
    <col collapsed="false" customWidth="true" hidden="false" outlineLevel="0" max="13" min="13" style="64" width="6.16"/>
    <col collapsed="false" customWidth="true" hidden="true" outlineLevel="0" max="14" min="14" style="44" width="7.32"/>
    <col collapsed="false" customWidth="true" hidden="false" outlineLevel="0" max="15" min="15" style="44" width="6.49"/>
    <col collapsed="false" customWidth="true" hidden="false" outlineLevel="0" max="16" min="16" style="41" width="7.16"/>
    <col collapsed="false" customWidth="true" hidden="false" outlineLevel="0" max="17" min="17" style="41" width="6.32"/>
    <col collapsed="false" customWidth="true" hidden="false" outlineLevel="0" max="18" min="18" style="41" width="5.82"/>
    <col collapsed="false" customWidth="true" hidden="false" outlineLevel="0" max="19" min="19" style="42" width="6.82"/>
    <col collapsed="false" customWidth="true" hidden="false" outlineLevel="0" max="20" min="20" style="41" width="7.66"/>
    <col collapsed="false" customWidth="true" hidden="false" outlineLevel="0" max="21" min="21" style="41" width="5.99"/>
    <col collapsed="false" customWidth="true" hidden="false" outlineLevel="0" max="22" min="22" style="42" width="6.66"/>
    <col collapsed="false" customWidth="true" hidden="false" outlineLevel="0" max="23" min="23" style="41" width="7.66"/>
    <col collapsed="false" customWidth="true" hidden="false" outlineLevel="0" max="25" min="24" style="41" width="7.82"/>
    <col collapsed="false" customWidth="true" hidden="false" outlineLevel="0" max="26" min="26" style="45" width="8.16"/>
    <col collapsed="false" customWidth="true" hidden="false" outlineLevel="0" max="27" min="27" style="43" width="4.66"/>
    <col collapsed="false" customWidth="true" hidden="false" outlineLevel="0" max="28" min="28" style="46" width="4.66"/>
    <col collapsed="false" customWidth="true" hidden="false" outlineLevel="0" max="29" min="29" style="47" width="4.66"/>
    <col collapsed="false" customWidth="true" hidden="false" outlineLevel="0" max="30" min="30" style="41" width="5.66"/>
    <col collapsed="false" customWidth="false" hidden="false" outlineLevel="0" max="257" min="31" style="41" width="9.32"/>
  </cols>
  <sheetData>
    <row r="1" customFormat="false" ht="14.1" hidden="false" customHeight="true" outlineLevel="0" collapsed="false">
      <c r="A1" s="55"/>
      <c r="B1" s="55"/>
      <c r="C1" s="57"/>
      <c r="D1" s="55"/>
      <c r="E1" s="57"/>
      <c r="F1" s="55"/>
      <c r="G1" s="55"/>
      <c r="H1" s="58"/>
      <c r="I1" s="55"/>
      <c r="J1" s="55"/>
      <c r="K1" s="65" t="s">
        <v>0</v>
      </c>
      <c r="L1" s="55"/>
      <c r="M1" s="66"/>
      <c r="N1" s="55"/>
      <c r="O1" s="55"/>
      <c r="P1" s="55"/>
      <c r="Q1" s="55"/>
      <c r="R1" s="55"/>
      <c r="S1" s="57"/>
      <c r="T1" s="55"/>
      <c r="U1" s="55"/>
      <c r="V1" s="57"/>
      <c r="W1" s="55"/>
      <c r="X1" s="55"/>
      <c r="Y1" s="55"/>
      <c r="Z1" s="62"/>
      <c r="AA1" s="58"/>
      <c r="AB1" s="51"/>
      <c r="AC1" s="48"/>
      <c r="AD1" s="67"/>
      <c r="AE1" s="67"/>
    </row>
    <row r="2" customFormat="false" ht="14.1" hidden="false" customHeight="true" outlineLevel="0" collapsed="false">
      <c r="A2" s="55" t="s">
        <v>1</v>
      </c>
      <c r="B2" s="55"/>
      <c r="C2" s="57"/>
      <c r="D2" s="68" t="n">
        <v>1.9835</v>
      </c>
      <c r="E2" s="57"/>
      <c r="F2" s="55"/>
      <c r="G2" s="55"/>
      <c r="H2" s="58"/>
      <c r="I2" s="55"/>
      <c r="J2" s="55"/>
      <c r="K2" s="69" t="s">
        <v>53</v>
      </c>
      <c r="L2" s="69"/>
      <c r="M2" s="69"/>
      <c r="N2" s="69"/>
      <c r="O2" s="69"/>
      <c r="P2" s="69"/>
      <c r="Q2" s="69"/>
      <c r="R2" s="69"/>
      <c r="S2" s="69"/>
      <c r="T2" s="69"/>
      <c r="U2" s="55"/>
      <c r="V2" s="57"/>
      <c r="W2" s="55"/>
      <c r="X2" s="55"/>
      <c r="Y2" s="55"/>
      <c r="Z2" s="62"/>
      <c r="AA2" s="58"/>
      <c r="AB2" s="51"/>
      <c r="AC2" s="48"/>
      <c r="AD2" s="67"/>
      <c r="AE2" s="67"/>
    </row>
    <row r="3" customFormat="false" ht="11.1" hidden="false" customHeight="true" outlineLevel="0" collapsed="false">
      <c r="A3" s="55"/>
      <c r="B3" s="55"/>
      <c r="C3" s="57"/>
      <c r="D3" s="70"/>
      <c r="E3" s="57"/>
      <c r="F3" s="55"/>
      <c r="G3" s="55"/>
      <c r="H3" s="58"/>
      <c r="I3" s="55"/>
      <c r="J3" s="55"/>
      <c r="K3" s="55"/>
      <c r="L3" s="55"/>
      <c r="M3" s="66"/>
      <c r="N3" s="55"/>
      <c r="O3" s="55"/>
      <c r="P3" s="55"/>
      <c r="Q3" s="55"/>
      <c r="R3" s="55"/>
      <c r="S3" s="57"/>
      <c r="T3" s="55"/>
      <c r="U3" s="55"/>
      <c r="V3" s="57"/>
      <c r="W3" s="55"/>
      <c r="X3" s="55"/>
      <c r="Y3" s="55"/>
      <c r="Z3" s="62"/>
      <c r="AA3" s="58"/>
      <c r="AB3" s="51"/>
      <c r="AC3" s="48"/>
      <c r="AD3" s="67"/>
      <c r="AE3" s="67"/>
    </row>
    <row r="4" customFormat="false" ht="11.1" hidden="false" customHeight="true" outlineLevel="0" collapsed="false">
      <c r="A4" s="71" t="s">
        <v>3</v>
      </c>
      <c r="B4" s="71" t="s">
        <v>4</v>
      </c>
      <c r="C4" s="72" t="s">
        <v>4</v>
      </c>
      <c r="D4" s="71" t="s">
        <v>5</v>
      </c>
      <c r="E4" s="72" t="s">
        <v>6</v>
      </c>
      <c r="F4" s="71" t="s">
        <v>7</v>
      </c>
      <c r="G4" s="71" t="s">
        <v>8</v>
      </c>
      <c r="H4" s="73" t="s">
        <v>9</v>
      </c>
      <c r="I4" s="71" t="s">
        <v>10</v>
      </c>
      <c r="J4" s="71" t="s">
        <v>11</v>
      </c>
      <c r="K4" s="71" t="s">
        <v>12</v>
      </c>
      <c r="L4" s="71" t="s">
        <v>11</v>
      </c>
      <c r="M4" s="74" t="s">
        <v>54</v>
      </c>
      <c r="N4" s="74"/>
      <c r="O4" s="74"/>
      <c r="P4" s="74"/>
      <c r="Q4" s="71" t="s">
        <v>55</v>
      </c>
      <c r="R4" s="71" t="s">
        <v>14</v>
      </c>
      <c r="S4" s="71" t="s">
        <v>12</v>
      </c>
      <c r="T4" s="72" t="s">
        <v>13</v>
      </c>
      <c r="U4" s="71" t="s">
        <v>15</v>
      </c>
      <c r="V4" s="71" t="s">
        <v>17</v>
      </c>
      <c r="W4" s="72" t="s">
        <v>18</v>
      </c>
      <c r="X4" s="71" t="s">
        <v>10</v>
      </c>
      <c r="Y4" s="71" t="s">
        <v>11</v>
      </c>
      <c r="Z4" s="71" t="s">
        <v>12</v>
      </c>
      <c r="AA4" s="73" t="s">
        <v>19</v>
      </c>
      <c r="AB4" s="49" t="s">
        <v>20</v>
      </c>
      <c r="AC4" s="49" t="s">
        <v>21</v>
      </c>
      <c r="AD4" s="49" t="s">
        <v>3</v>
      </c>
      <c r="AE4" s="67"/>
      <c r="AF4" s="67"/>
    </row>
    <row r="5" customFormat="false" ht="11.1" hidden="false" customHeight="true" outlineLevel="0" collapsed="false">
      <c r="A5" s="75" t="s">
        <v>56</v>
      </c>
      <c r="B5" s="71" t="s">
        <v>23</v>
      </c>
      <c r="C5" s="72" t="s">
        <v>5</v>
      </c>
      <c r="D5" s="71" t="s">
        <v>24</v>
      </c>
      <c r="E5" s="72" t="s">
        <v>25</v>
      </c>
      <c r="F5" s="71" t="s">
        <v>26</v>
      </c>
      <c r="G5" s="71" t="s">
        <v>27</v>
      </c>
      <c r="H5" s="73" t="s">
        <v>28</v>
      </c>
      <c r="I5" s="71" t="s">
        <v>29</v>
      </c>
      <c r="J5" s="71" t="s">
        <v>29</v>
      </c>
      <c r="K5" s="71" t="s">
        <v>29</v>
      </c>
      <c r="L5" s="71" t="s">
        <v>30</v>
      </c>
      <c r="M5" s="74" t="s">
        <v>57</v>
      </c>
      <c r="N5" s="71" t="s">
        <v>58</v>
      </c>
      <c r="O5" s="71" t="s">
        <v>59</v>
      </c>
      <c r="P5" s="71" t="s">
        <v>60</v>
      </c>
      <c r="Q5" s="71" t="s">
        <v>61</v>
      </c>
      <c r="R5" s="71" t="s">
        <v>62</v>
      </c>
      <c r="S5" s="71" t="s">
        <v>13</v>
      </c>
      <c r="T5" s="72" t="s">
        <v>34</v>
      </c>
      <c r="U5" s="71" t="s">
        <v>35</v>
      </c>
      <c r="V5" s="71" t="s">
        <v>37</v>
      </c>
      <c r="W5" s="72" t="s">
        <v>38</v>
      </c>
      <c r="X5" s="71" t="s">
        <v>39</v>
      </c>
      <c r="Y5" s="71" t="s">
        <v>39</v>
      </c>
      <c r="Z5" s="71" t="s">
        <v>39</v>
      </c>
      <c r="AA5" s="76"/>
      <c r="AB5" s="49" t="s">
        <v>40</v>
      </c>
      <c r="AC5" s="49" t="s">
        <v>40</v>
      </c>
      <c r="AD5" s="50" t="s">
        <v>56</v>
      </c>
      <c r="AE5" s="67"/>
      <c r="AF5" s="67"/>
    </row>
    <row r="6" customFormat="false" ht="11.1" hidden="false" customHeight="true" outlineLevel="0" collapsed="false">
      <c r="A6" s="77"/>
      <c r="B6" s="77"/>
      <c r="C6" s="78"/>
      <c r="D6" s="77"/>
      <c r="E6" s="78"/>
      <c r="F6" s="77"/>
      <c r="G6" s="77"/>
      <c r="H6" s="79"/>
      <c r="I6" s="77"/>
      <c r="J6" s="77"/>
      <c r="K6" s="77"/>
      <c r="L6" s="77"/>
      <c r="M6" s="80"/>
      <c r="N6" s="77"/>
      <c r="O6" s="77"/>
      <c r="P6" s="77"/>
      <c r="Q6" s="77"/>
      <c r="R6" s="77"/>
      <c r="S6" s="77"/>
      <c r="T6" s="78"/>
      <c r="U6" s="77"/>
      <c r="V6" s="77"/>
      <c r="W6" s="78"/>
      <c r="X6" s="77"/>
      <c r="Y6" s="77"/>
      <c r="Z6" s="77"/>
      <c r="AA6" s="58"/>
      <c r="AB6" s="48"/>
      <c r="AC6" s="48"/>
      <c r="AD6" s="48"/>
      <c r="AE6" s="81"/>
      <c r="AF6" s="81"/>
      <c r="AG6" s="82"/>
    </row>
    <row r="7" customFormat="false" ht="11.1" hidden="false" customHeight="true" outlineLevel="0" collapsed="false">
      <c r="A7" s="55" t="s">
        <v>41</v>
      </c>
      <c r="B7" s="55"/>
      <c r="C7" s="57"/>
      <c r="D7" s="57"/>
      <c r="E7" s="57"/>
      <c r="F7" s="57"/>
      <c r="G7" s="57"/>
      <c r="H7" s="58"/>
      <c r="I7" s="57"/>
      <c r="J7" s="57"/>
      <c r="K7" s="57"/>
      <c r="L7" s="57"/>
      <c r="M7" s="66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  <c r="AB7" s="51"/>
      <c r="AC7" s="51"/>
      <c r="AD7" s="48"/>
      <c r="AE7" s="81"/>
      <c r="AF7" s="82"/>
      <c r="AG7" s="82"/>
    </row>
    <row r="8" s="42" customFormat="true" ht="11.1" hidden="false" customHeight="true" outlineLevel="0" collapsed="false">
      <c r="A8" s="57" t="s">
        <v>42</v>
      </c>
      <c r="B8" s="59" t="n">
        <f aca="false">DEC!B40</f>
        <v>6905.58</v>
      </c>
      <c r="C8" s="57" t="n">
        <f aca="false">DEC!C40</f>
        <v>304632</v>
      </c>
      <c r="D8" s="57" t="n">
        <f aca="false">DEC!$D$49</f>
        <v>655</v>
      </c>
      <c r="E8" s="57" t="n">
        <f aca="false">DEC!$E$40</f>
        <v>152632</v>
      </c>
      <c r="F8" s="57" t="n">
        <f aca="false">DEC!F48</f>
        <v>330.224350894883</v>
      </c>
      <c r="G8" s="57" t="n">
        <f aca="false">DEC!G48</f>
        <v>4025.4</v>
      </c>
      <c r="H8" s="58" t="n">
        <f aca="false">DEC!H48</f>
        <v>0</v>
      </c>
      <c r="I8" s="57" t="n">
        <f aca="false">DEC!I48</f>
        <v>4025.4</v>
      </c>
      <c r="J8" s="57" t="n">
        <f aca="false">DEC!J48</f>
        <v>226.542677085959</v>
      </c>
      <c r="K8" s="57" t="n">
        <f aca="false">DEC!K48</f>
        <v>4251.94267708596</v>
      </c>
      <c r="L8" s="57" t="n">
        <f aca="false">DEC!L48</f>
        <v>-673.675649105117</v>
      </c>
      <c r="M8" s="66" t="n">
        <f aca="false">DEC!M48</f>
        <v>671.7</v>
      </c>
      <c r="N8" s="57" t="n">
        <f aca="false">DEC!N48</f>
        <v>0</v>
      </c>
      <c r="O8" s="57" t="n">
        <v>0</v>
      </c>
      <c r="P8" s="57" t="n">
        <v>0</v>
      </c>
      <c r="Q8" s="57" t="n">
        <f aca="false">DEC!N48</f>
        <v>0</v>
      </c>
      <c r="R8" s="57" t="n">
        <f aca="false">DEC!O48</f>
        <v>178.7</v>
      </c>
      <c r="S8" s="57" t="n">
        <f aca="false">DEC!P48</f>
        <v>850.4</v>
      </c>
      <c r="T8" s="57" t="n">
        <v>0</v>
      </c>
      <c r="U8" s="57" t="n">
        <v>0</v>
      </c>
      <c r="V8" s="57" t="n">
        <f aca="false">DEC!T48</f>
        <v>2171.1</v>
      </c>
      <c r="W8" s="57" t="n">
        <f aca="false">DEC!U48</f>
        <v>13125.9</v>
      </c>
      <c r="X8" s="57" t="n">
        <f aca="false">DEC!V48</f>
        <v>3021.5</v>
      </c>
      <c r="Y8" s="57" t="n">
        <f aca="false">DEC!W48</f>
        <v>900.218326191076</v>
      </c>
      <c r="Z8" s="57" t="n">
        <f aca="false">DEC!X48</f>
        <v>3921.71832619108</v>
      </c>
      <c r="AA8" s="58" t="n">
        <f aca="false">DEC!Y48</f>
        <v>2.55</v>
      </c>
      <c r="AB8" s="51"/>
      <c r="AC8" s="51"/>
      <c r="AD8" s="48"/>
      <c r="AE8" s="83"/>
      <c r="AF8" s="81"/>
      <c r="AG8" s="83"/>
    </row>
    <row r="9" customFormat="false" ht="3" hidden="false" customHeight="true" outlineLevel="0" collapsed="false">
      <c r="A9" s="84"/>
      <c r="B9" s="85"/>
      <c r="C9" s="86"/>
      <c r="D9" s="84"/>
      <c r="E9" s="86"/>
      <c r="F9" s="84"/>
      <c r="G9" s="84" t="n">
        <v>54.6</v>
      </c>
      <c r="H9" s="87"/>
      <c r="I9" s="84"/>
      <c r="J9" s="84"/>
      <c r="K9" s="84"/>
      <c r="L9" s="84"/>
      <c r="M9" s="88"/>
      <c r="N9" s="84"/>
      <c r="O9" s="84"/>
      <c r="P9" s="84"/>
      <c r="Q9" s="84"/>
      <c r="R9" s="84"/>
      <c r="S9" s="84"/>
      <c r="T9" s="86"/>
      <c r="U9" s="84"/>
      <c r="V9" s="84"/>
      <c r="W9" s="86"/>
      <c r="X9" s="84"/>
      <c r="Y9" s="84"/>
      <c r="Z9" s="84"/>
      <c r="AA9" s="87"/>
      <c r="AB9" s="52"/>
      <c r="AC9" s="52"/>
      <c r="AD9" s="53"/>
      <c r="AE9" s="81"/>
      <c r="AF9" s="81"/>
      <c r="AG9" s="82"/>
    </row>
    <row r="10" customFormat="false" ht="11.1" hidden="false" customHeight="true" outlineLevel="0" collapsed="false">
      <c r="A10" s="48" t="n">
        <v>1</v>
      </c>
      <c r="B10" s="59" t="n">
        <v>6925.59</v>
      </c>
      <c r="C10" s="57" t="n">
        <v>304670</v>
      </c>
      <c r="D10" s="51" t="n">
        <f aca="false">C10-C8</f>
        <v>38</v>
      </c>
      <c r="E10" s="57" t="n">
        <f aca="false">C10-152000</f>
        <v>152670</v>
      </c>
      <c r="F10" s="55" t="n">
        <f aca="false">D10/$D$2</f>
        <v>19.1580539450466</v>
      </c>
      <c r="G10" s="55" t="n">
        <v>54.1</v>
      </c>
      <c r="H10" s="58" t="n">
        <v>0</v>
      </c>
      <c r="I10" s="55" t="n">
        <f aca="false">G10+H10</f>
        <v>54.1</v>
      </c>
      <c r="J10" s="61" t="n">
        <f aca="false">IF(L10&gt;0,L10,0)</f>
        <v>0</v>
      </c>
      <c r="K10" s="55" t="n">
        <f aca="false">I10+J10</f>
        <v>54.1</v>
      </c>
      <c r="L10" s="55" t="n">
        <f aca="false">F10-(I10-X10)</f>
        <v>-0.0419460549533675</v>
      </c>
      <c r="M10" s="66" t="n">
        <v>4.4</v>
      </c>
      <c r="N10" s="55" t="n">
        <v>0</v>
      </c>
      <c r="O10" s="55" t="n">
        <v>0</v>
      </c>
      <c r="P10" s="5" t="n">
        <f aca="false">M10-(N10+O10)</f>
        <v>4.4</v>
      </c>
      <c r="Q10" s="55" t="n">
        <v>0</v>
      </c>
      <c r="R10" s="55" t="n">
        <v>0</v>
      </c>
      <c r="S10" s="55" t="n">
        <f aca="false">SUM(P10:R10)</f>
        <v>4.4</v>
      </c>
      <c r="T10" s="57"/>
      <c r="U10" s="55" t="n">
        <v>0</v>
      </c>
      <c r="V10" s="55" t="n">
        <v>30.5</v>
      </c>
      <c r="W10" s="57" t="n">
        <f aca="false">W8-V10</f>
        <v>13095.4</v>
      </c>
      <c r="X10" s="5" t="n">
        <f aca="false">N10+O10+S10+U10+V10</f>
        <v>34.9</v>
      </c>
      <c r="Y10" s="55" t="n">
        <f aca="false">IF(L10&lt;0,L10*-1,0)</f>
        <v>0.0419460549533675</v>
      </c>
      <c r="Z10" s="55" t="n">
        <f aca="false">X10+Y10</f>
        <v>34.9419460549534</v>
      </c>
      <c r="AA10" s="58" t="n">
        <v>0</v>
      </c>
      <c r="AB10" s="51" t="n">
        <v>43</v>
      </c>
      <c r="AC10" s="51" t="n">
        <v>20</v>
      </c>
      <c r="AD10" s="48" t="n">
        <v>1</v>
      </c>
      <c r="AE10" s="82"/>
      <c r="AF10" s="83"/>
      <c r="AG10" s="82"/>
    </row>
    <row r="11" customFormat="false" ht="11.1" hidden="false" customHeight="true" outlineLevel="0" collapsed="false">
      <c r="A11" s="48" t="n">
        <f aca="false">A10+1</f>
        <v>2</v>
      </c>
      <c r="B11" s="59" t="n">
        <v>6905.6</v>
      </c>
      <c r="C11" s="57" t="n">
        <v>304709</v>
      </c>
      <c r="D11" s="51" t="n">
        <f aca="false">C11-C10</f>
        <v>39</v>
      </c>
      <c r="E11" s="57" t="n">
        <f aca="false">C11-152000</f>
        <v>152709</v>
      </c>
      <c r="F11" s="55" t="n">
        <f aca="false">D11/$D$2</f>
        <v>19.66221325939</v>
      </c>
      <c r="G11" s="55" t="n">
        <v>54.6</v>
      </c>
      <c r="H11" s="58" t="n">
        <v>0</v>
      </c>
      <c r="I11" s="55" t="n">
        <f aca="false">G11+H11</f>
        <v>54.6</v>
      </c>
      <c r="J11" s="61" t="n">
        <f aca="false">IF(L11&gt;0,L11,0)</f>
        <v>0.0622132593899671</v>
      </c>
      <c r="K11" s="55" t="n">
        <f aca="false">I11+J11</f>
        <v>54.66221325939</v>
      </c>
      <c r="L11" s="55" t="n">
        <f aca="false">F11-(I11-X11)</f>
        <v>0.0622132593899671</v>
      </c>
      <c r="M11" s="66" t="n">
        <v>4.5</v>
      </c>
      <c r="N11" s="55" t="n">
        <v>0</v>
      </c>
      <c r="O11" s="55" t="n">
        <v>0</v>
      </c>
      <c r="P11" s="5" t="n">
        <f aca="false">M11-(N11+O11)</f>
        <v>4.5</v>
      </c>
      <c r="Q11" s="55" t="n">
        <v>0</v>
      </c>
      <c r="R11" s="55" t="n">
        <v>0</v>
      </c>
      <c r="S11" s="55" t="n">
        <f aca="false">SUM(P11:R11)</f>
        <v>4.5</v>
      </c>
      <c r="T11" s="57"/>
      <c r="U11" s="55" t="n">
        <v>0</v>
      </c>
      <c r="V11" s="55" t="n">
        <v>30.5</v>
      </c>
      <c r="W11" s="57" t="n">
        <f aca="false">W10-V11</f>
        <v>13064.9</v>
      </c>
      <c r="X11" s="5" t="n">
        <f aca="false">N11+O11+S11+U11+V11</f>
        <v>35</v>
      </c>
      <c r="Y11" s="55" t="n">
        <f aca="false">IF(L11&lt;0,L11*-1,0)</f>
        <v>0</v>
      </c>
      <c r="Z11" s="55" t="n">
        <f aca="false">X11+Y11</f>
        <v>35</v>
      </c>
      <c r="AA11" s="58" t="n">
        <v>0</v>
      </c>
      <c r="AB11" s="51" t="n">
        <v>42</v>
      </c>
      <c r="AC11" s="51" t="n">
        <v>22</v>
      </c>
      <c r="AD11" s="48" t="n">
        <f aca="false">AD10+1</f>
        <v>2</v>
      </c>
      <c r="AE11" s="82"/>
      <c r="AF11" s="83"/>
      <c r="AG11" s="82"/>
    </row>
    <row r="12" customFormat="false" ht="11.1" hidden="false" customHeight="true" outlineLevel="0" collapsed="false">
      <c r="A12" s="48" t="n">
        <f aca="false">A11+1</f>
        <v>3</v>
      </c>
      <c r="B12" s="59" t="n">
        <v>6905.61</v>
      </c>
      <c r="C12" s="57" t="n">
        <v>304747</v>
      </c>
      <c r="D12" s="51" t="n">
        <f aca="false">C12-C11</f>
        <v>38</v>
      </c>
      <c r="E12" s="57" t="n">
        <f aca="false">C12-152000</f>
        <v>152747</v>
      </c>
      <c r="F12" s="55" t="n">
        <f aca="false">D12/$D$2</f>
        <v>19.1580539450466</v>
      </c>
      <c r="G12" s="55" t="n">
        <v>54.1</v>
      </c>
      <c r="H12" s="58" t="n">
        <v>0</v>
      </c>
      <c r="I12" s="55" t="n">
        <f aca="false">G12+H12</f>
        <v>54.1</v>
      </c>
      <c r="J12" s="61" t="n">
        <f aca="false">IF(L12&gt;0,L12,0)</f>
        <v>0</v>
      </c>
      <c r="K12" s="55" t="n">
        <f aca="false">I12+J12</f>
        <v>54.1</v>
      </c>
      <c r="L12" s="55" t="n">
        <f aca="false">F12-(I12-X12)</f>
        <v>-0.0419460549533675</v>
      </c>
      <c r="M12" s="66" t="n">
        <v>4.4</v>
      </c>
      <c r="N12" s="55" t="n">
        <v>0</v>
      </c>
      <c r="O12" s="55" t="n">
        <v>0</v>
      </c>
      <c r="P12" s="5" t="n">
        <f aca="false">M12-(N12+O12)</f>
        <v>4.4</v>
      </c>
      <c r="Q12" s="55" t="n">
        <v>0</v>
      </c>
      <c r="R12" s="55" t="n">
        <v>0</v>
      </c>
      <c r="S12" s="55" t="n">
        <f aca="false">SUM(P12:R12)</f>
        <v>4.4</v>
      </c>
      <c r="T12" s="57"/>
      <c r="U12" s="55" t="n">
        <v>0</v>
      </c>
      <c r="V12" s="55" t="n">
        <v>30.5</v>
      </c>
      <c r="W12" s="57" t="n">
        <f aca="false">W11-V12</f>
        <v>13034.4</v>
      </c>
      <c r="X12" s="5" t="n">
        <f aca="false">N12+O12+S12+U12+V12</f>
        <v>34.9</v>
      </c>
      <c r="Y12" s="55" t="n">
        <f aca="false">IF(L12&lt;0,L12*-1,0)</f>
        <v>0.0419460549533675</v>
      </c>
      <c r="Z12" s="55" t="n">
        <f aca="false">X12+Y12</f>
        <v>34.9419460549534</v>
      </c>
      <c r="AA12" s="58" t="n">
        <v>0</v>
      </c>
      <c r="AB12" s="51" t="n">
        <v>34</v>
      </c>
      <c r="AC12" s="51" t="n">
        <v>32</v>
      </c>
      <c r="AD12" s="48" t="n">
        <f aca="false">AD11+1</f>
        <v>3</v>
      </c>
      <c r="AE12" s="82"/>
      <c r="AF12" s="83"/>
      <c r="AG12" s="82"/>
    </row>
    <row r="13" customFormat="false" ht="11.1" hidden="false" customHeight="true" outlineLevel="0" collapsed="false">
      <c r="A13" s="48" t="n">
        <f aca="false">A12+1</f>
        <v>4</v>
      </c>
      <c r="B13" s="59" t="n">
        <v>6905.62</v>
      </c>
      <c r="C13" s="57" t="n">
        <v>304787</v>
      </c>
      <c r="D13" s="51" t="n">
        <f aca="false">C13-C12</f>
        <v>40</v>
      </c>
      <c r="E13" s="57" t="n">
        <f aca="false">C13-152000</f>
        <v>152787</v>
      </c>
      <c r="F13" s="55" t="n">
        <f aca="false">D13/$D$2</f>
        <v>20.1663725737333</v>
      </c>
      <c r="G13" s="55" t="n">
        <v>56</v>
      </c>
      <c r="H13" s="58" t="n">
        <v>0</v>
      </c>
      <c r="I13" s="55" t="n">
        <f aca="false">G13+H13</f>
        <v>56</v>
      </c>
      <c r="J13" s="61" t="n">
        <f aca="false">IF(L13&gt;0,L13,0)</f>
        <v>0</v>
      </c>
      <c r="K13" s="55" t="n">
        <f aca="false">I13+J13</f>
        <v>56</v>
      </c>
      <c r="L13" s="55" t="n">
        <f aca="false">F13-(I13-X13)</f>
        <v>-0.0336274262667047</v>
      </c>
      <c r="M13" s="66" t="n">
        <v>4.4</v>
      </c>
      <c r="N13" s="55" t="n">
        <v>0</v>
      </c>
      <c r="O13" s="55" t="n">
        <v>0</v>
      </c>
      <c r="P13" s="5" t="n">
        <f aca="false">M13-(N13+O13)</f>
        <v>4.4</v>
      </c>
      <c r="Q13" s="55" t="n">
        <v>0</v>
      </c>
      <c r="R13" s="55" t="n">
        <v>0</v>
      </c>
      <c r="S13" s="55" t="n">
        <f aca="false">SUM(P13:R13)</f>
        <v>4.4</v>
      </c>
      <c r="T13" s="57"/>
      <c r="U13" s="55" t="n">
        <v>0</v>
      </c>
      <c r="V13" s="55" t="n">
        <v>31.4</v>
      </c>
      <c r="W13" s="57" t="n">
        <f aca="false">W12-V13</f>
        <v>13003</v>
      </c>
      <c r="X13" s="5" t="n">
        <f aca="false">N13+O13+S13+U13+V13</f>
        <v>35.8</v>
      </c>
      <c r="Y13" s="55" t="n">
        <f aca="false">IF(L13&lt;0,L13*-1,0)</f>
        <v>0.0336274262667047</v>
      </c>
      <c r="Z13" s="55" t="n">
        <f aca="false">X13+Y13</f>
        <v>35.8336274262667</v>
      </c>
      <c r="AA13" s="58" t="n">
        <v>0</v>
      </c>
      <c r="AB13" s="51" t="n">
        <v>33</v>
      </c>
      <c r="AC13" s="51" t="n">
        <v>15</v>
      </c>
      <c r="AD13" s="48" t="n">
        <f aca="false">AD12+1</f>
        <v>4</v>
      </c>
      <c r="AE13" s="82"/>
      <c r="AF13" s="83"/>
      <c r="AG13" s="82"/>
    </row>
    <row r="14" customFormat="false" ht="11.1" hidden="false" customHeight="true" outlineLevel="0" collapsed="false">
      <c r="A14" s="48" t="n">
        <f aca="false">A13+1</f>
        <v>5</v>
      </c>
      <c r="B14" s="59" t="n">
        <v>6905.64</v>
      </c>
      <c r="C14" s="57" t="n">
        <v>304864</v>
      </c>
      <c r="D14" s="51" t="n">
        <f aca="false">C14-C13</f>
        <v>77</v>
      </c>
      <c r="E14" s="57" t="n">
        <f aca="false">C14-152000</f>
        <v>152864</v>
      </c>
      <c r="F14" s="55" t="n">
        <f aca="false">D14/$D$2</f>
        <v>38.8202672044366</v>
      </c>
      <c r="G14" s="55" t="n">
        <v>73.9</v>
      </c>
      <c r="H14" s="58" t="n">
        <v>0</v>
      </c>
      <c r="I14" s="55" t="n">
        <f aca="false">G14+H14</f>
        <v>73.9</v>
      </c>
      <c r="J14" s="61" t="n">
        <f aca="false">IF(L14&gt;0,L14,0)</f>
        <v>0.0202672044365997</v>
      </c>
      <c r="K14" s="55" t="n">
        <f aca="false">I14+J14</f>
        <v>73.9202672044366</v>
      </c>
      <c r="L14" s="55" t="n">
        <f aca="false">F14-(I14-X14)</f>
        <v>0.0202672044365997</v>
      </c>
      <c r="M14" s="66" t="n">
        <v>4.4</v>
      </c>
      <c r="N14" s="55" t="n">
        <v>0</v>
      </c>
      <c r="O14" s="55" t="n">
        <v>0</v>
      </c>
      <c r="P14" s="5" t="n">
        <f aca="false">M14-(N14+O14)</f>
        <v>4.4</v>
      </c>
      <c r="Q14" s="55" t="n">
        <v>0</v>
      </c>
      <c r="R14" s="55" t="n">
        <v>0</v>
      </c>
      <c r="S14" s="55" t="n">
        <f aca="false">SUM(P14:R14)</f>
        <v>4.4</v>
      </c>
      <c r="T14" s="57"/>
      <c r="U14" s="55" t="n">
        <v>0</v>
      </c>
      <c r="V14" s="55" t="n">
        <v>30.7</v>
      </c>
      <c r="W14" s="57" t="n">
        <f aca="false">W13-V14</f>
        <v>12972.3</v>
      </c>
      <c r="X14" s="5" t="n">
        <f aca="false">N14+O14+S14+U14+V14</f>
        <v>35.1</v>
      </c>
      <c r="Y14" s="55" t="n">
        <f aca="false">IF(L14&lt;0,L14*-1,0)</f>
        <v>0</v>
      </c>
      <c r="Z14" s="55" t="n">
        <f aca="false">X14+Y14</f>
        <v>35.1</v>
      </c>
      <c r="AA14" s="58" t="n">
        <v>0.07</v>
      </c>
      <c r="AB14" s="51" t="n">
        <v>31</v>
      </c>
      <c r="AC14" s="51" t="n">
        <v>5</v>
      </c>
      <c r="AD14" s="48" t="n">
        <f aca="false">AD13+1</f>
        <v>5</v>
      </c>
      <c r="AE14" s="82"/>
      <c r="AF14" s="83"/>
      <c r="AG14" s="82"/>
    </row>
    <row r="15" customFormat="false" ht="11.1" hidden="false" customHeight="true" outlineLevel="0" collapsed="false">
      <c r="A15" s="48" t="n">
        <f aca="false">A14+1</f>
        <v>6</v>
      </c>
      <c r="B15" s="59" t="n">
        <v>6905.66</v>
      </c>
      <c r="C15" s="57" t="n">
        <v>304941</v>
      </c>
      <c r="D15" s="51" t="n">
        <f aca="false">C15-C14</f>
        <v>77</v>
      </c>
      <c r="E15" s="57" t="n">
        <f aca="false">C15-152000</f>
        <v>152941</v>
      </c>
      <c r="F15" s="55" t="n">
        <f aca="false">D15/$D$2</f>
        <v>38.8202672044366</v>
      </c>
      <c r="G15" s="55" t="n">
        <v>73.8</v>
      </c>
      <c r="H15" s="58" t="n">
        <v>0</v>
      </c>
      <c r="I15" s="55" t="n">
        <f aca="false">G15+H15</f>
        <v>73.8</v>
      </c>
      <c r="J15" s="61" t="n">
        <f aca="false">IF(L15&gt;0,L15,0)</f>
        <v>0.0202672044366068</v>
      </c>
      <c r="K15" s="55" t="n">
        <f aca="false">I15+J15</f>
        <v>73.8202672044366</v>
      </c>
      <c r="L15" s="55" t="n">
        <f aca="false">F15-(I15-X15)</f>
        <v>0.0202672044366068</v>
      </c>
      <c r="M15" s="66" t="n">
        <v>4.4</v>
      </c>
      <c r="N15" s="55" t="n">
        <v>0</v>
      </c>
      <c r="O15" s="55" t="n">
        <v>0</v>
      </c>
      <c r="P15" s="5" t="n">
        <f aca="false">M15-(N15+O15)</f>
        <v>4.4</v>
      </c>
      <c r="Q15" s="55" t="n">
        <v>0</v>
      </c>
      <c r="R15" s="55" t="n">
        <v>0</v>
      </c>
      <c r="S15" s="55" t="n">
        <f aca="false">SUM(P15:R15)</f>
        <v>4.4</v>
      </c>
      <c r="T15" s="57"/>
      <c r="U15" s="55" t="n">
        <v>0</v>
      </c>
      <c r="V15" s="55" t="n">
        <v>30.6</v>
      </c>
      <c r="W15" s="57" t="n">
        <f aca="false">W14-V15</f>
        <v>12941.7</v>
      </c>
      <c r="X15" s="5" t="n">
        <f aca="false">N15+O15+S15+U15+V15</f>
        <v>35</v>
      </c>
      <c r="Y15" s="55" t="n">
        <f aca="false">IF(L15&lt;0,L15*-1,0)</f>
        <v>0</v>
      </c>
      <c r="Z15" s="55" t="n">
        <f aca="false">X15+Y15</f>
        <v>35</v>
      </c>
      <c r="AA15" s="58" t="n">
        <v>0.35</v>
      </c>
      <c r="AB15" s="51" t="n">
        <v>34</v>
      </c>
      <c r="AC15" s="51" t="n">
        <v>16</v>
      </c>
      <c r="AD15" s="48" t="n">
        <f aca="false">AD14+1</f>
        <v>6</v>
      </c>
      <c r="AE15" s="81"/>
      <c r="AF15" s="83"/>
      <c r="AG15" s="82"/>
    </row>
    <row r="16" customFormat="false" ht="11.1" hidden="false" customHeight="true" outlineLevel="0" collapsed="false">
      <c r="A16" s="48" t="n">
        <f aca="false">A15+1</f>
        <v>7</v>
      </c>
      <c r="B16" s="59" t="n">
        <v>6905.72</v>
      </c>
      <c r="C16" s="57" t="n">
        <v>305172</v>
      </c>
      <c r="D16" s="51" t="n">
        <f aca="false">C16-C15</f>
        <v>231</v>
      </c>
      <c r="E16" s="57" t="n">
        <f aca="false">C16-152000</f>
        <v>153172</v>
      </c>
      <c r="F16" s="55" t="n">
        <f aca="false">D16/$D$2</f>
        <v>116.46080161331</v>
      </c>
      <c r="G16" s="55" t="n">
        <v>151.6</v>
      </c>
      <c r="H16" s="58" t="n">
        <v>0</v>
      </c>
      <c r="I16" s="55" t="n">
        <f aca="false">G16+H16</f>
        <v>151.6</v>
      </c>
      <c r="J16" s="61" t="n">
        <f aca="false">IF(L16&gt;0,L16,0)</f>
        <v>0</v>
      </c>
      <c r="K16" s="55" t="n">
        <f aca="false">I16+J16</f>
        <v>151.6</v>
      </c>
      <c r="L16" s="55" t="n">
        <f aca="false">F16-(I16-X16)</f>
        <v>-0.0391983866902024</v>
      </c>
      <c r="M16" s="66" t="n">
        <v>4.4</v>
      </c>
      <c r="N16" s="55" t="n">
        <v>0</v>
      </c>
      <c r="O16" s="55" t="n">
        <v>0</v>
      </c>
      <c r="P16" s="5" t="n">
        <f aca="false">M16-(N16+O16)</f>
        <v>4.4</v>
      </c>
      <c r="Q16" s="55" t="n">
        <v>0</v>
      </c>
      <c r="R16" s="55" t="n">
        <v>0</v>
      </c>
      <c r="S16" s="55" t="n">
        <f aca="false">SUM(P16:R16)</f>
        <v>4.4</v>
      </c>
      <c r="T16" s="57"/>
      <c r="U16" s="55" t="n">
        <v>0</v>
      </c>
      <c r="V16" s="55" t="n">
        <v>30.7</v>
      </c>
      <c r="W16" s="57" t="n">
        <f aca="false">W15-V16</f>
        <v>12911</v>
      </c>
      <c r="X16" s="5" t="n">
        <f aca="false">N16+O16+S16+U16+V16</f>
        <v>35.1</v>
      </c>
      <c r="Y16" s="55" t="n">
        <f aca="false">IF(L16&lt;0,L16*-1,0)</f>
        <v>0.0391983866902024</v>
      </c>
      <c r="Z16" s="55" t="n">
        <f aca="false">X16+Y16</f>
        <v>35.1391983866902</v>
      </c>
      <c r="AA16" s="58" t="n">
        <v>0.4</v>
      </c>
      <c r="AB16" s="51" t="n">
        <v>35</v>
      </c>
      <c r="AC16" s="51" t="n">
        <v>25</v>
      </c>
      <c r="AD16" s="48" t="n">
        <f aca="false">AD15+1</f>
        <v>7</v>
      </c>
      <c r="AE16" s="81"/>
      <c r="AF16" s="83"/>
      <c r="AG16" s="82"/>
    </row>
    <row r="17" customFormat="false" ht="11.1" hidden="false" customHeight="true" outlineLevel="0" collapsed="false">
      <c r="A17" s="48" t="n">
        <f aca="false">A16+1</f>
        <v>8</v>
      </c>
      <c r="B17" s="59" t="n">
        <v>6905.78</v>
      </c>
      <c r="C17" s="57" t="n">
        <v>305402</v>
      </c>
      <c r="D17" s="51" t="n">
        <f aca="false">C17-C16</f>
        <v>230</v>
      </c>
      <c r="E17" s="57" t="n">
        <f aca="false">C17-152000</f>
        <v>153402</v>
      </c>
      <c r="F17" s="55" t="n">
        <f aca="false">D17/$D$2</f>
        <v>115.956642298966</v>
      </c>
      <c r="G17" s="55" t="n">
        <v>151.2</v>
      </c>
      <c r="H17" s="58" t="n">
        <v>0</v>
      </c>
      <c r="I17" s="55" t="n">
        <f aca="false">G17+H17</f>
        <v>151.2</v>
      </c>
      <c r="J17" s="61" t="n">
        <f aca="false">IF(L17&gt;0,L17,0)</f>
        <v>0</v>
      </c>
      <c r="K17" s="55" t="n">
        <f aca="false">I17+J17</f>
        <v>151.2</v>
      </c>
      <c r="L17" s="55" t="n">
        <f aca="false">F17-(I17-X17)</f>
        <v>-0.0433577010335142</v>
      </c>
      <c r="M17" s="66" t="n">
        <v>4.4</v>
      </c>
      <c r="N17" s="55" t="n">
        <v>0</v>
      </c>
      <c r="O17" s="55" t="n">
        <v>0</v>
      </c>
      <c r="P17" s="5" t="n">
        <f aca="false">M17-(N17+O17)</f>
        <v>4.4</v>
      </c>
      <c r="Q17" s="55" t="n">
        <v>0</v>
      </c>
      <c r="R17" s="55" t="n">
        <v>0</v>
      </c>
      <c r="S17" s="55" t="n">
        <f aca="false">SUM(P17:R17)</f>
        <v>4.4</v>
      </c>
      <c r="T17" s="57"/>
      <c r="U17" s="55" t="n">
        <v>0</v>
      </c>
      <c r="V17" s="55" t="n">
        <v>30.8</v>
      </c>
      <c r="W17" s="57" t="n">
        <f aca="false">W16-V17</f>
        <v>12880.2</v>
      </c>
      <c r="X17" s="5" t="n">
        <f aca="false">N17+O17+S17+U17+V17</f>
        <v>35.2</v>
      </c>
      <c r="Y17" s="55" t="n">
        <f aca="false">IF(L17&lt;0,L17*-1,0)</f>
        <v>0.0433577010335142</v>
      </c>
      <c r="Z17" s="55" t="n">
        <f aca="false">X17+Y17</f>
        <v>35.2433577010335</v>
      </c>
      <c r="AA17" s="58" t="n">
        <v>0.45</v>
      </c>
      <c r="AB17" s="51" t="n">
        <v>36</v>
      </c>
      <c r="AC17" s="51" t="n">
        <v>28</v>
      </c>
      <c r="AD17" s="48" t="n">
        <f aca="false">AD16+1</f>
        <v>8</v>
      </c>
      <c r="AE17" s="81"/>
      <c r="AF17" s="83"/>
      <c r="AG17" s="82"/>
    </row>
    <row r="18" customFormat="false" ht="11.1" hidden="false" customHeight="true" outlineLevel="0" collapsed="false">
      <c r="A18" s="48" t="n">
        <f aca="false">A17+1</f>
        <v>9</v>
      </c>
      <c r="B18" s="59" t="n">
        <v>6905.84</v>
      </c>
      <c r="C18" s="57" t="n">
        <v>305634</v>
      </c>
      <c r="D18" s="51" t="n">
        <f aca="false">C18-C17</f>
        <v>232</v>
      </c>
      <c r="E18" s="57" t="n">
        <f aca="false">C18-152000</f>
        <v>153634</v>
      </c>
      <c r="F18" s="55" t="n">
        <f aca="false">D18/$D$2</f>
        <v>116.964960927653</v>
      </c>
      <c r="G18" s="55" t="n">
        <v>151.9</v>
      </c>
      <c r="H18" s="58" t="n">
        <v>0</v>
      </c>
      <c r="I18" s="55" t="n">
        <f aca="false">G18+H18</f>
        <v>151.9</v>
      </c>
      <c r="J18" s="61" t="n">
        <f aca="false">IF(L18&gt;0,L18,0)</f>
        <v>0</v>
      </c>
      <c r="K18" s="55" t="n">
        <f aca="false">I18+J18</f>
        <v>151.9</v>
      </c>
      <c r="L18" s="55" t="n">
        <f aca="false">F18-(I18-X18)</f>
        <v>-0.0350390723468621</v>
      </c>
      <c r="M18" s="66" t="n">
        <v>4.4</v>
      </c>
      <c r="N18" s="55" t="n">
        <v>0</v>
      </c>
      <c r="O18" s="55" t="n">
        <v>0</v>
      </c>
      <c r="P18" s="5" t="n">
        <f aca="false">M18-(N18+O18)</f>
        <v>4.4</v>
      </c>
      <c r="Q18" s="55" t="n">
        <v>0</v>
      </c>
      <c r="R18" s="55" t="n">
        <v>0</v>
      </c>
      <c r="S18" s="55" t="n">
        <f aca="false">SUM(P18:R18)</f>
        <v>4.4</v>
      </c>
      <c r="T18" s="57"/>
      <c r="U18" s="55" t="n">
        <v>0</v>
      </c>
      <c r="V18" s="55" t="n">
        <v>30.5</v>
      </c>
      <c r="W18" s="57" t="n">
        <f aca="false">W17-V18</f>
        <v>12849.7</v>
      </c>
      <c r="X18" s="5" t="n">
        <f aca="false">N18+O18+S18+U18+V18</f>
        <v>34.9</v>
      </c>
      <c r="Y18" s="55" t="n">
        <f aca="false">IF(L18&lt;0,L18*-1,0)</f>
        <v>0.0350390723468621</v>
      </c>
      <c r="Z18" s="55" t="n">
        <f aca="false">X18+Y18</f>
        <v>34.9350390723469</v>
      </c>
      <c r="AA18" s="58" t="n">
        <v>0.45</v>
      </c>
      <c r="AB18" s="54" t="n">
        <v>38</v>
      </c>
      <c r="AC18" s="51" t="n">
        <v>30</v>
      </c>
      <c r="AD18" s="48" t="n">
        <f aca="false">AD17+1</f>
        <v>9</v>
      </c>
      <c r="AE18" s="81"/>
      <c r="AF18" s="83"/>
      <c r="AG18" s="82"/>
    </row>
    <row r="19" customFormat="false" ht="11.1" hidden="false" customHeight="true" outlineLevel="0" collapsed="false">
      <c r="A19" s="48" t="n">
        <f aca="false">A18+1</f>
        <v>10</v>
      </c>
      <c r="B19" s="59" t="n">
        <v>6905.86</v>
      </c>
      <c r="C19" s="57" t="n">
        <v>305711</v>
      </c>
      <c r="D19" s="51" t="n">
        <f aca="false">C19-C18</f>
        <v>77</v>
      </c>
      <c r="E19" s="57" t="n">
        <f aca="false">C19-152000</f>
        <v>153711</v>
      </c>
      <c r="F19" s="55" t="n">
        <f aca="false">D19/$D$2</f>
        <v>38.8202672044366</v>
      </c>
      <c r="G19" s="55" t="n">
        <v>73.8</v>
      </c>
      <c r="H19" s="58" t="n">
        <v>0</v>
      </c>
      <c r="I19" s="55" t="n">
        <f aca="false">G19+H19</f>
        <v>73.8</v>
      </c>
      <c r="J19" s="61" t="n">
        <f aca="false">IF(L19&gt;0,L19,0)</f>
        <v>0.0202672044366068</v>
      </c>
      <c r="K19" s="55" t="n">
        <f aca="false">I19+J19</f>
        <v>73.8202672044366</v>
      </c>
      <c r="L19" s="55" t="n">
        <f aca="false">F19-(I19-X19)</f>
        <v>0.0202672044366068</v>
      </c>
      <c r="M19" s="66" t="n">
        <v>4.5</v>
      </c>
      <c r="N19" s="55" t="n">
        <v>0</v>
      </c>
      <c r="O19" s="55" t="n">
        <v>0</v>
      </c>
      <c r="P19" s="5" t="n">
        <f aca="false">M19-(N19+O19)</f>
        <v>4.5</v>
      </c>
      <c r="Q19" s="55" t="n">
        <v>0</v>
      </c>
      <c r="R19" s="55" t="n">
        <v>0</v>
      </c>
      <c r="S19" s="55" t="n">
        <f aca="false">SUM(P19:R19)</f>
        <v>4.5</v>
      </c>
      <c r="T19" s="57"/>
      <c r="U19" s="55" t="n">
        <v>0</v>
      </c>
      <c r="V19" s="55" t="n">
        <v>30.5</v>
      </c>
      <c r="W19" s="57" t="n">
        <f aca="false">W18-V19</f>
        <v>12819.2</v>
      </c>
      <c r="X19" s="5" t="n">
        <f aca="false">N19+O19+S19+U19+V19</f>
        <v>35</v>
      </c>
      <c r="Y19" s="55" t="n">
        <f aca="false">IF(L19&lt;0,L19*-1,0)</f>
        <v>0</v>
      </c>
      <c r="Z19" s="55" t="n">
        <f aca="false">X19+Y19</f>
        <v>35</v>
      </c>
      <c r="AA19" s="58" t="n">
        <v>0.25</v>
      </c>
      <c r="AB19" s="51" t="n">
        <v>40</v>
      </c>
      <c r="AC19" s="51" t="n">
        <v>33</v>
      </c>
      <c r="AD19" s="48" t="n">
        <f aca="false">AD18+1</f>
        <v>10</v>
      </c>
      <c r="AE19" s="81"/>
      <c r="AF19" s="83"/>
      <c r="AG19" s="82"/>
    </row>
    <row r="20" customFormat="false" ht="11.1" hidden="false" customHeight="true" outlineLevel="0" collapsed="false">
      <c r="A20" s="48" t="n">
        <f aca="false">A19+1</f>
        <v>11</v>
      </c>
      <c r="B20" s="59" t="n">
        <v>6905.87</v>
      </c>
      <c r="C20" s="57" t="n">
        <v>305750</v>
      </c>
      <c r="D20" s="51" t="n">
        <f aca="false">C20-C19</f>
        <v>39</v>
      </c>
      <c r="E20" s="57" t="n">
        <f aca="false">C20-152000</f>
        <v>153750</v>
      </c>
      <c r="F20" s="55" t="n">
        <f aca="false">D20/$D$2</f>
        <v>19.66221325939</v>
      </c>
      <c r="G20" s="55" t="n">
        <v>54.7</v>
      </c>
      <c r="H20" s="58" t="n">
        <v>0</v>
      </c>
      <c r="I20" s="55" t="n">
        <f aca="false">G20+H20</f>
        <v>54.7</v>
      </c>
      <c r="J20" s="61" t="n">
        <f aca="false">IF(L20&gt;0,L20,0)</f>
        <v>0.0622132593899671</v>
      </c>
      <c r="K20" s="55" t="n">
        <f aca="false">I20+J20</f>
        <v>54.76221325939</v>
      </c>
      <c r="L20" s="55" t="n">
        <f aca="false">F20-(I20-X20)</f>
        <v>0.0622132593899671</v>
      </c>
      <c r="M20" s="66" t="n">
        <v>4.4</v>
      </c>
      <c r="N20" s="55" t="n">
        <v>0</v>
      </c>
      <c r="O20" s="55" t="n">
        <v>0</v>
      </c>
      <c r="P20" s="5" t="n">
        <f aca="false">M20-(N20+O20)</f>
        <v>4.4</v>
      </c>
      <c r="Q20" s="55" t="n">
        <v>0</v>
      </c>
      <c r="R20" s="55" t="n">
        <v>0</v>
      </c>
      <c r="S20" s="55" t="n">
        <f aca="false">SUM(P20:R20)</f>
        <v>4.4</v>
      </c>
      <c r="T20" s="57"/>
      <c r="U20" s="55" t="n">
        <v>0</v>
      </c>
      <c r="V20" s="55" t="n">
        <v>30.7</v>
      </c>
      <c r="W20" s="57" t="n">
        <f aca="false">W19-V20</f>
        <v>12788.5</v>
      </c>
      <c r="X20" s="5" t="n">
        <f aca="false">N20+O20+S20+U20+V20</f>
        <v>35.1</v>
      </c>
      <c r="Y20" s="55" t="n">
        <f aca="false">IF(L20&lt;0,L20*-1,0)</f>
        <v>0</v>
      </c>
      <c r="Z20" s="55" t="n">
        <f aca="false">X20+Y20</f>
        <v>35.1</v>
      </c>
      <c r="AA20" s="58" t="n">
        <v>0</v>
      </c>
      <c r="AB20" s="51" t="n">
        <v>31</v>
      </c>
      <c r="AC20" s="51" t="n">
        <v>25</v>
      </c>
      <c r="AD20" s="48" t="n">
        <f aca="false">AD19+1</f>
        <v>11</v>
      </c>
      <c r="AE20" s="81"/>
      <c r="AF20" s="83"/>
      <c r="AG20" s="82"/>
    </row>
    <row r="21" customFormat="false" ht="11.1" hidden="false" customHeight="true" outlineLevel="0" collapsed="false">
      <c r="A21" s="48" t="n">
        <f aca="false">A20+1</f>
        <v>12</v>
      </c>
      <c r="B21" s="59" t="n">
        <v>6905.89</v>
      </c>
      <c r="C21" s="57" t="n">
        <v>305828</v>
      </c>
      <c r="D21" s="51" t="n">
        <f aca="false">C21-C20</f>
        <v>78</v>
      </c>
      <c r="E21" s="57" t="n">
        <f aca="false">C21-152000</f>
        <v>153828</v>
      </c>
      <c r="F21" s="55" t="n">
        <f aca="false">D21/$D$2</f>
        <v>39.3244265187799</v>
      </c>
      <c r="G21" s="55" t="n">
        <v>73.8</v>
      </c>
      <c r="H21" s="58" t="n">
        <v>0</v>
      </c>
      <c r="I21" s="55" t="n">
        <f aca="false">G21+H21</f>
        <v>73.8</v>
      </c>
      <c r="J21" s="61" t="n">
        <f aca="false">IF(L21&gt;0,L21,0)</f>
        <v>0.02442651877994</v>
      </c>
      <c r="K21" s="55" t="n">
        <f aca="false">I21+J21</f>
        <v>73.8244265187799</v>
      </c>
      <c r="L21" s="55" t="n">
        <f aca="false">F21-(I21-X21)</f>
        <v>0.02442651877994</v>
      </c>
      <c r="M21" s="66" t="n">
        <v>3.9</v>
      </c>
      <c r="N21" s="55" t="n">
        <v>0</v>
      </c>
      <c r="O21" s="55" t="n">
        <v>0</v>
      </c>
      <c r="P21" s="5" t="n">
        <f aca="false">M21-(N21+O21)</f>
        <v>3.9</v>
      </c>
      <c r="Q21" s="55" t="n">
        <v>0</v>
      </c>
      <c r="R21" s="55" t="n">
        <v>0</v>
      </c>
      <c r="S21" s="55" t="n">
        <f aca="false">SUM(P21:R21)</f>
        <v>3.9</v>
      </c>
      <c r="T21" s="57"/>
      <c r="U21" s="55" t="n">
        <v>0</v>
      </c>
      <c r="V21" s="55" t="n">
        <v>30.6</v>
      </c>
      <c r="W21" s="57" t="n">
        <f aca="false">W20-V21</f>
        <v>12757.9</v>
      </c>
      <c r="X21" s="5" t="n">
        <f aca="false">N21+O21+S21+U21+V21</f>
        <v>34.5</v>
      </c>
      <c r="Y21" s="55" t="n">
        <f aca="false">IF(L21&lt;0,L21*-1,0)</f>
        <v>0</v>
      </c>
      <c r="Z21" s="55" t="n">
        <f aca="false">X21+Y21</f>
        <v>34.5</v>
      </c>
      <c r="AA21" s="58" t="n">
        <v>0.04</v>
      </c>
      <c r="AB21" s="51" t="n">
        <v>33</v>
      </c>
      <c r="AC21" s="51" t="n">
        <v>-1</v>
      </c>
      <c r="AD21" s="48" t="n">
        <f aca="false">AD20+1</f>
        <v>12</v>
      </c>
      <c r="AE21" s="81"/>
      <c r="AF21" s="83"/>
      <c r="AG21" s="82"/>
    </row>
    <row r="22" customFormat="false" ht="11.1" hidden="false" customHeight="true" outlineLevel="0" collapsed="false">
      <c r="A22" s="48" t="n">
        <v>13</v>
      </c>
      <c r="B22" s="59" t="n">
        <v>6905.9</v>
      </c>
      <c r="C22" s="57" t="n">
        <v>305865</v>
      </c>
      <c r="D22" s="51" t="n">
        <f aca="false">C22-C21</f>
        <v>37</v>
      </c>
      <c r="E22" s="57" t="n">
        <f aca="false">C22-152000</f>
        <v>153865</v>
      </c>
      <c r="F22" s="55" t="n">
        <f aca="false">D22/$D$2</f>
        <v>18.6538946307033</v>
      </c>
      <c r="G22" s="55" t="n">
        <v>52.8</v>
      </c>
      <c r="H22" s="58" t="n">
        <v>0</v>
      </c>
      <c r="I22" s="55" t="n">
        <f aca="false">G22+H22</f>
        <v>52.8</v>
      </c>
      <c r="J22" s="61" t="n">
        <f aca="false">IF(L22&gt;0,L22,0)</f>
        <v>0</v>
      </c>
      <c r="K22" s="55" t="n">
        <f aca="false">I22+J22</f>
        <v>52.8</v>
      </c>
      <c r="L22" s="55" t="n">
        <f aca="false">F22-(I22-X22)</f>
        <v>-0.0461053692966935</v>
      </c>
      <c r="M22" s="66" t="n">
        <v>3.7</v>
      </c>
      <c r="N22" s="55" t="n">
        <v>0</v>
      </c>
      <c r="O22" s="55" t="n">
        <v>0</v>
      </c>
      <c r="P22" s="5" t="n">
        <f aca="false">M22-(N22+O22)</f>
        <v>3.7</v>
      </c>
      <c r="Q22" s="55" t="n">
        <v>0</v>
      </c>
      <c r="R22" s="55" t="n">
        <v>0</v>
      </c>
      <c r="S22" s="55" t="n">
        <f aca="false">SUM(P22:R22)</f>
        <v>3.7</v>
      </c>
      <c r="T22" s="57"/>
      <c r="U22" s="55" t="n">
        <v>0</v>
      </c>
      <c r="V22" s="55" t="n">
        <v>30.4</v>
      </c>
      <c r="W22" s="57" t="n">
        <f aca="false">W21-V22</f>
        <v>12727.5</v>
      </c>
      <c r="X22" s="5" t="n">
        <f aca="false">N22+O22+S22+U22+V22</f>
        <v>34.1</v>
      </c>
      <c r="Y22" s="55" t="n">
        <f aca="false">IF(L22&lt;0,L22*-1,0)</f>
        <v>0.0461053692966935</v>
      </c>
      <c r="Z22" s="55" t="n">
        <f aca="false">X22+Y22</f>
        <v>34.1461053692967</v>
      </c>
      <c r="AA22" s="58" t="n">
        <v>0.09</v>
      </c>
      <c r="AB22" s="51" t="n">
        <v>34</v>
      </c>
      <c r="AC22" s="51" t="n">
        <v>0</v>
      </c>
      <c r="AD22" s="48" t="n">
        <f aca="false">AD21+1</f>
        <v>13</v>
      </c>
      <c r="AE22" s="81"/>
      <c r="AF22" s="83"/>
      <c r="AG22" s="82"/>
    </row>
    <row r="23" customFormat="false" ht="11.1" hidden="false" customHeight="true" outlineLevel="0" collapsed="false">
      <c r="A23" s="48" t="n">
        <f aca="false">A22+1</f>
        <v>14</v>
      </c>
      <c r="B23" s="59" t="n">
        <v>6905.91</v>
      </c>
      <c r="C23" s="57" t="n">
        <v>305905</v>
      </c>
      <c r="D23" s="51" t="n">
        <f aca="false">C23-C22</f>
        <v>40</v>
      </c>
      <c r="E23" s="57" t="n">
        <f aca="false">C23-152000</f>
        <v>153905</v>
      </c>
      <c r="F23" s="55" t="n">
        <f aca="false">D23/$D$2</f>
        <v>20.1663725737333</v>
      </c>
      <c r="G23" s="55" t="n">
        <v>54.4</v>
      </c>
      <c r="H23" s="58" t="n">
        <v>0</v>
      </c>
      <c r="I23" s="55" t="n">
        <f aca="false">G23+H23</f>
        <v>54.4</v>
      </c>
      <c r="J23" s="61" t="n">
        <f aca="false">IF(L23&gt;0,L23,0)</f>
        <v>0</v>
      </c>
      <c r="K23" s="55" t="n">
        <f aca="false">I23+J23</f>
        <v>54.4</v>
      </c>
      <c r="L23" s="55" t="n">
        <f aca="false">F23-(I23-X23)</f>
        <v>-0.0336274262666976</v>
      </c>
      <c r="M23" s="66" t="n">
        <v>3.7</v>
      </c>
      <c r="N23" s="55" t="n">
        <v>0</v>
      </c>
      <c r="O23" s="55" t="n">
        <v>0</v>
      </c>
      <c r="P23" s="5" t="n">
        <f aca="false">M23-(N23+O23)</f>
        <v>3.7</v>
      </c>
      <c r="Q23" s="55" t="n">
        <v>0</v>
      </c>
      <c r="R23" s="55" t="n">
        <v>0</v>
      </c>
      <c r="S23" s="55" t="n">
        <f aca="false">SUM(P23:R23)</f>
        <v>3.7</v>
      </c>
      <c r="T23" s="57"/>
      <c r="U23" s="55" t="n">
        <v>0</v>
      </c>
      <c r="V23" s="55" t="n">
        <v>30.5</v>
      </c>
      <c r="W23" s="57" t="n">
        <f aca="false">W22-V23</f>
        <v>12697</v>
      </c>
      <c r="X23" s="5" t="n">
        <f aca="false">N23+O23+S23+U23+V23</f>
        <v>34.2</v>
      </c>
      <c r="Y23" s="55" t="n">
        <f aca="false">IF(L23&lt;0,L23*-1,0)</f>
        <v>0.0336274262666976</v>
      </c>
      <c r="Z23" s="55" t="n">
        <f aca="false">X23+Y23</f>
        <v>34.2336274262667</v>
      </c>
      <c r="AA23" s="58" t="n">
        <v>0.15</v>
      </c>
      <c r="AB23" s="54" t="n">
        <v>35</v>
      </c>
      <c r="AC23" s="51" t="n">
        <v>28</v>
      </c>
      <c r="AD23" s="48" t="n">
        <f aca="false">AD22+1</f>
        <v>14</v>
      </c>
      <c r="AE23" s="81"/>
      <c r="AF23" s="83"/>
      <c r="AG23" s="82"/>
    </row>
    <row r="24" customFormat="false" ht="11.1" hidden="false" customHeight="true" outlineLevel="0" collapsed="false">
      <c r="A24" s="48" t="n">
        <f aca="false">A23+1</f>
        <v>15</v>
      </c>
      <c r="B24" s="59" t="n">
        <v>6905.96</v>
      </c>
      <c r="C24" s="57" t="n">
        <v>306097</v>
      </c>
      <c r="D24" s="51" t="n">
        <f aca="false">C24-C23</f>
        <v>192</v>
      </c>
      <c r="E24" s="57" t="n">
        <f aca="false">C24-152000</f>
        <v>154097</v>
      </c>
      <c r="F24" s="55" t="n">
        <f aca="false">D24/$D$2</f>
        <v>96.7985883539198</v>
      </c>
      <c r="G24" s="55" t="n">
        <v>131.1</v>
      </c>
      <c r="H24" s="58" t="n">
        <v>0</v>
      </c>
      <c r="I24" s="55" t="n">
        <f aca="false">G24+H24</f>
        <v>131.1</v>
      </c>
      <c r="J24" s="61" t="n">
        <f aca="false">IF(L24&gt;0,L24,0)</f>
        <v>0</v>
      </c>
      <c r="K24" s="55" t="n">
        <f aca="false">I24+J24</f>
        <v>131.1</v>
      </c>
      <c r="L24" s="55" t="n">
        <f aca="false">F24-(I24-X24)</f>
        <v>-0.00141164608014321</v>
      </c>
      <c r="M24" s="66" t="n">
        <v>3.7</v>
      </c>
      <c r="N24" s="55" t="n">
        <v>0</v>
      </c>
      <c r="O24" s="55" t="n">
        <v>0</v>
      </c>
      <c r="P24" s="5" t="n">
        <f aca="false">M24-(N24+O24)</f>
        <v>3.7</v>
      </c>
      <c r="Q24" s="55" t="n">
        <v>0</v>
      </c>
      <c r="R24" s="55" t="n">
        <v>0</v>
      </c>
      <c r="S24" s="55" t="n">
        <f aca="false">SUM(P24:R24)</f>
        <v>3.7</v>
      </c>
      <c r="T24" s="57"/>
      <c r="U24" s="55" t="n">
        <v>0</v>
      </c>
      <c r="V24" s="55" t="n">
        <v>30.6</v>
      </c>
      <c r="W24" s="57" t="n">
        <f aca="false">W23-V24</f>
        <v>12666.4</v>
      </c>
      <c r="X24" s="5" t="n">
        <f aca="false">N24+O24+S24+U24+V24</f>
        <v>34.3</v>
      </c>
      <c r="Y24" s="55" t="n">
        <f aca="false">IF(L24&lt;0,L24*-1,0)</f>
        <v>0.00141164608014321</v>
      </c>
      <c r="Z24" s="55" t="n">
        <f aca="false">X24+Y24</f>
        <v>34.3014116460801</v>
      </c>
      <c r="AA24" s="58" t="n">
        <v>0.2</v>
      </c>
      <c r="AB24" s="54" t="n">
        <v>37</v>
      </c>
      <c r="AC24" s="51" t="n">
        <v>30</v>
      </c>
      <c r="AD24" s="48" t="n">
        <f aca="false">AD23+1</f>
        <v>15</v>
      </c>
      <c r="AE24" s="81"/>
      <c r="AF24" s="83"/>
      <c r="AG24" s="82"/>
    </row>
    <row r="25" customFormat="false" ht="11.1" hidden="false" customHeight="true" outlineLevel="0" collapsed="false">
      <c r="A25" s="48" t="n">
        <f aca="false">A24+1</f>
        <v>16</v>
      </c>
      <c r="B25" s="59" t="n">
        <v>6906.01</v>
      </c>
      <c r="C25" s="57" t="n">
        <v>306289</v>
      </c>
      <c r="D25" s="51" t="n">
        <f aca="false">C25-C24</f>
        <v>192</v>
      </c>
      <c r="E25" s="57" t="n">
        <f aca="false">C25-152000</f>
        <v>154289</v>
      </c>
      <c r="F25" s="55" t="n">
        <f aca="false">D25/$D$2</f>
        <v>96.7985883539198</v>
      </c>
      <c r="G25" s="55" t="n">
        <v>131</v>
      </c>
      <c r="H25" s="58" t="n">
        <v>0</v>
      </c>
      <c r="I25" s="55" t="n">
        <f aca="false">G25+H25</f>
        <v>131</v>
      </c>
      <c r="J25" s="61" t="n">
        <f aca="false">IF(L25&gt;0,L25,0)</f>
        <v>0</v>
      </c>
      <c r="K25" s="55" t="n">
        <f aca="false">I25+J25</f>
        <v>131</v>
      </c>
      <c r="L25" s="55" t="n">
        <f aca="false">F25-(I25-X25)</f>
        <v>-0.00141164608015743</v>
      </c>
      <c r="M25" s="66" t="n">
        <v>3.7</v>
      </c>
      <c r="N25" s="55" t="n">
        <v>0</v>
      </c>
      <c r="O25" s="55" t="n">
        <v>0</v>
      </c>
      <c r="P25" s="5" t="n">
        <f aca="false">M25-(N25+O25)</f>
        <v>3.7</v>
      </c>
      <c r="Q25" s="55" t="n">
        <v>0</v>
      </c>
      <c r="R25" s="55" t="n">
        <v>0</v>
      </c>
      <c r="S25" s="55" t="n">
        <f aca="false">SUM(P25:R25)</f>
        <v>3.7</v>
      </c>
      <c r="T25" s="57"/>
      <c r="U25" s="55" t="n">
        <v>0</v>
      </c>
      <c r="V25" s="55" t="n">
        <v>30.5</v>
      </c>
      <c r="W25" s="57" t="n">
        <f aca="false">W24-V25</f>
        <v>12635.9</v>
      </c>
      <c r="X25" s="5" t="n">
        <f aca="false">N25+O25+S25+U25+V25</f>
        <v>34.2</v>
      </c>
      <c r="Y25" s="55" t="n">
        <f aca="false">IF(L25&lt;0,L25*-1,0)</f>
        <v>0.00141164608015743</v>
      </c>
      <c r="Z25" s="55" t="n">
        <f aca="false">X25+Y25</f>
        <v>34.2014116460802</v>
      </c>
      <c r="AA25" s="58" t="n">
        <v>0.3</v>
      </c>
      <c r="AB25" s="54" t="n">
        <v>37</v>
      </c>
      <c r="AC25" s="51" t="n">
        <v>33</v>
      </c>
      <c r="AD25" s="48" t="n">
        <f aca="false">AD24+1</f>
        <v>16</v>
      </c>
      <c r="AE25" s="81"/>
      <c r="AF25" s="0"/>
      <c r="AG25" s="82"/>
    </row>
    <row r="26" customFormat="false" ht="11.1" hidden="false" customHeight="true" outlineLevel="0" collapsed="false">
      <c r="A26" s="48" t="n">
        <f aca="false">A25+1</f>
        <v>17</v>
      </c>
      <c r="B26" s="59" t="n">
        <v>6906.06</v>
      </c>
      <c r="C26" s="57" t="n">
        <v>306484</v>
      </c>
      <c r="D26" s="51" t="n">
        <f aca="false">C26-C25</f>
        <v>195</v>
      </c>
      <c r="E26" s="57" t="n">
        <f aca="false">C26-152000</f>
        <v>154484</v>
      </c>
      <c r="F26" s="55" t="n">
        <f aca="false">D26/$D$2</f>
        <v>98.3110662969498</v>
      </c>
      <c r="G26" s="55" t="n">
        <v>132.6</v>
      </c>
      <c r="H26" s="58" t="n">
        <v>0</v>
      </c>
      <c r="I26" s="55" t="n">
        <f aca="false">G26+H26</f>
        <v>132.6</v>
      </c>
      <c r="J26" s="61" t="n">
        <f aca="false">IF(L26&gt;0,L26,0)</f>
        <v>0</v>
      </c>
      <c r="K26" s="55" t="n">
        <f aca="false">I26+J26</f>
        <v>132.6</v>
      </c>
      <c r="L26" s="55" t="n">
        <f aca="false">F26-(I26-X26)</f>
        <v>-0.0889337030501594</v>
      </c>
      <c r="M26" s="66" t="n">
        <v>3.7</v>
      </c>
      <c r="N26" s="55" t="n">
        <v>0</v>
      </c>
      <c r="O26" s="55" t="n">
        <v>0</v>
      </c>
      <c r="P26" s="5" t="n">
        <f aca="false">M26-(N26+O26)</f>
        <v>3.7</v>
      </c>
      <c r="Q26" s="55" t="n">
        <v>0</v>
      </c>
      <c r="R26" s="55" t="n">
        <v>0</v>
      </c>
      <c r="S26" s="55" t="n">
        <f aca="false">SUM(P26:R26)</f>
        <v>3.7</v>
      </c>
      <c r="T26" s="57"/>
      <c r="U26" s="55" t="n">
        <v>0</v>
      </c>
      <c r="V26" s="55" t="n">
        <v>30.5</v>
      </c>
      <c r="W26" s="57" t="n">
        <f aca="false">W25-V26</f>
        <v>12605.4</v>
      </c>
      <c r="X26" s="5" t="n">
        <f aca="false">N26+O26+S26+U26+V26</f>
        <v>34.2</v>
      </c>
      <c r="Y26" s="55" t="n">
        <f aca="false">IF(L26&lt;0,L26*-1,0)</f>
        <v>0.0889337030501594</v>
      </c>
      <c r="Z26" s="55" t="n">
        <f aca="false">X26+Y26</f>
        <v>34.2889337030502</v>
      </c>
      <c r="AA26" s="58" t="n">
        <v>0.1</v>
      </c>
      <c r="AB26" s="54" t="n">
        <v>32</v>
      </c>
      <c r="AC26" s="51" t="n">
        <v>32</v>
      </c>
      <c r="AD26" s="48" t="n">
        <f aca="false">AD25+1</f>
        <v>17</v>
      </c>
      <c r="AE26" s="81"/>
      <c r="AF26" s="83"/>
      <c r="AG26" s="82"/>
    </row>
    <row r="27" customFormat="false" ht="11.1" hidden="false" customHeight="true" outlineLevel="0" collapsed="false">
      <c r="A27" s="48" t="n">
        <f aca="false">A26+1</f>
        <v>18</v>
      </c>
      <c r="B27" s="59" t="n">
        <v>6906.09</v>
      </c>
      <c r="C27" s="57" t="n">
        <v>306600</v>
      </c>
      <c r="D27" s="51" t="n">
        <f aca="false">C27-C26</f>
        <v>116</v>
      </c>
      <c r="E27" s="57" t="n">
        <f aca="false">C27-152000</f>
        <v>154600</v>
      </c>
      <c r="F27" s="55" t="n">
        <f aca="false">D27/$D$2</f>
        <v>58.4824804638266</v>
      </c>
      <c r="G27" s="55" t="n">
        <v>110.4</v>
      </c>
      <c r="H27" s="58" t="n">
        <v>0</v>
      </c>
      <c r="I27" s="55" t="n">
        <f aca="false">G27+H27</f>
        <v>110.4</v>
      </c>
      <c r="J27" s="61" t="n">
        <f aca="false">IF(L27&gt;0,L27,0)</f>
        <v>0</v>
      </c>
      <c r="K27" s="55" t="n">
        <f aca="false">I27+J27</f>
        <v>110.4</v>
      </c>
      <c r="L27" s="55" t="n">
        <f aca="false">F27-(I27-X27)</f>
        <v>-0.0175195361734382</v>
      </c>
      <c r="M27" s="66" t="n">
        <v>21.2</v>
      </c>
      <c r="N27" s="55" t="n">
        <v>0</v>
      </c>
      <c r="O27" s="55" t="n">
        <v>0</v>
      </c>
      <c r="P27" s="5" t="n">
        <f aca="false">M27-(N27+O27)</f>
        <v>21.2</v>
      </c>
      <c r="Q27" s="55" t="n">
        <v>0</v>
      </c>
      <c r="R27" s="55" t="n">
        <v>0</v>
      </c>
      <c r="S27" s="55" t="n">
        <f aca="false">SUM(P27:R27)</f>
        <v>21.2</v>
      </c>
      <c r="T27" s="57"/>
      <c r="U27" s="55" t="n">
        <v>0</v>
      </c>
      <c r="V27" s="55" t="n">
        <v>30.7</v>
      </c>
      <c r="W27" s="57" t="n">
        <f aca="false">W26-V27</f>
        <v>12574.7</v>
      </c>
      <c r="X27" s="5" t="n">
        <f aca="false">N27+O27+S27+U27+V27</f>
        <v>51.9</v>
      </c>
      <c r="Y27" s="55" t="n">
        <f aca="false">IF(L27&lt;0,L27*-1,0)</f>
        <v>0.0175195361734382</v>
      </c>
      <c r="Z27" s="55" t="n">
        <f aca="false">X27+Y27</f>
        <v>51.9175195361734</v>
      </c>
      <c r="AA27" s="58" t="n">
        <v>0.42</v>
      </c>
      <c r="AB27" s="54" t="n">
        <v>40</v>
      </c>
      <c r="AC27" s="51" t="n">
        <v>22</v>
      </c>
      <c r="AD27" s="48" t="n">
        <f aca="false">AD26+1</f>
        <v>18</v>
      </c>
      <c r="AE27" s="81"/>
      <c r="AF27" s="83"/>
      <c r="AG27" s="82"/>
    </row>
    <row r="28" customFormat="false" ht="11.1" hidden="false" customHeight="true" outlineLevel="0" collapsed="false">
      <c r="A28" s="48" t="n">
        <f aca="false">A27+1</f>
        <v>19</v>
      </c>
      <c r="B28" s="59" t="n">
        <v>6906.12</v>
      </c>
      <c r="C28" s="57" t="n">
        <v>306718</v>
      </c>
      <c r="D28" s="51" t="n">
        <f aca="false">C28-C27</f>
        <v>118</v>
      </c>
      <c r="E28" s="57" t="n">
        <f aca="false">C28-152000</f>
        <v>154718</v>
      </c>
      <c r="F28" s="55" t="n">
        <f aca="false">D28/$D$2</f>
        <v>59.4907990925132</v>
      </c>
      <c r="G28" s="55" t="n">
        <v>94.6</v>
      </c>
      <c r="H28" s="58" t="n">
        <v>0</v>
      </c>
      <c r="I28" s="55" t="n">
        <f aca="false">G28+H28</f>
        <v>94.6</v>
      </c>
      <c r="J28" s="61" t="n">
        <f aca="false">IF(L28&gt;0,L28,0)</f>
        <v>0</v>
      </c>
      <c r="K28" s="55" t="n">
        <f aca="false">I28+J28</f>
        <v>94.6</v>
      </c>
      <c r="L28" s="55" t="n">
        <f aca="false">F28-(I28-X28)</f>
        <v>-0.00920090748675761</v>
      </c>
      <c r="M28" s="66" t="n">
        <v>3.7</v>
      </c>
      <c r="N28" s="55" t="n">
        <v>0</v>
      </c>
      <c r="O28" s="55" t="n">
        <v>0</v>
      </c>
      <c r="P28" s="5" t="n">
        <f aca="false">M28-(N28+O28)</f>
        <v>3.7</v>
      </c>
      <c r="Q28" s="55" t="n">
        <v>0</v>
      </c>
      <c r="R28" s="55" t="n">
        <v>0</v>
      </c>
      <c r="S28" s="55" t="n">
        <f aca="false">SUM(P28:R28)</f>
        <v>3.7</v>
      </c>
      <c r="T28" s="57"/>
      <c r="U28" s="55" t="n">
        <v>0</v>
      </c>
      <c r="V28" s="55" t="n">
        <v>31.4</v>
      </c>
      <c r="W28" s="57" t="n">
        <f aca="false">W27-V28</f>
        <v>12543.3</v>
      </c>
      <c r="X28" s="5" t="n">
        <f aca="false">N28+O28+S28+U28+V28</f>
        <v>35.1</v>
      </c>
      <c r="Y28" s="55" t="n">
        <f aca="false">IF(L28&lt;0,L28*-1,0)</f>
        <v>0.00920090748675761</v>
      </c>
      <c r="Z28" s="55" t="n">
        <f aca="false">X28+Y28</f>
        <v>35.1092009074868</v>
      </c>
      <c r="AA28" s="58" t="n">
        <v>0.11</v>
      </c>
      <c r="AB28" s="54" t="n">
        <v>36</v>
      </c>
      <c r="AC28" s="51" t="n">
        <v>30</v>
      </c>
      <c r="AD28" s="48" t="n">
        <f aca="false">AD27+1</f>
        <v>19</v>
      </c>
      <c r="AE28" s="81"/>
      <c r="AF28" s="83"/>
      <c r="AG28" s="82"/>
    </row>
    <row r="29" customFormat="false" ht="11.1" hidden="false" customHeight="true" outlineLevel="0" collapsed="false">
      <c r="A29" s="48" t="n">
        <f aca="false">A28+1</f>
        <v>20</v>
      </c>
      <c r="B29" s="59" t="n">
        <v>6906.12</v>
      </c>
      <c r="C29" s="57" t="n">
        <v>306718</v>
      </c>
      <c r="D29" s="51" t="n">
        <f aca="false">C29-C28</f>
        <v>0</v>
      </c>
      <c r="E29" s="57" t="n">
        <f aca="false">C29-152000</f>
        <v>154718</v>
      </c>
      <c r="F29" s="55" t="n">
        <f aca="false">D29/$D$2</f>
        <v>0</v>
      </c>
      <c r="G29" s="55" t="n">
        <v>35</v>
      </c>
      <c r="H29" s="58" t="n">
        <v>0</v>
      </c>
      <c r="I29" s="55" t="n">
        <f aca="false">G29+H29</f>
        <v>35</v>
      </c>
      <c r="J29" s="61" t="n">
        <f aca="false">IF(L29&gt;0,L29,0)</f>
        <v>0</v>
      </c>
      <c r="K29" s="55" t="n">
        <f aca="false">I29+J29</f>
        <v>35</v>
      </c>
      <c r="L29" s="55" t="n">
        <f aca="false">F29-(I29-X29)</f>
        <v>0</v>
      </c>
      <c r="M29" s="66" t="n">
        <v>3.7</v>
      </c>
      <c r="N29" s="55" t="n">
        <v>0</v>
      </c>
      <c r="O29" s="55" t="n">
        <v>0</v>
      </c>
      <c r="P29" s="5" t="n">
        <f aca="false">M29-(N29+O29)</f>
        <v>3.7</v>
      </c>
      <c r="Q29" s="55" t="n">
        <v>0</v>
      </c>
      <c r="R29" s="55" t="n">
        <v>0</v>
      </c>
      <c r="S29" s="55" t="n">
        <f aca="false">SUM(P29:R29)</f>
        <v>3.7</v>
      </c>
      <c r="T29" s="57"/>
      <c r="U29" s="55" t="n">
        <v>0</v>
      </c>
      <c r="V29" s="55" t="n">
        <v>31.3</v>
      </c>
      <c r="W29" s="57" t="n">
        <f aca="false">W28-V29</f>
        <v>12512</v>
      </c>
      <c r="X29" s="5" t="n">
        <f aca="false">N29+O29+S29+U29+V29</f>
        <v>35</v>
      </c>
      <c r="Y29" s="55" t="n">
        <f aca="false">IF(L29&lt;0,L29*-1,0)</f>
        <v>0</v>
      </c>
      <c r="Z29" s="55" t="n">
        <f aca="false">X29+Y29</f>
        <v>35</v>
      </c>
      <c r="AA29" s="58" t="n">
        <v>0</v>
      </c>
      <c r="AB29" s="54" t="n">
        <v>43</v>
      </c>
      <c r="AC29" s="51" t="n">
        <v>18</v>
      </c>
      <c r="AD29" s="48" t="n">
        <f aca="false">AD28+1</f>
        <v>20</v>
      </c>
      <c r="AE29" s="81"/>
      <c r="AF29" s="83"/>
      <c r="AG29" s="82"/>
    </row>
    <row r="30" customFormat="false" ht="11.1" hidden="false" customHeight="true" outlineLevel="0" collapsed="false">
      <c r="A30" s="48" t="n">
        <f aca="false">A29+1</f>
        <v>21</v>
      </c>
      <c r="B30" s="59" t="n">
        <v>6906.14</v>
      </c>
      <c r="C30" s="57" t="n">
        <v>306796</v>
      </c>
      <c r="D30" s="51" t="n">
        <f aca="false">C30-C29</f>
        <v>78</v>
      </c>
      <c r="E30" s="57" t="n">
        <f aca="false">C30-152000</f>
        <v>154796</v>
      </c>
      <c r="F30" s="55" t="n">
        <f aca="false">D30/$D$2</f>
        <v>39.3244265187799</v>
      </c>
      <c r="G30" s="55" t="n">
        <v>74.3</v>
      </c>
      <c r="H30" s="58" t="n">
        <v>0</v>
      </c>
      <c r="I30" s="55" t="n">
        <f aca="false">G30+H30</f>
        <v>74.3</v>
      </c>
      <c r="J30" s="61" t="n">
        <f aca="false">IF(L30&gt;0,L30,0)</f>
        <v>0</v>
      </c>
      <c r="K30" s="55" t="n">
        <f aca="false">I30+J30</f>
        <v>74.3</v>
      </c>
      <c r="L30" s="55" t="n">
        <f aca="false">F30-(I30-X30)</f>
        <v>-0.0755734812200615</v>
      </c>
      <c r="M30" s="66" t="n">
        <v>3.7</v>
      </c>
      <c r="N30" s="55" t="n">
        <v>0</v>
      </c>
      <c r="O30" s="55" t="n">
        <v>0</v>
      </c>
      <c r="P30" s="5" t="n">
        <f aca="false">M30-(N30+O30)</f>
        <v>3.7</v>
      </c>
      <c r="Q30" s="55" t="n">
        <v>0</v>
      </c>
      <c r="R30" s="55" t="n">
        <v>0</v>
      </c>
      <c r="S30" s="55" t="n">
        <f aca="false">SUM(P30:R30)</f>
        <v>3.7</v>
      </c>
      <c r="T30" s="57"/>
      <c r="U30" s="55" t="n">
        <v>0</v>
      </c>
      <c r="V30" s="55" t="n">
        <v>31.2</v>
      </c>
      <c r="W30" s="57" t="n">
        <f aca="false">W29-V30</f>
        <v>12480.8</v>
      </c>
      <c r="X30" s="5" t="n">
        <f aca="false">N30+O30+S30+U30+V30</f>
        <v>34.9</v>
      </c>
      <c r="Y30" s="55" t="n">
        <f aca="false">IF(L30&lt;0,L30*-1,0)</f>
        <v>0.0755734812200615</v>
      </c>
      <c r="Z30" s="55" t="n">
        <f aca="false">X30+Y30</f>
        <v>34.9755734812201</v>
      </c>
      <c r="AA30" s="58" t="n">
        <v>0</v>
      </c>
      <c r="AB30" s="51" t="n">
        <v>45</v>
      </c>
      <c r="AC30" s="51" t="n">
        <v>15</v>
      </c>
      <c r="AD30" s="48" t="n">
        <f aca="false">AD29+1</f>
        <v>21</v>
      </c>
      <c r="AE30" s="81"/>
      <c r="AF30" s="83"/>
      <c r="AG30" s="82"/>
    </row>
    <row r="31" customFormat="false" ht="11.1" hidden="false" customHeight="true" outlineLevel="0" collapsed="false">
      <c r="A31" s="48" t="n">
        <f aca="false">A30+1</f>
        <v>22</v>
      </c>
      <c r="B31" s="59" t="n">
        <v>6906.15</v>
      </c>
      <c r="C31" s="57" t="n">
        <v>306834</v>
      </c>
      <c r="D31" s="51" t="n">
        <f aca="false">C31-C30</f>
        <v>38</v>
      </c>
      <c r="E31" s="57" t="n">
        <f aca="false">C31-152000</f>
        <v>154834</v>
      </c>
      <c r="F31" s="55" t="n">
        <f aca="false">D31/$D$2</f>
        <v>19.1580539450466</v>
      </c>
      <c r="G31" s="55" t="n">
        <v>54</v>
      </c>
      <c r="H31" s="58" t="n">
        <v>0</v>
      </c>
      <c r="I31" s="55" t="n">
        <f aca="false">G31+H31</f>
        <v>54</v>
      </c>
      <c r="J31" s="61" t="n">
        <f aca="false">IF(L31&gt;0,L31,0)</f>
        <v>0</v>
      </c>
      <c r="K31" s="55" t="n">
        <f aca="false">I31+J31</f>
        <v>54</v>
      </c>
      <c r="L31" s="55" t="n">
        <f aca="false">F31-(I31-X31)</f>
        <v>-0.0419460549533603</v>
      </c>
      <c r="M31" s="66" t="n">
        <v>3.7</v>
      </c>
      <c r="N31" s="55" t="n">
        <v>0</v>
      </c>
      <c r="O31" s="55" t="n">
        <v>0</v>
      </c>
      <c r="P31" s="5" t="n">
        <f aca="false">M31-(N31+O31)</f>
        <v>3.7</v>
      </c>
      <c r="Q31" s="55" t="n">
        <v>0</v>
      </c>
      <c r="R31" s="55" t="n">
        <v>0</v>
      </c>
      <c r="S31" s="55" t="n">
        <f aca="false">SUM(P31:R31)</f>
        <v>3.7</v>
      </c>
      <c r="T31" s="57"/>
      <c r="U31" s="55" t="n">
        <v>0</v>
      </c>
      <c r="V31" s="55" t="n">
        <v>31.1</v>
      </c>
      <c r="W31" s="57" t="n">
        <f aca="false">W30-V31</f>
        <v>12449.7</v>
      </c>
      <c r="X31" s="5" t="n">
        <f aca="false">N31+O31+S31+U31+V31</f>
        <v>34.8</v>
      </c>
      <c r="Y31" s="55" t="n">
        <f aca="false">IF(L31&lt;0,L31*-1,0)</f>
        <v>0.0419460549533603</v>
      </c>
      <c r="Z31" s="55" t="n">
        <f aca="false">X31+Y31</f>
        <v>34.8419460549534</v>
      </c>
      <c r="AA31" s="58" t="n">
        <v>0</v>
      </c>
      <c r="AB31" s="51" t="n">
        <v>47</v>
      </c>
      <c r="AC31" s="51" t="n">
        <v>13</v>
      </c>
      <c r="AD31" s="48" t="n">
        <f aca="false">AD30+1</f>
        <v>22</v>
      </c>
      <c r="AE31" s="81"/>
      <c r="AF31" s="83"/>
      <c r="AG31" s="82"/>
    </row>
    <row r="32" customFormat="false" ht="11.1" hidden="false" customHeight="true" outlineLevel="0" collapsed="false">
      <c r="A32" s="48" t="n">
        <f aca="false">A31+1</f>
        <v>23</v>
      </c>
      <c r="B32" s="59" t="n">
        <v>6906.15</v>
      </c>
      <c r="C32" s="57" t="n">
        <v>306834</v>
      </c>
      <c r="D32" s="51" t="n">
        <f aca="false">C32-C31</f>
        <v>0</v>
      </c>
      <c r="E32" s="57" t="n">
        <f aca="false">C32-152000</f>
        <v>154834</v>
      </c>
      <c r="F32" s="55" t="n">
        <f aca="false">D32/$D$2</f>
        <v>0</v>
      </c>
      <c r="G32" s="55" t="n">
        <v>34.7</v>
      </c>
      <c r="H32" s="58" t="n">
        <v>0</v>
      </c>
      <c r="I32" s="55" t="n">
        <f aca="false">G32+H32</f>
        <v>34.7</v>
      </c>
      <c r="J32" s="61" t="n">
        <f aca="false">IF(L32&gt;0,L32,0)</f>
        <v>0</v>
      </c>
      <c r="K32" s="55" t="n">
        <f aca="false">I32+J32</f>
        <v>34.7</v>
      </c>
      <c r="L32" s="55" t="n">
        <f aca="false">F32-(I32-X32)</f>
        <v>0</v>
      </c>
      <c r="M32" s="66" t="n">
        <v>3.7</v>
      </c>
      <c r="N32" s="55" t="n">
        <v>0</v>
      </c>
      <c r="O32" s="55" t="n">
        <v>0</v>
      </c>
      <c r="P32" s="5" t="n">
        <f aca="false">M32-(N32+O32)</f>
        <v>3.7</v>
      </c>
      <c r="Q32" s="55" t="n">
        <v>0</v>
      </c>
      <c r="R32" s="55" t="n">
        <v>0</v>
      </c>
      <c r="S32" s="55" t="n">
        <f aca="false">SUM(P32:R32)</f>
        <v>3.7</v>
      </c>
      <c r="T32" s="57"/>
      <c r="U32" s="55" t="n">
        <v>0</v>
      </c>
      <c r="V32" s="55" t="n">
        <v>31</v>
      </c>
      <c r="W32" s="57" t="n">
        <f aca="false">W31-V32</f>
        <v>12418.7</v>
      </c>
      <c r="X32" s="5" t="n">
        <f aca="false">N32+O32+S32+U32+V32</f>
        <v>34.7</v>
      </c>
      <c r="Y32" s="55" t="n">
        <f aca="false">IF(L32&lt;0,L32*-1,0)</f>
        <v>0</v>
      </c>
      <c r="Z32" s="55" t="n">
        <f aca="false">X32+Y32</f>
        <v>34.7</v>
      </c>
      <c r="AA32" s="58" t="n">
        <v>0</v>
      </c>
      <c r="AB32" s="51" t="n">
        <v>34</v>
      </c>
      <c r="AC32" s="54" t="n">
        <v>10</v>
      </c>
      <c r="AD32" s="48" t="n">
        <f aca="false">AD31+1</f>
        <v>23</v>
      </c>
      <c r="AE32" s="81"/>
      <c r="AF32" s="83"/>
      <c r="AG32" s="82"/>
    </row>
    <row r="33" customFormat="false" ht="11.1" hidden="false" customHeight="true" outlineLevel="0" collapsed="false">
      <c r="A33" s="48" t="n">
        <f aca="false">A32+1</f>
        <v>24</v>
      </c>
      <c r="B33" s="59" t="n">
        <v>6906.16</v>
      </c>
      <c r="C33" s="57" t="n">
        <v>306874</v>
      </c>
      <c r="D33" s="51" t="n">
        <f aca="false">C33-C32</f>
        <v>40</v>
      </c>
      <c r="E33" s="57" t="n">
        <f aca="false">C33-152000</f>
        <v>154874</v>
      </c>
      <c r="F33" s="55" t="n">
        <f aca="false">D33/$D$2</f>
        <v>20.1663725737333</v>
      </c>
      <c r="G33" s="55" t="n">
        <v>54.6</v>
      </c>
      <c r="H33" s="58" t="n">
        <v>0</v>
      </c>
      <c r="I33" s="55" t="n">
        <f aca="false">G33+H33</f>
        <v>54.6</v>
      </c>
      <c r="J33" s="61" t="n">
        <f aca="false">IF(L33&gt;0,L33,0)</f>
        <v>0</v>
      </c>
      <c r="K33" s="55" t="n">
        <f aca="false">I33+J33</f>
        <v>54.6</v>
      </c>
      <c r="L33" s="55" t="n">
        <f aca="false">F33-(I33-X33)</f>
        <v>-0.0336274262667047</v>
      </c>
      <c r="M33" s="66" t="n">
        <v>3.7</v>
      </c>
      <c r="N33" s="55" t="n">
        <v>0</v>
      </c>
      <c r="O33" s="55" t="n">
        <v>0</v>
      </c>
      <c r="P33" s="5" t="n">
        <f aca="false">M33-(N33+O33)</f>
        <v>3.7</v>
      </c>
      <c r="Q33" s="55" t="n">
        <v>0</v>
      </c>
      <c r="R33" s="55" t="n">
        <v>0</v>
      </c>
      <c r="S33" s="55" t="n">
        <f aca="false">SUM(P33:R33)</f>
        <v>3.7</v>
      </c>
      <c r="T33" s="57"/>
      <c r="U33" s="55" t="n">
        <v>0</v>
      </c>
      <c r="V33" s="55" t="n">
        <v>30.7</v>
      </c>
      <c r="W33" s="57" t="n">
        <f aca="false">W32-V33</f>
        <v>12388</v>
      </c>
      <c r="X33" s="5" t="n">
        <f aca="false">N33+O33+S33+U33+V33</f>
        <v>34.4</v>
      </c>
      <c r="Y33" s="55" t="n">
        <f aca="false">IF(L33&lt;0,L33*-1,0)</f>
        <v>0.0336274262667047</v>
      </c>
      <c r="Z33" s="55" t="n">
        <f aca="false">X33+Y33</f>
        <v>34.4336274262667</v>
      </c>
      <c r="AA33" s="58" t="n">
        <v>0</v>
      </c>
      <c r="AB33" s="51" t="n">
        <v>37</v>
      </c>
      <c r="AC33" s="54" t="n">
        <v>14</v>
      </c>
      <c r="AD33" s="48" t="n">
        <f aca="false">AD32+1</f>
        <v>24</v>
      </c>
      <c r="AE33" s="81"/>
      <c r="AF33" s="83"/>
      <c r="AG33" s="82"/>
    </row>
    <row r="34" customFormat="false" ht="11.1" hidden="false" customHeight="true" outlineLevel="0" collapsed="false">
      <c r="A34" s="48" t="n">
        <f aca="false">A33+1</f>
        <v>25</v>
      </c>
      <c r="B34" s="59" t="n">
        <v>6906.16</v>
      </c>
      <c r="C34" s="57" t="n">
        <v>306874</v>
      </c>
      <c r="D34" s="51" t="n">
        <f aca="false">C34-C33</f>
        <v>0</v>
      </c>
      <c r="E34" s="57" t="n">
        <f aca="false">C34-152000</f>
        <v>154874</v>
      </c>
      <c r="F34" s="55" t="n">
        <f aca="false">D34/$D$2</f>
        <v>0</v>
      </c>
      <c r="G34" s="55" t="n">
        <v>34.4</v>
      </c>
      <c r="H34" s="58" t="n">
        <v>0</v>
      </c>
      <c r="I34" s="55" t="n">
        <f aca="false">G34+H34</f>
        <v>34.4</v>
      </c>
      <c r="J34" s="61" t="n">
        <f aca="false">IF(L34&gt;0,L34,0)</f>
        <v>0</v>
      </c>
      <c r="K34" s="55" t="n">
        <f aca="false">I34+J34</f>
        <v>34.4</v>
      </c>
      <c r="L34" s="55" t="n">
        <f aca="false">F34-(I34-X34)</f>
        <v>0</v>
      </c>
      <c r="M34" s="66" t="n">
        <v>3.7</v>
      </c>
      <c r="N34" s="55" t="n">
        <v>0</v>
      </c>
      <c r="O34" s="55" t="n">
        <v>0</v>
      </c>
      <c r="P34" s="5" t="n">
        <f aca="false">M34-(N34+O34)</f>
        <v>3.7</v>
      </c>
      <c r="Q34" s="55" t="n">
        <v>0</v>
      </c>
      <c r="R34" s="55" t="n">
        <v>0</v>
      </c>
      <c r="S34" s="55" t="n">
        <f aca="false">SUM(P34:R34)</f>
        <v>3.7</v>
      </c>
      <c r="T34" s="57"/>
      <c r="U34" s="55" t="n">
        <v>0</v>
      </c>
      <c r="V34" s="55" t="n">
        <v>30.7</v>
      </c>
      <c r="W34" s="57" t="n">
        <f aca="false">W33-V34</f>
        <v>12357.3</v>
      </c>
      <c r="X34" s="5" t="n">
        <f aca="false">N34+O34+S34+U34+V34</f>
        <v>34.4</v>
      </c>
      <c r="Y34" s="55" t="n">
        <f aca="false">IF(L34&lt;0,L34*-1,0)</f>
        <v>0</v>
      </c>
      <c r="Z34" s="55" t="n">
        <f aca="false">X34+Y34</f>
        <v>34.4</v>
      </c>
      <c r="AA34" s="58" t="n">
        <v>0</v>
      </c>
      <c r="AB34" s="51" t="n">
        <v>44</v>
      </c>
      <c r="AC34" s="54" t="n">
        <v>10</v>
      </c>
      <c r="AD34" s="48" t="n">
        <f aca="false">AD33+1</f>
        <v>25</v>
      </c>
      <c r="AE34" s="81"/>
      <c r="AF34" s="83"/>
      <c r="AG34" s="82"/>
    </row>
    <row r="35" customFormat="false" ht="11.1" hidden="false" customHeight="true" outlineLevel="0" collapsed="false">
      <c r="A35" s="48" t="n">
        <f aca="false">A34+1</f>
        <v>26</v>
      </c>
      <c r="B35" s="59" t="n">
        <v>6906.17</v>
      </c>
      <c r="C35" s="57" t="n">
        <v>306912</v>
      </c>
      <c r="D35" s="51" t="n">
        <f aca="false">C35-C34</f>
        <v>38</v>
      </c>
      <c r="E35" s="57" t="n">
        <f aca="false">C35-152000</f>
        <v>154912</v>
      </c>
      <c r="F35" s="55" t="n">
        <f aca="false">D35/$D$2</f>
        <v>19.1580539450466</v>
      </c>
      <c r="G35" s="55" t="n">
        <v>54.2</v>
      </c>
      <c r="H35" s="58" t="n">
        <v>0</v>
      </c>
      <c r="I35" s="55" t="n">
        <f aca="false">G35+H35</f>
        <v>54.2</v>
      </c>
      <c r="J35" s="61" t="n">
        <f aca="false">IF(L35&gt;0,L35,0)</f>
        <v>0</v>
      </c>
      <c r="K35" s="55" t="n">
        <f aca="false">I35+J35</f>
        <v>54.2</v>
      </c>
      <c r="L35" s="55" t="n">
        <f aca="false">F35-(I35-X35)</f>
        <v>-0.0419460549533675</v>
      </c>
      <c r="M35" s="66" t="n">
        <v>3.7</v>
      </c>
      <c r="N35" s="55" t="n">
        <v>0</v>
      </c>
      <c r="O35" s="55" t="n">
        <v>0</v>
      </c>
      <c r="P35" s="5" t="n">
        <f aca="false">M35-(N35+O35)</f>
        <v>3.7</v>
      </c>
      <c r="Q35" s="55" t="n">
        <v>0</v>
      </c>
      <c r="R35" s="55" t="n">
        <v>0</v>
      </c>
      <c r="S35" s="55" t="n">
        <f aca="false">SUM(P35:R35)</f>
        <v>3.7</v>
      </c>
      <c r="T35" s="57"/>
      <c r="U35" s="55" t="n">
        <v>0</v>
      </c>
      <c r="V35" s="55" t="n">
        <v>31.3</v>
      </c>
      <c r="W35" s="57" t="n">
        <f aca="false">W34-V35</f>
        <v>12326</v>
      </c>
      <c r="X35" s="5" t="n">
        <f aca="false">N35+O35+S35+U35+V35</f>
        <v>35</v>
      </c>
      <c r="Y35" s="55" t="n">
        <f aca="false">IF(L35&lt;0,L35*-1,0)</f>
        <v>0.0419460549533675</v>
      </c>
      <c r="Z35" s="55" t="n">
        <f aca="false">X35+Y35</f>
        <v>35.0419460549534</v>
      </c>
      <c r="AA35" s="58" t="n">
        <v>0</v>
      </c>
      <c r="AB35" s="51" t="n">
        <v>45</v>
      </c>
      <c r="AC35" s="51" t="n">
        <v>13</v>
      </c>
      <c r="AD35" s="48" t="n">
        <f aca="false">AD34+1</f>
        <v>26</v>
      </c>
      <c r="AE35" s="81"/>
      <c r="AF35" s="83"/>
      <c r="AG35" s="82"/>
    </row>
    <row r="36" customFormat="false" ht="11.1" hidden="false" customHeight="true" outlineLevel="0" collapsed="false">
      <c r="A36" s="48" t="n">
        <f aca="false">A35+1</f>
        <v>27</v>
      </c>
      <c r="B36" s="59" t="n">
        <v>69069.2</v>
      </c>
      <c r="C36" s="57" t="n">
        <v>307029</v>
      </c>
      <c r="D36" s="51" t="n">
        <f aca="false">C36-C35</f>
        <v>117</v>
      </c>
      <c r="E36" s="57" t="n">
        <f aca="false">C36-152000</f>
        <v>155029</v>
      </c>
      <c r="F36" s="55" t="n">
        <f aca="false">D36/$D$2</f>
        <v>58.9866397781699</v>
      </c>
      <c r="G36" s="55" t="n">
        <v>94.8</v>
      </c>
      <c r="H36" s="58" t="n">
        <v>0</v>
      </c>
      <c r="I36" s="55" t="n">
        <f aca="false">G36+H36</f>
        <v>94.8</v>
      </c>
      <c r="J36" s="61" t="n">
        <f aca="false">IF(L36&gt;0,L36,0)</f>
        <v>0</v>
      </c>
      <c r="K36" s="55" t="n">
        <f aca="false">I36+J36</f>
        <v>94.8</v>
      </c>
      <c r="L36" s="55" t="n">
        <f aca="false">F36-(I36-X36)</f>
        <v>-0.0133602218300908</v>
      </c>
      <c r="M36" s="66" t="n">
        <v>3.7</v>
      </c>
      <c r="N36" s="55" t="n">
        <v>0</v>
      </c>
      <c r="O36" s="55" t="n">
        <v>0</v>
      </c>
      <c r="P36" s="5" t="n">
        <f aca="false">M36-(N36+O36)</f>
        <v>3.7</v>
      </c>
      <c r="Q36" s="55" t="n">
        <v>0</v>
      </c>
      <c r="R36" s="55" t="n">
        <v>0</v>
      </c>
      <c r="S36" s="55" t="n">
        <f aca="false">SUM(P36:R36)</f>
        <v>3.7</v>
      </c>
      <c r="T36" s="57"/>
      <c r="U36" s="55" t="n">
        <v>0</v>
      </c>
      <c r="V36" s="55" t="n">
        <v>32.1</v>
      </c>
      <c r="W36" s="57" t="n">
        <f aca="false">W35-V36</f>
        <v>12293.9</v>
      </c>
      <c r="X36" s="5" t="n">
        <f aca="false">N36+O36+S36+U36+V36</f>
        <v>35.8</v>
      </c>
      <c r="Y36" s="55" t="n">
        <f aca="false">IF(L36&lt;0,L36*-1,0)</f>
        <v>0.0133602218300908</v>
      </c>
      <c r="Z36" s="55" t="n">
        <f aca="false">X36+Y36</f>
        <v>35.8133602218301</v>
      </c>
      <c r="AA36" s="58" t="n">
        <v>0</v>
      </c>
      <c r="AB36" s="51" t="n">
        <v>46</v>
      </c>
      <c r="AC36" s="51" t="n">
        <v>20</v>
      </c>
      <c r="AD36" s="48" t="n">
        <f aca="false">AD35+1</f>
        <v>27</v>
      </c>
      <c r="AE36" s="81"/>
      <c r="AF36" s="83"/>
      <c r="AG36" s="82"/>
    </row>
    <row r="37" customFormat="false" ht="11.1" hidden="false" customHeight="true" outlineLevel="0" collapsed="false">
      <c r="A37" s="48" t="n">
        <f aca="false">A36+1</f>
        <v>28</v>
      </c>
      <c r="B37" s="59" t="n">
        <v>6906.22</v>
      </c>
      <c r="C37" s="57" t="n">
        <v>307107</v>
      </c>
      <c r="D37" s="51" t="n">
        <f aca="false">C37-C36</f>
        <v>78</v>
      </c>
      <c r="E37" s="57" t="n">
        <f aca="false">C37-152000</f>
        <v>155107</v>
      </c>
      <c r="F37" s="55" t="n">
        <f aca="false">D37/$D$2</f>
        <v>39.3244265187799</v>
      </c>
      <c r="G37" s="55" t="n">
        <v>75</v>
      </c>
      <c r="H37" s="58" t="n">
        <v>0</v>
      </c>
      <c r="I37" s="55" t="n">
        <f aca="false">G37+H37</f>
        <v>75</v>
      </c>
      <c r="J37" s="61" t="n">
        <f aca="false">IF(L37&gt;0,L37,0)</f>
        <v>0</v>
      </c>
      <c r="K37" s="55" t="n">
        <f aca="false">I37+J37</f>
        <v>75</v>
      </c>
      <c r="L37" s="55" t="n">
        <f aca="false">F37-(I37-X37)</f>
        <v>-0.0755734812200615</v>
      </c>
      <c r="M37" s="66" t="n">
        <v>3.7</v>
      </c>
      <c r="N37" s="55" t="n">
        <v>0</v>
      </c>
      <c r="O37" s="55" t="n">
        <v>0</v>
      </c>
      <c r="P37" s="5" t="n">
        <f aca="false">M37-(N37+O37)</f>
        <v>3.7</v>
      </c>
      <c r="Q37" s="55" t="n">
        <v>0</v>
      </c>
      <c r="R37" s="55" t="n">
        <v>0</v>
      </c>
      <c r="S37" s="55" t="n">
        <f aca="false">SUM(P37:R37)</f>
        <v>3.7</v>
      </c>
      <c r="T37" s="57"/>
      <c r="U37" s="55" t="n">
        <v>0</v>
      </c>
      <c r="V37" s="55" t="n">
        <v>31.9</v>
      </c>
      <c r="W37" s="57" t="n">
        <f aca="false">W36-V37</f>
        <v>12262</v>
      </c>
      <c r="X37" s="5" t="n">
        <f aca="false">N37+O37+S37+U37+V37</f>
        <v>35.6</v>
      </c>
      <c r="Y37" s="55" t="n">
        <f aca="false">IF(L37&lt;0,L37*-1,0)</f>
        <v>0.0755734812200615</v>
      </c>
      <c r="Z37" s="55" t="n">
        <f aca="false">X37+Y37</f>
        <v>35.6755734812201</v>
      </c>
      <c r="AA37" s="58" t="n">
        <v>0</v>
      </c>
      <c r="AB37" s="51" t="n">
        <v>45</v>
      </c>
      <c r="AC37" s="51" t="n">
        <v>19</v>
      </c>
      <c r="AD37" s="48" t="n">
        <f aca="false">AD36+1</f>
        <v>28</v>
      </c>
      <c r="AE37" s="81"/>
      <c r="AF37" s="83"/>
      <c r="AG37" s="82"/>
    </row>
    <row r="38" customFormat="false" ht="11.1" hidden="false" customHeight="true" outlineLevel="0" collapsed="false">
      <c r="A38" s="48" t="n">
        <f aca="false">A37+1</f>
        <v>29</v>
      </c>
      <c r="B38" s="59" t="n">
        <v>6906.25</v>
      </c>
      <c r="C38" s="57" t="n">
        <v>307223</v>
      </c>
      <c r="D38" s="51" t="n">
        <f aca="false">C38-C37</f>
        <v>116</v>
      </c>
      <c r="E38" s="57" t="n">
        <f aca="false">C38-152000</f>
        <v>155223</v>
      </c>
      <c r="F38" s="55" t="n">
        <f aca="false">D38/$D$2</f>
        <v>58.4824804638266</v>
      </c>
      <c r="G38" s="55" t="n">
        <v>79.1</v>
      </c>
      <c r="H38" s="58" t="n">
        <v>0</v>
      </c>
      <c r="I38" s="55" t="n">
        <f aca="false">G38+H38</f>
        <v>79.1</v>
      </c>
      <c r="J38" s="61" t="n">
        <f aca="false">IF(L38&gt;0,L38,0)</f>
        <v>14.9824804638266</v>
      </c>
      <c r="K38" s="55" t="n">
        <f aca="false">I38+J38</f>
        <v>94.0824804638266</v>
      </c>
      <c r="L38" s="55" t="n">
        <f aca="false">F38-(I38-X38)</f>
        <v>14.9824804638266</v>
      </c>
      <c r="M38" s="66" t="n">
        <v>3.7</v>
      </c>
      <c r="N38" s="55" t="n">
        <v>0</v>
      </c>
      <c r="O38" s="55" t="n">
        <v>0</v>
      </c>
      <c r="P38" s="5" t="n">
        <f aca="false">M38-(N38+O38)</f>
        <v>3.7</v>
      </c>
      <c r="Q38" s="55" t="n">
        <v>0</v>
      </c>
      <c r="R38" s="55" t="n">
        <v>0</v>
      </c>
      <c r="S38" s="55" t="n">
        <f aca="false">SUM(P38:R38)</f>
        <v>3.7</v>
      </c>
      <c r="T38" s="57"/>
      <c r="U38" s="55" t="n">
        <v>0</v>
      </c>
      <c r="V38" s="55" t="n">
        <v>31.9</v>
      </c>
      <c r="W38" s="57" t="n">
        <f aca="false">W37-V38</f>
        <v>12230.1</v>
      </c>
      <c r="X38" s="5" t="n">
        <f aca="false">N38+O38+S38+U38+V38</f>
        <v>35.6</v>
      </c>
      <c r="Y38" s="55" t="n">
        <f aca="false">IF(L38&lt;0,L38*-1,0)</f>
        <v>0</v>
      </c>
      <c r="Z38" s="55" t="n">
        <f aca="false">X38+Y38</f>
        <v>35.6</v>
      </c>
      <c r="AA38" s="58" t="n">
        <v>0</v>
      </c>
      <c r="AB38" s="54" t="n">
        <v>43</v>
      </c>
      <c r="AC38" s="51" t="n">
        <v>23</v>
      </c>
      <c r="AD38" s="48" t="n">
        <f aca="false">AD37+1</f>
        <v>29</v>
      </c>
      <c r="AE38" s="81"/>
      <c r="AF38" s="83"/>
      <c r="AG38" s="82"/>
    </row>
    <row r="39" customFormat="false" ht="11.1" hidden="false" customHeight="true" outlineLevel="0" collapsed="false">
      <c r="A39" s="48" t="n">
        <v>30</v>
      </c>
      <c r="B39" s="59" t="n">
        <v>6906.28</v>
      </c>
      <c r="C39" s="57" t="n">
        <v>307339</v>
      </c>
      <c r="D39" s="51" t="n">
        <f aca="false">C39-C38</f>
        <v>116</v>
      </c>
      <c r="E39" s="57" t="n">
        <f aca="false">C39-152000</f>
        <v>155339</v>
      </c>
      <c r="F39" s="55" t="n">
        <f aca="false">D39/$D$2</f>
        <v>58.4824804638266</v>
      </c>
      <c r="G39" s="55" t="n">
        <v>93.9</v>
      </c>
      <c r="H39" s="58" t="n">
        <v>0</v>
      </c>
      <c r="I39" s="55" t="n">
        <f aca="false">G39+H39</f>
        <v>93.9</v>
      </c>
      <c r="J39" s="61" t="n">
        <f aca="false">IF(L39&gt;0,L39,0)</f>
        <v>0</v>
      </c>
      <c r="K39" s="55" t="n">
        <f aca="false">I39+J39</f>
        <v>93.9</v>
      </c>
      <c r="L39" s="55" t="n">
        <f aca="false">F39-(I39-X39)</f>
        <v>-0.0175195361734382</v>
      </c>
      <c r="M39" s="66" t="n">
        <v>3.7</v>
      </c>
      <c r="N39" s="55" t="n">
        <v>0</v>
      </c>
      <c r="O39" s="55" t="n">
        <v>0</v>
      </c>
      <c r="P39" s="5" t="n">
        <f aca="false">M39-(N39+O39)</f>
        <v>3.7</v>
      </c>
      <c r="Q39" s="55" t="n">
        <v>0</v>
      </c>
      <c r="R39" s="55" t="n">
        <v>0</v>
      </c>
      <c r="S39" s="55" t="n">
        <f aca="false">SUM(P39:R39)</f>
        <v>3.7</v>
      </c>
      <c r="T39" s="57"/>
      <c r="U39" s="55" t="n">
        <v>0</v>
      </c>
      <c r="V39" s="55" t="n">
        <v>31.7</v>
      </c>
      <c r="W39" s="57" t="n">
        <f aca="false">W38-V39</f>
        <v>12198.4</v>
      </c>
      <c r="X39" s="5" t="n">
        <f aca="false">N39+O39+S39+U39+V39</f>
        <v>35.4</v>
      </c>
      <c r="Y39" s="55" t="n">
        <f aca="false">IF(L39&lt;0,L39*-1,0)</f>
        <v>0.0175195361734382</v>
      </c>
      <c r="Z39" s="55" t="n">
        <f aca="false">X39+Y39</f>
        <v>35.4175195361734</v>
      </c>
      <c r="AA39" s="58" t="n">
        <v>0</v>
      </c>
      <c r="AB39" s="54" t="n">
        <v>44</v>
      </c>
      <c r="AC39" s="51" t="n">
        <v>24</v>
      </c>
      <c r="AD39" s="48" t="n">
        <v>30</v>
      </c>
      <c r="AE39" s="81"/>
      <c r="AF39" s="83"/>
      <c r="AG39" s="82"/>
    </row>
    <row r="40" customFormat="false" ht="11.1" hidden="false" customHeight="true" outlineLevel="0" collapsed="false">
      <c r="A40" s="48" t="n">
        <v>31</v>
      </c>
      <c r="B40" s="59" t="n">
        <v>6906.31</v>
      </c>
      <c r="C40" s="57" t="n">
        <v>307456</v>
      </c>
      <c r="D40" s="51" t="n">
        <f aca="false">C40-C39</f>
        <v>117</v>
      </c>
      <c r="E40" s="57" t="n">
        <f aca="false">C40-152000</f>
        <v>155456</v>
      </c>
      <c r="F40" s="55" t="n">
        <f aca="false">D40/$D$2</f>
        <v>58.9866397781699</v>
      </c>
      <c r="G40" s="55" t="n">
        <v>94.7</v>
      </c>
      <c r="H40" s="58" t="n">
        <v>0</v>
      </c>
      <c r="I40" s="55" t="n">
        <f aca="false">G40+H40</f>
        <v>94.7</v>
      </c>
      <c r="J40" s="61" t="n">
        <f aca="false">IF(L40&gt;0,L40,0)</f>
        <v>0</v>
      </c>
      <c r="K40" s="55" t="n">
        <f aca="false">I40+J40</f>
        <v>94.7</v>
      </c>
      <c r="L40" s="55" t="n">
        <f aca="false">F40-(I40-X40)</f>
        <v>-0.113360221830099</v>
      </c>
      <c r="M40" s="66" t="n">
        <v>3.7</v>
      </c>
      <c r="N40" s="55" t="n">
        <v>0</v>
      </c>
      <c r="O40" s="55" t="n">
        <v>0</v>
      </c>
      <c r="P40" s="5" t="n">
        <f aca="false">M40-(N40+O40)</f>
        <v>3.7</v>
      </c>
      <c r="Q40" s="55" t="n">
        <v>0</v>
      </c>
      <c r="R40" s="55" t="n">
        <v>0</v>
      </c>
      <c r="S40" s="55" t="n">
        <f aca="false">SUM(P40:R40)</f>
        <v>3.7</v>
      </c>
      <c r="T40" s="57"/>
      <c r="U40" s="55" t="n">
        <v>0</v>
      </c>
      <c r="V40" s="55" t="n">
        <v>31.9</v>
      </c>
      <c r="W40" s="57" t="n">
        <f aca="false">W39-V40</f>
        <v>12166.5</v>
      </c>
      <c r="X40" s="5" t="n">
        <f aca="false">N40+O40+S40+U40+V40</f>
        <v>35.6</v>
      </c>
      <c r="Y40" s="55" t="n">
        <f aca="false">IF(L40&lt;0,L40*-1,0)</f>
        <v>0.113360221830099</v>
      </c>
      <c r="Z40" s="55" t="n">
        <f aca="false">X40+Y40</f>
        <v>35.7133602218301</v>
      </c>
      <c r="AA40" s="58" t="n">
        <v>0.5</v>
      </c>
      <c r="AB40" s="54" t="n">
        <v>38</v>
      </c>
      <c r="AC40" s="51" t="n">
        <v>17</v>
      </c>
      <c r="AD40" s="48" t="n">
        <v>31</v>
      </c>
      <c r="AE40" s="81"/>
      <c r="AF40" s="81"/>
      <c r="AG40" s="82"/>
    </row>
    <row r="41" customFormat="false" ht="3" hidden="false" customHeight="true" outlineLevel="0" collapsed="false">
      <c r="A41" s="84"/>
      <c r="B41" s="89"/>
      <c r="C41" s="86"/>
      <c r="D41" s="84"/>
      <c r="E41" s="86"/>
      <c r="F41" s="84"/>
      <c r="G41" s="89"/>
      <c r="H41" s="87"/>
      <c r="I41" s="84"/>
      <c r="J41" s="84"/>
      <c r="K41" s="84"/>
      <c r="L41" s="84"/>
      <c r="M41" s="90"/>
      <c r="N41" s="89"/>
      <c r="O41" s="84"/>
      <c r="P41" s="84"/>
      <c r="Q41" s="84"/>
      <c r="R41" s="84"/>
      <c r="S41" s="84"/>
      <c r="T41" s="86"/>
      <c r="U41" s="84"/>
      <c r="V41" s="89"/>
      <c r="W41" s="84"/>
      <c r="X41" s="84"/>
      <c r="Y41" s="84"/>
      <c r="Z41" s="84"/>
      <c r="AA41" s="87"/>
      <c r="AB41" s="52" t="n">
        <v>39</v>
      </c>
      <c r="AC41" s="52"/>
      <c r="AD41" s="53"/>
      <c r="AE41" s="81"/>
      <c r="AF41" s="81"/>
      <c r="AG41" s="82"/>
    </row>
    <row r="42" customFormat="false" ht="11.1" hidden="false" customHeight="true" outlineLevel="0" collapsed="false">
      <c r="A42" s="55" t="s">
        <v>43</v>
      </c>
      <c r="B42" s="55"/>
      <c r="C42" s="57"/>
      <c r="D42" s="57"/>
      <c r="E42" s="57"/>
      <c r="F42" s="57" t="n">
        <f aca="false">SUM(F10:F40)</f>
        <v>1423.74590370557</v>
      </c>
      <c r="G42" s="57" t="n">
        <f aca="false">SUM(G10:G40)</f>
        <v>2509.1</v>
      </c>
      <c r="H42" s="58" t="n">
        <f aca="false">SUM(H10:H40)</f>
        <v>0</v>
      </c>
      <c r="I42" s="57" t="n">
        <f aca="false">SUM(I10:I40)</f>
        <v>2509.1</v>
      </c>
      <c r="J42" s="57" t="n">
        <f aca="false">SUM(J10:J40)</f>
        <v>15.1921351146963</v>
      </c>
      <c r="K42" s="57" t="n">
        <f aca="false">SUM(K10:K40)</f>
        <v>2524.2921351147</v>
      </c>
      <c r="L42" s="57" t="n">
        <f aca="false">SUM(L10:L40)</f>
        <v>14.345903705571</v>
      </c>
      <c r="M42" s="66" t="n">
        <f aca="false">SUM(M10:M40)</f>
        <v>140.3</v>
      </c>
      <c r="N42" s="57" t="n">
        <f aca="false">SUM(N10:N40)</f>
        <v>0</v>
      </c>
      <c r="O42" s="57" t="n">
        <f aca="false">SUM(O10:O40)</f>
        <v>0</v>
      </c>
      <c r="P42" s="57" t="n">
        <f aca="false">SUM(P10:P40)</f>
        <v>140.3</v>
      </c>
      <c r="Q42" s="57" t="n">
        <f aca="false">SUM(Q10:Q40)</f>
        <v>0</v>
      </c>
      <c r="R42" s="57" t="n">
        <f aca="false">SUM(R10:R40)</f>
        <v>0</v>
      </c>
      <c r="S42" s="57" t="n">
        <f aca="false">SUM(S10:S40)</f>
        <v>140.3</v>
      </c>
      <c r="T42" s="57"/>
      <c r="U42" s="57" t="n">
        <f aca="false">SUM(U10:U40)</f>
        <v>0</v>
      </c>
      <c r="V42" s="57" t="n">
        <f aca="false">SUM(V10:V40)</f>
        <v>959.4</v>
      </c>
      <c r="W42" s="57"/>
      <c r="X42" s="57" t="n">
        <f aca="false">SUM(X10:X40)</f>
        <v>1099.7</v>
      </c>
      <c r="Y42" s="57" t="n">
        <f aca="false">SUM(Y10:Y40)</f>
        <v>0.846231409125249</v>
      </c>
      <c r="Z42" s="57" t="n">
        <f aca="false">SUM(Z10:Z40)</f>
        <v>1100.54623140913</v>
      </c>
      <c r="AA42" s="58" t="n">
        <f aca="false">SUM(AA10:AA40)</f>
        <v>3.88</v>
      </c>
      <c r="AB42" s="51" t="n">
        <f aca="false">AVERAGE(AB10:AB40)</f>
        <v>38.4516129032258</v>
      </c>
      <c r="AC42" s="51" t="n">
        <f aca="false">AVERAGE(AC10:AC40)</f>
        <v>20.0322580645161</v>
      </c>
      <c r="AD42" s="48" t="s">
        <v>63</v>
      </c>
      <c r="AE42" s="81"/>
      <c r="AF42" s="81"/>
      <c r="AG42" s="82"/>
    </row>
    <row r="43" customFormat="false" ht="11.1" hidden="false" customHeight="true" outlineLevel="0" collapsed="false">
      <c r="A43" s="55" t="s">
        <v>44</v>
      </c>
      <c r="B43" s="55"/>
      <c r="C43" s="57"/>
      <c r="D43" s="57" t="n">
        <f aca="false">SUM(D10:D40)</f>
        <v>2824</v>
      </c>
      <c r="E43" s="57"/>
      <c r="F43" s="57" t="n">
        <f aca="false">F42*$D$2</f>
        <v>2824</v>
      </c>
      <c r="G43" s="57" t="n">
        <f aca="false">G42*$D$2</f>
        <v>4976.79985</v>
      </c>
      <c r="H43" s="58" t="n">
        <f aca="false">H42*$D$2</f>
        <v>0</v>
      </c>
      <c r="I43" s="57" t="n">
        <f aca="false">I42*$D$2</f>
        <v>4976.79985</v>
      </c>
      <c r="J43" s="57" t="n">
        <f aca="false">J42*$D$2</f>
        <v>30.1336</v>
      </c>
      <c r="K43" s="57" t="n">
        <f aca="false">K42*$D$2</f>
        <v>5006.93345</v>
      </c>
      <c r="L43" s="57" t="n">
        <f aca="false">L42*$D$2</f>
        <v>28.4551000000001</v>
      </c>
      <c r="M43" s="66" t="n">
        <f aca="false">M42*$D$2</f>
        <v>278.28505</v>
      </c>
      <c r="N43" s="57" t="n">
        <f aca="false">N42*$D$2</f>
        <v>0</v>
      </c>
      <c r="O43" s="57" t="n">
        <f aca="false">O42*$D$2</f>
        <v>0</v>
      </c>
      <c r="P43" s="57" t="n">
        <f aca="false">P42*$D$2</f>
        <v>278.28505</v>
      </c>
      <c r="Q43" s="57" t="n">
        <f aca="false">Q42*$D$2</f>
        <v>0</v>
      </c>
      <c r="R43" s="57" t="n">
        <f aca="false">R42*$D$2</f>
        <v>0</v>
      </c>
      <c r="S43" s="57" t="n">
        <f aca="false">S42*$D$2</f>
        <v>278.28505</v>
      </c>
      <c r="T43" s="57"/>
      <c r="U43" s="57" t="n">
        <f aca="false">U42*$D$2</f>
        <v>0</v>
      </c>
      <c r="V43" s="57" t="n">
        <f aca="false">V42*$D$2</f>
        <v>1902.9699</v>
      </c>
      <c r="W43" s="57"/>
      <c r="X43" s="57" t="n">
        <f aca="false">X42*$D$2</f>
        <v>2181.25495</v>
      </c>
      <c r="Y43" s="57" t="n">
        <f aca="false">Y42*$D$2</f>
        <v>1.67849999999993</v>
      </c>
      <c r="Z43" s="57" t="n">
        <f aca="false">Z42*$D$2</f>
        <v>2182.93345</v>
      </c>
      <c r="AA43" s="58"/>
      <c r="AB43" s="51" t="n">
        <f aca="false">MAX(AB10:AB40)</f>
        <v>47</v>
      </c>
      <c r="AC43" s="51" t="n">
        <f aca="false">MAX(AC10:AC40)</f>
        <v>33</v>
      </c>
      <c r="AD43" s="48" t="s">
        <v>45</v>
      </c>
      <c r="AE43" s="81"/>
      <c r="AF43" s="81"/>
      <c r="AG43" s="82"/>
    </row>
    <row r="44" customFormat="false" ht="3" hidden="false" customHeight="true" outlineLevel="0" collapsed="false">
      <c r="A44" s="84"/>
      <c r="B44" s="84"/>
      <c r="C44" s="86"/>
      <c r="D44" s="86"/>
      <c r="E44" s="86"/>
      <c r="F44" s="86"/>
      <c r="G44" s="86"/>
      <c r="H44" s="87"/>
      <c r="I44" s="86"/>
      <c r="J44" s="86"/>
      <c r="K44" s="86"/>
      <c r="L44" s="86"/>
      <c r="M44" s="88"/>
      <c r="N44" s="86"/>
      <c r="O44" s="86"/>
      <c r="P44" s="86"/>
      <c r="Q44" s="86"/>
      <c r="R44" s="86"/>
      <c r="S44" s="86"/>
      <c r="T44" s="86"/>
      <c r="U44" s="86"/>
      <c r="V44" s="86"/>
      <c r="W44" s="84"/>
      <c r="X44" s="86"/>
      <c r="Y44" s="86"/>
      <c r="Z44" s="86"/>
      <c r="AA44" s="58"/>
      <c r="AB44" s="51"/>
      <c r="AC44" s="51"/>
      <c r="AD44" s="48"/>
      <c r="AE44" s="81"/>
      <c r="AF44" s="81"/>
      <c r="AG44" s="82"/>
    </row>
    <row r="45" customFormat="false" ht="11.1" hidden="false" customHeight="true" outlineLevel="0" collapsed="false">
      <c r="A45" s="55" t="s">
        <v>46</v>
      </c>
      <c r="B45" s="55"/>
      <c r="C45" s="57"/>
      <c r="D45" s="57"/>
      <c r="E45" s="57"/>
      <c r="F45" s="57"/>
      <c r="G45" s="57"/>
      <c r="H45" s="58"/>
      <c r="I45" s="57"/>
      <c r="J45" s="57"/>
      <c r="K45" s="57"/>
      <c r="L45" s="57"/>
      <c r="M45" s="66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8"/>
      <c r="AB45" s="51" t="n">
        <f aca="false">MIN(AB10:AB40)</f>
        <v>31</v>
      </c>
      <c r="AC45" s="51" t="n">
        <f aca="false">MIN(AC10:AC40)</f>
        <v>-1</v>
      </c>
      <c r="AD45" s="48" t="s">
        <v>47</v>
      </c>
      <c r="AE45" s="81"/>
      <c r="AF45" s="81"/>
      <c r="AG45" s="82"/>
    </row>
    <row r="46" customFormat="false" ht="11.1" hidden="false" customHeight="true" outlineLevel="0" collapsed="false">
      <c r="A46" s="55" t="s">
        <v>48</v>
      </c>
      <c r="B46" s="55"/>
      <c r="C46" s="57"/>
      <c r="D46" s="57"/>
      <c r="E46" s="57"/>
      <c r="F46" s="57"/>
      <c r="G46" s="57"/>
      <c r="H46" s="58"/>
      <c r="I46" s="57"/>
      <c r="J46" s="57"/>
      <c r="K46" s="57"/>
      <c r="L46" s="57"/>
      <c r="M46" s="66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8"/>
      <c r="AB46" s="51"/>
      <c r="AC46" s="51"/>
      <c r="AD46" s="48"/>
      <c r="AE46" s="81"/>
      <c r="AF46" s="81"/>
      <c r="AG46" s="82"/>
    </row>
    <row r="47" customFormat="false" ht="3" hidden="false" customHeight="true" outlineLevel="0" collapsed="false">
      <c r="A47" s="84"/>
      <c r="B47" s="84"/>
      <c r="C47" s="86"/>
      <c r="D47" s="86"/>
      <c r="E47" s="86"/>
      <c r="F47" s="86"/>
      <c r="G47" s="86"/>
      <c r="H47" s="87"/>
      <c r="I47" s="86"/>
      <c r="J47" s="86"/>
      <c r="K47" s="86"/>
      <c r="L47" s="86"/>
      <c r="M47" s="88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7"/>
      <c r="AB47" s="51"/>
      <c r="AC47" s="51"/>
      <c r="AD47" s="48"/>
      <c r="AE47" s="81"/>
      <c r="AF47" s="81"/>
      <c r="AG47" s="82"/>
    </row>
    <row r="48" customFormat="false" ht="11.1" hidden="false" customHeight="true" outlineLevel="0" collapsed="false">
      <c r="A48" s="55" t="s">
        <v>49</v>
      </c>
      <c r="B48" s="55"/>
      <c r="C48" s="57"/>
      <c r="D48" s="57"/>
      <c r="E48" s="57"/>
      <c r="F48" s="57" t="n">
        <f aca="false">F8+F42</f>
        <v>1753.97025460045</v>
      </c>
      <c r="G48" s="57" t="n">
        <f aca="false">G8+G42</f>
        <v>6534.5</v>
      </c>
      <c r="H48" s="58" t="n">
        <f aca="false">H8+H42</f>
        <v>0</v>
      </c>
      <c r="I48" s="57" t="n">
        <f aca="false">I8+I42</f>
        <v>6534.5</v>
      </c>
      <c r="J48" s="57" t="n">
        <f aca="false">J8+J42</f>
        <v>241.734812200655</v>
      </c>
      <c r="K48" s="57" t="n">
        <f aca="false">K8+K42</f>
        <v>6776.23481220065</v>
      </c>
      <c r="L48" s="57" t="n">
        <f aca="false">L8+L42</f>
        <v>-659.329745399546</v>
      </c>
      <c r="M48" s="66" t="n">
        <f aca="false">M8+M42</f>
        <v>812</v>
      </c>
      <c r="N48" s="57" t="n">
        <f aca="false">N8+N42</f>
        <v>0</v>
      </c>
      <c r="O48" s="57" t="n">
        <f aca="false">O8+O42</f>
        <v>0</v>
      </c>
      <c r="P48" s="57" t="n">
        <f aca="false">P8+P42</f>
        <v>140.3</v>
      </c>
      <c r="Q48" s="57" t="n">
        <f aca="false">Q8+Q42</f>
        <v>0</v>
      </c>
      <c r="R48" s="57" t="n">
        <f aca="false">R8+R42</f>
        <v>178.7</v>
      </c>
      <c r="S48" s="57" t="n">
        <f aca="false">S8+S42</f>
        <v>990.7</v>
      </c>
      <c r="T48" s="57"/>
      <c r="U48" s="57" t="n">
        <f aca="false">U8+U42</f>
        <v>0</v>
      </c>
      <c r="V48" s="57" t="n">
        <f aca="false">V8+V42</f>
        <v>3130.5</v>
      </c>
      <c r="W48" s="57" t="n">
        <f aca="false">W40</f>
        <v>12166.5</v>
      </c>
      <c r="X48" s="57" t="n">
        <f aca="false">X8+X42</f>
        <v>4121.2</v>
      </c>
      <c r="Y48" s="57" t="n">
        <f aca="false">Y8+Y42</f>
        <v>901.064557600202</v>
      </c>
      <c r="Z48" s="57" t="n">
        <f aca="false">Z8+Z42</f>
        <v>5022.2645576002</v>
      </c>
      <c r="AA48" s="58" t="n">
        <f aca="false">AA8+AA42</f>
        <v>6.43</v>
      </c>
      <c r="AB48" s="51"/>
      <c r="AC48" s="51"/>
      <c r="AD48" s="48"/>
      <c r="AE48" s="81"/>
      <c r="AF48" s="81"/>
      <c r="AG48" s="82"/>
    </row>
    <row r="49" customFormat="false" ht="11.1" hidden="false" customHeight="true" outlineLevel="0" collapsed="false">
      <c r="A49" s="55" t="s">
        <v>50</v>
      </c>
      <c r="B49" s="55"/>
      <c r="C49" s="57"/>
      <c r="D49" s="57" t="n">
        <f aca="false">D8+D43</f>
        <v>3479</v>
      </c>
      <c r="E49" s="57" t="n">
        <f aca="false">E40</f>
        <v>155456</v>
      </c>
      <c r="F49" s="57" t="n">
        <f aca="false">F48*$D$2</f>
        <v>3479</v>
      </c>
      <c r="G49" s="57" t="n">
        <f aca="false">G48*$D$2</f>
        <v>12961.18075</v>
      </c>
      <c r="H49" s="58" t="n">
        <f aca="false">H48*$D$2</f>
        <v>0</v>
      </c>
      <c r="I49" s="57" t="n">
        <f aca="false">I48*$D$2</f>
        <v>12961.18075</v>
      </c>
      <c r="J49" s="57" t="n">
        <f aca="false">J48*$D$2</f>
        <v>479.481</v>
      </c>
      <c r="K49" s="57" t="n">
        <f aca="false">K48*$D$2</f>
        <v>13440.66175</v>
      </c>
      <c r="L49" s="57" t="n">
        <f aca="false">L48*$D$2</f>
        <v>-1307.78055</v>
      </c>
      <c r="M49" s="66" t="n">
        <f aca="false">M48*$D$2</f>
        <v>1610.602</v>
      </c>
      <c r="N49" s="57" t="n">
        <f aca="false">N48*$D$2</f>
        <v>0</v>
      </c>
      <c r="O49" s="57" t="n">
        <f aca="false">O48*$D$2</f>
        <v>0</v>
      </c>
      <c r="P49" s="57" t="n">
        <f aca="false">P48*$D$2</f>
        <v>278.28505</v>
      </c>
      <c r="Q49" s="57" t="n">
        <f aca="false">Q48*$D$2</f>
        <v>0</v>
      </c>
      <c r="R49" s="57" t="n">
        <f aca="false">R48*$D$2</f>
        <v>354.45145</v>
      </c>
      <c r="S49" s="57" t="n">
        <f aca="false">S48*$D$2</f>
        <v>1965.05345</v>
      </c>
      <c r="T49" s="57" t="n">
        <f aca="false">T48*$D$2</f>
        <v>0</v>
      </c>
      <c r="U49" s="57" t="n">
        <f aca="false">U48*$D$2</f>
        <v>0</v>
      </c>
      <c r="V49" s="57" t="n">
        <f aca="false">V48*$D$2</f>
        <v>6209.34675</v>
      </c>
      <c r="W49" s="57" t="n">
        <f aca="false">W48*$D$2</f>
        <v>24132.25275</v>
      </c>
      <c r="X49" s="57" t="n">
        <f aca="false">X48*$D$2</f>
        <v>8174.4002</v>
      </c>
      <c r="Y49" s="57" t="n">
        <f aca="false">Y48*$D$2</f>
        <v>1787.26155</v>
      </c>
      <c r="Z49" s="57" t="n">
        <f aca="false">Z48*$D$2</f>
        <v>9961.66175</v>
      </c>
      <c r="AA49" s="58"/>
      <c r="AB49" s="51"/>
      <c r="AC49" s="51"/>
      <c r="AD49" s="48"/>
      <c r="AE49" s="81"/>
      <c r="AF49" s="81"/>
      <c r="AG49" s="82"/>
    </row>
    <row r="50" customFormat="false" ht="3" hidden="false" customHeight="true" outlineLevel="0" collapsed="false">
      <c r="A50" s="84"/>
      <c r="B50" s="84"/>
      <c r="C50" s="86"/>
      <c r="D50" s="84"/>
      <c r="E50" s="86"/>
      <c r="F50" s="84"/>
      <c r="G50" s="84"/>
      <c r="H50" s="87"/>
      <c r="I50" s="84"/>
      <c r="J50" s="84"/>
      <c r="K50" s="84"/>
      <c r="L50" s="84"/>
      <c r="M50" s="88"/>
      <c r="N50" s="84"/>
      <c r="O50" s="84"/>
      <c r="P50" s="84"/>
      <c r="Q50" s="84"/>
      <c r="R50" s="84"/>
      <c r="S50" s="84"/>
      <c r="T50" s="86"/>
      <c r="U50" s="84"/>
      <c r="V50" s="84"/>
      <c r="W50" s="86"/>
      <c r="X50" s="84"/>
      <c r="Y50" s="84"/>
      <c r="Z50" s="84"/>
      <c r="AA50" s="58"/>
      <c r="AB50" s="51"/>
      <c r="AC50" s="51"/>
      <c r="AD50" s="48"/>
      <c r="AE50" s="81"/>
      <c r="AF50" s="81"/>
      <c r="AG50" s="82"/>
    </row>
    <row r="51" customFormat="false" ht="11.1" hidden="false" customHeight="true" outlineLevel="0" collapsed="false">
      <c r="A51" s="55"/>
      <c r="B51" s="56"/>
      <c r="C51" s="57"/>
      <c r="D51" s="55"/>
      <c r="E51" s="57"/>
      <c r="F51" s="55"/>
      <c r="G51" s="55"/>
      <c r="H51" s="58"/>
      <c r="I51" s="55"/>
      <c r="J51" s="55"/>
      <c r="K51" s="55"/>
      <c r="L51" s="55"/>
      <c r="M51" s="66"/>
      <c r="N51" s="55"/>
      <c r="O51" s="55"/>
      <c r="P51" s="55"/>
      <c r="Q51" s="55"/>
      <c r="R51" s="55"/>
      <c r="S51" s="55"/>
      <c r="T51" s="57"/>
      <c r="U51" s="55"/>
      <c r="V51" s="55"/>
      <c r="W51" s="57"/>
      <c r="X51" s="55"/>
      <c r="Y51" s="55"/>
      <c r="Z51" s="55"/>
      <c r="AA51" s="58"/>
      <c r="AB51" s="51"/>
      <c r="AC51" s="51"/>
      <c r="AD51" s="48"/>
      <c r="AE51" s="67"/>
      <c r="AF51" s="67"/>
    </row>
    <row r="52" customFormat="false" ht="11.1" hidden="false" customHeight="true" outlineLevel="0" collapsed="false">
      <c r="A52" s="55"/>
      <c r="B52" s="59"/>
      <c r="C52" s="57"/>
      <c r="D52" s="54"/>
      <c r="E52" s="57"/>
      <c r="F52" s="55"/>
      <c r="G52" s="55"/>
      <c r="H52" s="58"/>
      <c r="I52" s="60"/>
      <c r="J52" s="55"/>
      <c r="K52" s="39"/>
      <c r="L52" s="55"/>
      <c r="M52" s="66"/>
      <c r="N52" s="55"/>
      <c r="O52" s="55"/>
      <c r="P52" s="55"/>
      <c r="Q52" s="55"/>
      <c r="R52" s="55"/>
      <c r="S52" s="55"/>
      <c r="T52" s="57"/>
      <c r="U52" s="55"/>
      <c r="V52" s="55"/>
      <c r="W52" s="57"/>
      <c r="X52" s="55"/>
      <c r="Y52" s="55"/>
      <c r="Z52" s="55"/>
      <c r="AA52" s="58"/>
      <c r="AB52" s="51"/>
      <c r="AC52" s="51"/>
      <c r="AD52" s="48"/>
      <c r="AE52" s="67"/>
      <c r="AF52" s="67"/>
    </row>
    <row r="53" customFormat="false" ht="11.1" hidden="false" customHeight="true" outlineLevel="0" collapsed="false">
      <c r="A53" s="54"/>
      <c r="B53" s="54"/>
      <c r="C53" s="57"/>
      <c r="D53" s="57"/>
      <c r="E53" s="57"/>
      <c r="F53" s="54"/>
      <c r="G53" s="54"/>
      <c r="H53" s="58"/>
      <c r="I53" s="54"/>
      <c r="J53" s="54"/>
      <c r="K53" s="54"/>
      <c r="L53" s="54"/>
      <c r="M53" s="66"/>
      <c r="N53" s="61"/>
      <c r="O53" s="61"/>
      <c r="P53" s="61"/>
      <c r="Q53" s="54"/>
      <c r="R53" s="54"/>
      <c r="S53" s="54"/>
      <c r="T53" s="57"/>
      <c r="U53" s="54"/>
      <c r="V53" s="54"/>
      <c r="W53" s="57"/>
      <c r="X53" s="54"/>
      <c r="Y53" s="54"/>
      <c r="Z53" s="54"/>
      <c r="AA53" s="58"/>
      <c r="AB53" s="51"/>
      <c r="AC53" s="51"/>
      <c r="AD53" s="48"/>
      <c r="AE53" s="91"/>
      <c r="AF53" s="91"/>
    </row>
    <row r="54" customFormat="false" ht="11.1" hidden="false" customHeight="true" outlineLevel="0" collapsed="false">
      <c r="A54" s="54"/>
      <c r="B54" s="62"/>
      <c r="C54" s="57"/>
      <c r="D54" s="57"/>
      <c r="E54" s="57"/>
      <c r="F54" s="54"/>
      <c r="G54" s="54"/>
      <c r="H54" s="58"/>
      <c r="I54" s="54"/>
      <c r="J54" s="54"/>
      <c r="K54" s="54"/>
      <c r="L54" s="54"/>
      <c r="M54" s="66"/>
      <c r="N54" s="61"/>
      <c r="O54" s="61"/>
      <c r="P54" s="54"/>
      <c r="Q54" s="54"/>
      <c r="R54" s="54"/>
      <c r="S54" s="57"/>
      <c r="T54" s="54"/>
      <c r="U54" s="54"/>
      <c r="V54" s="57"/>
      <c r="W54" s="54"/>
      <c r="X54" s="54"/>
      <c r="Y54" s="54"/>
      <c r="Z54" s="62"/>
      <c r="AA54" s="58"/>
      <c r="AB54" s="51"/>
      <c r="AC54" s="48"/>
      <c r="AD54" s="91"/>
      <c r="AE54" s="91"/>
    </row>
    <row r="55" customFormat="false" ht="11.1" hidden="false" customHeight="true" outlineLevel="0" collapsed="false">
      <c r="A55" s="54"/>
      <c r="B55" s="54"/>
      <c r="C55" s="57"/>
      <c r="D55" s="54"/>
      <c r="E55" s="57"/>
      <c r="F55" s="54"/>
      <c r="G55" s="63"/>
      <c r="H55" s="58"/>
      <c r="I55" s="54"/>
      <c r="J55" s="54"/>
      <c r="K55" s="54"/>
      <c r="L55" s="54"/>
      <c r="M55" s="66"/>
      <c r="N55" s="61"/>
      <c r="O55" s="61"/>
      <c r="P55" s="54"/>
      <c r="Q55" s="54"/>
      <c r="R55" s="54"/>
      <c r="S55" s="57"/>
      <c r="T55" s="54"/>
      <c r="U55" s="54"/>
      <c r="V55" s="57"/>
      <c r="W55" s="54"/>
      <c r="X55" s="54"/>
      <c r="Y55" s="54"/>
      <c r="Z55" s="62"/>
      <c r="AA55" s="58"/>
      <c r="AB55" s="51"/>
      <c r="AC55" s="48"/>
      <c r="AD55" s="91"/>
      <c r="AE55" s="91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3"/>
  <sheetViews>
    <sheetView showFormulas="false" showGridLines="true" showRowColHeaders="true" showZeros="true" rightToLeft="false" tabSelected="false" showOutlineSymbols="true" defaultGridColor="true" view="normal" topLeftCell="G15" colorId="64" zoomScale="100" zoomScaleNormal="100" zoomScalePageLayoutView="100" workbookViewId="0">
      <selection pane="topLeft" activeCell="G50" activeCellId="0" sqref="G50"/>
    </sheetView>
  </sheetViews>
  <sheetFormatPr defaultColWidth="9.328125" defaultRowHeight="11.1" zeroHeight="false" outlineLevelRow="0" outlineLevelCol="0"/>
  <cols>
    <col collapsed="false" customWidth="true" hidden="false" outlineLevel="0" max="1" min="1" style="41" width="5.66"/>
    <col collapsed="false" customWidth="true" hidden="false" outlineLevel="0" max="2" min="2" style="41" width="7.82"/>
    <col collapsed="false" customWidth="true" hidden="false" outlineLevel="0" max="3" min="3" style="42" width="7.66"/>
    <col collapsed="false" customWidth="true" hidden="false" outlineLevel="0" max="4" min="4" style="41" width="6.99"/>
    <col collapsed="false" customWidth="true" hidden="false" outlineLevel="0" max="5" min="5" style="42" width="7.66"/>
    <col collapsed="false" customWidth="true" hidden="false" outlineLevel="0" max="6" min="6" style="41" width="7.66"/>
    <col collapsed="false" customWidth="true" hidden="false" outlineLevel="0" max="7" min="7" style="41" width="7.16"/>
    <col collapsed="false" customWidth="true" hidden="false" outlineLevel="0" max="8" min="8" style="43" width="6.66"/>
    <col collapsed="false" customWidth="true" hidden="false" outlineLevel="0" max="9" min="9" style="41" width="7.99"/>
    <col collapsed="false" customWidth="true" hidden="false" outlineLevel="0" max="10" min="10" style="41" width="6.66"/>
    <col collapsed="false" customWidth="true" hidden="false" outlineLevel="0" max="12" min="11" style="41" width="7.16"/>
    <col collapsed="false" customWidth="true" hidden="false" outlineLevel="0" max="13" min="13" style="44" width="6.16"/>
    <col collapsed="false" customWidth="true" hidden="true" outlineLevel="0" max="14" min="14" style="44" width="7.32"/>
    <col collapsed="false" customWidth="true" hidden="false" outlineLevel="0" max="15" min="15" style="44" width="6.49"/>
    <col collapsed="false" customWidth="true" hidden="false" outlineLevel="0" max="16" min="16" style="41" width="7.16"/>
    <col collapsed="false" customWidth="true" hidden="false" outlineLevel="0" max="17" min="17" style="41" width="6.32"/>
    <col collapsed="false" customWidth="true" hidden="false" outlineLevel="0" max="18" min="18" style="41" width="5.82"/>
    <col collapsed="false" customWidth="true" hidden="false" outlineLevel="0" max="19" min="19" style="42" width="6.82"/>
    <col collapsed="false" customWidth="true" hidden="false" outlineLevel="0" max="20" min="20" style="41" width="7.66"/>
    <col collapsed="false" customWidth="true" hidden="false" outlineLevel="0" max="21" min="21" style="41" width="5.99"/>
    <col collapsed="false" customWidth="true" hidden="false" outlineLevel="0" max="22" min="22" style="42" width="6.66"/>
    <col collapsed="false" customWidth="true" hidden="false" outlineLevel="0" max="23" min="23" style="41" width="6.82"/>
    <col collapsed="false" customWidth="true" hidden="false" outlineLevel="0" max="25" min="24" style="41" width="7.82"/>
    <col collapsed="false" customWidth="true" hidden="false" outlineLevel="0" max="26" min="26" style="45" width="8.16"/>
    <col collapsed="false" customWidth="true" hidden="false" outlineLevel="0" max="27" min="27" style="43" width="4.66"/>
    <col collapsed="false" customWidth="true" hidden="false" outlineLevel="0" max="28" min="28" style="46" width="4.66"/>
    <col collapsed="false" customWidth="true" hidden="false" outlineLevel="0" max="29" min="29" style="47" width="4.66"/>
    <col collapsed="false" customWidth="true" hidden="false" outlineLevel="0" max="30" min="30" style="41" width="5.66"/>
    <col collapsed="false" customWidth="false" hidden="false" outlineLevel="0" max="257" min="31" style="41" width="9.32"/>
  </cols>
  <sheetData>
    <row r="1" customFormat="false" ht="14.1" hidden="false" customHeight="true" outlineLevel="0" collapsed="false">
      <c r="A1" s="55"/>
      <c r="B1" s="55"/>
      <c r="C1" s="57"/>
      <c r="D1" s="55"/>
      <c r="E1" s="57"/>
      <c r="F1" s="55"/>
      <c r="G1" s="55"/>
      <c r="H1" s="58"/>
      <c r="I1" s="55"/>
      <c r="J1" s="55"/>
      <c r="K1" s="65" t="s">
        <v>0</v>
      </c>
      <c r="L1" s="55"/>
      <c r="M1" s="55"/>
      <c r="N1" s="55"/>
      <c r="O1" s="55"/>
      <c r="P1" s="55"/>
      <c r="Q1" s="55"/>
      <c r="R1" s="55"/>
      <c r="S1" s="57"/>
      <c r="T1" s="55"/>
      <c r="U1" s="55"/>
      <c r="V1" s="57"/>
      <c r="W1" s="55"/>
      <c r="X1" s="55"/>
      <c r="Y1" s="55"/>
      <c r="Z1" s="62"/>
      <c r="AA1" s="58"/>
      <c r="AB1" s="51"/>
      <c r="AC1" s="48"/>
      <c r="AD1" s="67"/>
      <c r="AE1" s="67"/>
    </row>
    <row r="2" customFormat="false" ht="14.1" hidden="false" customHeight="true" outlineLevel="0" collapsed="false">
      <c r="A2" s="55" t="s">
        <v>1</v>
      </c>
      <c r="B2" s="55"/>
      <c r="C2" s="57"/>
      <c r="D2" s="68" t="n">
        <v>1.9835</v>
      </c>
      <c r="E2" s="57"/>
      <c r="F2" s="55"/>
      <c r="G2" s="55"/>
      <c r="H2" s="58"/>
      <c r="I2" s="55"/>
      <c r="J2" s="55"/>
      <c r="K2" s="69" t="s">
        <v>64</v>
      </c>
      <c r="L2" s="69"/>
      <c r="M2" s="69"/>
      <c r="N2" s="69"/>
      <c r="O2" s="69"/>
      <c r="P2" s="69"/>
      <c r="Q2" s="69"/>
      <c r="R2" s="69"/>
      <c r="S2" s="69"/>
      <c r="T2" s="69"/>
      <c r="U2" s="55"/>
      <c r="V2" s="57"/>
      <c r="W2" s="55"/>
      <c r="X2" s="55"/>
      <c r="Y2" s="55"/>
      <c r="Z2" s="62"/>
      <c r="AA2" s="58"/>
      <c r="AB2" s="51"/>
      <c r="AC2" s="48"/>
      <c r="AD2" s="67"/>
      <c r="AE2" s="67"/>
    </row>
    <row r="3" customFormat="false" ht="11.1" hidden="false" customHeight="true" outlineLevel="0" collapsed="false">
      <c r="A3" s="55"/>
      <c r="B3" s="55"/>
      <c r="C3" s="57"/>
      <c r="D3" s="70"/>
      <c r="E3" s="57"/>
      <c r="F3" s="55"/>
      <c r="G3" s="55"/>
      <c r="H3" s="58"/>
      <c r="I3" s="55"/>
      <c r="J3" s="55"/>
      <c r="K3" s="55"/>
      <c r="L3" s="55"/>
      <c r="M3" s="55"/>
      <c r="N3" s="55"/>
      <c r="O3" s="55"/>
      <c r="P3" s="55"/>
      <c r="Q3" s="55"/>
      <c r="R3" s="55"/>
      <c r="S3" s="57"/>
      <c r="T3" s="55"/>
      <c r="U3" s="55"/>
      <c r="V3" s="57"/>
      <c r="W3" s="55"/>
      <c r="X3" s="55"/>
      <c r="Y3" s="55"/>
      <c r="Z3" s="62"/>
      <c r="AA3" s="58"/>
      <c r="AB3" s="51"/>
      <c r="AC3" s="48"/>
      <c r="AD3" s="67"/>
      <c r="AE3" s="67"/>
    </row>
    <row r="4" customFormat="false" ht="11.1" hidden="false" customHeight="true" outlineLevel="0" collapsed="false">
      <c r="A4" s="71" t="s">
        <v>3</v>
      </c>
      <c r="B4" s="71" t="s">
        <v>4</v>
      </c>
      <c r="C4" s="72" t="s">
        <v>4</v>
      </c>
      <c r="D4" s="71" t="s">
        <v>5</v>
      </c>
      <c r="E4" s="72" t="s">
        <v>6</v>
      </c>
      <c r="F4" s="71" t="s">
        <v>7</v>
      </c>
      <c r="G4" s="71" t="s">
        <v>8</v>
      </c>
      <c r="H4" s="73" t="s">
        <v>9</v>
      </c>
      <c r="I4" s="71" t="s">
        <v>10</v>
      </c>
      <c r="J4" s="71" t="s">
        <v>11</v>
      </c>
      <c r="K4" s="71" t="s">
        <v>12</v>
      </c>
      <c r="L4" s="71" t="s">
        <v>11</v>
      </c>
      <c r="M4" s="71" t="s">
        <v>54</v>
      </c>
      <c r="N4" s="71"/>
      <c r="O4" s="71"/>
      <c r="P4" s="71"/>
      <c r="Q4" s="71" t="s">
        <v>55</v>
      </c>
      <c r="R4" s="71" t="s">
        <v>14</v>
      </c>
      <c r="S4" s="71" t="s">
        <v>12</v>
      </c>
      <c r="T4" s="72" t="s">
        <v>13</v>
      </c>
      <c r="U4" s="71" t="s">
        <v>15</v>
      </c>
      <c r="V4" s="71" t="s">
        <v>17</v>
      </c>
      <c r="W4" s="72" t="s">
        <v>18</v>
      </c>
      <c r="X4" s="71" t="s">
        <v>10</v>
      </c>
      <c r="Y4" s="71" t="s">
        <v>11</v>
      </c>
      <c r="Z4" s="71" t="s">
        <v>12</v>
      </c>
      <c r="AA4" s="73" t="s">
        <v>19</v>
      </c>
      <c r="AB4" s="49" t="s">
        <v>20</v>
      </c>
      <c r="AC4" s="49" t="s">
        <v>21</v>
      </c>
      <c r="AD4" s="49" t="s">
        <v>3</v>
      </c>
      <c r="AE4" s="67"/>
      <c r="AF4" s="67"/>
    </row>
    <row r="5" customFormat="false" ht="11.1" hidden="false" customHeight="true" outlineLevel="0" collapsed="false">
      <c r="A5" s="75" t="s">
        <v>65</v>
      </c>
      <c r="B5" s="71" t="s">
        <v>23</v>
      </c>
      <c r="C5" s="72" t="s">
        <v>5</v>
      </c>
      <c r="D5" s="71" t="s">
        <v>24</v>
      </c>
      <c r="E5" s="72" t="s">
        <v>25</v>
      </c>
      <c r="F5" s="71" t="s">
        <v>26</v>
      </c>
      <c r="G5" s="71" t="s">
        <v>27</v>
      </c>
      <c r="H5" s="73" t="s">
        <v>28</v>
      </c>
      <c r="I5" s="71" t="s">
        <v>29</v>
      </c>
      <c r="J5" s="71" t="s">
        <v>29</v>
      </c>
      <c r="K5" s="71" t="s">
        <v>29</v>
      </c>
      <c r="L5" s="71" t="s">
        <v>30</v>
      </c>
      <c r="M5" s="71" t="s">
        <v>57</v>
      </c>
      <c r="N5" s="71" t="s">
        <v>58</v>
      </c>
      <c r="O5" s="71" t="s">
        <v>59</v>
      </c>
      <c r="P5" s="71" t="s">
        <v>60</v>
      </c>
      <c r="Q5" s="71" t="s">
        <v>61</v>
      </c>
      <c r="R5" s="71" t="s">
        <v>62</v>
      </c>
      <c r="S5" s="71" t="s">
        <v>13</v>
      </c>
      <c r="T5" s="72" t="s">
        <v>34</v>
      </c>
      <c r="U5" s="71" t="s">
        <v>35</v>
      </c>
      <c r="V5" s="71" t="s">
        <v>37</v>
      </c>
      <c r="W5" s="72" t="s">
        <v>38</v>
      </c>
      <c r="X5" s="71" t="s">
        <v>39</v>
      </c>
      <c r="Y5" s="71" t="s">
        <v>39</v>
      </c>
      <c r="Z5" s="71" t="s">
        <v>39</v>
      </c>
      <c r="AA5" s="76"/>
      <c r="AB5" s="49" t="s">
        <v>40</v>
      </c>
      <c r="AC5" s="49" t="s">
        <v>40</v>
      </c>
      <c r="AD5" s="50" t="s">
        <v>65</v>
      </c>
      <c r="AE5" s="67"/>
      <c r="AF5" s="67"/>
    </row>
    <row r="6" customFormat="false" ht="11.1" hidden="false" customHeight="true" outlineLevel="0" collapsed="false">
      <c r="A6" s="77"/>
      <c r="B6" s="77"/>
      <c r="C6" s="78"/>
      <c r="D6" s="77"/>
      <c r="E6" s="78"/>
      <c r="F6" s="77"/>
      <c r="G6" s="77"/>
      <c r="H6" s="79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8"/>
      <c r="U6" s="77"/>
      <c r="V6" s="77"/>
      <c r="W6" s="78"/>
      <c r="X6" s="77"/>
      <c r="Y6" s="77"/>
      <c r="Z6" s="77"/>
      <c r="AA6" s="58"/>
      <c r="AB6" s="48"/>
      <c r="AC6" s="48"/>
      <c r="AD6" s="48"/>
      <c r="AE6" s="81"/>
      <c r="AF6" s="81"/>
      <c r="AG6" s="82"/>
    </row>
    <row r="7" customFormat="false" ht="11.1" hidden="false" customHeight="true" outlineLevel="0" collapsed="false">
      <c r="A7" s="55" t="s">
        <v>41</v>
      </c>
      <c r="B7" s="55"/>
      <c r="C7" s="57"/>
      <c r="D7" s="57"/>
      <c r="E7" s="57"/>
      <c r="F7" s="57"/>
      <c r="G7" s="57"/>
      <c r="H7" s="58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  <c r="AB7" s="51"/>
      <c r="AC7" s="51"/>
      <c r="AD7" s="48"/>
      <c r="AE7" s="81"/>
      <c r="AF7" s="82"/>
      <c r="AG7" s="82"/>
    </row>
    <row r="8" s="42" customFormat="true" ht="11.1" hidden="false" customHeight="true" outlineLevel="0" collapsed="false">
      <c r="A8" s="57" t="s">
        <v>42</v>
      </c>
      <c r="B8" s="59" t="n">
        <f aca="false">JAN!B40</f>
        <v>6906.31</v>
      </c>
      <c r="C8" s="57" t="n">
        <f aca="false">JAN!C40</f>
        <v>307456</v>
      </c>
      <c r="D8" s="57" t="n">
        <f aca="false">JAN!$D$49</f>
        <v>3479</v>
      </c>
      <c r="E8" s="57" t="n">
        <f aca="false">JAN!$E$40</f>
        <v>155456</v>
      </c>
      <c r="F8" s="57" t="n">
        <f aca="false">JAN!F48</f>
        <v>1753.97025460045</v>
      </c>
      <c r="G8" s="57" t="n">
        <f aca="false">JAN!G48</f>
        <v>6534.5</v>
      </c>
      <c r="H8" s="58" t="n">
        <f aca="false">JAN!H48</f>
        <v>0</v>
      </c>
      <c r="I8" s="57" t="n">
        <f aca="false">JAN!I48</f>
        <v>6534.5</v>
      </c>
      <c r="J8" s="57" t="n">
        <f aca="false">JAN!J48</f>
        <v>241.734812200655</v>
      </c>
      <c r="K8" s="57" t="n">
        <f aca="false">JAN!K48</f>
        <v>6776.23481220065</v>
      </c>
      <c r="L8" s="57" t="n">
        <f aca="false">JAN!L48</f>
        <v>-659.329745399546</v>
      </c>
      <c r="M8" s="57" t="n">
        <f aca="false">JAN!M48</f>
        <v>812</v>
      </c>
      <c r="N8" s="57" t="n">
        <f aca="false">JAN!N48</f>
        <v>0</v>
      </c>
      <c r="O8" s="57" t="n">
        <f aca="false">JAN!O48</f>
        <v>0</v>
      </c>
      <c r="P8" s="57" t="n">
        <f aca="false">JAN!P48</f>
        <v>140.3</v>
      </c>
      <c r="Q8" s="57" t="n">
        <f aca="false">JAN!Q48</f>
        <v>0</v>
      </c>
      <c r="R8" s="57" t="n">
        <f aca="false">JAN!R48</f>
        <v>178.7</v>
      </c>
      <c r="S8" s="57" t="n">
        <f aca="false">JAN!S48</f>
        <v>990.7</v>
      </c>
      <c r="T8" s="57" t="n">
        <f aca="false">JAN!T48</f>
        <v>0</v>
      </c>
      <c r="U8" s="57" t="n">
        <f aca="false">JAN!U48</f>
        <v>0</v>
      </c>
      <c r="V8" s="57" t="n">
        <f aca="false">JAN!V48</f>
        <v>3130.5</v>
      </c>
      <c r="W8" s="57" t="n">
        <f aca="false">JAN!W48</f>
        <v>12166.5</v>
      </c>
      <c r="X8" s="57" t="n">
        <f aca="false">JAN!X48</f>
        <v>4121.2</v>
      </c>
      <c r="Y8" s="57" t="n">
        <f aca="false">JAN!Y48</f>
        <v>901.064557600202</v>
      </c>
      <c r="Z8" s="57" t="n">
        <f aca="false">JAN!Z48</f>
        <v>5022.2645576002</v>
      </c>
      <c r="AA8" s="58" t="n">
        <f aca="false">JAN!AA48</f>
        <v>6.43</v>
      </c>
      <c r="AB8" s="51"/>
      <c r="AC8" s="51"/>
      <c r="AD8" s="48"/>
      <c r="AE8" s="83"/>
      <c r="AF8" s="81"/>
      <c r="AG8" s="83"/>
    </row>
    <row r="9" customFormat="false" ht="3" hidden="false" customHeight="true" outlineLevel="0" collapsed="false">
      <c r="A9" s="84"/>
      <c r="B9" s="85"/>
      <c r="C9" s="86"/>
      <c r="D9" s="84"/>
      <c r="E9" s="86"/>
      <c r="F9" s="84"/>
      <c r="G9" s="84"/>
      <c r="H9" s="87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6"/>
      <c r="U9" s="84"/>
      <c r="V9" s="84"/>
      <c r="W9" s="86"/>
      <c r="X9" s="84"/>
      <c r="Y9" s="84"/>
      <c r="Z9" s="84"/>
      <c r="AA9" s="87"/>
      <c r="AB9" s="52"/>
      <c r="AC9" s="52"/>
      <c r="AD9" s="53"/>
      <c r="AE9" s="81"/>
      <c r="AF9" s="81"/>
      <c r="AG9" s="82"/>
    </row>
    <row r="10" customFormat="false" ht="11.1" hidden="false" customHeight="true" outlineLevel="0" collapsed="false">
      <c r="A10" s="48" t="n">
        <v>1</v>
      </c>
      <c r="B10" s="59" t="n">
        <v>6906.31</v>
      </c>
      <c r="C10" s="57" t="n">
        <v>307456</v>
      </c>
      <c r="D10" s="51" t="n">
        <f aca="false">C10-C8</f>
        <v>0</v>
      </c>
      <c r="E10" s="57" t="n">
        <f aca="false">C10-152000</f>
        <v>155456</v>
      </c>
      <c r="F10" s="55" t="n">
        <f aca="false">D10/$D$2</f>
        <v>0</v>
      </c>
      <c r="G10" s="55" t="n">
        <v>39</v>
      </c>
      <c r="H10" s="58" t="n">
        <v>6.2</v>
      </c>
      <c r="I10" s="55" t="n">
        <f aca="false">G10+H10</f>
        <v>45.2</v>
      </c>
      <c r="J10" s="61" t="n">
        <f aca="false">IF(L10&gt;0,L10,0)</f>
        <v>0</v>
      </c>
      <c r="K10" s="55" t="n">
        <f aca="false">I10+J10</f>
        <v>45.2</v>
      </c>
      <c r="L10" s="55" t="n">
        <f aca="false">F10-(I10-X10)</f>
        <v>0</v>
      </c>
      <c r="M10" s="55" t="n">
        <v>3.7</v>
      </c>
      <c r="N10" s="55" t="n">
        <v>0</v>
      </c>
      <c r="O10" s="55" t="n">
        <v>0</v>
      </c>
      <c r="P10" s="5" t="n">
        <f aca="false">M10-(N10+O10)</f>
        <v>3.7</v>
      </c>
      <c r="Q10" s="55" t="n">
        <v>0</v>
      </c>
      <c r="R10" s="55" t="n">
        <v>0</v>
      </c>
      <c r="S10" s="55" t="n">
        <f aca="false">SUM(P10:R10)</f>
        <v>3.7</v>
      </c>
      <c r="T10" s="57"/>
      <c r="U10" s="55" t="n">
        <v>0</v>
      </c>
      <c r="V10" s="55" t="n">
        <v>41.5</v>
      </c>
      <c r="W10" s="57" t="n">
        <f aca="false">W8-30</f>
        <v>12136.5</v>
      </c>
      <c r="X10" s="5" t="n">
        <f aca="false">N10+O10+S10+U10+V10</f>
        <v>45.2</v>
      </c>
      <c r="Y10" s="55" t="n">
        <f aca="false">IF(L10&lt;0,L10*-1,0)</f>
        <v>0</v>
      </c>
      <c r="Z10" s="55" t="n">
        <f aca="false">X10+Y10</f>
        <v>45.2</v>
      </c>
      <c r="AA10" s="58" t="n">
        <v>0.2</v>
      </c>
      <c r="AB10" s="51" t="n">
        <v>34</v>
      </c>
      <c r="AC10" s="51" t="n">
        <v>14</v>
      </c>
      <c r="AD10" s="48" t="n">
        <v>1</v>
      </c>
      <c r="AE10" s="82"/>
      <c r="AF10" s="83"/>
      <c r="AG10" s="82"/>
    </row>
    <row r="11" customFormat="false" ht="11.1" hidden="false" customHeight="true" outlineLevel="0" collapsed="false">
      <c r="A11" s="48" t="n">
        <f aca="false">A10+1</f>
        <v>2</v>
      </c>
      <c r="B11" s="59" t="n">
        <v>6906.31</v>
      </c>
      <c r="C11" s="57" t="n">
        <v>307456</v>
      </c>
      <c r="D11" s="51" t="n">
        <f aca="false">C11-C10</f>
        <v>0</v>
      </c>
      <c r="E11" s="57" t="n">
        <f aca="false">C11-152000</f>
        <v>155456</v>
      </c>
      <c r="F11" s="55" t="n">
        <f aca="false">D11/$D$2</f>
        <v>0</v>
      </c>
      <c r="G11" s="55" t="n">
        <v>47.1</v>
      </c>
      <c r="H11" s="58" t="n">
        <v>6</v>
      </c>
      <c r="I11" s="55" t="n">
        <f aca="false">G11+H11</f>
        <v>53.1</v>
      </c>
      <c r="J11" s="61" t="n">
        <f aca="false">IF(L11&gt;0,L11,0)</f>
        <v>0</v>
      </c>
      <c r="K11" s="55" t="n">
        <f aca="false">I11+J11</f>
        <v>53.1</v>
      </c>
      <c r="L11" s="55" t="n">
        <f aca="false">F11-(I11-X11)</f>
        <v>0</v>
      </c>
      <c r="M11" s="55" t="n">
        <v>3.7</v>
      </c>
      <c r="N11" s="55" t="n">
        <v>0</v>
      </c>
      <c r="O11" s="55" t="n">
        <v>0</v>
      </c>
      <c r="P11" s="5" t="n">
        <f aca="false">M11-(N11+O11)</f>
        <v>3.7</v>
      </c>
      <c r="Q11" s="55" t="n">
        <v>0</v>
      </c>
      <c r="R11" s="55" t="n">
        <v>0</v>
      </c>
      <c r="S11" s="55" t="n">
        <f aca="false">SUM(P11:R11)</f>
        <v>3.7</v>
      </c>
      <c r="T11" s="57"/>
      <c r="U11" s="55" t="n">
        <v>0</v>
      </c>
      <c r="V11" s="55" t="n">
        <v>49.4</v>
      </c>
      <c r="W11" s="57" t="n">
        <f aca="false">W10-30</f>
        <v>12106.5</v>
      </c>
      <c r="X11" s="5" t="n">
        <f aca="false">N11+O11+S11+U11+V11</f>
        <v>53.1</v>
      </c>
      <c r="Y11" s="55" t="n">
        <f aca="false">IF(L11&lt;0,L11*-1,0)</f>
        <v>0</v>
      </c>
      <c r="Z11" s="55" t="n">
        <f aca="false">X11+Y11</f>
        <v>53.1</v>
      </c>
      <c r="AA11" s="58" t="n">
        <v>0</v>
      </c>
      <c r="AB11" s="51" t="n">
        <v>40</v>
      </c>
      <c r="AC11" s="51" t="n">
        <v>18</v>
      </c>
      <c r="AD11" s="48" t="n">
        <f aca="false">AD10+1</f>
        <v>2</v>
      </c>
      <c r="AE11" s="82"/>
      <c r="AF11" s="83"/>
      <c r="AG11" s="82"/>
    </row>
    <row r="12" customFormat="false" ht="11.1" hidden="false" customHeight="true" outlineLevel="0" collapsed="false">
      <c r="A12" s="48" t="n">
        <f aca="false">A11+1</f>
        <v>3</v>
      </c>
      <c r="B12" s="59" t="n">
        <v>6906.32</v>
      </c>
      <c r="C12" s="57" t="n">
        <v>307494</v>
      </c>
      <c r="D12" s="51" t="n">
        <f aca="false">C12-C11</f>
        <v>38</v>
      </c>
      <c r="E12" s="57" t="n">
        <f aca="false">C12-152000</f>
        <v>155494</v>
      </c>
      <c r="F12" s="55" t="n">
        <f aca="false">D12/$D$2</f>
        <v>19.1580539450466</v>
      </c>
      <c r="G12" s="55" t="n">
        <v>68.6</v>
      </c>
      <c r="H12" s="58" t="n">
        <v>5.8</v>
      </c>
      <c r="I12" s="55" t="n">
        <f aca="false">G12+H12</f>
        <v>74.4</v>
      </c>
      <c r="J12" s="61" t="n">
        <f aca="false">IF(L12&gt;0,L12,0)</f>
        <v>0.0580539450466482</v>
      </c>
      <c r="K12" s="55" t="n">
        <f aca="false">I12+J12</f>
        <v>74.4580539450466</v>
      </c>
      <c r="L12" s="55" t="n">
        <f aca="false">F12-(I12-X12)</f>
        <v>0.0580539450466482</v>
      </c>
      <c r="M12" s="55" t="n">
        <v>3.7</v>
      </c>
      <c r="N12" s="55" t="n">
        <v>0</v>
      </c>
      <c r="O12" s="55" t="n">
        <v>0</v>
      </c>
      <c r="P12" s="5" t="n">
        <f aca="false">M12-(N12+O12)</f>
        <v>3.7</v>
      </c>
      <c r="Q12" s="55" t="n">
        <v>0</v>
      </c>
      <c r="R12" s="55" t="n">
        <v>0</v>
      </c>
      <c r="S12" s="55" t="n">
        <f aca="false">SUM(P12:R12)</f>
        <v>3.7</v>
      </c>
      <c r="T12" s="57"/>
      <c r="U12" s="55" t="n">
        <v>0</v>
      </c>
      <c r="V12" s="55" t="n">
        <v>51.6</v>
      </c>
      <c r="W12" s="57" t="n">
        <f aca="false">W11-30</f>
        <v>12076.5</v>
      </c>
      <c r="X12" s="5" t="n">
        <f aca="false">N12+O12+S12+U12+V12</f>
        <v>55.3</v>
      </c>
      <c r="Y12" s="55" t="n">
        <f aca="false">IF(L12&lt;0,L12*-1,0)</f>
        <v>0</v>
      </c>
      <c r="Z12" s="55" t="n">
        <f aca="false">X12+Y12</f>
        <v>55.3</v>
      </c>
      <c r="AA12" s="58" t="n">
        <v>0</v>
      </c>
      <c r="AB12" s="51" t="n">
        <v>44</v>
      </c>
      <c r="AC12" s="51" t="n">
        <v>9</v>
      </c>
      <c r="AD12" s="48" t="n">
        <f aca="false">AD11+1</f>
        <v>3</v>
      </c>
      <c r="AE12" s="82"/>
      <c r="AF12" s="83"/>
      <c r="AG12" s="82"/>
    </row>
    <row r="13" customFormat="false" ht="11.1" hidden="false" customHeight="true" outlineLevel="0" collapsed="false">
      <c r="A13" s="48" t="n">
        <f aca="false">A12+1</f>
        <v>4</v>
      </c>
      <c r="B13" s="59" t="n">
        <v>6906.33</v>
      </c>
      <c r="C13" s="57" t="n">
        <v>307534</v>
      </c>
      <c r="D13" s="51" t="n">
        <f aca="false">C13-C12</f>
        <v>40</v>
      </c>
      <c r="E13" s="57" t="n">
        <f aca="false">C13-152000</f>
        <v>155534</v>
      </c>
      <c r="F13" s="55" t="n">
        <f aca="false">D13/$D$2</f>
        <v>20.1663725737333</v>
      </c>
      <c r="G13" s="55" t="n">
        <v>68.7</v>
      </c>
      <c r="H13" s="58" t="n">
        <v>5.5</v>
      </c>
      <c r="I13" s="55" t="n">
        <f aca="false">G13+H13</f>
        <v>74.2</v>
      </c>
      <c r="J13" s="61" t="n">
        <f aca="false">IF(L13&gt;0,L13,0)</f>
        <v>0</v>
      </c>
      <c r="K13" s="55" t="n">
        <f aca="false">I13+J13</f>
        <v>74.2</v>
      </c>
      <c r="L13" s="55" t="n">
        <f aca="false">F13-(I13-X13)</f>
        <v>-0.133627426266699</v>
      </c>
      <c r="M13" s="55" t="n">
        <v>3.7</v>
      </c>
      <c r="N13" s="55" t="n">
        <v>0</v>
      </c>
      <c r="O13" s="55" t="n">
        <v>0</v>
      </c>
      <c r="P13" s="5" t="n">
        <f aca="false">M13-(N13+O13)</f>
        <v>3.7</v>
      </c>
      <c r="Q13" s="55" t="n">
        <v>0</v>
      </c>
      <c r="R13" s="55" t="n">
        <v>0</v>
      </c>
      <c r="S13" s="55" t="n">
        <f aca="false">SUM(P13:R13)</f>
        <v>3.7</v>
      </c>
      <c r="T13" s="57"/>
      <c r="U13" s="55" t="n">
        <v>0</v>
      </c>
      <c r="V13" s="55" t="n">
        <v>50.2</v>
      </c>
      <c r="W13" s="57" t="n">
        <f aca="false">W12-30</f>
        <v>12046.5</v>
      </c>
      <c r="X13" s="5" t="n">
        <f aca="false">N13+O13+S13+U13+V13</f>
        <v>53.9</v>
      </c>
      <c r="Y13" s="55" t="n">
        <f aca="false">IF(L13&lt;0,L13*-1,0)</f>
        <v>0.133627426266699</v>
      </c>
      <c r="Z13" s="55" t="n">
        <f aca="false">X13+Y13</f>
        <v>54.0336274262667</v>
      </c>
      <c r="AA13" s="58" t="n">
        <v>0</v>
      </c>
      <c r="AB13" s="51" t="n">
        <v>43</v>
      </c>
      <c r="AC13" s="51" t="n">
        <v>8</v>
      </c>
      <c r="AD13" s="48" t="n">
        <f aca="false">AD12+1</f>
        <v>4</v>
      </c>
      <c r="AE13" s="82"/>
      <c r="AF13" s="83"/>
      <c r="AG13" s="82"/>
    </row>
    <row r="14" customFormat="false" ht="11.1" hidden="false" customHeight="true" outlineLevel="0" collapsed="false">
      <c r="A14" s="48" t="n">
        <f aca="false">A13+1</f>
        <v>5</v>
      </c>
      <c r="B14" s="59" t="n">
        <v>6906.33</v>
      </c>
      <c r="C14" s="57" t="n">
        <v>307534</v>
      </c>
      <c r="D14" s="51" t="n">
        <f aca="false">C14-C13</f>
        <v>0</v>
      </c>
      <c r="E14" s="57" t="n">
        <f aca="false">C14-152000</f>
        <v>155534</v>
      </c>
      <c r="F14" s="55" t="n">
        <f aca="false">D14/$D$2</f>
        <v>0</v>
      </c>
      <c r="G14" s="55" t="n">
        <v>48.6</v>
      </c>
      <c r="H14" s="58" t="n">
        <v>5</v>
      </c>
      <c r="I14" s="55" t="n">
        <f aca="false">G14+H14</f>
        <v>53.6</v>
      </c>
      <c r="J14" s="61" t="n">
        <f aca="false">IF(L14&gt;0,L14,0)</f>
        <v>0</v>
      </c>
      <c r="K14" s="55" t="n">
        <f aca="false">I14+J14</f>
        <v>53.6</v>
      </c>
      <c r="L14" s="55" t="n">
        <f aca="false">F14-(I14-X14)</f>
        <v>0</v>
      </c>
      <c r="M14" s="55" t="n">
        <v>3.7</v>
      </c>
      <c r="N14" s="55" t="n">
        <v>0</v>
      </c>
      <c r="O14" s="55" t="n">
        <v>0</v>
      </c>
      <c r="P14" s="5" t="n">
        <f aca="false">M14-(N14+O14)</f>
        <v>3.7</v>
      </c>
      <c r="Q14" s="55" t="n">
        <v>0</v>
      </c>
      <c r="R14" s="55" t="n">
        <v>0</v>
      </c>
      <c r="S14" s="55" t="n">
        <f aca="false">SUM(P14:R14)</f>
        <v>3.7</v>
      </c>
      <c r="T14" s="57"/>
      <c r="U14" s="55" t="n">
        <v>0</v>
      </c>
      <c r="V14" s="55" t="n">
        <v>49.9</v>
      </c>
      <c r="W14" s="57" t="n">
        <f aca="false">W13-30</f>
        <v>12016.5</v>
      </c>
      <c r="X14" s="5" t="n">
        <f aca="false">N14+O14+S14+U14+V14</f>
        <v>53.6</v>
      </c>
      <c r="Y14" s="55" t="n">
        <f aca="false">IF(L14&lt;0,L14*-1,0)</f>
        <v>0</v>
      </c>
      <c r="Z14" s="55" t="n">
        <f aca="false">X14+Y14</f>
        <v>53.6</v>
      </c>
      <c r="AA14" s="58" t="n">
        <v>0</v>
      </c>
      <c r="AB14" s="51" t="n">
        <v>44</v>
      </c>
      <c r="AC14" s="51" t="n">
        <v>10</v>
      </c>
      <c r="AD14" s="48" t="n">
        <f aca="false">AD13+1</f>
        <v>5</v>
      </c>
      <c r="AE14" s="82"/>
      <c r="AF14" s="83"/>
      <c r="AG14" s="82"/>
    </row>
    <row r="15" customFormat="false" ht="11.1" hidden="false" customHeight="true" outlineLevel="0" collapsed="false">
      <c r="A15" s="48" t="n">
        <f aca="false">A14+1</f>
        <v>6</v>
      </c>
      <c r="B15" s="59" t="n">
        <v>6906.34</v>
      </c>
      <c r="C15" s="57" t="n">
        <v>307572</v>
      </c>
      <c r="D15" s="51" t="n">
        <f aca="false">C15-C14</f>
        <v>38</v>
      </c>
      <c r="E15" s="57" t="n">
        <f aca="false">C15-152000</f>
        <v>155572</v>
      </c>
      <c r="F15" s="55" t="n">
        <f aca="false">D15/$D$2</f>
        <v>19.1580539450466</v>
      </c>
      <c r="G15" s="55" t="n">
        <v>68.4</v>
      </c>
      <c r="H15" s="58" t="n">
        <v>4.8</v>
      </c>
      <c r="I15" s="55" t="n">
        <f aca="false">G15+H15</f>
        <v>73.2</v>
      </c>
      <c r="J15" s="61" t="n">
        <f aca="false">IF(L15&gt;0,L15,0)</f>
        <v>0</v>
      </c>
      <c r="K15" s="55" t="n">
        <f aca="false">I15+J15</f>
        <v>73.2</v>
      </c>
      <c r="L15" s="55" t="n">
        <f aca="false">F15-(I15-X15)</f>
        <v>-0.0419460549533675</v>
      </c>
      <c r="M15" s="55" t="n">
        <v>3.7</v>
      </c>
      <c r="N15" s="55" t="n">
        <v>0</v>
      </c>
      <c r="O15" s="55" t="n">
        <v>0</v>
      </c>
      <c r="P15" s="5" t="n">
        <f aca="false">M15-(N15+O15)</f>
        <v>3.7</v>
      </c>
      <c r="Q15" s="55" t="n">
        <v>0</v>
      </c>
      <c r="R15" s="55" t="n">
        <v>0</v>
      </c>
      <c r="S15" s="55" t="n">
        <f aca="false">SUM(P15:R15)</f>
        <v>3.7</v>
      </c>
      <c r="T15" s="57"/>
      <c r="U15" s="55" t="n">
        <v>0</v>
      </c>
      <c r="V15" s="55" t="n">
        <v>50.3</v>
      </c>
      <c r="W15" s="57" t="n">
        <f aca="false">W14-30</f>
        <v>11986.5</v>
      </c>
      <c r="X15" s="5" t="n">
        <f aca="false">N15+O15+S15+U15+V15</f>
        <v>54</v>
      </c>
      <c r="Y15" s="55" t="n">
        <f aca="false">IF(L15&lt;0,L15*-1,0)</f>
        <v>0.0419460549533675</v>
      </c>
      <c r="Z15" s="55" t="n">
        <f aca="false">X15+Y15</f>
        <v>54.0419460549534</v>
      </c>
      <c r="AA15" s="58" t="n">
        <v>0</v>
      </c>
      <c r="AB15" s="51" t="n">
        <v>45</v>
      </c>
      <c r="AC15" s="51" t="n">
        <v>18</v>
      </c>
      <c r="AD15" s="48" t="n">
        <f aca="false">AD14+1</f>
        <v>6</v>
      </c>
      <c r="AE15" s="81"/>
      <c r="AF15" s="83"/>
      <c r="AG15" s="82"/>
    </row>
    <row r="16" customFormat="false" ht="11.1" hidden="false" customHeight="true" outlineLevel="0" collapsed="false">
      <c r="A16" s="48" t="n">
        <f aca="false">A15+1</f>
        <v>7</v>
      </c>
      <c r="B16" s="59" t="n">
        <v>3906.34</v>
      </c>
      <c r="C16" s="57" t="n">
        <v>307572</v>
      </c>
      <c r="D16" s="51" t="n">
        <f aca="false">C16-C15</f>
        <v>0</v>
      </c>
      <c r="E16" s="57" t="n">
        <f aca="false">C16-152000</f>
        <v>155572</v>
      </c>
      <c r="F16" s="55" t="n">
        <f aca="false">D16/$D$2</f>
        <v>0</v>
      </c>
      <c r="G16" s="55" t="n">
        <v>48.9</v>
      </c>
      <c r="H16" s="58" t="n">
        <v>4.8</v>
      </c>
      <c r="I16" s="55" t="n">
        <f aca="false">G16+H16</f>
        <v>53.7</v>
      </c>
      <c r="J16" s="61" t="n">
        <f aca="false">IF(L16&gt;0,L16,0)</f>
        <v>0.100000000000009</v>
      </c>
      <c r="K16" s="55" t="n">
        <f aca="false">I16+J16</f>
        <v>53.8</v>
      </c>
      <c r="L16" s="55" t="n">
        <f aca="false">F16-(I16-X16)</f>
        <v>0.100000000000009</v>
      </c>
      <c r="M16" s="55" t="n">
        <v>3.7</v>
      </c>
      <c r="N16" s="55" t="n">
        <v>0</v>
      </c>
      <c r="O16" s="55" t="n">
        <v>0</v>
      </c>
      <c r="P16" s="5" t="n">
        <f aca="false">M16-(N16+O16)</f>
        <v>3.7</v>
      </c>
      <c r="Q16" s="55" t="n">
        <v>0</v>
      </c>
      <c r="R16" s="55" t="n">
        <v>0</v>
      </c>
      <c r="S16" s="55" t="n">
        <f aca="false">SUM(P16:R16)</f>
        <v>3.7</v>
      </c>
      <c r="T16" s="57"/>
      <c r="U16" s="55" t="n">
        <v>0</v>
      </c>
      <c r="V16" s="55" t="n">
        <v>50.1</v>
      </c>
      <c r="W16" s="57" t="n">
        <f aca="false">W15-30</f>
        <v>11956.5</v>
      </c>
      <c r="X16" s="5" t="n">
        <f aca="false">N16+O16+S16+U16+V16</f>
        <v>53.8</v>
      </c>
      <c r="Y16" s="55" t="n">
        <f aca="false">IF(L16&lt;0,L16*-1,0)</f>
        <v>0</v>
      </c>
      <c r="Z16" s="55" t="n">
        <f aca="false">X16+Y16</f>
        <v>53.8</v>
      </c>
      <c r="AA16" s="58" t="n">
        <v>0</v>
      </c>
      <c r="AB16" s="51" t="n">
        <v>42</v>
      </c>
      <c r="AC16" s="51" t="n">
        <v>22</v>
      </c>
      <c r="AD16" s="48" t="n">
        <f aca="false">AD15+1</f>
        <v>7</v>
      </c>
      <c r="AE16" s="81"/>
      <c r="AF16" s="83"/>
      <c r="AG16" s="82"/>
    </row>
    <row r="17" customFormat="false" ht="11.1" hidden="false" customHeight="true" outlineLevel="0" collapsed="false">
      <c r="A17" s="48" t="n">
        <f aca="false">A16+1</f>
        <v>8</v>
      </c>
      <c r="B17" s="59" t="n">
        <v>6906.42</v>
      </c>
      <c r="C17" s="57" t="n">
        <v>307883</v>
      </c>
      <c r="D17" s="51" t="n">
        <f aca="false">C17-C16</f>
        <v>311</v>
      </c>
      <c r="E17" s="57" t="n">
        <f aca="false">C17-152000</f>
        <v>155883</v>
      </c>
      <c r="F17" s="55" t="n">
        <f aca="false">D17/$D$2</f>
        <v>156.793546760776</v>
      </c>
      <c r="G17" s="55" t="n">
        <v>205.8</v>
      </c>
      <c r="H17" s="58" t="n">
        <v>5</v>
      </c>
      <c r="I17" s="55" t="n">
        <f aca="false">G17+H17</f>
        <v>210.8</v>
      </c>
      <c r="J17" s="61" t="n">
        <f aca="false">IF(L17&gt;0,L17,0)</f>
        <v>0</v>
      </c>
      <c r="K17" s="55" t="n">
        <f aca="false">I17+J17</f>
        <v>210.8</v>
      </c>
      <c r="L17" s="55" t="n">
        <f aca="false">F17-(I17-X17)</f>
        <v>-0.106453239223612</v>
      </c>
      <c r="M17" s="55" t="n">
        <v>3.7</v>
      </c>
      <c r="N17" s="55" t="n">
        <v>0</v>
      </c>
      <c r="O17" s="55" t="n">
        <v>0</v>
      </c>
      <c r="P17" s="5" t="n">
        <f aca="false">M17-(N17+O17)</f>
        <v>3.7</v>
      </c>
      <c r="Q17" s="55" t="n">
        <v>0</v>
      </c>
      <c r="R17" s="55" t="n">
        <v>0</v>
      </c>
      <c r="S17" s="55" t="n">
        <f aca="false">SUM(P17:R17)</f>
        <v>3.7</v>
      </c>
      <c r="T17" s="57"/>
      <c r="U17" s="55" t="n">
        <v>0</v>
      </c>
      <c r="V17" s="55" t="n">
        <v>50.2</v>
      </c>
      <c r="W17" s="57" t="n">
        <f aca="false">W16-30</f>
        <v>11926.5</v>
      </c>
      <c r="X17" s="5" t="n">
        <f aca="false">N17+O17+S17+U17+V17</f>
        <v>53.9</v>
      </c>
      <c r="Y17" s="55" t="n">
        <f aca="false">IF(L17&lt;0,L17*-1,0)</f>
        <v>0.106453239223612</v>
      </c>
      <c r="Z17" s="55" t="n">
        <f aca="false">X17+Y17</f>
        <v>54.0064532392236</v>
      </c>
      <c r="AA17" s="58" t="n">
        <v>0.97</v>
      </c>
      <c r="AB17" s="51" t="n">
        <v>42</v>
      </c>
      <c r="AC17" s="51" t="n">
        <v>26</v>
      </c>
      <c r="AD17" s="48" t="n">
        <f aca="false">AD16+1</f>
        <v>8</v>
      </c>
      <c r="AE17" s="81"/>
      <c r="AF17" s="83"/>
      <c r="AG17" s="82"/>
    </row>
    <row r="18" customFormat="false" ht="11.1" hidden="false" customHeight="true" outlineLevel="0" collapsed="false">
      <c r="A18" s="48" t="n">
        <f aca="false">A17+1</f>
        <v>9</v>
      </c>
      <c r="B18" s="59" t="n">
        <v>6906.46</v>
      </c>
      <c r="C18" s="57" t="n">
        <v>308039</v>
      </c>
      <c r="D18" s="51" t="n">
        <f aca="false">C18-C17</f>
        <v>156</v>
      </c>
      <c r="E18" s="57" t="n">
        <f aca="false">C18-152000</f>
        <v>156039</v>
      </c>
      <c r="F18" s="55" t="n">
        <f aca="false">D18/$D$2</f>
        <v>78.6488530375599</v>
      </c>
      <c r="G18" s="55" t="n">
        <v>125.3</v>
      </c>
      <c r="H18" s="58" t="n">
        <v>6.4</v>
      </c>
      <c r="I18" s="55" t="n">
        <f aca="false">G18+H18</f>
        <v>131.7</v>
      </c>
      <c r="J18" s="61" t="n">
        <f aca="false">IF(L18&gt;0,L18,0)</f>
        <v>0</v>
      </c>
      <c r="K18" s="55" t="n">
        <f aca="false">I18+J18</f>
        <v>131.7</v>
      </c>
      <c r="L18" s="55" t="n">
        <f aca="false">F18-(I18-X18)</f>
        <v>-0.0511469624401144</v>
      </c>
      <c r="M18" s="55" t="n">
        <v>3.7</v>
      </c>
      <c r="N18" s="55" t="n">
        <v>0</v>
      </c>
      <c r="O18" s="55" t="n">
        <v>0</v>
      </c>
      <c r="P18" s="5" t="n">
        <f aca="false">M18-(N18+O18)</f>
        <v>3.7</v>
      </c>
      <c r="Q18" s="55" t="n">
        <v>0</v>
      </c>
      <c r="R18" s="55" t="n">
        <v>0</v>
      </c>
      <c r="S18" s="55" t="n">
        <f aca="false">SUM(P18:R18)</f>
        <v>3.7</v>
      </c>
      <c r="T18" s="57"/>
      <c r="U18" s="55" t="n">
        <v>0</v>
      </c>
      <c r="V18" s="55" t="n">
        <v>49.3</v>
      </c>
      <c r="W18" s="57" t="n">
        <f aca="false">W17-30</f>
        <v>11896.5</v>
      </c>
      <c r="X18" s="5" t="n">
        <f aca="false">N18+O18+S18+U18+V18</f>
        <v>53</v>
      </c>
      <c r="Y18" s="55" t="n">
        <f aca="false">IF(L18&lt;0,L18*-1,0)</f>
        <v>0.0511469624401144</v>
      </c>
      <c r="Z18" s="55" t="n">
        <f aca="false">X18+Y18</f>
        <v>53.0511469624401</v>
      </c>
      <c r="AA18" s="58" t="n">
        <v>0.09</v>
      </c>
      <c r="AB18" s="54" t="n">
        <v>40</v>
      </c>
      <c r="AC18" s="51" t="n">
        <v>30</v>
      </c>
      <c r="AD18" s="48" t="n">
        <f aca="false">AD17+1</f>
        <v>9</v>
      </c>
      <c r="AE18" s="81"/>
      <c r="AF18" s="83"/>
      <c r="AG18" s="82"/>
    </row>
    <row r="19" customFormat="false" ht="11.1" hidden="false" customHeight="true" outlineLevel="0" collapsed="false">
      <c r="A19" s="48" t="n">
        <f aca="false">A18+1</f>
        <v>10</v>
      </c>
      <c r="B19" s="59" t="n">
        <v>6906.47</v>
      </c>
      <c r="C19" s="57" t="n">
        <v>308079</v>
      </c>
      <c r="D19" s="51" t="n">
        <f aca="false">C19-C18</f>
        <v>40</v>
      </c>
      <c r="E19" s="57" t="n">
        <f aca="false">C19-152000</f>
        <v>156079</v>
      </c>
      <c r="F19" s="55" t="n">
        <f aca="false">D19/$D$2</f>
        <v>20.1663725737333</v>
      </c>
      <c r="G19" s="55" t="n">
        <v>67.7</v>
      </c>
      <c r="H19" s="58" t="n">
        <v>5.9</v>
      </c>
      <c r="I19" s="55" t="n">
        <f aca="false">G19+H19</f>
        <v>73.6</v>
      </c>
      <c r="J19" s="61" t="n">
        <f aca="false">IF(L19&gt;0,L19,0)</f>
        <v>0</v>
      </c>
      <c r="K19" s="55" t="n">
        <f aca="false">I19+J19</f>
        <v>73.6</v>
      </c>
      <c r="L19" s="55" t="n">
        <f aca="false">F19-(I19-X19)</f>
        <v>-0.0336274262667047</v>
      </c>
      <c r="M19" s="55" t="n">
        <v>3.7</v>
      </c>
      <c r="N19" s="55" t="n">
        <v>0</v>
      </c>
      <c r="O19" s="55" t="n">
        <v>0</v>
      </c>
      <c r="P19" s="5" t="n">
        <f aca="false">M19-(N19+O19)</f>
        <v>3.7</v>
      </c>
      <c r="Q19" s="55" t="n">
        <v>0</v>
      </c>
      <c r="R19" s="55" t="n">
        <v>0</v>
      </c>
      <c r="S19" s="55" t="n">
        <f aca="false">SUM(P19:R19)</f>
        <v>3.7</v>
      </c>
      <c r="T19" s="57"/>
      <c r="U19" s="55" t="n">
        <v>0</v>
      </c>
      <c r="V19" s="55" t="n">
        <v>49.7</v>
      </c>
      <c r="W19" s="57" t="n">
        <f aca="false">W18-30</f>
        <v>11866.5</v>
      </c>
      <c r="X19" s="5" t="n">
        <f aca="false">N19+O19+S19+U19+V19</f>
        <v>53.4</v>
      </c>
      <c r="Y19" s="55" t="n">
        <f aca="false">IF(L19&lt;0,L19*-1,0)</f>
        <v>0.0336274262667047</v>
      </c>
      <c r="Z19" s="55" t="n">
        <f aca="false">X19+Y19</f>
        <v>53.4336274262667</v>
      </c>
      <c r="AA19" s="58" t="n">
        <v>0</v>
      </c>
      <c r="AB19" s="51" t="n">
        <v>45</v>
      </c>
      <c r="AC19" s="51" t="n">
        <v>22</v>
      </c>
      <c r="AD19" s="48" t="n">
        <f aca="false">AD18+1</f>
        <v>10</v>
      </c>
      <c r="AE19" s="81"/>
      <c r="AF19" s="83"/>
      <c r="AG19" s="82"/>
    </row>
    <row r="20" customFormat="false" ht="11.1" hidden="false" customHeight="true" outlineLevel="0" collapsed="false">
      <c r="A20" s="48" t="n">
        <f aca="false">A19+1</f>
        <v>11</v>
      </c>
      <c r="B20" s="59" t="n">
        <v>6906.48</v>
      </c>
      <c r="C20" s="57" t="n">
        <v>308117</v>
      </c>
      <c r="D20" s="51" t="n">
        <f aca="false">C20-C19</f>
        <v>38</v>
      </c>
      <c r="E20" s="57" t="n">
        <f aca="false">C20-152000</f>
        <v>156117</v>
      </c>
      <c r="F20" s="55" t="n">
        <f aca="false">D20/$D$2</f>
        <v>19.1580539450466</v>
      </c>
      <c r="G20" s="55" t="n">
        <v>66.6</v>
      </c>
      <c r="H20" s="58" t="n">
        <v>6</v>
      </c>
      <c r="I20" s="55" t="n">
        <f aca="false">G20+H20</f>
        <v>72.6</v>
      </c>
      <c r="J20" s="61" t="n">
        <f aca="false">IF(L20&gt;0,L20,0)</f>
        <v>0</v>
      </c>
      <c r="K20" s="55" t="n">
        <f aca="false">I20+J20</f>
        <v>72.6</v>
      </c>
      <c r="L20" s="55" t="n">
        <f aca="false">F20-(I20-X20)</f>
        <v>-0.0419460549533532</v>
      </c>
      <c r="M20" s="55" t="n">
        <v>3.7</v>
      </c>
      <c r="N20" s="55" t="n">
        <v>0</v>
      </c>
      <c r="O20" s="55" t="n">
        <v>0</v>
      </c>
      <c r="P20" s="5" t="n">
        <f aca="false">M20-(N20+O20)</f>
        <v>3.7</v>
      </c>
      <c r="Q20" s="55" t="n">
        <v>0</v>
      </c>
      <c r="R20" s="55" t="n">
        <v>0</v>
      </c>
      <c r="S20" s="55" t="n">
        <f aca="false">SUM(P20:R20)</f>
        <v>3.7</v>
      </c>
      <c r="T20" s="57"/>
      <c r="U20" s="55" t="n">
        <v>0</v>
      </c>
      <c r="V20" s="55" t="n">
        <v>49.7</v>
      </c>
      <c r="W20" s="57" t="n">
        <f aca="false">W19-30</f>
        <v>11836.5</v>
      </c>
      <c r="X20" s="5" t="n">
        <f aca="false">N20+O20+S20+U20+V20</f>
        <v>53.4</v>
      </c>
      <c r="Y20" s="55" t="n">
        <f aca="false">IF(L20&lt;0,L20*-1,0)</f>
        <v>0.0419460549533532</v>
      </c>
      <c r="Z20" s="55" t="n">
        <f aca="false">X20+Y20</f>
        <v>53.4419460549534</v>
      </c>
      <c r="AA20" s="58" t="n">
        <v>0</v>
      </c>
      <c r="AB20" s="51" t="n">
        <v>39</v>
      </c>
      <c r="AC20" s="51" t="n">
        <v>23</v>
      </c>
      <c r="AD20" s="48" t="n">
        <f aca="false">AD19+1</f>
        <v>11</v>
      </c>
      <c r="AE20" s="81"/>
      <c r="AF20" s="83"/>
      <c r="AG20" s="82"/>
    </row>
    <row r="21" customFormat="false" ht="11.1" hidden="false" customHeight="true" outlineLevel="0" collapsed="false">
      <c r="A21" s="48" t="n">
        <f aca="false">A20+1</f>
        <v>12</v>
      </c>
      <c r="B21" s="59" t="n">
        <v>6906.49</v>
      </c>
      <c r="C21" s="57" t="n">
        <v>308157</v>
      </c>
      <c r="D21" s="51" t="n">
        <f aca="false">C21-C20</f>
        <v>40</v>
      </c>
      <c r="E21" s="57" t="n">
        <f aca="false">C21-152000</f>
        <v>156157</v>
      </c>
      <c r="F21" s="55" t="n">
        <f aca="false">D21/$D$2</f>
        <v>20.1663725737333</v>
      </c>
      <c r="G21" s="55" t="n">
        <v>67.6</v>
      </c>
      <c r="H21" s="58" t="n">
        <v>6.8</v>
      </c>
      <c r="I21" s="55" t="n">
        <f aca="false">G21+H21</f>
        <v>74.4</v>
      </c>
      <c r="J21" s="61" t="n">
        <f aca="false">IF(L21&gt;0,L21,0)</f>
        <v>0</v>
      </c>
      <c r="K21" s="55" t="n">
        <f aca="false">I21+J21</f>
        <v>74.4</v>
      </c>
      <c r="L21" s="55" t="n">
        <f aca="false">F21-(I21-X21)</f>
        <v>-0.0336274262666905</v>
      </c>
      <c r="M21" s="55" t="n">
        <v>3.7</v>
      </c>
      <c r="N21" s="55" t="n">
        <v>0</v>
      </c>
      <c r="O21" s="55" t="n">
        <v>0</v>
      </c>
      <c r="P21" s="5" t="n">
        <f aca="false">M21-(N21+O21)</f>
        <v>3.7</v>
      </c>
      <c r="Q21" s="55" t="n">
        <v>0</v>
      </c>
      <c r="R21" s="55" t="n">
        <v>0</v>
      </c>
      <c r="S21" s="55" t="n">
        <f aca="false">SUM(P21:R21)</f>
        <v>3.7</v>
      </c>
      <c r="T21" s="57"/>
      <c r="U21" s="55" t="n">
        <v>0</v>
      </c>
      <c r="V21" s="55" t="n">
        <v>50.5</v>
      </c>
      <c r="W21" s="57" t="n">
        <f aca="false">W20-30</f>
        <v>11806.5</v>
      </c>
      <c r="X21" s="5" t="n">
        <f aca="false">N21+O21+S21+U21+V21</f>
        <v>54.2</v>
      </c>
      <c r="Y21" s="55" t="n">
        <f aca="false">IF(L21&lt;0,L21*-1,0)</f>
        <v>0.0336274262666905</v>
      </c>
      <c r="Z21" s="55" t="n">
        <f aca="false">X21+Y21</f>
        <v>54.2336274262667</v>
      </c>
      <c r="AA21" s="58" t="n">
        <v>0</v>
      </c>
      <c r="AB21" s="51" t="n">
        <v>37</v>
      </c>
      <c r="AC21" s="51" t="n">
        <v>24</v>
      </c>
      <c r="AD21" s="48" t="n">
        <f aca="false">AD20+1</f>
        <v>12</v>
      </c>
      <c r="AE21" s="81"/>
      <c r="AF21" s="83"/>
      <c r="AG21" s="82"/>
    </row>
    <row r="22" customFormat="false" ht="11.1" hidden="false" customHeight="true" outlineLevel="0" collapsed="false">
      <c r="A22" s="48" t="n">
        <f aca="false">A21+1</f>
        <v>13</v>
      </c>
      <c r="B22" s="59" t="n">
        <v>6906.5</v>
      </c>
      <c r="C22" s="57" t="n">
        <v>308195</v>
      </c>
      <c r="D22" s="51" t="n">
        <f aca="false">C22-C21</f>
        <v>38</v>
      </c>
      <c r="E22" s="57" t="n">
        <f aca="false">C22-152000</f>
        <v>156195</v>
      </c>
      <c r="F22" s="55" t="n">
        <f aca="false">D22/$D$2</f>
        <v>19.1580539450466</v>
      </c>
      <c r="G22" s="55" t="n">
        <v>66.9</v>
      </c>
      <c r="H22" s="58" t="n">
        <v>6.5</v>
      </c>
      <c r="I22" s="55" t="n">
        <f aca="false">G22+H22</f>
        <v>73.4</v>
      </c>
      <c r="J22" s="61" t="n">
        <f aca="false">IF(L22&gt;0,L22,0)</f>
        <v>0</v>
      </c>
      <c r="K22" s="55" t="n">
        <f aca="false">I22+J22</f>
        <v>73.4</v>
      </c>
      <c r="L22" s="55" t="n">
        <f aca="false">F22-(I22-X22)</f>
        <v>-0.0419460549533675</v>
      </c>
      <c r="M22" s="55" t="n">
        <v>3.7</v>
      </c>
      <c r="N22" s="55" t="n">
        <v>0</v>
      </c>
      <c r="O22" s="55" t="n">
        <v>0</v>
      </c>
      <c r="P22" s="5" t="n">
        <f aca="false">M22-(N22+O22)</f>
        <v>3.7</v>
      </c>
      <c r="Q22" s="55" t="n">
        <v>0</v>
      </c>
      <c r="R22" s="55" t="n">
        <v>0</v>
      </c>
      <c r="S22" s="55" t="n">
        <f aca="false">SUM(P22:R22)</f>
        <v>3.7</v>
      </c>
      <c r="T22" s="57"/>
      <c r="U22" s="55" t="n">
        <v>0</v>
      </c>
      <c r="V22" s="55" t="n">
        <v>50.5</v>
      </c>
      <c r="W22" s="57" t="n">
        <f aca="false">W21-30</f>
        <v>11776.5</v>
      </c>
      <c r="X22" s="5" t="n">
        <f aca="false">N22+O22+S22+U22+V22</f>
        <v>54.2</v>
      </c>
      <c r="Y22" s="55" t="n">
        <f aca="false">IF(L22&lt;0,L22*-1,0)</f>
        <v>0.0419460549533675</v>
      </c>
      <c r="Z22" s="55" t="n">
        <f aca="false">X22+Y22</f>
        <v>54.2419460549534</v>
      </c>
      <c r="AA22" s="58" t="n">
        <v>0</v>
      </c>
      <c r="AB22" s="51" t="n">
        <v>38</v>
      </c>
      <c r="AC22" s="51" t="n">
        <v>19</v>
      </c>
      <c r="AD22" s="48" t="n">
        <f aca="false">AD21+1</f>
        <v>13</v>
      </c>
      <c r="AE22" s="81"/>
      <c r="AF22" s="83"/>
      <c r="AG22" s="82"/>
    </row>
    <row r="23" customFormat="false" ht="11.1" hidden="false" customHeight="true" outlineLevel="0" collapsed="false">
      <c r="A23" s="48" t="n">
        <f aca="false">A22+1</f>
        <v>14</v>
      </c>
      <c r="B23" s="59" t="n">
        <v>6906.51</v>
      </c>
      <c r="C23" s="57" t="n">
        <v>308233</v>
      </c>
      <c r="D23" s="51" t="n">
        <f aca="false">C23-C22</f>
        <v>38</v>
      </c>
      <c r="E23" s="57" t="n">
        <f aca="false">C23-152000</f>
        <v>156233</v>
      </c>
      <c r="F23" s="55" t="n">
        <f aca="false">D23/$D$2</f>
        <v>19.1580539450466</v>
      </c>
      <c r="G23" s="55" t="n">
        <v>66.2</v>
      </c>
      <c r="H23" s="58" t="n">
        <v>6.8</v>
      </c>
      <c r="I23" s="55" t="n">
        <f aca="false">G23+H23</f>
        <v>73</v>
      </c>
      <c r="J23" s="61" t="n">
        <f aca="false">IF(L23&gt;0,L23,0)</f>
        <v>0.0580539450466411</v>
      </c>
      <c r="K23" s="55" t="n">
        <f aca="false">I23+J23</f>
        <v>73.0580539450466</v>
      </c>
      <c r="L23" s="55" t="n">
        <f aca="false">F23-(I23-X23)</f>
        <v>0.0580539450466411</v>
      </c>
      <c r="M23" s="55" t="n">
        <v>3.7</v>
      </c>
      <c r="N23" s="55" t="n">
        <v>0</v>
      </c>
      <c r="O23" s="55" t="n">
        <v>0</v>
      </c>
      <c r="P23" s="5" t="n">
        <f aca="false">M23-(N23+O23)</f>
        <v>3.7</v>
      </c>
      <c r="Q23" s="55" t="n">
        <v>0</v>
      </c>
      <c r="R23" s="55" t="n">
        <v>0</v>
      </c>
      <c r="S23" s="55" t="n">
        <f aca="false">SUM(P23:R23)</f>
        <v>3.7</v>
      </c>
      <c r="T23" s="57"/>
      <c r="U23" s="55" t="n">
        <v>0</v>
      </c>
      <c r="V23" s="55" t="n">
        <v>50.2</v>
      </c>
      <c r="W23" s="57" t="n">
        <f aca="false">W22-30</f>
        <v>11746.5</v>
      </c>
      <c r="X23" s="5" t="n">
        <f aca="false">N23+O23+S23+U23+V23</f>
        <v>53.9</v>
      </c>
      <c r="Y23" s="55" t="n">
        <f aca="false">IF(L23&lt;0,L23*-1,0)</f>
        <v>0</v>
      </c>
      <c r="Z23" s="55" t="n">
        <f aca="false">X23+Y23</f>
        <v>53.9</v>
      </c>
      <c r="AA23" s="58" t="n">
        <v>0.05</v>
      </c>
      <c r="AB23" s="54" t="n">
        <v>36</v>
      </c>
      <c r="AC23" s="51" t="n">
        <v>22</v>
      </c>
      <c r="AD23" s="48" t="n">
        <f aca="false">AD22+1</f>
        <v>14</v>
      </c>
      <c r="AE23" s="81"/>
      <c r="AF23" s="83"/>
      <c r="AG23" s="82"/>
    </row>
    <row r="24" customFormat="false" ht="11.1" hidden="false" customHeight="true" outlineLevel="0" collapsed="false">
      <c r="A24" s="48" t="n">
        <f aca="false">A23+1</f>
        <v>15</v>
      </c>
      <c r="B24" s="59" t="n">
        <v>6906.53</v>
      </c>
      <c r="C24" s="57" t="n">
        <v>308310</v>
      </c>
      <c r="D24" s="51" t="n">
        <f aca="false">C24-C23</f>
        <v>77</v>
      </c>
      <c r="E24" s="57" t="n">
        <f aca="false">C24-152000</f>
        <v>156310</v>
      </c>
      <c r="F24" s="55" t="n">
        <f aca="false">D24/$D$2</f>
        <v>38.8202672044366</v>
      </c>
      <c r="G24" s="55" t="n">
        <v>85.9</v>
      </c>
      <c r="H24" s="58" t="n">
        <v>6.6</v>
      </c>
      <c r="I24" s="55" t="n">
        <f aca="false">G24+H24</f>
        <v>92.5</v>
      </c>
      <c r="J24" s="61" t="n">
        <f aca="false">IF(L24&gt;0,L24,0)</f>
        <v>0.0202672044366068</v>
      </c>
      <c r="K24" s="55" t="n">
        <f aca="false">I24+J24</f>
        <v>92.5202672044366</v>
      </c>
      <c r="L24" s="55" t="n">
        <f aca="false">F24-(I24-X24)</f>
        <v>0.0202672044366068</v>
      </c>
      <c r="M24" s="55" t="n">
        <v>3.7</v>
      </c>
      <c r="N24" s="55" t="n">
        <v>0</v>
      </c>
      <c r="O24" s="55" t="n">
        <v>0</v>
      </c>
      <c r="P24" s="5" t="n">
        <f aca="false">M24-(N24+O24)</f>
        <v>3.7</v>
      </c>
      <c r="Q24" s="55" t="n">
        <v>0</v>
      </c>
      <c r="R24" s="55" t="n">
        <v>0</v>
      </c>
      <c r="S24" s="55" t="n">
        <f aca="false">SUM(P24:R24)</f>
        <v>3.7</v>
      </c>
      <c r="T24" s="57"/>
      <c r="U24" s="55" t="n">
        <v>0</v>
      </c>
      <c r="V24" s="55" t="n">
        <v>50</v>
      </c>
      <c r="W24" s="57" t="n">
        <f aca="false">W23-30</f>
        <v>11716.5</v>
      </c>
      <c r="X24" s="5" t="n">
        <f aca="false">N24+O24+S24+U24+V24</f>
        <v>53.7</v>
      </c>
      <c r="Y24" s="55" t="n">
        <f aca="false">IF(L24&lt;0,L24*-1,0)</f>
        <v>0</v>
      </c>
      <c r="Z24" s="55" t="n">
        <f aca="false">X24+Y24</f>
        <v>53.7</v>
      </c>
      <c r="AA24" s="58" t="n">
        <v>0.25</v>
      </c>
      <c r="AB24" s="54" t="n">
        <v>34</v>
      </c>
      <c r="AC24" s="51" t="n">
        <v>18</v>
      </c>
      <c r="AD24" s="48" t="n">
        <f aca="false">AD23+1</f>
        <v>15</v>
      </c>
      <c r="AE24" s="81"/>
      <c r="AF24" s="83"/>
      <c r="AG24" s="82"/>
    </row>
    <row r="25" customFormat="false" ht="11.1" hidden="false" customHeight="true" outlineLevel="0" collapsed="false">
      <c r="A25" s="48" t="n">
        <f aca="false">A24+1</f>
        <v>16</v>
      </c>
      <c r="B25" s="59" t="n">
        <v>6906.54</v>
      </c>
      <c r="C25" s="57" t="n">
        <v>308350</v>
      </c>
      <c r="D25" s="51" t="n">
        <f aca="false">C25-C24</f>
        <v>40</v>
      </c>
      <c r="E25" s="57" t="n">
        <f aca="false">C25-152000</f>
        <v>156350</v>
      </c>
      <c r="F25" s="55" t="n">
        <f aca="false">D25/$D$2</f>
        <v>20.1663725737333</v>
      </c>
      <c r="G25" s="55" t="n">
        <v>66.4</v>
      </c>
      <c r="H25" s="58" t="n">
        <v>6.8</v>
      </c>
      <c r="I25" s="55" t="n">
        <f aca="false">G25+H25</f>
        <v>73.2</v>
      </c>
      <c r="J25" s="61" t="n">
        <f aca="false">IF(L25&gt;0,L25,0)</f>
        <v>0</v>
      </c>
      <c r="K25" s="55" t="n">
        <f aca="false">I25+J25</f>
        <v>73.2</v>
      </c>
      <c r="L25" s="55" t="n">
        <f aca="false">F25-(I25-X25)</f>
        <v>-0.0336274262667047</v>
      </c>
      <c r="M25" s="55" t="n">
        <v>3.7</v>
      </c>
      <c r="N25" s="55" t="n">
        <v>0</v>
      </c>
      <c r="O25" s="55" t="n">
        <v>0</v>
      </c>
      <c r="P25" s="5" t="n">
        <f aca="false">M25-(N25+O25)</f>
        <v>3.7</v>
      </c>
      <c r="Q25" s="55" t="n">
        <v>0</v>
      </c>
      <c r="R25" s="55" t="n">
        <v>0</v>
      </c>
      <c r="S25" s="55" t="n">
        <f aca="false">SUM(P25:R25)</f>
        <v>3.7</v>
      </c>
      <c r="T25" s="57"/>
      <c r="U25" s="55" t="n">
        <v>0</v>
      </c>
      <c r="V25" s="55" t="n">
        <v>49.3</v>
      </c>
      <c r="W25" s="57" t="n">
        <f aca="false">W24-30</f>
        <v>11686.5</v>
      </c>
      <c r="X25" s="5" t="n">
        <f aca="false">N25+O25+S25+U25+V25</f>
        <v>53</v>
      </c>
      <c r="Y25" s="55" t="n">
        <f aca="false">IF(L25&lt;0,L25*-1,0)</f>
        <v>0.0336274262667047</v>
      </c>
      <c r="Z25" s="55" t="n">
        <f aca="false">X25+Y25</f>
        <v>53.0336274262667</v>
      </c>
      <c r="AA25" s="58" t="n">
        <v>0.08</v>
      </c>
      <c r="AB25" s="54" t="n">
        <v>38</v>
      </c>
      <c r="AC25" s="51" t="n">
        <v>16</v>
      </c>
      <c r="AD25" s="48" t="n">
        <f aca="false">AD24+1</f>
        <v>16</v>
      </c>
      <c r="AE25" s="81"/>
      <c r="AF25" s="83"/>
      <c r="AG25" s="82"/>
    </row>
    <row r="26" customFormat="false" ht="11.1" hidden="false" customHeight="true" outlineLevel="0" collapsed="false">
      <c r="A26" s="48" t="n">
        <f aca="false">A25+1</f>
        <v>17</v>
      </c>
      <c r="B26" s="59" t="n">
        <v>6906.57</v>
      </c>
      <c r="C26" s="57" t="n">
        <v>308466</v>
      </c>
      <c r="D26" s="51" t="n">
        <f aca="false">C26-C25</f>
        <v>116</v>
      </c>
      <c r="E26" s="57" t="n">
        <f aca="false">C26-152000</f>
        <v>156466</v>
      </c>
      <c r="F26" s="55" t="n">
        <f aca="false">D26/$D$2</f>
        <v>58.4824804638266</v>
      </c>
      <c r="G26" s="55" t="n">
        <v>105.8</v>
      </c>
      <c r="H26" s="58" t="n">
        <v>6.5</v>
      </c>
      <c r="I26" s="55" t="n">
        <f aca="false">G26+H26</f>
        <v>112.3</v>
      </c>
      <c r="J26" s="61" t="n">
        <f aca="false">IF(L26&gt;0,L26,0)</f>
        <v>0</v>
      </c>
      <c r="K26" s="55" t="n">
        <f aca="false">I26+J26</f>
        <v>112.3</v>
      </c>
      <c r="L26" s="55" t="n">
        <f aca="false">F26-(I26-X26)</f>
        <v>-0.0175195361734239</v>
      </c>
      <c r="M26" s="55" t="n">
        <v>3.7</v>
      </c>
      <c r="N26" s="55" t="n">
        <v>0</v>
      </c>
      <c r="O26" s="55" t="n">
        <v>0</v>
      </c>
      <c r="P26" s="5" t="n">
        <f aca="false">M26-(N26+O26)</f>
        <v>3.7</v>
      </c>
      <c r="Q26" s="55" t="n">
        <v>0</v>
      </c>
      <c r="R26" s="55" t="n">
        <v>0</v>
      </c>
      <c r="S26" s="55" t="n">
        <f aca="false">SUM(P26:R26)</f>
        <v>3.7</v>
      </c>
      <c r="T26" s="57"/>
      <c r="U26" s="55" t="n">
        <v>0</v>
      </c>
      <c r="V26" s="55" t="n">
        <v>50.1</v>
      </c>
      <c r="W26" s="57" t="n">
        <f aca="false">W25-30</f>
        <v>11656.5</v>
      </c>
      <c r="X26" s="5" t="n">
        <f aca="false">N26+O26+S26+U26+V26</f>
        <v>53.8</v>
      </c>
      <c r="Y26" s="55" t="n">
        <f aca="false">IF(L26&lt;0,L26*-1,0)</f>
        <v>0.0175195361734239</v>
      </c>
      <c r="Z26" s="55" t="n">
        <f aca="false">X26+Y26</f>
        <v>53.8175195361734</v>
      </c>
      <c r="AA26" s="58" t="n">
        <v>0</v>
      </c>
      <c r="AB26" s="54" t="n">
        <v>37</v>
      </c>
      <c r="AC26" s="51" t="n">
        <v>26</v>
      </c>
      <c r="AD26" s="48" t="n">
        <f aca="false">AD25+1</f>
        <v>17</v>
      </c>
      <c r="AE26" s="81"/>
      <c r="AF26" s="83"/>
      <c r="AG26" s="82"/>
    </row>
    <row r="27" customFormat="false" ht="11.1" hidden="false" customHeight="true" outlineLevel="0" collapsed="false">
      <c r="A27" s="48" t="n">
        <f aca="false">A26+1</f>
        <v>18</v>
      </c>
      <c r="B27" s="59" t="n">
        <v>6906.6</v>
      </c>
      <c r="C27" s="57" t="n">
        <v>308584</v>
      </c>
      <c r="D27" s="51" t="n">
        <f aca="false">C27-C26</f>
        <v>118</v>
      </c>
      <c r="E27" s="57" t="n">
        <f aca="false">C27-152000</f>
        <v>156584</v>
      </c>
      <c r="F27" s="55" t="n">
        <f aca="false">D27/$D$2</f>
        <v>59.4907990925132</v>
      </c>
      <c r="G27" s="55" t="n">
        <v>105.8</v>
      </c>
      <c r="H27" s="58" t="n">
        <v>7.6</v>
      </c>
      <c r="I27" s="55" t="n">
        <f aca="false">G27+H27</f>
        <v>113.4</v>
      </c>
      <c r="J27" s="61" t="n">
        <f aca="false">IF(L27&gt;0,L27,0)</f>
        <v>0</v>
      </c>
      <c r="K27" s="55" t="n">
        <f aca="false">I27+J27</f>
        <v>113.4</v>
      </c>
      <c r="L27" s="55" t="n">
        <f aca="false">F27-(I27-X27)</f>
        <v>-0.00920090748675761</v>
      </c>
      <c r="M27" s="55" t="n">
        <v>3.8</v>
      </c>
      <c r="N27" s="55" t="n">
        <v>0</v>
      </c>
      <c r="O27" s="55" t="n">
        <v>0</v>
      </c>
      <c r="P27" s="5" t="n">
        <f aca="false">M27-(N27+O27)</f>
        <v>3.8</v>
      </c>
      <c r="Q27" s="55" t="n">
        <v>0</v>
      </c>
      <c r="R27" s="55" t="n">
        <v>0</v>
      </c>
      <c r="S27" s="55" t="n">
        <f aca="false">SUM(P27:R27)</f>
        <v>3.8</v>
      </c>
      <c r="T27" s="57"/>
      <c r="U27" s="55" t="n">
        <v>0</v>
      </c>
      <c r="V27" s="55" t="n">
        <v>50.1</v>
      </c>
      <c r="W27" s="57" t="n">
        <f aca="false">W26-30</f>
        <v>11626.5</v>
      </c>
      <c r="X27" s="5" t="n">
        <f aca="false">N27+O27+S27+U27+V27</f>
        <v>53.9</v>
      </c>
      <c r="Y27" s="55" t="n">
        <f aca="false">IF(L27&lt;0,L27*-1,0)</f>
        <v>0.00920090748675761</v>
      </c>
      <c r="Z27" s="55" t="n">
        <f aca="false">X27+Y27</f>
        <v>53.9092009074868</v>
      </c>
      <c r="AA27" s="92" t="n">
        <v>0</v>
      </c>
      <c r="AB27" s="54" t="n">
        <v>40</v>
      </c>
      <c r="AC27" s="51" t="n">
        <v>16</v>
      </c>
      <c r="AD27" s="48" t="n">
        <f aca="false">AD26+1</f>
        <v>18</v>
      </c>
      <c r="AE27" s="81"/>
      <c r="AF27" s="83"/>
      <c r="AG27" s="82"/>
    </row>
    <row r="28" customFormat="false" ht="11.1" hidden="false" customHeight="true" outlineLevel="0" collapsed="false">
      <c r="A28" s="48" t="n">
        <f aca="false">A27+1</f>
        <v>19</v>
      </c>
      <c r="B28" s="59" t="n">
        <v>6906.69</v>
      </c>
      <c r="C28" s="93" t="n">
        <v>308933</v>
      </c>
      <c r="D28" s="51" t="n">
        <f aca="false">C28-C27</f>
        <v>349</v>
      </c>
      <c r="E28" s="57" t="n">
        <f aca="false">C28-152000</f>
        <v>156933</v>
      </c>
      <c r="F28" s="55" t="n">
        <f aca="false">D28/$D$2</f>
        <v>175.951600705823</v>
      </c>
      <c r="G28" s="55" t="n">
        <v>223</v>
      </c>
      <c r="H28" s="58" t="n">
        <v>7.4</v>
      </c>
      <c r="I28" s="55" t="n">
        <f aca="false">G28+H28</f>
        <v>230.4</v>
      </c>
      <c r="J28" s="61" t="n">
        <f aca="false">IF(L28&gt;0,L28,0)</f>
        <v>0</v>
      </c>
      <c r="K28" s="55" t="n">
        <f aca="false">I28+J28</f>
        <v>230.4</v>
      </c>
      <c r="L28" s="55" t="n">
        <f aca="false">F28-(I28-X28)</f>
        <v>-0.04839929417696</v>
      </c>
      <c r="M28" s="55" t="n">
        <v>3.9</v>
      </c>
      <c r="N28" s="55" t="n">
        <v>0</v>
      </c>
      <c r="O28" s="55" t="n">
        <v>0</v>
      </c>
      <c r="P28" s="5" t="n">
        <f aca="false">M28-(N28+O28)</f>
        <v>3.9</v>
      </c>
      <c r="Q28" s="55" t="n">
        <v>0</v>
      </c>
      <c r="R28" s="55" t="n">
        <v>0</v>
      </c>
      <c r="S28" s="55" t="n">
        <f aca="false">SUM(P28:R28)</f>
        <v>3.9</v>
      </c>
      <c r="T28" s="57"/>
      <c r="U28" s="55" t="n">
        <v>0</v>
      </c>
      <c r="V28" s="55" t="n">
        <v>50.5</v>
      </c>
      <c r="W28" s="57" t="n">
        <f aca="false">W27-30</f>
        <v>11596.5</v>
      </c>
      <c r="X28" s="5" t="n">
        <f aca="false">N28+O28+S28+U28+V28</f>
        <v>54.4</v>
      </c>
      <c r="Y28" s="55" t="n">
        <f aca="false">IF(L28&lt;0,L28*-1,0)</f>
        <v>0.04839929417696</v>
      </c>
      <c r="Z28" s="55" t="n">
        <f aca="false">X28+Y28</f>
        <v>54.448399294177</v>
      </c>
      <c r="AA28" s="58" t="n">
        <v>1.12</v>
      </c>
      <c r="AB28" s="54" t="n">
        <v>37</v>
      </c>
      <c r="AC28" s="51" t="n">
        <v>32</v>
      </c>
      <c r="AD28" s="48" t="n">
        <f aca="false">AD27+1</f>
        <v>19</v>
      </c>
      <c r="AE28" s="81"/>
      <c r="AF28" s="83"/>
      <c r="AG28" s="82"/>
    </row>
    <row r="29" customFormat="false" ht="11.1" hidden="false" customHeight="true" outlineLevel="0" collapsed="false">
      <c r="A29" s="48" t="n">
        <f aca="false">A28+1</f>
        <v>20</v>
      </c>
      <c r="B29" s="59" t="n">
        <v>6906.78</v>
      </c>
      <c r="C29" s="57" t="n">
        <v>309282</v>
      </c>
      <c r="D29" s="51" t="n">
        <f aca="false">C29-C28</f>
        <v>349</v>
      </c>
      <c r="E29" s="57" t="n">
        <f aca="false">C29-152000</f>
        <v>157282</v>
      </c>
      <c r="F29" s="55" t="n">
        <f aca="false">D29/$D$2</f>
        <v>175.951600705823</v>
      </c>
      <c r="G29" s="55" t="n">
        <v>212.9</v>
      </c>
      <c r="H29" s="58" t="n">
        <v>18.3</v>
      </c>
      <c r="I29" s="55" t="n">
        <f aca="false">G29+H29</f>
        <v>231.2</v>
      </c>
      <c r="J29" s="61" t="n">
        <f aca="false">IF(L29&gt;0,L29,0)</f>
        <v>0</v>
      </c>
      <c r="K29" s="55" t="n">
        <f aca="false">I29+J29</f>
        <v>231.2</v>
      </c>
      <c r="L29" s="55" t="n">
        <f aca="false">F29-(I29-X29)</f>
        <v>-0.04839929417696</v>
      </c>
      <c r="M29" s="55" t="n">
        <v>4.1</v>
      </c>
      <c r="N29" s="55" t="n">
        <v>0</v>
      </c>
      <c r="O29" s="55" t="n">
        <v>0</v>
      </c>
      <c r="P29" s="5" t="n">
        <f aca="false">M29-(N29+O29)</f>
        <v>4.1</v>
      </c>
      <c r="Q29" s="55" t="n">
        <v>0</v>
      </c>
      <c r="R29" s="55" t="n">
        <v>0</v>
      </c>
      <c r="S29" s="55" t="n">
        <f aca="false">SUM(P29:R29)</f>
        <v>4.1</v>
      </c>
      <c r="T29" s="57"/>
      <c r="U29" s="55" t="n">
        <v>0</v>
      </c>
      <c r="V29" s="55" t="n">
        <v>51.1</v>
      </c>
      <c r="W29" s="57" t="n">
        <f aca="false">W28-30</f>
        <v>11566.5</v>
      </c>
      <c r="X29" s="5" t="n">
        <f aca="false">N29+O29+S29+U29+V29</f>
        <v>55.2</v>
      </c>
      <c r="Y29" s="55" t="n">
        <f aca="false">IF(L29&lt;0,L29*-1,0)</f>
        <v>0.04839929417696</v>
      </c>
      <c r="Z29" s="55" t="n">
        <f aca="false">X29+Y29</f>
        <v>55.248399294177</v>
      </c>
      <c r="AA29" s="58" t="n">
        <v>0.84</v>
      </c>
      <c r="AB29" s="54" t="n">
        <v>36</v>
      </c>
      <c r="AC29" s="51" t="n">
        <v>30</v>
      </c>
      <c r="AD29" s="48" t="n">
        <f aca="false">AD28+1</f>
        <v>20</v>
      </c>
      <c r="AE29" s="81"/>
      <c r="AF29" s="83"/>
      <c r="AG29" s="82"/>
    </row>
    <row r="30" customFormat="false" ht="11.1" hidden="false" customHeight="true" outlineLevel="0" collapsed="false">
      <c r="A30" s="48" t="n">
        <f aca="false">A29+1</f>
        <v>21</v>
      </c>
      <c r="B30" s="59" t="n">
        <v>6906.82</v>
      </c>
      <c r="C30" s="57" t="n">
        <v>309438</v>
      </c>
      <c r="D30" s="51" t="n">
        <f aca="false">C30-C29</f>
        <v>156</v>
      </c>
      <c r="E30" s="57" t="n">
        <f aca="false">C30-152000</f>
        <v>157438</v>
      </c>
      <c r="F30" s="55" t="n">
        <f aca="false">D30/$D$2</f>
        <v>78.6488530375599</v>
      </c>
      <c r="G30" s="55" t="n">
        <v>120.2</v>
      </c>
      <c r="H30" s="58" t="n">
        <v>13.2</v>
      </c>
      <c r="I30" s="55" t="n">
        <f aca="false">G30+H30</f>
        <v>133.4</v>
      </c>
      <c r="J30" s="61" t="n">
        <f aca="false">IF(L30&gt;0,L30,0)</f>
        <v>0.0488530375598799</v>
      </c>
      <c r="K30" s="55" t="n">
        <f aca="false">I30+J30</f>
        <v>133.44885303756</v>
      </c>
      <c r="L30" s="55" t="n">
        <f aca="false">F30-(I30-X30)</f>
        <v>0.0488530375598799</v>
      </c>
      <c r="M30" s="55" t="n">
        <v>4.1</v>
      </c>
      <c r="N30" s="55" t="n">
        <v>0</v>
      </c>
      <c r="O30" s="55" t="n">
        <v>0</v>
      </c>
      <c r="P30" s="5" t="n">
        <f aca="false">M30-(N30+O30)</f>
        <v>4.1</v>
      </c>
      <c r="Q30" s="55" t="n">
        <v>0</v>
      </c>
      <c r="R30" s="55" t="n">
        <v>0</v>
      </c>
      <c r="S30" s="55" t="n">
        <f aca="false">SUM(P30:R30)</f>
        <v>4.1</v>
      </c>
      <c r="T30" s="57"/>
      <c r="U30" s="55" t="n">
        <v>0</v>
      </c>
      <c r="V30" s="55" t="n">
        <v>50.7</v>
      </c>
      <c r="W30" s="57" t="n">
        <f aca="false">W29-30</f>
        <v>11536.5</v>
      </c>
      <c r="X30" s="5" t="n">
        <f aca="false">N30+O30+S30+U30+V30</f>
        <v>54.8</v>
      </c>
      <c r="Y30" s="55" t="n">
        <f aca="false">IF(L30&lt;0,L30*-1,0)</f>
        <v>0</v>
      </c>
      <c r="Z30" s="55" t="n">
        <f aca="false">X30+Y30</f>
        <v>54.8</v>
      </c>
      <c r="AA30" s="58" t="n">
        <v>0.24</v>
      </c>
      <c r="AB30" s="51" t="n">
        <v>34</v>
      </c>
      <c r="AC30" s="51" t="n">
        <v>26</v>
      </c>
      <c r="AD30" s="48" t="n">
        <f aca="false">AD29+1</f>
        <v>21</v>
      </c>
      <c r="AE30" s="81"/>
      <c r="AF30" s="83"/>
      <c r="AG30" s="82"/>
    </row>
    <row r="31" customFormat="false" ht="11.1" hidden="false" customHeight="true" outlineLevel="0" collapsed="false">
      <c r="A31" s="48" t="n">
        <f aca="false">A30+1</f>
        <v>22</v>
      </c>
      <c r="B31" s="59" t="n">
        <v>6906.87</v>
      </c>
      <c r="C31" s="57" t="n">
        <v>309633</v>
      </c>
      <c r="D31" s="51" t="n">
        <f aca="false">C31-C30</f>
        <v>195</v>
      </c>
      <c r="E31" s="57" t="n">
        <f aca="false">C31-152000</f>
        <v>157633</v>
      </c>
      <c r="F31" s="55" t="n">
        <f aca="false">D31/$D$2</f>
        <v>98.3110662969498</v>
      </c>
      <c r="G31" s="55" t="n">
        <v>141.9</v>
      </c>
      <c r="H31" s="58" t="n">
        <v>10.5</v>
      </c>
      <c r="I31" s="55" t="n">
        <f aca="false">G31+H31</f>
        <v>152.4</v>
      </c>
      <c r="J31" s="61" t="n">
        <f aca="false">IF(L31&gt;0,L31,0)</f>
        <v>0.0110662969498208</v>
      </c>
      <c r="K31" s="55" t="n">
        <f aca="false">I31+J31</f>
        <v>152.41106629695</v>
      </c>
      <c r="L31" s="55" t="n">
        <f aca="false">F31-(I31-X31)</f>
        <v>0.0110662969498208</v>
      </c>
      <c r="M31" s="55" t="n">
        <v>4.1</v>
      </c>
      <c r="N31" s="55" t="n">
        <v>0</v>
      </c>
      <c r="O31" s="55" t="n">
        <v>0</v>
      </c>
      <c r="P31" s="5" t="n">
        <f aca="false">M31-(N31+O31)</f>
        <v>4.1</v>
      </c>
      <c r="Q31" s="55" t="n">
        <v>0</v>
      </c>
      <c r="R31" s="55" t="n">
        <v>0</v>
      </c>
      <c r="S31" s="55" t="n">
        <f aca="false">SUM(P31:R31)</f>
        <v>4.1</v>
      </c>
      <c r="T31" s="57"/>
      <c r="U31" s="55" t="n">
        <v>0</v>
      </c>
      <c r="V31" s="55" t="n">
        <v>50</v>
      </c>
      <c r="W31" s="57" t="n">
        <f aca="false">W30-30</f>
        <v>11506.5</v>
      </c>
      <c r="X31" s="5" t="n">
        <f aca="false">N31+O31+S31+U31+V31</f>
        <v>54.1</v>
      </c>
      <c r="Y31" s="55" t="n">
        <f aca="false">IF(L31&lt;0,L31*-1,0)</f>
        <v>0</v>
      </c>
      <c r="Z31" s="55" t="n">
        <f aca="false">X31+Y31</f>
        <v>54.1</v>
      </c>
      <c r="AA31" s="58" t="n">
        <v>0</v>
      </c>
      <c r="AB31" s="51" t="n">
        <v>39</v>
      </c>
      <c r="AC31" s="51" t="n">
        <v>16</v>
      </c>
      <c r="AD31" s="48" t="n">
        <f aca="false">AD30+1</f>
        <v>22</v>
      </c>
      <c r="AE31" s="81"/>
      <c r="AF31" s="83"/>
      <c r="AG31" s="82"/>
    </row>
    <row r="32" customFormat="false" ht="11.1" hidden="false" customHeight="true" outlineLevel="0" collapsed="false">
      <c r="A32" s="48" t="n">
        <f aca="false">A31+1</f>
        <v>23</v>
      </c>
      <c r="B32" s="59" t="n">
        <v>6906.89</v>
      </c>
      <c r="C32" s="57" t="n">
        <v>309711</v>
      </c>
      <c r="D32" s="51" t="n">
        <f aca="false">C32-C31</f>
        <v>78</v>
      </c>
      <c r="E32" s="57" t="n">
        <f aca="false">C32-152000</f>
        <v>157711</v>
      </c>
      <c r="F32" s="55" t="n">
        <f aca="false">D32/$D$2</f>
        <v>39.3244265187799</v>
      </c>
      <c r="G32" s="55" t="n">
        <v>83.2</v>
      </c>
      <c r="H32" s="58" t="n">
        <v>9.9</v>
      </c>
      <c r="I32" s="55" t="n">
        <f aca="false">G32+H32</f>
        <v>93.1</v>
      </c>
      <c r="J32" s="61" t="n">
        <f aca="false">IF(L32&gt;0,L32,0)</f>
        <v>0.0244265187799328</v>
      </c>
      <c r="K32" s="55" t="n">
        <f aca="false">I32+J32</f>
        <v>93.1244265187799</v>
      </c>
      <c r="L32" s="55" t="n">
        <f aca="false">F32-(I32-X32)</f>
        <v>0.0244265187799328</v>
      </c>
      <c r="M32" s="55" t="n">
        <v>4.1</v>
      </c>
      <c r="N32" s="55" t="n">
        <v>0</v>
      </c>
      <c r="O32" s="55" t="n">
        <v>0</v>
      </c>
      <c r="P32" s="5" t="n">
        <f aca="false">M32-(N32+O32)</f>
        <v>4.1</v>
      </c>
      <c r="Q32" s="55" t="n">
        <v>0</v>
      </c>
      <c r="R32" s="55" t="n">
        <v>0</v>
      </c>
      <c r="S32" s="55" t="n">
        <f aca="false">SUM(P32:R32)</f>
        <v>4.1</v>
      </c>
      <c r="T32" s="57"/>
      <c r="U32" s="55" t="n">
        <v>0</v>
      </c>
      <c r="V32" s="55" t="n">
        <v>49.7</v>
      </c>
      <c r="W32" s="57" t="n">
        <f aca="false">W31-30</f>
        <v>11476.5</v>
      </c>
      <c r="X32" s="5" t="n">
        <f aca="false">N32+O32+S32+U32+V32</f>
        <v>53.8</v>
      </c>
      <c r="Y32" s="55" t="n">
        <f aca="false">IF(L32&lt;0,L32*-1,0)</f>
        <v>0</v>
      </c>
      <c r="Z32" s="55" t="n">
        <f aca="false">X32+Y32</f>
        <v>53.8</v>
      </c>
      <c r="AA32" s="58" t="n">
        <v>0</v>
      </c>
      <c r="AB32" s="51" t="n">
        <v>45</v>
      </c>
      <c r="AC32" s="54" t="n">
        <v>17</v>
      </c>
      <c r="AD32" s="48" t="n">
        <f aca="false">AD31+1</f>
        <v>23</v>
      </c>
      <c r="AE32" s="81"/>
      <c r="AF32" s="83"/>
      <c r="AG32" s="82"/>
    </row>
    <row r="33" customFormat="false" ht="11.1" hidden="false" customHeight="true" outlineLevel="0" collapsed="false">
      <c r="A33" s="48" t="n">
        <f aca="false">A32+1</f>
        <v>24</v>
      </c>
      <c r="B33" s="59" t="n">
        <v>6906.95</v>
      </c>
      <c r="C33" s="57" t="n">
        <v>309944</v>
      </c>
      <c r="D33" s="51" t="n">
        <f aca="false">C33-C32</f>
        <v>233</v>
      </c>
      <c r="E33" s="57" t="n">
        <f aca="false">C33-152000</f>
        <v>157944</v>
      </c>
      <c r="F33" s="55" t="n">
        <f aca="false">D33/$D$2</f>
        <v>117.469120241996</v>
      </c>
      <c r="G33" s="55" t="n">
        <v>160.8</v>
      </c>
      <c r="H33" s="58" t="n">
        <v>10.6</v>
      </c>
      <c r="I33" s="55" t="n">
        <f aca="false">G33+H33</f>
        <v>171.4</v>
      </c>
      <c r="J33" s="61" t="n">
        <f aca="false">IF(L33&gt;0,L33,0)</f>
        <v>0.0691202419964583</v>
      </c>
      <c r="K33" s="55" t="n">
        <f aca="false">I33+J33</f>
        <v>171.469120241996</v>
      </c>
      <c r="L33" s="55" t="n">
        <f aca="false">F33-(I33-X33)</f>
        <v>0.0691202419964583</v>
      </c>
      <c r="M33" s="55" t="n">
        <v>4.1</v>
      </c>
      <c r="N33" s="55" t="n">
        <v>0</v>
      </c>
      <c r="O33" s="55" t="n">
        <v>0</v>
      </c>
      <c r="P33" s="5" t="n">
        <f aca="false">M33-(N33+O33)</f>
        <v>4.1</v>
      </c>
      <c r="Q33" s="55" t="n">
        <v>0</v>
      </c>
      <c r="R33" s="55" t="n">
        <v>0</v>
      </c>
      <c r="S33" s="55" t="n">
        <f aca="false">SUM(P33:R33)</f>
        <v>4.1</v>
      </c>
      <c r="T33" s="57"/>
      <c r="U33" s="55" t="n">
        <v>0</v>
      </c>
      <c r="V33" s="55" t="n">
        <v>49.9</v>
      </c>
      <c r="W33" s="57" t="n">
        <f aca="false">W32-30</f>
        <v>11446.5</v>
      </c>
      <c r="X33" s="5" t="n">
        <f aca="false">N33+O33+S33+U33+V33</f>
        <v>54</v>
      </c>
      <c r="Y33" s="55" t="n">
        <f aca="false">IF(L33&lt;0,L33*-1,0)</f>
        <v>0</v>
      </c>
      <c r="Z33" s="55" t="n">
        <f aca="false">X33+Y33</f>
        <v>54</v>
      </c>
      <c r="AA33" s="58" t="n">
        <v>0.43</v>
      </c>
      <c r="AB33" s="51" t="n">
        <v>32</v>
      </c>
      <c r="AC33" s="54" t="n">
        <v>28</v>
      </c>
      <c r="AD33" s="48" t="n">
        <f aca="false">AD32+1</f>
        <v>24</v>
      </c>
      <c r="AE33" s="81"/>
      <c r="AF33" s="83"/>
      <c r="AG33" s="82"/>
    </row>
    <row r="34" customFormat="false" ht="11.1" hidden="false" customHeight="true" outlineLevel="0" collapsed="false">
      <c r="A34" s="48" t="n">
        <f aca="false">A33+1</f>
        <v>25</v>
      </c>
      <c r="B34" s="59" t="n">
        <v>6906.97</v>
      </c>
      <c r="C34" s="57" t="n">
        <v>310022</v>
      </c>
      <c r="D34" s="51" t="n">
        <f aca="false">C34-C33</f>
        <v>78</v>
      </c>
      <c r="E34" s="57" t="n">
        <f aca="false">C34-152000</f>
        <v>158022</v>
      </c>
      <c r="F34" s="55" t="n">
        <f aca="false">D34/$D$2</f>
        <v>39.3244265187799</v>
      </c>
      <c r="G34" s="55" t="n">
        <v>81.3</v>
      </c>
      <c r="H34" s="58" t="n">
        <v>11.7</v>
      </c>
      <c r="I34" s="55" t="n">
        <f aca="false">G34+H34</f>
        <v>93</v>
      </c>
      <c r="J34" s="61" t="n">
        <f aca="false">IF(L34&gt;0,L34,0)</f>
        <v>0</v>
      </c>
      <c r="K34" s="55" t="n">
        <f aca="false">I34+J34</f>
        <v>93</v>
      </c>
      <c r="L34" s="55" t="n">
        <f aca="false">F34-(I34-X34)</f>
        <v>-0.0755734812200615</v>
      </c>
      <c r="M34" s="55" t="n">
        <v>4.1</v>
      </c>
      <c r="N34" s="55" t="n">
        <v>0</v>
      </c>
      <c r="O34" s="55" t="n">
        <v>0</v>
      </c>
      <c r="P34" s="5" t="n">
        <f aca="false">M34-(N34+O34)</f>
        <v>4.1</v>
      </c>
      <c r="Q34" s="55" t="n">
        <v>0</v>
      </c>
      <c r="R34" s="55" t="n">
        <v>0</v>
      </c>
      <c r="S34" s="55" t="n">
        <f aca="false">SUM(P34:R34)</f>
        <v>4.1</v>
      </c>
      <c r="T34" s="57"/>
      <c r="U34" s="55" t="n">
        <v>0</v>
      </c>
      <c r="V34" s="55" t="n">
        <v>49.5</v>
      </c>
      <c r="W34" s="57" t="n">
        <f aca="false">W33-30</f>
        <v>11416.5</v>
      </c>
      <c r="X34" s="5" t="n">
        <f aca="false">N34+O34+S34+U34+V34</f>
        <v>53.6</v>
      </c>
      <c r="Y34" s="55" t="n">
        <f aca="false">IF(L34&lt;0,L34*-1,0)</f>
        <v>0.0755734812200615</v>
      </c>
      <c r="Z34" s="55" t="n">
        <f aca="false">X34+Y34</f>
        <v>53.6755734812201</v>
      </c>
      <c r="AA34" s="58" t="n">
        <v>0.18</v>
      </c>
      <c r="AB34" s="51" t="n">
        <v>38</v>
      </c>
      <c r="AC34" s="54" t="n">
        <v>24</v>
      </c>
      <c r="AD34" s="48" t="n">
        <f aca="false">AD33+1</f>
        <v>25</v>
      </c>
      <c r="AE34" s="81"/>
      <c r="AF34" s="83"/>
      <c r="AG34" s="82"/>
    </row>
    <row r="35" customFormat="false" ht="11.1" hidden="false" customHeight="true" outlineLevel="0" collapsed="false">
      <c r="A35" s="48" t="n">
        <f aca="false">A34+1</f>
        <v>26</v>
      </c>
      <c r="B35" s="59" t="n">
        <v>6906.99</v>
      </c>
      <c r="C35" s="57" t="n">
        <v>310100</v>
      </c>
      <c r="D35" s="51" t="n">
        <f aca="false">C35-C34</f>
        <v>78</v>
      </c>
      <c r="E35" s="57" t="n">
        <f aca="false">C35-152000</f>
        <v>158100</v>
      </c>
      <c r="F35" s="55" t="n">
        <f aca="false">D35/$D$2</f>
        <v>39.3244265187799</v>
      </c>
      <c r="G35" s="55" t="n">
        <v>83</v>
      </c>
      <c r="H35" s="58" t="n">
        <v>10</v>
      </c>
      <c r="I35" s="55" t="n">
        <f aca="false">G35+H35</f>
        <v>93</v>
      </c>
      <c r="J35" s="61" t="n">
        <f aca="false">IF(L35&gt;0,L35,0)</f>
        <v>0.02442651877994</v>
      </c>
      <c r="K35" s="55" t="n">
        <f aca="false">I35+J35</f>
        <v>93.0244265187799</v>
      </c>
      <c r="L35" s="55" t="n">
        <f aca="false">F35-(I35-X35)</f>
        <v>0.02442651877994</v>
      </c>
      <c r="M35" s="55" t="n">
        <v>4.1</v>
      </c>
      <c r="N35" s="55" t="n">
        <v>0</v>
      </c>
      <c r="O35" s="55" t="n">
        <v>0</v>
      </c>
      <c r="P35" s="5" t="n">
        <f aca="false">M35-(N35+O35)</f>
        <v>4.1</v>
      </c>
      <c r="Q35" s="55" t="n">
        <v>0</v>
      </c>
      <c r="R35" s="55" t="n">
        <v>0</v>
      </c>
      <c r="S35" s="55" t="n">
        <f aca="false">SUM(P35:R35)</f>
        <v>4.1</v>
      </c>
      <c r="T35" s="57"/>
      <c r="U35" s="55" t="n">
        <v>0</v>
      </c>
      <c r="V35" s="55" t="n">
        <v>49.6</v>
      </c>
      <c r="W35" s="57" t="n">
        <f aca="false">W34-30</f>
        <v>11386.5</v>
      </c>
      <c r="X35" s="5" t="n">
        <f aca="false">N35+O35+S35+U35+V35</f>
        <v>53.7</v>
      </c>
      <c r="Y35" s="55" t="n">
        <f aca="false">IF(L35&lt;0,L35*-1,0)</f>
        <v>0</v>
      </c>
      <c r="Z35" s="55" t="n">
        <f aca="false">X35+Y35</f>
        <v>53.7</v>
      </c>
      <c r="AA35" s="58" t="n">
        <v>0</v>
      </c>
      <c r="AB35" s="51" t="n">
        <v>47</v>
      </c>
      <c r="AC35" s="51" t="n">
        <v>21</v>
      </c>
      <c r="AD35" s="48" t="n">
        <f aca="false">AD34+1</f>
        <v>26</v>
      </c>
      <c r="AE35" s="81"/>
      <c r="AF35" s="83"/>
      <c r="AG35" s="82"/>
    </row>
    <row r="36" customFormat="false" ht="11.1" hidden="false" customHeight="true" outlineLevel="0" collapsed="false">
      <c r="A36" s="48" t="n">
        <f aca="false">A35+1</f>
        <v>27</v>
      </c>
      <c r="B36" s="59" t="n">
        <v>6907.01</v>
      </c>
      <c r="C36" s="57" t="n">
        <v>310176</v>
      </c>
      <c r="D36" s="51" t="n">
        <f aca="false">C36-C35</f>
        <v>76</v>
      </c>
      <c r="E36" s="57" t="n">
        <f aca="false">C36-152000</f>
        <v>158176</v>
      </c>
      <c r="F36" s="55" t="n">
        <f aca="false">D36/$D$2</f>
        <v>38.3161078900933</v>
      </c>
      <c r="G36" s="55" t="n">
        <v>83.8</v>
      </c>
      <c r="H36" s="58" t="n">
        <v>8.5</v>
      </c>
      <c r="I36" s="55" t="n">
        <f aca="false">G36+H36</f>
        <v>92.3</v>
      </c>
      <c r="J36" s="61" t="n">
        <f aca="false">IF(L36&gt;0,L36,0)</f>
        <v>0.0161078900932736</v>
      </c>
      <c r="K36" s="55" t="n">
        <f aca="false">I36+J36</f>
        <v>92.3161078900933</v>
      </c>
      <c r="L36" s="55" t="n">
        <f aca="false">F36-(I36-X36)</f>
        <v>0.0161078900932736</v>
      </c>
      <c r="M36" s="55" t="n">
        <v>4.1</v>
      </c>
      <c r="N36" s="55" t="n">
        <v>0</v>
      </c>
      <c r="O36" s="55" t="n">
        <v>0</v>
      </c>
      <c r="P36" s="5" t="n">
        <f aca="false">M36-(N36+O36)</f>
        <v>4.1</v>
      </c>
      <c r="Q36" s="55" t="n">
        <v>0</v>
      </c>
      <c r="R36" s="55" t="n">
        <v>0</v>
      </c>
      <c r="S36" s="55" t="n">
        <f aca="false">SUM(P36:R36)</f>
        <v>4.1</v>
      </c>
      <c r="T36" s="57"/>
      <c r="U36" s="55" t="n">
        <v>0</v>
      </c>
      <c r="V36" s="55" t="n">
        <v>49.9</v>
      </c>
      <c r="W36" s="57" t="n">
        <f aca="false">W35-30</f>
        <v>11356.5</v>
      </c>
      <c r="X36" s="5" t="n">
        <f aca="false">N36+O36+S36+U36+V36</f>
        <v>54</v>
      </c>
      <c r="Y36" s="55" t="n">
        <f aca="false">IF(L36&lt;0,L36*-1,0)</f>
        <v>0</v>
      </c>
      <c r="Z36" s="55" t="n">
        <f aca="false">X36+Y36</f>
        <v>54</v>
      </c>
      <c r="AA36" s="58" t="n">
        <v>0</v>
      </c>
      <c r="AB36" s="51" t="n">
        <v>51</v>
      </c>
      <c r="AC36" s="51" t="n">
        <v>25</v>
      </c>
      <c r="AD36" s="48" t="n">
        <f aca="false">AD35+1</f>
        <v>27</v>
      </c>
      <c r="AE36" s="81"/>
      <c r="AF36" s="83"/>
      <c r="AG36" s="82"/>
    </row>
    <row r="37" customFormat="false" ht="11.1" hidden="false" customHeight="true" outlineLevel="0" collapsed="false">
      <c r="A37" s="48" t="n">
        <v>28</v>
      </c>
      <c r="B37" s="59" t="n">
        <v>6907.04</v>
      </c>
      <c r="C37" s="57" t="n">
        <v>310295</v>
      </c>
      <c r="D37" s="51" t="n">
        <f aca="false">C37-C36</f>
        <v>119</v>
      </c>
      <c r="E37" s="57" t="n">
        <f aca="false">C37-152000</f>
        <v>158295</v>
      </c>
      <c r="F37" s="55" t="n">
        <f aca="false">D37/$D$2</f>
        <v>59.9949584068566</v>
      </c>
      <c r="G37" s="55" t="n">
        <v>107.4</v>
      </c>
      <c r="H37" s="58" t="n">
        <v>6.6</v>
      </c>
      <c r="I37" s="55" t="n">
        <f aca="false">G37+H37</f>
        <v>114</v>
      </c>
      <c r="J37" s="61" t="n">
        <f aca="false">IF(L37&gt;0,L37,0)</f>
        <v>0</v>
      </c>
      <c r="K37" s="55" t="n">
        <f aca="false">I37+J37</f>
        <v>114</v>
      </c>
      <c r="L37" s="55" t="n">
        <f aca="false">F37-(I37-X37)</f>
        <v>-0.00504159314343156</v>
      </c>
      <c r="M37" s="55" t="n">
        <v>4.1</v>
      </c>
      <c r="N37" s="55" t="n">
        <v>0</v>
      </c>
      <c r="O37" s="55" t="n">
        <v>0</v>
      </c>
      <c r="P37" s="5" t="n">
        <f aca="false">M37-(N37+O37)</f>
        <v>4.1</v>
      </c>
      <c r="Q37" s="55" t="n">
        <v>0</v>
      </c>
      <c r="R37" s="55" t="n">
        <v>0</v>
      </c>
      <c r="S37" s="55" t="n">
        <f aca="false">SUM(P37:R37)</f>
        <v>4.1</v>
      </c>
      <c r="T37" s="57"/>
      <c r="U37" s="55" t="n">
        <v>0</v>
      </c>
      <c r="V37" s="55" t="n">
        <v>49.9</v>
      </c>
      <c r="W37" s="57" t="n">
        <f aca="false">W36-30</f>
        <v>11326.5</v>
      </c>
      <c r="X37" s="5" t="n">
        <f aca="false">N37+O37+S37+U37+V37</f>
        <v>54</v>
      </c>
      <c r="Y37" s="55" t="n">
        <f aca="false">IF(L37&lt;0,L37*-1,0)</f>
        <v>0.00504159314343156</v>
      </c>
      <c r="Z37" s="55" t="n">
        <f aca="false">X37+Y37</f>
        <v>54.0050415931434</v>
      </c>
      <c r="AA37" s="58" t="n">
        <v>0</v>
      </c>
      <c r="AB37" s="51" t="n">
        <v>45</v>
      </c>
      <c r="AC37" s="51" t="n">
        <v>29</v>
      </c>
      <c r="AD37" s="48" t="n">
        <v>28</v>
      </c>
      <c r="AE37" s="81"/>
      <c r="AF37" s="83"/>
      <c r="AG37" s="82"/>
    </row>
    <row r="38" customFormat="false" ht="3" hidden="false" customHeight="true" outlineLevel="0" collapsed="false">
      <c r="A38" s="84"/>
      <c r="B38" s="84"/>
      <c r="C38" s="86"/>
      <c r="D38" s="84"/>
      <c r="E38" s="86"/>
      <c r="F38" s="84"/>
      <c r="G38" s="84"/>
      <c r="H38" s="87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6"/>
      <c r="U38" s="84"/>
      <c r="V38" s="84"/>
      <c r="W38" s="84"/>
      <c r="X38" s="84"/>
      <c r="Y38" s="84"/>
      <c r="Z38" s="84"/>
      <c r="AA38" s="87"/>
      <c r="AB38" s="52"/>
      <c r="AC38" s="52"/>
      <c r="AD38" s="53"/>
      <c r="AE38" s="81"/>
      <c r="AF38" s="81"/>
      <c r="AG38" s="82"/>
    </row>
    <row r="39" customFormat="false" ht="11.1" hidden="false" customHeight="true" outlineLevel="0" collapsed="false">
      <c r="A39" s="55" t="s">
        <v>43</v>
      </c>
      <c r="B39" s="55"/>
      <c r="C39" s="57"/>
      <c r="D39" s="57"/>
      <c r="E39" s="57"/>
      <c r="F39" s="57" t="n">
        <f aca="false">SUM(F10:F37)</f>
        <v>1431.30829342072</v>
      </c>
      <c r="G39" s="57" t="n">
        <f aca="false">SUM(G10:G37)</f>
        <v>2716.8</v>
      </c>
      <c r="H39" s="58" t="n">
        <f aca="false">SUM(H10:H37)</f>
        <v>215.7</v>
      </c>
      <c r="I39" s="57" t="n">
        <f aca="false">SUM(I10:I37)</f>
        <v>2932.5</v>
      </c>
      <c r="J39" s="57" t="n">
        <f aca="false">SUM(J10:J37)</f>
        <v>0.43037559868921</v>
      </c>
      <c r="K39" s="57" t="n">
        <f aca="false">SUM(K10:K37)</f>
        <v>2932.93037559869</v>
      </c>
      <c r="L39" s="57" t="n">
        <f aca="false">SUM(L10:L37)</f>
        <v>-0.291706579278998</v>
      </c>
      <c r="M39" s="57" t="n">
        <f aca="false">SUM(M10:M37)</f>
        <v>107.5</v>
      </c>
      <c r="N39" s="57" t="n">
        <f aca="false">SUM(N10:N37)</f>
        <v>0</v>
      </c>
      <c r="O39" s="57" t="n">
        <f aca="false">SUM(O10:O37)</f>
        <v>0</v>
      </c>
      <c r="P39" s="57" t="n">
        <f aca="false">SUM(P10:P37)</f>
        <v>107.5</v>
      </c>
      <c r="Q39" s="57" t="n">
        <f aca="false">SUM(Q10:Q37)</f>
        <v>0</v>
      </c>
      <c r="R39" s="57" t="n">
        <f aca="false">SUM(R10:R37)</f>
        <v>0</v>
      </c>
      <c r="S39" s="57" t="n">
        <f aca="false">SUM(S10:S37)</f>
        <v>107.5</v>
      </c>
      <c r="T39" s="57"/>
      <c r="U39" s="57" t="n">
        <f aca="false">SUM(U10:U37)</f>
        <v>0</v>
      </c>
      <c r="V39" s="57" t="n">
        <f aca="false">SUM(V10:V37)</f>
        <v>1393.4</v>
      </c>
      <c r="W39" s="57"/>
      <c r="X39" s="57" t="n">
        <f aca="false">SUM(X10:X37)</f>
        <v>1500.9</v>
      </c>
      <c r="Y39" s="57" t="n">
        <f aca="false">SUM(Y10:Y37)</f>
        <v>0.722082177968208</v>
      </c>
      <c r="Z39" s="57" t="n">
        <f aca="false">SUM(Z10:Z37)</f>
        <v>1501.62208217797</v>
      </c>
      <c r="AA39" s="58" t="n">
        <f aca="false">SUM(AA10:AA37)</f>
        <v>4.45</v>
      </c>
      <c r="AB39" s="51" t="n">
        <f aca="false">AVERAGE(AB10:AB37)</f>
        <v>40.0714285714286</v>
      </c>
      <c r="AC39" s="51" t="n">
        <f aca="false">AVERAGE(AC10:AC37)</f>
        <v>21.0357142857143</v>
      </c>
      <c r="AD39" s="48" t="s">
        <v>63</v>
      </c>
      <c r="AE39" s="81"/>
      <c r="AF39" s="81"/>
      <c r="AG39" s="82"/>
    </row>
    <row r="40" customFormat="false" ht="11.1" hidden="false" customHeight="true" outlineLevel="0" collapsed="false">
      <c r="A40" s="55" t="s">
        <v>44</v>
      </c>
      <c r="B40" s="55"/>
      <c r="C40" s="57"/>
      <c r="D40" s="57" t="n">
        <f aca="false">SUM(D10:D37)</f>
        <v>2839</v>
      </c>
      <c r="E40" s="57"/>
      <c r="F40" s="57" t="n">
        <f aca="false">F39*$D$2</f>
        <v>2839</v>
      </c>
      <c r="G40" s="57" t="n">
        <f aca="false">G39*$D$2</f>
        <v>5388.7728</v>
      </c>
      <c r="H40" s="58" t="n">
        <f aca="false">H39*$D$2</f>
        <v>427.84095</v>
      </c>
      <c r="I40" s="57" t="n">
        <f aca="false">I39*$D$2</f>
        <v>5816.61375</v>
      </c>
      <c r="J40" s="57" t="n">
        <f aca="false">J39*$D$2</f>
        <v>0.853650000000048</v>
      </c>
      <c r="K40" s="57" t="n">
        <f aca="false">K39*$D$2</f>
        <v>5817.4674</v>
      </c>
      <c r="L40" s="57" t="n">
        <f aca="false">L39*$D$2</f>
        <v>-0.578599999999892</v>
      </c>
      <c r="M40" s="57" t="n">
        <f aca="false">M39*$D$2</f>
        <v>213.22625</v>
      </c>
      <c r="N40" s="57" t="n">
        <f aca="false">N39*$D$2</f>
        <v>0</v>
      </c>
      <c r="O40" s="57" t="n">
        <f aca="false">O39*$D$2</f>
        <v>0</v>
      </c>
      <c r="P40" s="57" t="n">
        <f aca="false">P39*$D$2</f>
        <v>213.22625</v>
      </c>
      <c r="Q40" s="57" t="n">
        <f aca="false">Q39*$D$2</f>
        <v>0</v>
      </c>
      <c r="R40" s="57" t="n">
        <f aca="false">R39*$D$2</f>
        <v>0</v>
      </c>
      <c r="S40" s="57" t="n">
        <f aca="false">S39*$D$2</f>
        <v>213.22625</v>
      </c>
      <c r="T40" s="57"/>
      <c r="U40" s="57" t="n">
        <f aca="false">U39*$D$2</f>
        <v>0</v>
      </c>
      <c r="V40" s="57" t="n">
        <f aca="false">V39*$D$2</f>
        <v>2763.8089</v>
      </c>
      <c r="W40" s="57"/>
      <c r="X40" s="57" t="n">
        <f aca="false">X39*$D$2</f>
        <v>2977.03515</v>
      </c>
      <c r="Y40" s="57" t="n">
        <f aca="false">Y39*$D$2</f>
        <v>1.43224999999994</v>
      </c>
      <c r="Z40" s="57" t="n">
        <f aca="false">Z39*$D$2</f>
        <v>2978.4674</v>
      </c>
      <c r="AA40" s="58"/>
      <c r="AB40" s="51" t="n">
        <f aca="false">MAX(AB10:AB37)</f>
        <v>51</v>
      </c>
      <c r="AC40" s="51" t="n">
        <f aca="false">MAX(AC10:AC37)</f>
        <v>32</v>
      </c>
      <c r="AD40" s="48" t="s">
        <v>45</v>
      </c>
      <c r="AE40" s="81"/>
      <c r="AF40" s="81"/>
      <c r="AG40" s="82"/>
    </row>
    <row r="41" customFormat="false" ht="3" hidden="false" customHeight="true" outlineLevel="0" collapsed="false">
      <c r="A41" s="84"/>
      <c r="B41" s="84"/>
      <c r="C41" s="86"/>
      <c r="D41" s="86"/>
      <c r="E41" s="86"/>
      <c r="F41" s="86"/>
      <c r="G41" s="86"/>
      <c r="H41" s="87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4"/>
      <c r="X41" s="86"/>
      <c r="Y41" s="86"/>
      <c r="Z41" s="86"/>
      <c r="AA41" s="58"/>
      <c r="AB41" s="51"/>
      <c r="AC41" s="51"/>
      <c r="AD41" s="48"/>
      <c r="AE41" s="81"/>
      <c r="AF41" s="81"/>
      <c r="AG41" s="82"/>
    </row>
    <row r="42" customFormat="false" ht="11.1" hidden="false" customHeight="true" outlineLevel="0" collapsed="false">
      <c r="A42" s="55" t="s">
        <v>46</v>
      </c>
      <c r="B42" s="55"/>
      <c r="C42" s="57"/>
      <c r="D42" s="57"/>
      <c r="E42" s="57"/>
      <c r="F42" s="57"/>
      <c r="G42" s="57"/>
      <c r="H42" s="58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8"/>
      <c r="AB42" s="51" t="n">
        <f aca="false">MIN(AB10:AB37)</f>
        <v>32</v>
      </c>
      <c r="AC42" s="51" t="n">
        <f aca="false">MIN(AC10:AC37)</f>
        <v>8</v>
      </c>
      <c r="AD42" s="48" t="s">
        <v>47</v>
      </c>
      <c r="AE42" s="81"/>
      <c r="AF42" s="81"/>
      <c r="AG42" s="82"/>
    </row>
    <row r="43" customFormat="false" ht="11.1" hidden="false" customHeight="true" outlineLevel="0" collapsed="false">
      <c r="A43" s="55" t="s">
        <v>48</v>
      </c>
      <c r="B43" s="55"/>
      <c r="C43" s="57"/>
      <c r="D43" s="57"/>
      <c r="E43" s="57"/>
      <c r="F43" s="57"/>
      <c r="G43" s="57"/>
      <c r="H43" s="58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8"/>
      <c r="AB43" s="51"/>
      <c r="AC43" s="51"/>
      <c r="AD43" s="48"/>
      <c r="AE43" s="81"/>
      <c r="AF43" s="81"/>
      <c r="AG43" s="82"/>
    </row>
    <row r="44" customFormat="false" ht="3" hidden="false" customHeight="true" outlineLevel="0" collapsed="false">
      <c r="A44" s="84"/>
      <c r="B44" s="84"/>
      <c r="C44" s="86"/>
      <c r="D44" s="86"/>
      <c r="E44" s="86"/>
      <c r="F44" s="86"/>
      <c r="G44" s="86"/>
      <c r="H44" s="87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7"/>
      <c r="AB44" s="51"/>
      <c r="AC44" s="51"/>
      <c r="AD44" s="48"/>
      <c r="AE44" s="81"/>
      <c r="AF44" s="81"/>
      <c r="AG44" s="82"/>
    </row>
    <row r="45" customFormat="false" ht="11.1" hidden="false" customHeight="true" outlineLevel="0" collapsed="false">
      <c r="A45" s="55" t="s">
        <v>49</v>
      </c>
      <c r="B45" s="55"/>
      <c r="C45" s="57"/>
      <c r="D45" s="57"/>
      <c r="E45" s="57"/>
      <c r="F45" s="57" t="n">
        <f aca="false">F8+F39</f>
        <v>3185.27854802117</v>
      </c>
      <c r="G45" s="57" t="n">
        <f aca="false">G8+G39</f>
        <v>9251.3</v>
      </c>
      <c r="H45" s="58" t="n">
        <f aca="false">H8+H39</f>
        <v>215.7</v>
      </c>
      <c r="I45" s="57" t="n">
        <f aca="false">I8+I39</f>
        <v>9467</v>
      </c>
      <c r="J45" s="57" t="n">
        <f aca="false">J8+J39</f>
        <v>242.165187799345</v>
      </c>
      <c r="K45" s="57" t="n">
        <f aca="false">K8+K39</f>
        <v>9709.16518779934</v>
      </c>
      <c r="L45" s="57" t="n">
        <f aca="false">L8+L39</f>
        <v>-659.621451978825</v>
      </c>
      <c r="M45" s="57" t="n">
        <f aca="false">M8+M39</f>
        <v>919.5</v>
      </c>
      <c r="N45" s="57" t="n">
        <f aca="false">N8+N39</f>
        <v>0</v>
      </c>
      <c r="O45" s="57" t="n">
        <f aca="false">O8+O39</f>
        <v>0</v>
      </c>
      <c r="P45" s="57" t="n">
        <f aca="false">P8+P39</f>
        <v>247.8</v>
      </c>
      <c r="Q45" s="57" t="n">
        <f aca="false">Q8+Q39</f>
        <v>0</v>
      </c>
      <c r="R45" s="57" t="n">
        <f aca="false">R8+R39</f>
        <v>178.7</v>
      </c>
      <c r="S45" s="57" t="n">
        <f aca="false">S8+S39</f>
        <v>1098.2</v>
      </c>
      <c r="T45" s="57"/>
      <c r="U45" s="57" t="n">
        <f aca="false">U8+U39</f>
        <v>0</v>
      </c>
      <c r="V45" s="57" t="n">
        <f aca="false">V8+V39</f>
        <v>4523.9</v>
      </c>
      <c r="W45" s="57" t="n">
        <f aca="false">W37</f>
        <v>11326.5</v>
      </c>
      <c r="X45" s="57" t="n">
        <f aca="false">X8+X39</f>
        <v>5622.1</v>
      </c>
      <c r="Y45" s="57" t="n">
        <f aca="false">Y8+Y39</f>
        <v>901.78663977817</v>
      </c>
      <c r="Z45" s="57" t="n">
        <f aca="false">Z8+Z39</f>
        <v>6523.88663977817</v>
      </c>
      <c r="AA45" s="58" t="n">
        <f aca="false">AA8+AA39</f>
        <v>10.88</v>
      </c>
      <c r="AB45" s="51"/>
      <c r="AC45" s="51"/>
      <c r="AD45" s="48"/>
      <c r="AE45" s="81"/>
      <c r="AF45" s="81"/>
      <c r="AG45" s="82"/>
    </row>
    <row r="46" customFormat="false" ht="11.1" hidden="false" customHeight="true" outlineLevel="0" collapsed="false">
      <c r="A46" s="55" t="s">
        <v>50</v>
      </c>
      <c r="B46" s="55"/>
      <c r="C46" s="57"/>
      <c r="D46" s="57" t="n">
        <f aca="false">D8+D40</f>
        <v>6318</v>
      </c>
      <c r="E46" s="57" t="n">
        <f aca="false">E37</f>
        <v>158295</v>
      </c>
      <c r="F46" s="57" t="n">
        <f aca="false">F45*$D$2</f>
        <v>6318</v>
      </c>
      <c r="G46" s="57" t="n">
        <f aca="false">G45*$D$2</f>
        <v>18349.95355</v>
      </c>
      <c r="H46" s="58" t="n">
        <f aca="false">H45*$D$2</f>
        <v>427.84095</v>
      </c>
      <c r="I46" s="57" t="n">
        <f aca="false">I45*$D$2</f>
        <v>18777.7945</v>
      </c>
      <c r="J46" s="57" t="n">
        <f aca="false">J45*$D$2</f>
        <v>480.33465</v>
      </c>
      <c r="K46" s="57" t="n">
        <f aca="false">K45*$D$2</f>
        <v>19258.12915</v>
      </c>
      <c r="L46" s="57" t="n">
        <f aca="false">L45*$D$2</f>
        <v>-1308.35915</v>
      </c>
      <c r="M46" s="57" t="n">
        <f aca="false">M45*$D$2</f>
        <v>1823.82825</v>
      </c>
      <c r="N46" s="57" t="n">
        <f aca="false">N45*$D$2</f>
        <v>0</v>
      </c>
      <c r="O46" s="57" t="n">
        <f aca="false">O45*$D$2</f>
        <v>0</v>
      </c>
      <c r="P46" s="57" t="n">
        <f aca="false">P45*$D$2</f>
        <v>491.5113</v>
      </c>
      <c r="Q46" s="57" t="n">
        <f aca="false">Q45*$D$2</f>
        <v>0</v>
      </c>
      <c r="R46" s="57" t="n">
        <f aca="false">R45*$D$2</f>
        <v>354.45145</v>
      </c>
      <c r="S46" s="57" t="n">
        <f aca="false">S45*$D$2</f>
        <v>2178.2797</v>
      </c>
      <c r="T46" s="57" t="n">
        <f aca="false">T45*$D$2</f>
        <v>0</v>
      </c>
      <c r="U46" s="57" t="n">
        <f aca="false">U45*$D$2</f>
        <v>0</v>
      </c>
      <c r="V46" s="57" t="n">
        <f aca="false">V45*$D$2</f>
        <v>8973.15565</v>
      </c>
      <c r="W46" s="57" t="n">
        <f aca="false">W45*$D$2</f>
        <v>22466.11275</v>
      </c>
      <c r="X46" s="57" t="n">
        <f aca="false">X45*$D$2</f>
        <v>11151.43535</v>
      </c>
      <c r="Y46" s="57" t="n">
        <f aca="false">Y45*$D$2</f>
        <v>1788.6938</v>
      </c>
      <c r="Z46" s="57" t="n">
        <f aca="false">Z45*$D$2</f>
        <v>12940.12915</v>
      </c>
      <c r="AA46" s="58"/>
      <c r="AB46" s="51"/>
      <c r="AC46" s="51"/>
      <c r="AD46" s="48"/>
      <c r="AE46" s="81"/>
      <c r="AF46" s="81"/>
      <c r="AG46" s="82"/>
    </row>
    <row r="47" customFormat="false" ht="3" hidden="false" customHeight="true" outlineLevel="0" collapsed="false">
      <c r="A47" s="84"/>
      <c r="B47" s="84"/>
      <c r="C47" s="86"/>
      <c r="D47" s="84"/>
      <c r="E47" s="86"/>
      <c r="F47" s="84"/>
      <c r="G47" s="84"/>
      <c r="H47" s="87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6"/>
      <c r="U47" s="84"/>
      <c r="V47" s="84"/>
      <c r="W47" s="86"/>
      <c r="X47" s="84"/>
      <c r="Y47" s="84"/>
      <c r="Z47" s="84"/>
      <c r="AA47" s="58"/>
      <c r="AB47" s="51"/>
      <c r="AC47" s="51"/>
      <c r="AD47" s="48"/>
      <c r="AE47" s="81"/>
      <c r="AF47" s="81"/>
      <c r="AG47" s="82"/>
    </row>
    <row r="48" customFormat="false" ht="11.1" hidden="false" customHeight="true" outlineLevel="0" collapsed="false">
      <c r="A48" s="55"/>
      <c r="B48" s="56"/>
      <c r="C48" s="57"/>
      <c r="D48" s="55"/>
      <c r="E48" s="57"/>
      <c r="F48" s="55"/>
      <c r="G48" s="55"/>
      <c r="H48" s="58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7"/>
      <c r="U48" s="55"/>
      <c r="V48" s="55"/>
      <c r="W48" s="57"/>
      <c r="X48" s="55"/>
      <c r="Y48" s="55"/>
      <c r="Z48" s="55"/>
      <c r="AA48" s="58"/>
      <c r="AB48" s="51"/>
      <c r="AC48" s="51"/>
      <c r="AD48" s="48"/>
      <c r="AE48" s="67"/>
      <c r="AF48" s="67"/>
    </row>
    <row r="49" customFormat="false" ht="11.1" hidden="false" customHeight="true" outlineLevel="0" collapsed="false">
      <c r="A49" s="55"/>
      <c r="B49" s="59"/>
      <c r="C49" s="57"/>
      <c r="D49" s="54"/>
      <c r="E49" s="57"/>
      <c r="F49" s="55"/>
      <c r="G49" s="55"/>
      <c r="H49" s="2"/>
      <c r="I49" s="57"/>
      <c r="J49" s="55"/>
      <c r="K49" s="39"/>
      <c r="L49" s="55"/>
      <c r="M49" s="55"/>
      <c r="N49" s="55"/>
      <c r="O49" s="55"/>
      <c r="P49" s="55"/>
      <c r="Q49" s="55"/>
      <c r="R49" s="55"/>
      <c r="S49" s="55"/>
      <c r="T49" s="57"/>
      <c r="U49" s="55"/>
      <c r="V49" s="55"/>
      <c r="W49" s="57"/>
      <c r="X49" s="55"/>
      <c r="Y49" s="55"/>
      <c r="Z49" s="55"/>
      <c r="AA49" s="58"/>
      <c r="AB49" s="51"/>
      <c r="AC49" s="51"/>
      <c r="AD49" s="48"/>
      <c r="AE49" s="67"/>
      <c r="AF49" s="67"/>
    </row>
    <row r="50" customFormat="false" ht="11.1" hidden="false" customHeight="true" outlineLevel="0" collapsed="false">
      <c r="A50" s="54"/>
      <c r="B50" s="54"/>
      <c r="C50" s="57"/>
      <c r="D50" s="57"/>
      <c r="E50" s="57"/>
      <c r="F50" s="54"/>
      <c r="G50" s="54"/>
      <c r="H50" s="58"/>
      <c r="I50" s="57"/>
      <c r="J50" s="54"/>
      <c r="K50" s="54"/>
      <c r="L50" s="54"/>
      <c r="M50" s="61"/>
      <c r="N50" s="61"/>
      <c r="O50" s="61"/>
      <c r="P50" s="61"/>
      <c r="Q50" s="54"/>
      <c r="R50" s="54"/>
      <c r="S50" s="54"/>
      <c r="T50" s="57"/>
      <c r="U50" s="54"/>
      <c r="V50" s="54"/>
      <c r="W50" s="57"/>
      <c r="X50" s="54"/>
      <c r="Y50" s="54"/>
      <c r="Z50" s="54"/>
      <c r="AA50" s="58"/>
      <c r="AB50" s="51"/>
      <c r="AC50" s="51"/>
      <c r="AD50" s="48"/>
      <c r="AE50" s="91"/>
      <c r="AF50" s="91"/>
    </row>
    <row r="51" customFormat="false" ht="11.1" hidden="false" customHeight="true" outlineLevel="0" collapsed="false">
      <c r="A51" s="54"/>
      <c r="B51" s="62"/>
      <c r="C51" s="57"/>
      <c r="D51" s="57"/>
      <c r="E51" s="57"/>
      <c r="F51" s="54"/>
      <c r="G51" s="54"/>
      <c r="H51" s="58"/>
      <c r="I51" s="57"/>
      <c r="J51" s="54"/>
      <c r="K51" s="54"/>
      <c r="L51" s="54"/>
      <c r="M51" s="61"/>
      <c r="N51" s="61"/>
      <c r="O51" s="61"/>
      <c r="P51" s="61"/>
      <c r="Q51" s="54"/>
      <c r="R51" s="54"/>
      <c r="S51" s="54"/>
      <c r="T51" s="57"/>
      <c r="U51" s="54"/>
      <c r="V51" s="54"/>
      <c r="W51" s="57"/>
      <c r="X51" s="54"/>
      <c r="Y51" s="54"/>
      <c r="Z51" s="54"/>
      <c r="AA51" s="58"/>
      <c r="AB51" s="51"/>
      <c r="AC51" s="51"/>
      <c r="AD51" s="48"/>
      <c r="AE51" s="91"/>
      <c r="AF51" s="91"/>
    </row>
    <row r="52" customFormat="false" ht="11.1" hidden="false" customHeight="true" outlineLevel="0" collapsed="false">
      <c r="A52" s="54"/>
      <c r="B52" s="54"/>
      <c r="C52" s="57"/>
      <c r="D52" s="54"/>
      <c r="E52" s="57"/>
      <c r="F52" s="54"/>
      <c r="G52" s="63"/>
      <c r="H52" s="58"/>
      <c r="I52" s="54"/>
      <c r="J52" s="54"/>
      <c r="K52" s="54"/>
      <c r="L52" s="54"/>
      <c r="M52" s="61"/>
      <c r="N52" s="61"/>
      <c r="O52" s="61"/>
      <c r="P52" s="61"/>
      <c r="Q52" s="54"/>
      <c r="R52" s="54"/>
      <c r="S52" s="54"/>
      <c r="T52" s="57"/>
      <c r="U52" s="54"/>
      <c r="V52" s="54"/>
      <c r="W52" s="57"/>
      <c r="X52" s="54"/>
      <c r="Y52" s="54"/>
      <c r="Z52" s="54"/>
      <c r="AA52" s="58"/>
      <c r="AB52" s="51"/>
      <c r="AC52" s="51"/>
      <c r="AD52" s="48"/>
      <c r="AE52" s="91"/>
      <c r="AF52" s="91"/>
    </row>
    <row r="53" customFormat="false" ht="11.1" hidden="false" customHeight="true" outlineLevel="0" collapsed="false">
      <c r="P53" s="44"/>
      <c r="S53" s="41"/>
      <c r="T53" s="42"/>
      <c r="V53" s="41"/>
      <c r="W53" s="42"/>
      <c r="Z53" s="41"/>
      <c r="AC53" s="46"/>
      <c r="AD53" s="47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12" activePane="bottomRight" state="frozen"/>
      <selection pane="topLeft" activeCell="A1" activeCellId="0" sqref="A1"/>
      <selection pane="topRight" activeCell="K1" activeCellId="0" sqref="K1"/>
      <selection pane="bottomLeft" activeCell="A12" activeCellId="0" sqref="A12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1" width="5.66"/>
    <col collapsed="false" customWidth="true" hidden="false" outlineLevel="0" max="2" min="2" style="41" width="7.82"/>
    <col collapsed="false" customWidth="true" hidden="false" outlineLevel="0" max="3" min="3" style="42" width="7.66"/>
    <col collapsed="false" customWidth="true" hidden="false" outlineLevel="0" max="4" min="4" style="41" width="6.99"/>
    <col collapsed="false" customWidth="true" hidden="false" outlineLevel="0" max="5" min="5" style="42" width="7.66"/>
    <col collapsed="false" customWidth="true" hidden="false" outlineLevel="0" max="6" min="6" style="41" width="7.66"/>
    <col collapsed="false" customWidth="true" hidden="false" outlineLevel="0" max="7" min="7" style="41" width="7.16"/>
    <col collapsed="false" customWidth="true" hidden="false" outlineLevel="0" max="8" min="8" style="64" width="6.32"/>
    <col collapsed="false" customWidth="true" hidden="false" outlineLevel="0" max="9" min="9" style="41" width="7.99"/>
    <col collapsed="false" customWidth="true" hidden="false" outlineLevel="0" max="10" min="10" style="41" width="6.66"/>
    <col collapsed="false" customWidth="true" hidden="false" outlineLevel="0" max="12" min="11" style="41" width="7.16"/>
    <col collapsed="false" customWidth="true" hidden="false" outlineLevel="0" max="13" min="13" style="44" width="6.16"/>
    <col collapsed="false" customWidth="true" hidden="true" outlineLevel="0" max="14" min="14" style="44" width="7.32"/>
    <col collapsed="false" customWidth="true" hidden="false" outlineLevel="0" max="15" min="15" style="44" width="6.49"/>
    <col collapsed="false" customWidth="true" hidden="false" outlineLevel="0" max="16" min="16" style="41" width="7.16"/>
    <col collapsed="false" customWidth="true" hidden="false" outlineLevel="0" max="17" min="17" style="41" width="6.32"/>
    <col collapsed="false" customWidth="true" hidden="false" outlineLevel="0" max="18" min="18" style="41" width="5.82"/>
    <col collapsed="false" customWidth="true" hidden="false" outlineLevel="0" max="19" min="19" style="42" width="6.82"/>
    <col collapsed="false" customWidth="true" hidden="false" outlineLevel="0" max="20" min="20" style="41" width="7.66"/>
    <col collapsed="false" customWidth="true" hidden="false" outlineLevel="0" max="21" min="21" style="41" width="5.99"/>
    <col collapsed="false" customWidth="true" hidden="false" outlineLevel="0" max="22" min="22" style="42" width="6.66"/>
    <col collapsed="false" customWidth="true" hidden="false" outlineLevel="0" max="23" min="23" style="41" width="6.82"/>
    <col collapsed="false" customWidth="true" hidden="false" outlineLevel="0" max="25" min="24" style="41" width="7.82"/>
    <col collapsed="false" customWidth="true" hidden="false" outlineLevel="0" max="26" min="26" style="45" width="8.16"/>
    <col collapsed="false" customWidth="true" hidden="false" outlineLevel="0" max="27" min="27" style="43" width="5.16"/>
    <col collapsed="false" customWidth="true" hidden="false" outlineLevel="0" max="28" min="28" style="46" width="4.66"/>
    <col collapsed="false" customWidth="true" hidden="false" outlineLevel="0" max="29" min="29" style="47" width="4.66"/>
    <col collapsed="false" customWidth="true" hidden="false" outlineLevel="0" max="30" min="30" style="41" width="5.66"/>
    <col collapsed="false" customWidth="false" hidden="false" outlineLevel="0" max="257" min="31" style="41" width="9.32"/>
  </cols>
  <sheetData>
    <row r="1" customFormat="false" ht="14.1" hidden="false" customHeight="true" outlineLevel="0" collapsed="false">
      <c r="A1" s="55"/>
      <c r="B1" s="55"/>
      <c r="C1" s="57"/>
      <c r="D1" s="55"/>
      <c r="E1" s="57"/>
      <c r="F1" s="55"/>
      <c r="G1" s="55"/>
      <c r="H1" s="66"/>
      <c r="I1" s="55"/>
      <c r="J1" s="55"/>
      <c r="K1" s="65" t="s">
        <v>0</v>
      </c>
      <c r="L1" s="55"/>
      <c r="M1" s="55"/>
      <c r="N1" s="55"/>
      <c r="O1" s="55"/>
      <c r="P1" s="55"/>
      <c r="Q1" s="55"/>
      <c r="R1" s="55"/>
      <c r="S1" s="57"/>
      <c r="T1" s="55"/>
      <c r="U1" s="55"/>
      <c r="V1" s="57"/>
      <c r="W1" s="55"/>
      <c r="X1" s="55"/>
      <c r="Y1" s="55"/>
      <c r="Z1" s="62"/>
      <c r="AA1" s="58"/>
      <c r="AB1" s="51"/>
      <c r="AC1" s="48"/>
      <c r="AD1" s="67"/>
      <c r="AE1" s="67"/>
    </row>
    <row r="2" customFormat="false" ht="14.1" hidden="false" customHeight="true" outlineLevel="0" collapsed="false">
      <c r="A2" s="55" t="s">
        <v>1</v>
      </c>
      <c r="B2" s="55"/>
      <c r="C2" s="57"/>
      <c r="D2" s="68" t="n">
        <v>1.9835</v>
      </c>
      <c r="E2" s="57"/>
      <c r="F2" s="55"/>
      <c r="G2" s="55"/>
      <c r="H2" s="66"/>
      <c r="I2" s="55"/>
      <c r="J2" s="55"/>
      <c r="K2" s="69" t="s">
        <v>66</v>
      </c>
      <c r="L2" s="69"/>
      <c r="M2" s="69"/>
      <c r="N2" s="69"/>
      <c r="O2" s="69"/>
      <c r="P2" s="69"/>
      <c r="Q2" s="69"/>
      <c r="R2" s="69"/>
      <c r="S2" s="69"/>
      <c r="T2" s="69"/>
      <c r="U2" s="55"/>
      <c r="V2" s="57"/>
      <c r="W2" s="55"/>
      <c r="X2" s="55"/>
      <c r="Y2" s="55"/>
      <c r="Z2" s="62"/>
      <c r="AA2" s="58"/>
      <c r="AB2" s="51"/>
      <c r="AC2" s="48"/>
      <c r="AD2" s="67"/>
      <c r="AE2" s="67"/>
    </row>
    <row r="3" customFormat="false" ht="11.1" hidden="false" customHeight="true" outlineLevel="0" collapsed="false">
      <c r="A3" s="55"/>
      <c r="B3" s="55"/>
      <c r="C3" s="57"/>
      <c r="D3" s="70"/>
      <c r="E3" s="57"/>
      <c r="F3" s="55"/>
      <c r="G3" s="55"/>
      <c r="H3" s="66"/>
      <c r="I3" s="55"/>
      <c r="J3" s="55"/>
      <c r="K3" s="55"/>
      <c r="L3" s="55"/>
      <c r="M3" s="55"/>
      <c r="N3" s="55"/>
      <c r="O3" s="55"/>
      <c r="P3" s="55"/>
      <c r="Q3" s="55"/>
      <c r="R3" s="55"/>
      <c r="S3" s="57"/>
      <c r="T3" s="55"/>
      <c r="U3" s="55"/>
      <c r="V3" s="57"/>
      <c r="W3" s="55"/>
      <c r="X3" s="55"/>
      <c r="Y3" s="55"/>
      <c r="Z3" s="62"/>
      <c r="AA3" s="58"/>
      <c r="AB3" s="51"/>
      <c r="AC3" s="48"/>
      <c r="AD3" s="67"/>
      <c r="AE3" s="67"/>
    </row>
    <row r="4" customFormat="false" ht="11.1" hidden="false" customHeight="true" outlineLevel="0" collapsed="false">
      <c r="A4" s="71" t="s">
        <v>3</v>
      </c>
      <c r="B4" s="71" t="s">
        <v>4</v>
      </c>
      <c r="C4" s="72" t="s">
        <v>4</v>
      </c>
      <c r="D4" s="71" t="s">
        <v>5</v>
      </c>
      <c r="E4" s="72" t="s">
        <v>6</v>
      </c>
      <c r="F4" s="71" t="s">
        <v>7</v>
      </c>
      <c r="G4" s="71" t="s">
        <v>8</v>
      </c>
      <c r="H4" s="74" t="s">
        <v>9</v>
      </c>
      <c r="I4" s="71" t="s">
        <v>10</v>
      </c>
      <c r="J4" s="71" t="s">
        <v>11</v>
      </c>
      <c r="K4" s="71" t="s">
        <v>12</v>
      </c>
      <c r="L4" s="71" t="s">
        <v>11</v>
      </c>
      <c r="M4" s="71" t="s">
        <v>54</v>
      </c>
      <c r="N4" s="71"/>
      <c r="O4" s="71"/>
      <c r="P4" s="71"/>
      <c r="Q4" s="71" t="s">
        <v>55</v>
      </c>
      <c r="R4" s="71" t="s">
        <v>14</v>
      </c>
      <c r="S4" s="71" t="s">
        <v>12</v>
      </c>
      <c r="T4" s="72" t="s">
        <v>13</v>
      </c>
      <c r="U4" s="71" t="s">
        <v>15</v>
      </c>
      <c r="V4" s="71" t="s">
        <v>17</v>
      </c>
      <c r="W4" s="72" t="s">
        <v>18</v>
      </c>
      <c r="X4" s="71" t="s">
        <v>10</v>
      </c>
      <c r="Y4" s="71" t="s">
        <v>11</v>
      </c>
      <c r="Z4" s="71" t="s">
        <v>12</v>
      </c>
      <c r="AA4" s="73" t="s">
        <v>19</v>
      </c>
      <c r="AB4" s="49" t="s">
        <v>20</v>
      </c>
      <c r="AC4" s="49" t="s">
        <v>21</v>
      </c>
      <c r="AD4" s="49" t="s">
        <v>3</v>
      </c>
      <c r="AE4" s="67"/>
      <c r="AF4" s="67"/>
    </row>
    <row r="5" customFormat="false" ht="11.1" hidden="false" customHeight="true" outlineLevel="0" collapsed="false">
      <c r="A5" s="75" t="s">
        <v>67</v>
      </c>
      <c r="B5" s="71" t="s">
        <v>23</v>
      </c>
      <c r="C5" s="72" t="s">
        <v>5</v>
      </c>
      <c r="D5" s="71" t="s">
        <v>24</v>
      </c>
      <c r="E5" s="72" t="s">
        <v>25</v>
      </c>
      <c r="F5" s="71" t="s">
        <v>26</v>
      </c>
      <c r="G5" s="71" t="s">
        <v>27</v>
      </c>
      <c r="H5" s="74" t="s">
        <v>28</v>
      </c>
      <c r="I5" s="71" t="s">
        <v>29</v>
      </c>
      <c r="J5" s="71" t="s">
        <v>29</v>
      </c>
      <c r="K5" s="71" t="s">
        <v>29</v>
      </c>
      <c r="L5" s="71" t="s">
        <v>30</v>
      </c>
      <c r="M5" s="71" t="s">
        <v>57</v>
      </c>
      <c r="N5" s="71" t="s">
        <v>58</v>
      </c>
      <c r="O5" s="71" t="s">
        <v>59</v>
      </c>
      <c r="P5" s="71" t="s">
        <v>60</v>
      </c>
      <c r="Q5" s="71" t="s">
        <v>61</v>
      </c>
      <c r="R5" s="71" t="s">
        <v>62</v>
      </c>
      <c r="S5" s="71" t="s">
        <v>13</v>
      </c>
      <c r="T5" s="72" t="s">
        <v>34</v>
      </c>
      <c r="U5" s="71" t="s">
        <v>35</v>
      </c>
      <c r="V5" s="71" t="s">
        <v>37</v>
      </c>
      <c r="W5" s="72" t="s">
        <v>38</v>
      </c>
      <c r="X5" s="71" t="s">
        <v>39</v>
      </c>
      <c r="Y5" s="71" t="s">
        <v>39</v>
      </c>
      <c r="Z5" s="71" t="s">
        <v>39</v>
      </c>
      <c r="AA5" s="76"/>
      <c r="AB5" s="49" t="s">
        <v>40</v>
      </c>
      <c r="AC5" s="49" t="s">
        <v>40</v>
      </c>
      <c r="AD5" s="50" t="s">
        <v>67</v>
      </c>
      <c r="AE5" s="67"/>
      <c r="AF5" s="67"/>
    </row>
    <row r="6" customFormat="false" ht="11.1" hidden="false" customHeight="true" outlineLevel="0" collapsed="false">
      <c r="A6" s="77"/>
      <c r="B6" s="77"/>
      <c r="C6" s="78"/>
      <c r="D6" s="77"/>
      <c r="E6" s="78"/>
      <c r="F6" s="77"/>
      <c r="G6" s="77"/>
      <c r="H6" s="80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8"/>
      <c r="U6" s="77"/>
      <c r="V6" s="77"/>
      <c r="W6" s="78"/>
      <c r="X6" s="77"/>
      <c r="Y6" s="77"/>
      <c r="Z6" s="77"/>
      <c r="AA6" s="58"/>
      <c r="AB6" s="48"/>
      <c r="AC6" s="48"/>
      <c r="AD6" s="48"/>
      <c r="AE6" s="81"/>
      <c r="AF6" s="81"/>
      <c r="AG6" s="82"/>
    </row>
    <row r="7" customFormat="false" ht="11.1" hidden="false" customHeight="true" outlineLevel="0" collapsed="false">
      <c r="A7" s="55" t="s">
        <v>41</v>
      </c>
      <c r="B7" s="55"/>
      <c r="C7" s="57"/>
      <c r="D7" s="57"/>
      <c r="E7" s="57"/>
      <c r="F7" s="57"/>
      <c r="G7" s="57"/>
      <c r="H7" s="66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  <c r="AB7" s="51"/>
      <c r="AC7" s="51"/>
      <c r="AD7" s="48"/>
      <c r="AE7" s="81"/>
      <c r="AF7" s="82"/>
      <c r="AG7" s="82"/>
    </row>
    <row r="8" s="42" customFormat="true" ht="11.1" hidden="false" customHeight="true" outlineLevel="0" collapsed="false">
      <c r="A8" s="57" t="s">
        <v>42</v>
      </c>
      <c r="B8" s="59" t="n">
        <f aca="false">FEB!B37</f>
        <v>6907.04</v>
      </c>
      <c r="C8" s="57" t="n">
        <f aca="false">FEB!C37</f>
        <v>310295</v>
      </c>
      <c r="D8" s="57" t="n">
        <f aca="false">FEB!$D$46</f>
        <v>6318</v>
      </c>
      <c r="E8" s="57" t="n">
        <f aca="false">FEB!$E$37</f>
        <v>158295</v>
      </c>
      <c r="F8" s="57" t="n">
        <f aca="false">FEB!F45</f>
        <v>3185.27854802117</v>
      </c>
      <c r="G8" s="57" t="n">
        <f aca="false">FEB!G45</f>
        <v>9251.3</v>
      </c>
      <c r="H8" s="66" t="n">
        <f aca="false">FEB!H45</f>
        <v>215.7</v>
      </c>
      <c r="I8" s="57" t="n">
        <f aca="false">FEB!I45</f>
        <v>9467</v>
      </c>
      <c r="J8" s="57" t="n">
        <f aca="false">FEB!J45</f>
        <v>242.165187799345</v>
      </c>
      <c r="K8" s="57" t="n">
        <f aca="false">FEB!K45</f>
        <v>9709.16518779934</v>
      </c>
      <c r="L8" s="57" t="n">
        <f aca="false">FEB!L45</f>
        <v>-659.621451978825</v>
      </c>
      <c r="M8" s="57" t="n">
        <f aca="false">FEB!M45</f>
        <v>919.5</v>
      </c>
      <c r="N8" s="57" t="n">
        <f aca="false">FEB!N45</f>
        <v>0</v>
      </c>
      <c r="O8" s="57" t="n">
        <f aca="false">FEB!O45</f>
        <v>0</v>
      </c>
      <c r="P8" s="57" t="n">
        <f aca="false">FEB!P45</f>
        <v>247.8</v>
      </c>
      <c r="Q8" s="57" t="n">
        <f aca="false">FEB!Q45</f>
        <v>0</v>
      </c>
      <c r="R8" s="57" t="n">
        <f aca="false">FEB!R45</f>
        <v>178.7</v>
      </c>
      <c r="S8" s="57" t="n">
        <f aca="false">FEB!S45</f>
        <v>1098.2</v>
      </c>
      <c r="T8" s="57" t="n">
        <f aca="false">FEB!T45</f>
        <v>0</v>
      </c>
      <c r="U8" s="57" t="n">
        <f aca="false">FEB!U45</f>
        <v>0</v>
      </c>
      <c r="V8" s="57" t="n">
        <f aca="false">FEB!V45</f>
        <v>4523.9</v>
      </c>
      <c r="W8" s="57" t="n">
        <f aca="false">FEB!W45</f>
        <v>11326.5</v>
      </c>
      <c r="X8" s="57" t="n">
        <f aca="false">FEB!X45</f>
        <v>5622.1</v>
      </c>
      <c r="Y8" s="57" t="n">
        <f aca="false">FEB!Y45</f>
        <v>901.78663977817</v>
      </c>
      <c r="Z8" s="57" t="n">
        <f aca="false">FEB!Z45</f>
        <v>6523.88663977817</v>
      </c>
      <c r="AA8" s="58" t="n">
        <f aca="false">FEB!AA45</f>
        <v>10.88</v>
      </c>
      <c r="AB8" s="51"/>
      <c r="AC8" s="51"/>
      <c r="AD8" s="48"/>
      <c r="AE8" s="83"/>
      <c r="AF8" s="81"/>
      <c r="AG8" s="83"/>
    </row>
    <row r="9" customFormat="false" ht="3" hidden="false" customHeight="true" outlineLevel="0" collapsed="false">
      <c r="A9" s="84"/>
      <c r="B9" s="85"/>
      <c r="C9" s="86"/>
      <c r="D9" s="84"/>
      <c r="E9" s="86"/>
      <c r="F9" s="84"/>
      <c r="G9" s="84"/>
      <c r="H9" s="88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6"/>
      <c r="U9" s="84"/>
      <c r="V9" s="84"/>
      <c r="W9" s="86"/>
      <c r="X9" s="84"/>
      <c r="Y9" s="84"/>
      <c r="Z9" s="84"/>
      <c r="AA9" s="87"/>
      <c r="AB9" s="52"/>
      <c r="AC9" s="52"/>
      <c r="AD9" s="53"/>
      <c r="AE9" s="81"/>
      <c r="AF9" s="81"/>
      <c r="AG9" s="82"/>
    </row>
    <row r="10" customFormat="false" ht="11.1" hidden="false" customHeight="true" outlineLevel="0" collapsed="false">
      <c r="A10" s="48" t="n">
        <v>1</v>
      </c>
      <c r="B10" s="59" t="n">
        <v>6907.02</v>
      </c>
      <c r="C10" s="57" t="n">
        <v>310216</v>
      </c>
      <c r="D10" s="51" t="n">
        <f aca="false">C10-C8</f>
        <v>-79</v>
      </c>
      <c r="E10" s="57" t="n">
        <f aca="false">C10-152000</f>
        <v>158216</v>
      </c>
      <c r="F10" s="55" t="n">
        <f aca="false">D10/$D$2</f>
        <v>-39.8285858331233</v>
      </c>
      <c r="G10" s="55" t="n">
        <v>46.8</v>
      </c>
      <c r="H10" s="94" t="n">
        <v>5.8</v>
      </c>
      <c r="I10" s="55" t="n">
        <f aca="false">G10+H10</f>
        <v>52.6</v>
      </c>
      <c r="J10" s="61" t="n">
        <f aca="false">IF(L10&gt;0,L10,0)</f>
        <v>0.0714141668767425</v>
      </c>
      <c r="K10" s="55" t="n">
        <f aca="false">I10+J10</f>
        <v>52.6714141668767</v>
      </c>
      <c r="L10" s="55" t="n">
        <f aca="false">F10-(I10-X10)</f>
        <v>0.0714141668767425</v>
      </c>
      <c r="M10" s="55" t="n">
        <v>4.1</v>
      </c>
      <c r="N10" s="55" t="n">
        <v>0</v>
      </c>
      <c r="O10" s="55" t="n">
        <v>0</v>
      </c>
      <c r="P10" s="5" t="n">
        <f aca="false">M10-(N10+O10)</f>
        <v>4.1</v>
      </c>
      <c r="Q10" s="55" t="n">
        <v>0</v>
      </c>
      <c r="R10" s="55" t="n">
        <v>0</v>
      </c>
      <c r="S10" s="55" t="n">
        <f aca="false">SUM(P10:R10)</f>
        <v>4.1</v>
      </c>
      <c r="T10" s="57"/>
      <c r="U10" s="55" t="n">
        <v>0</v>
      </c>
      <c r="V10" s="55" t="n">
        <v>88.4</v>
      </c>
      <c r="W10" s="57" t="n">
        <f aca="false">W8-30</f>
        <v>11296.5</v>
      </c>
      <c r="X10" s="5" t="n">
        <f aca="false">N10+O10+S10+U10+V10</f>
        <v>92.5</v>
      </c>
      <c r="Y10" s="55" t="n">
        <f aca="false">IF(L10&lt;0,L10*-1,0)</f>
        <v>0</v>
      </c>
      <c r="Z10" s="55" t="n">
        <f aca="false">X10+Y10</f>
        <v>92.5</v>
      </c>
      <c r="AA10" s="58" t="n">
        <v>0</v>
      </c>
      <c r="AB10" s="51" t="n">
        <v>43</v>
      </c>
      <c r="AC10" s="51" t="n">
        <v>28</v>
      </c>
      <c r="AD10" s="48" t="n">
        <v>1</v>
      </c>
      <c r="AE10" s="82"/>
      <c r="AF10" s="83"/>
      <c r="AG10" s="82"/>
    </row>
    <row r="11" customFormat="false" ht="11.1" hidden="false" customHeight="true" outlineLevel="0" collapsed="false">
      <c r="A11" s="48" t="n">
        <f aca="false">A10+1</f>
        <v>2</v>
      </c>
      <c r="B11" s="59" t="n">
        <v>6906.99</v>
      </c>
      <c r="C11" s="57" t="n">
        <v>310100</v>
      </c>
      <c r="D11" s="51" t="n">
        <f aca="false">C11-C10</f>
        <v>-116</v>
      </c>
      <c r="E11" s="57" t="n">
        <f aca="false">C11-152000</f>
        <v>158100</v>
      </c>
      <c r="F11" s="55" t="n">
        <f aca="false">D11/$D$2</f>
        <v>-58.4824804638266</v>
      </c>
      <c r="G11" s="55" t="n">
        <v>73.2</v>
      </c>
      <c r="H11" s="94" t="n">
        <v>8.2</v>
      </c>
      <c r="I11" s="55" t="n">
        <f aca="false">G11+H11</f>
        <v>81.4</v>
      </c>
      <c r="J11" s="61" t="n">
        <f aca="false">IF(L11&gt;0,L11,0)</f>
        <v>0.0175195361734311</v>
      </c>
      <c r="K11" s="55" t="n">
        <f aca="false">I11+J11</f>
        <v>81.4175195361734</v>
      </c>
      <c r="L11" s="55" t="n">
        <f aca="false">F11-(I11-X11)</f>
        <v>0.0175195361734311</v>
      </c>
      <c r="M11" s="55" t="n">
        <v>4</v>
      </c>
      <c r="N11" s="55" t="n">
        <v>0</v>
      </c>
      <c r="O11" s="55" t="n">
        <v>0</v>
      </c>
      <c r="P11" s="5" t="n">
        <f aca="false">M11-(N11+O11)</f>
        <v>4</v>
      </c>
      <c r="Q11" s="55" t="n">
        <v>0</v>
      </c>
      <c r="R11" s="55" t="n">
        <v>0</v>
      </c>
      <c r="S11" s="55" t="n">
        <f aca="false">SUM(P11:R11)</f>
        <v>4</v>
      </c>
      <c r="T11" s="57"/>
      <c r="U11" s="55" t="n">
        <v>0</v>
      </c>
      <c r="V11" s="55" t="n">
        <v>135.9</v>
      </c>
      <c r="W11" s="57" t="n">
        <f aca="false">W10-30</f>
        <v>11266.5</v>
      </c>
      <c r="X11" s="5" t="n">
        <f aca="false">N11+O11+S11+U11+V11</f>
        <v>139.9</v>
      </c>
      <c r="Y11" s="55" t="n">
        <f aca="false">IF(L11&lt;0,L11*-1,0)</f>
        <v>0</v>
      </c>
      <c r="Z11" s="55" t="n">
        <f aca="false">X11+Y11</f>
        <v>139.9</v>
      </c>
      <c r="AA11" s="58" t="n">
        <v>0</v>
      </c>
      <c r="AB11" s="51" t="n">
        <v>39</v>
      </c>
      <c r="AC11" s="51" t="n">
        <v>21</v>
      </c>
      <c r="AD11" s="48" t="n">
        <f aca="false">AD10+1</f>
        <v>2</v>
      </c>
      <c r="AE11" s="82"/>
      <c r="AF11" s="83"/>
      <c r="AG11" s="82"/>
    </row>
    <row r="12" customFormat="false" ht="11.1" hidden="false" customHeight="true" outlineLevel="0" collapsed="false">
      <c r="A12" s="48" t="n">
        <f aca="false">A11+1</f>
        <v>3</v>
      </c>
      <c r="B12" s="59" t="n">
        <v>6906.99</v>
      </c>
      <c r="C12" s="57" t="n">
        <v>310100</v>
      </c>
      <c r="D12" s="51" t="n">
        <f aca="false">C12-C11</f>
        <v>0</v>
      </c>
      <c r="E12" s="57" t="n">
        <f aca="false">C12-152000</f>
        <v>158100</v>
      </c>
      <c r="F12" s="55" t="n">
        <f aca="false">D12/$D$2</f>
        <v>0</v>
      </c>
      <c r="G12" s="55" t="n">
        <v>120.9</v>
      </c>
      <c r="H12" s="94" t="n">
        <v>8.6</v>
      </c>
      <c r="I12" s="55" t="n">
        <f aca="false">G12+H12</f>
        <v>129.5</v>
      </c>
      <c r="J12" s="61" t="n">
        <f aca="false">IF(L12&gt;0,L12,0)</f>
        <v>0</v>
      </c>
      <c r="K12" s="55" t="n">
        <f aca="false">I12+J12</f>
        <v>129.5</v>
      </c>
      <c r="L12" s="55" t="n">
        <f aca="false">F12-(I12-X12)</f>
        <v>0</v>
      </c>
      <c r="M12" s="55" t="n">
        <v>4.1</v>
      </c>
      <c r="N12" s="55" t="n">
        <v>0</v>
      </c>
      <c r="O12" s="55" t="n">
        <v>0</v>
      </c>
      <c r="P12" s="5" t="n">
        <f aca="false">M12-(N12+O12)</f>
        <v>4.1</v>
      </c>
      <c r="Q12" s="55" t="n">
        <v>0</v>
      </c>
      <c r="R12" s="55" t="n">
        <v>0</v>
      </c>
      <c r="S12" s="55" t="n">
        <f aca="false">SUM(P12:R12)</f>
        <v>4.1</v>
      </c>
      <c r="T12" s="57"/>
      <c r="U12" s="55" t="n">
        <v>0</v>
      </c>
      <c r="V12" s="55" t="n">
        <v>125.4</v>
      </c>
      <c r="W12" s="57" t="n">
        <f aca="false">W11-30</f>
        <v>11236.5</v>
      </c>
      <c r="X12" s="5" t="n">
        <f aca="false">N12+O12+S12+U12+V12</f>
        <v>129.5</v>
      </c>
      <c r="Y12" s="55" t="n">
        <f aca="false">IF(L12&lt;0,L12*-1,0)</f>
        <v>0</v>
      </c>
      <c r="Z12" s="55" t="n">
        <f aca="false">X12+Y12</f>
        <v>129.5</v>
      </c>
      <c r="AA12" s="58" t="n">
        <v>0</v>
      </c>
      <c r="AB12" s="51" t="n">
        <v>40</v>
      </c>
      <c r="AC12" s="51" t="n">
        <v>14</v>
      </c>
      <c r="AD12" s="48" t="n">
        <f aca="false">AD11+1</f>
        <v>3</v>
      </c>
      <c r="AE12" s="82"/>
      <c r="AF12" s="83"/>
      <c r="AG12" s="82"/>
    </row>
    <row r="13" customFormat="false" ht="11.1" hidden="false" customHeight="true" outlineLevel="0" collapsed="false">
      <c r="A13" s="48" t="n">
        <f aca="false">A12+1</f>
        <v>4</v>
      </c>
      <c r="B13" s="59" t="n">
        <v>6906.98</v>
      </c>
      <c r="C13" s="57" t="n">
        <v>310060</v>
      </c>
      <c r="D13" s="51" t="n">
        <f aca="false">C13-C12</f>
        <v>-40</v>
      </c>
      <c r="E13" s="57" t="n">
        <f aca="false">C13-152000</f>
        <v>158060</v>
      </c>
      <c r="F13" s="55" t="n">
        <f aca="false">D13/$D$2</f>
        <v>-20.1663725737333</v>
      </c>
      <c r="G13" s="55" t="n">
        <v>69.7</v>
      </c>
      <c r="H13" s="94" t="n">
        <v>9.5</v>
      </c>
      <c r="I13" s="55" t="n">
        <f aca="false">G13+H13</f>
        <v>79.2</v>
      </c>
      <c r="J13" s="61" t="n">
        <f aca="false">IF(L13&gt;0,L13,0)</f>
        <v>0.133627426266699</v>
      </c>
      <c r="K13" s="55" t="n">
        <f aca="false">I13+J13</f>
        <v>79.3336274262667</v>
      </c>
      <c r="L13" s="55" t="n">
        <f aca="false">F13-(I13-X13)</f>
        <v>0.133627426266699</v>
      </c>
      <c r="M13" s="55" t="n">
        <v>4.1</v>
      </c>
      <c r="N13" s="55" t="n">
        <v>0</v>
      </c>
      <c r="O13" s="55" t="n">
        <v>0</v>
      </c>
      <c r="P13" s="5" t="n">
        <f aca="false">M13-(N13+O13)</f>
        <v>4.1</v>
      </c>
      <c r="Q13" s="55" t="n">
        <v>0</v>
      </c>
      <c r="R13" s="55" t="n">
        <v>0</v>
      </c>
      <c r="S13" s="55" t="n">
        <f aca="false">SUM(P13:R13)</f>
        <v>4.1</v>
      </c>
      <c r="T13" s="57"/>
      <c r="U13" s="55" t="n">
        <v>0</v>
      </c>
      <c r="V13" s="55" t="n">
        <v>95.4</v>
      </c>
      <c r="W13" s="57" t="n">
        <f aca="false">W12-30</f>
        <v>11206.5</v>
      </c>
      <c r="X13" s="5" t="n">
        <f aca="false">N13+O13+S13+U13+V13</f>
        <v>99.5</v>
      </c>
      <c r="Y13" s="55" t="n">
        <f aca="false">IF(L13&lt;0,L13*-1,0)</f>
        <v>0</v>
      </c>
      <c r="Z13" s="55" t="n">
        <f aca="false">X13+Y13</f>
        <v>99.5</v>
      </c>
      <c r="AA13" s="58" t="n">
        <v>0</v>
      </c>
      <c r="AB13" s="51" t="n">
        <v>46</v>
      </c>
      <c r="AC13" s="51" t="n">
        <v>14</v>
      </c>
      <c r="AD13" s="48" t="n">
        <f aca="false">AD12+1</f>
        <v>4</v>
      </c>
      <c r="AE13" s="82"/>
      <c r="AF13" s="83"/>
      <c r="AG13" s="82"/>
    </row>
    <row r="14" customFormat="false" ht="11.1" hidden="false" customHeight="true" outlineLevel="0" collapsed="false">
      <c r="A14" s="48" t="n">
        <f aca="false">A13+1</f>
        <v>5</v>
      </c>
      <c r="B14" s="59" t="n">
        <v>6906.98</v>
      </c>
      <c r="C14" s="57" t="n">
        <v>310060</v>
      </c>
      <c r="D14" s="51" t="n">
        <f aca="false">C14-C13</f>
        <v>0</v>
      </c>
      <c r="E14" s="57" t="n">
        <f aca="false">C14-152000</f>
        <v>158060</v>
      </c>
      <c r="F14" s="55" t="n">
        <f aca="false">D14/$D$2</f>
        <v>0</v>
      </c>
      <c r="G14" s="55" t="n">
        <v>70.7</v>
      </c>
      <c r="H14" s="94" t="n">
        <v>10.1</v>
      </c>
      <c r="I14" s="55" t="n">
        <f aca="false">G14+H14</f>
        <v>80.8</v>
      </c>
      <c r="J14" s="61" t="n">
        <f aca="false">IF(L14&gt;0,L14,0)</f>
        <v>0.0999999999999943</v>
      </c>
      <c r="K14" s="55" t="n">
        <f aca="false">I14+J14</f>
        <v>80.9</v>
      </c>
      <c r="L14" s="55" t="n">
        <f aca="false">F14-(I14-X14)</f>
        <v>0.0999999999999943</v>
      </c>
      <c r="M14" s="55" t="n">
        <v>4.1</v>
      </c>
      <c r="N14" s="55" t="n">
        <v>0</v>
      </c>
      <c r="O14" s="55" t="n">
        <v>0</v>
      </c>
      <c r="P14" s="5" t="n">
        <f aca="false">M14-(N14+O14)</f>
        <v>4.1</v>
      </c>
      <c r="Q14" s="55" t="n">
        <v>0</v>
      </c>
      <c r="R14" s="55" t="n">
        <v>0</v>
      </c>
      <c r="S14" s="55" t="n">
        <f aca="false">SUM(P14:R14)</f>
        <v>4.1</v>
      </c>
      <c r="T14" s="57"/>
      <c r="U14" s="55" t="n">
        <v>0</v>
      </c>
      <c r="V14" s="55" t="n">
        <v>76.8</v>
      </c>
      <c r="W14" s="57" t="n">
        <f aca="false">W13-30</f>
        <v>11176.5</v>
      </c>
      <c r="X14" s="5" t="n">
        <f aca="false">N14+O14+S14+U14+V14</f>
        <v>80.9</v>
      </c>
      <c r="Y14" s="55" t="n">
        <f aca="false">IF(L14&lt;0,L14*-1,0)</f>
        <v>0</v>
      </c>
      <c r="Z14" s="55" t="n">
        <f aca="false">X14+Y14</f>
        <v>80.9</v>
      </c>
      <c r="AA14" s="58" t="n">
        <v>0</v>
      </c>
      <c r="AB14" s="51" t="n">
        <v>49</v>
      </c>
      <c r="AC14" s="51" t="n">
        <v>15</v>
      </c>
      <c r="AD14" s="48" t="n">
        <f aca="false">AD13+1</f>
        <v>5</v>
      </c>
      <c r="AE14" s="82"/>
      <c r="AF14" s="83"/>
      <c r="AG14" s="82"/>
    </row>
    <row r="15" customFormat="false" ht="11.1" hidden="false" customHeight="true" outlineLevel="0" collapsed="false">
      <c r="A15" s="48" t="n">
        <f aca="false">A14+1</f>
        <v>6</v>
      </c>
      <c r="B15" s="59" t="n">
        <v>6906.97</v>
      </c>
      <c r="C15" s="57" t="n">
        <v>310022</v>
      </c>
      <c r="D15" s="51" t="n">
        <f aca="false">C15-C14</f>
        <v>-38</v>
      </c>
      <c r="E15" s="57" t="n">
        <f aca="false">C15-152000</f>
        <v>158022</v>
      </c>
      <c r="F15" s="55" t="n">
        <f aca="false">D15/$D$2</f>
        <v>-19.1580539450466</v>
      </c>
      <c r="G15" s="55" t="n">
        <v>50</v>
      </c>
      <c r="H15" s="94" t="n">
        <v>11.8</v>
      </c>
      <c r="I15" s="55" t="n">
        <f aca="false">G15+H15</f>
        <v>61.8</v>
      </c>
      <c r="J15" s="61" t="n">
        <f aca="false">IF(L15&gt;0,L15,0)</f>
        <v>0.0419460549533675</v>
      </c>
      <c r="K15" s="55" t="n">
        <f aca="false">I15+J15</f>
        <v>61.8419460549534</v>
      </c>
      <c r="L15" s="55" t="n">
        <f aca="false">F15-(I15-X15)</f>
        <v>0.0419460549533675</v>
      </c>
      <c r="M15" s="55" t="n">
        <v>4.1</v>
      </c>
      <c r="N15" s="55" t="n">
        <v>0</v>
      </c>
      <c r="O15" s="55" t="n">
        <v>0</v>
      </c>
      <c r="P15" s="5" t="n">
        <f aca="false">M15-(N15+O15)</f>
        <v>4.1</v>
      </c>
      <c r="Q15" s="55" t="n">
        <v>0</v>
      </c>
      <c r="R15" s="55" t="n">
        <v>0</v>
      </c>
      <c r="S15" s="55" t="n">
        <f aca="false">SUM(P15:R15)</f>
        <v>4.1</v>
      </c>
      <c r="T15" s="57"/>
      <c r="U15" s="55" t="n">
        <v>0</v>
      </c>
      <c r="V15" s="55" t="n">
        <v>76.9</v>
      </c>
      <c r="W15" s="57" t="n">
        <f aca="false">W14-30</f>
        <v>11146.5</v>
      </c>
      <c r="X15" s="5" t="n">
        <f aca="false">N15+O15+S15+U15+V15</f>
        <v>81</v>
      </c>
      <c r="Y15" s="55" t="n">
        <f aca="false">IF(L15&lt;0,L15*-1,0)</f>
        <v>0</v>
      </c>
      <c r="Z15" s="55" t="n">
        <f aca="false">X15+Y15</f>
        <v>81</v>
      </c>
      <c r="AA15" s="58" t="n">
        <v>0</v>
      </c>
      <c r="AB15" s="51" t="n">
        <v>51</v>
      </c>
      <c r="AC15" s="51" t="n">
        <v>24</v>
      </c>
      <c r="AD15" s="48" t="n">
        <f aca="false">AD14+1</f>
        <v>6</v>
      </c>
      <c r="AE15" s="81"/>
      <c r="AF15" s="83"/>
      <c r="AG15" s="82"/>
    </row>
    <row r="16" customFormat="false" ht="11.1" hidden="false" customHeight="true" outlineLevel="0" collapsed="false">
      <c r="A16" s="48" t="n">
        <f aca="false">A15+1</f>
        <v>7</v>
      </c>
      <c r="B16" s="59" t="n">
        <v>6906.97</v>
      </c>
      <c r="C16" s="57" t="n">
        <v>310022</v>
      </c>
      <c r="D16" s="51" t="n">
        <f aca="false">C16-C15</f>
        <v>0</v>
      </c>
      <c r="E16" s="57" t="n">
        <f aca="false">C16-152000</f>
        <v>158022</v>
      </c>
      <c r="F16" s="55" t="n">
        <f aca="false">D16/$D$2</f>
        <v>0</v>
      </c>
      <c r="G16" s="55" t="n">
        <v>67.6</v>
      </c>
      <c r="H16" s="94" t="n">
        <v>14.1</v>
      </c>
      <c r="I16" s="55" t="n">
        <f aca="false">G16+H16</f>
        <v>81.7</v>
      </c>
      <c r="J16" s="61" t="n">
        <f aca="false">IF(L16&gt;0,L16,0)</f>
        <v>0.100000000000009</v>
      </c>
      <c r="K16" s="55" t="n">
        <f aca="false">I16+J16</f>
        <v>81.8</v>
      </c>
      <c r="L16" s="55" t="n">
        <f aca="false">F16-(I16-X16)</f>
        <v>0.100000000000009</v>
      </c>
      <c r="M16" s="55" t="n">
        <v>4.1</v>
      </c>
      <c r="N16" s="55" t="n">
        <v>0</v>
      </c>
      <c r="O16" s="55" t="n">
        <v>0</v>
      </c>
      <c r="P16" s="5" t="n">
        <f aca="false">M16-(N16+O16)</f>
        <v>4.1</v>
      </c>
      <c r="Q16" s="55" t="n">
        <v>0</v>
      </c>
      <c r="R16" s="55" t="n">
        <v>0</v>
      </c>
      <c r="S16" s="55" t="n">
        <f aca="false">SUM(P16:R16)</f>
        <v>4.1</v>
      </c>
      <c r="T16" s="57"/>
      <c r="U16" s="55" t="n">
        <v>0</v>
      </c>
      <c r="V16" s="55" t="n">
        <v>77.7</v>
      </c>
      <c r="W16" s="57" t="n">
        <f aca="false">W15-30</f>
        <v>11116.5</v>
      </c>
      <c r="X16" s="5" t="n">
        <f aca="false">N16+O16+S16+U16+V16</f>
        <v>81.8</v>
      </c>
      <c r="Y16" s="55" t="n">
        <f aca="false">IF(L16&lt;0,L16*-1,0)</f>
        <v>0</v>
      </c>
      <c r="Z16" s="55" t="n">
        <f aca="false">X16+Y16</f>
        <v>81.8</v>
      </c>
      <c r="AA16" s="58" t="n">
        <v>0</v>
      </c>
      <c r="AB16" s="51" t="n">
        <v>52</v>
      </c>
      <c r="AC16" s="51" t="n">
        <v>26</v>
      </c>
      <c r="AD16" s="48" t="n">
        <f aca="false">AD15+1</f>
        <v>7</v>
      </c>
      <c r="AE16" s="81"/>
      <c r="AF16" s="83"/>
      <c r="AG16" s="82"/>
    </row>
    <row r="17" customFormat="false" ht="11.1" hidden="false" customHeight="true" outlineLevel="0" collapsed="false">
      <c r="A17" s="48" t="n">
        <f aca="false">A16+1</f>
        <v>8</v>
      </c>
      <c r="B17" s="59" t="n">
        <v>6907</v>
      </c>
      <c r="C17" s="57" t="n">
        <v>310138</v>
      </c>
      <c r="D17" s="51" t="n">
        <f aca="false">C17-C16</f>
        <v>116</v>
      </c>
      <c r="E17" s="57" t="n">
        <f aca="false">C17-152000</f>
        <v>158138</v>
      </c>
      <c r="F17" s="55" t="n">
        <f aca="false">D17/$D$2</f>
        <v>58.4824804638266</v>
      </c>
      <c r="G17" s="55" t="n">
        <v>120.4</v>
      </c>
      <c r="H17" s="94" t="n">
        <v>19</v>
      </c>
      <c r="I17" s="55" t="n">
        <f aca="false">G17+H17</f>
        <v>139.4</v>
      </c>
      <c r="J17" s="61" t="n">
        <f aca="false">IF(L17&gt;0,L17,0)</f>
        <v>0</v>
      </c>
      <c r="K17" s="55" t="n">
        <f aca="false">I17+J17</f>
        <v>139.4</v>
      </c>
      <c r="L17" s="55" t="n">
        <f aca="false">F17-(I17-X17)</f>
        <v>-0.0175195361734453</v>
      </c>
      <c r="M17" s="55" t="n">
        <v>4.1</v>
      </c>
      <c r="N17" s="55" t="n">
        <v>0</v>
      </c>
      <c r="O17" s="55" t="n">
        <v>0</v>
      </c>
      <c r="P17" s="5" t="n">
        <f aca="false">M17-(N17+O17)</f>
        <v>4.1</v>
      </c>
      <c r="Q17" s="55" t="n">
        <v>0</v>
      </c>
      <c r="R17" s="55" t="n">
        <v>0</v>
      </c>
      <c r="S17" s="55" t="n">
        <f aca="false">SUM(P17:R17)</f>
        <v>4.1</v>
      </c>
      <c r="T17" s="57"/>
      <c r="U17" s="55" t="n">
        <v>0</v>
      </c>
      <c r="V17" s="55" t="n">
        <v>76.8</v>
      </c>
      <c r="W17" s="57" t="n">
        <f aca="false">W16-30</f>
        <v>11086.5</v>
      </c>
      <c r="X17" s="5" t="n">
        <f aca="false">N17+O17+S17+U17+V17</f>
        <v>80.9</v>
      </c>
      <c r="Y17" s="55" t="n">
        <f aca="false">IF(L17&lt;0,L17*-1,0)</f>
        <v>0.0175195361734453</v>
      </c>
      <c r="Z17" s="55" t="n">
        <f aca="false">X17+Y17</f>
        <v>80.9175195361734</v>
      </c>
      <c r="AA17" s="58" t="n">
        <v>0</v>
      </c>
      <c r="AB17" s="51" t="n">
        <v>59</v>
      </c>
      <c r="AC17" s="51" t="n">
        <v>25</v>
      </c>
      <c r="AD17" s="48" t="n">
        <f aca="false">AD16+1</f>
        <v>8</v>
      </c>
      <c r="AE17" s="81"/>
      <c r="AF17" s="83"/>
      <c r="AG17" s="82"/>
    </row>
    <row r="18" customFormat="false" ht="11.1" hidden="false" customHeight="true" outlineLevel="0" collapsed="false">
      <c r="A18" s="48" t="n">
        <f aca="false">A17+1</f>
        <v>9</v>
      </c>
      <c r="B18" s="59" t="n">
        <v>6907.06</v>
      </c>
      <c r="C18" s="57" t="n">
        <v>310373</v>
      </c>
      <c r="D18" s="51" t="n">
        <f aca="false">C18-C17</f>
        <v>235</v>
      </c>
      <c r="E18" s="57" t="n">
        <f aca="false">C18-152000</f>
        <v>158373</v>
      </c>
      <c r="F18" s="55" t="n">
        <f aca="false">D18/$D$2</f>
        <v>118.477438870683</v>
      </c>
      <c r="G18" s="55" t="n">
        <v>159.7</v>
      </c>
      <c r="H18" s="94" t="n">
        <v>21.9</v>
      </c>
      <c r="I18" s="55" t="n">
        <f aca="false">G18+H18</f>
        <v>181.6</v>
      </c>
      <c r="J18" s="61" t="n">
        <f aca="false">IF(L18&gt;0,L18,0)</f>
        <v>18.5774388706831</v>
      </c>
      <c r="K18" s="55" t="n">
        <f aca="false">I18+J18</f>
        <v>200.177438870683</v>
      </c>
      <c r="L18" s="55" t="n">
        <f aca="false">F18-(I18-X18)</f>
        <v>18.5774388706831</v>
      </c>
      <c r="M18" s="55" t="n">
        <v>4.6</v>
      </c>
      <c r="N18" s="55" t="n">
        <v>0</v>
      </c>
      <c r="O18" s="55" t="n">
        <v>0</v>
      </c>
      <c r="P18" s="5" t="n">
        <f aca="false">M18-(N18+O18)</f>
        <v>4.6</v>
      </c>
      <c r="Q18" s="55" t="n">
        <v>0</v>
      </c>
      <c r="R18" s="55" t="n">
        <v>0</v>
      </c>
      <c r="S18" s="55" t="n">
        <f aca="false">SUM(P18:R18)</f>
        <v>4.6</v>
      </c>
      <c r="T18" s="57"/>
      <c r="U18" s="55" t="n">
        <v>0</v>
      </c>
      <c r="V18" s="55" t="n">
        <v>77.1</v>
      </c>
      <c r="W18" s="57" t="n">
        <f aca="false">W17-30</f>
        <v>11056.5</v>
      </c>
      <c r="X18" s="5" t="n">
        <f aca="false">N18+O18+S18+U18+V18</f>
        <v>81.7</v>
      </c>
      <c r="Y18" s="55" t="n">
        <f aca="false">IF(L18&lt;0,L18*-1,0)</f>
        <v>0</v>
      </c>
      <c r="Z18" s="55" t="n">
        <f aca="false">X18+Y18</f>
        <v>81.7</v>
      </c>
      <c r="AA18" s="58" t="n">
        <v>0</v>
      </c>
      <c r="AB18" s="54" t="n">
        <v>54</v>
      </c>
      <c r="AC18" s="51" t="n">
        <v>24</v>
      </c>
      <c r="AD18" s="48" t="n">
        <f aca="false">AD17+1</f>
        <v>9</v>
      </c>
      <c r="AE18" s="81"/>
      <c r="AF18" s="83"/>
      <c r="AG18" s="82"/>
    </row>
    <row r="19" customFormat="false" ht="11.1" hidden="false" customHeight="true" outlineLevel="0" collapsed="false">
      <c r="A19" s="48" t="n">
        <f aca="false">A18+1</f>
        <v>10</v>
      </c>
      <c r="B19" s="59" t="n">
        <v>6907.12</v>
      </c>
      <c r="C19" s="57" t="n">
        <v>310609</v>
      </c>
      <c r="D19" s="51" t="n">
        <f aca="false">C19-C18</f>
        <v>236</v>
      </c>
      <c r="E19" s="57" t="n">
        <f aca="false">C19-152000</f>
        <v>158609</v>
      </c>
      <c r="F19" s="55" t="n">
        <f aca="false">D19/$D$2</f>
        <v>118.981598185026</v>
      </c>
      <c r="G19" s="55" t="n">
        <v>164.3</v>
      </c>
      <c r="H19" s="94" t="n">
        <v>27.8</v>
      </c>
      <c r="I19" s="55" t="n">
        <f aca="false">G19+H19</f>
        <v>192.1</v>
      </c>
      <c r="J19" s="61" t="n">
        <f aca="false">IF(L19&gt;0,L19,0)</f>
        <v>9.08159818502645</v>
      </c>
      <c r="K19" s="55" t="n">
        <f aca="false">I19+J19</f>
        <v>201.181598185026</v>
      </c>
      <c r="L19" s="55" t="n">
        <f aca="false">F19-(I19-X19)</f>
        <v>9.08159818502645</v>
      </c>
      <c r="M19" s="95" t="n">
        <v>4.8</v>
      </c>
      <c r="N19" s="95" t="n">
        <v>0</v>
      </c>
      <c r="O19" s="55" t="n">
        <v>0</v>
      </c>
      <c r="P19" s="5" t="n">
        <f aca="false">M19-(N19+O19)</f>
        <v>4.8</v>
      </c>
      <c r="Q19" s="55" t="n">
        <v>0</v>
      </c>
      <c r="R19" s="55" t="n">
        <v>0</v>
      </c>
      <c r="S19" s="55" t="n">
        <f aca="false">SUM(P19:R19)</f>
        <v>4.8</v>
      </c>
      <c r="T19" s="57"/>
      <c r="U19" s="55" t="n">
        <v>0</v>
      </c>
      <c r="V19" s="55" t="n">
        <v>77.4</v>
      </c>
      <c r="W19" s="57" t="n">
        <f aca="false">W18-30</f>
        <v>11026.5</v>
      </c>
      <c r="X19" s="5" t="n">
        <f aca="false">N19+O19+S19+U19+V19</f>
        <v>82.2</v>
      </c>
      <c r="Y19" s="55" t="n">
        <f aca="false">IF(L19&lt;0,L19*-1,0)</f>
        <v>0</v>
      </c>
      <c r="Z19" s="55" t="n">
        <f aca="false">X19+Y19</f>
        <v>82.2</v>
      </c>
      <c r="AA19" s="58" t="n">
        <v>0.02</v>
      </c>
      <c r="AB19" s="51" t="n">
        <v>41</v>
      </c>
      <c r="AC19" s="51" t="n">
        <v>34</v>
      </c>
      <c r="AD19" s="48" t="n">
        <f aca="false">AD18+1</f>
        <v>10</v>
      </c>
      <c r="AE19" s="81"/>
      <c r="AF19" s="83"/>
      <c r="AG19" s="82"/>
    </row>
    <row r="20" customFormat="false" ht="11.1" hidden="false" customHeight="true" outlineLevel="0" collapsed="false">
      <c r="A20" s="48" t="n">
        <f aca="false">A19+1</f>
        <v>11</v>
      </c>
      <c r="B20" s="59" t="n">
        <v>6907.18</v>
      </c>
      <c r="C20" s="57" t="n">
        <v>310844</v>
      </c>
      <c r="D20" s="51" t="n">
        <f aca="false">C20-C19</f>
        <v>235</v>
      </c>
      <c r="E20" s="57" t="n">
        <f aca="false">C20-152000</f>
        <v>158844</v>
      </c>
      <c r="F20" s="55" t="n">
        <f aca="false">D20/$D$2</f>
        <v>118.477438870683</v>
      </c>
      <c r="G20" s="55" t="n">
        <v>157.8</v>
      </c>
      <c r="H20" s="94" t="n">
        <v>34.5</v>
      </c>
      <c r="I20" s="55" t="n">
        <f aca="false">G20+H20</f>
        <v>192.3</v>
      </c>
      <c r="J20" s="61" t="n">
        <f aca="false">IF(L20&gt;0,L20,0)</f>
        <v>8.07743887068311</v>
      </c>
      <c r="K20" s="55" t="n">
        <f aca="false">I20+J20</f>
        <v>200.377438870683</v>
      </c>
      <c r="L20" s="55" t="n">
        <f aca="false">F20-(I20-X20)</f>
        <v>8.07743887068311</v>
      </c>
      <c r="M20" s="95" t="n">
        <v>5.1</v>
      </c>
      <c r="N20" s="95" t="n">
        <v>0</v>
      </c>
      <c r="O20" s="55" t="n">
        <v>0</v>
      </c>
      <c r="P20" s="5" t="n">
        <f aca="false">M20-(N20+O20)</f>
        <v>5.1</v>
      </c>
      <c r="Q20" s="55" t="n">
        <v>0</v>
      </c>
      <c r="R20" s="55" t="n">
        <v>0</v>
      </c>
      <c r="S20" s="55" t="n">
        <f aca="false">SUM(P20:R20)</f>
        <v>5.1</v>
      </c>
      <c r="T20" s="57"/>
      <c r="U20" s="55" t="n">
        <v>0</v>
      </c>
      <c r="V20" s="55" t="n">
        <v>76.8</v>
      </c>
      <c r="W20" s="57" t="n">
        <f aca="false">W19-30</f>
        <v>10996.5</v>
      </c>
      <c r="X20" s="5" t="n">
        <f aca="false">N20+O20+S20+U20+V20</f>
        <v>81.9</v>
      </c>
      <c r="Y20" s="55" t="n">
        <f aca="false">IF(L20&lt;0,L20*-1,0)</f>
        <v>0</v>
      </c>
      <c r="Z20" s="55" t="n">
        <f aca="false">X20+Y20</f>
        <v>81.9</v>
      </c>
      <c r="AA20" s="58" t="n">
        <v>0</v>
      </c>
      <c r="AB20" s="51" t="n">
        <v>36</v>
      </c>
      <c r="AC20" s="51" t="n">
        <v>17</v>
      </c>
      <c r="AD20" s="48" t="n">
        <f aca="false">AD19+1</f>
        <v>11</v>
      </c>
      <c r="AE20" s="81"/>
      <c r="AF20" s="83"/>
      <c r="AG20" s="82"/>
    </row>
    <row r="21" customFormat="false" ht="11.1" hidden="false" customHeight="true" outlineLevel="0" collapsed="false">
      <c r="A21" s="48" t="n">
        <f aca="false">A20+1</f>
        <v>12</v>
      </c>
      <c r="B21" s="59" t="n">
        <v>6907.24</v>
      </c>
      <c r="C21" s="57" t="n">
        <v>311079</v>
      </c>
      <c r="D21" s="51" t="n">
        <f aca="false">C21-C20</f>
        <v>235</v>
      </c>
      <c r="E21" s="57" t="n">
        <f aca="false">C21-152000</f>
        <v>159079</v>
      </c>
      <c r="F21" s="55" t="n">
        <f aca="false">D21/$D$2</f>
        <v>118.477438870683</v>
      </c>
      <c r="G21" s="55" t="n">
        <v>182.2</v>
      </c>
      <c r="H21" s="94" t="n">
        <v>52.3</v>
      </c>
      <c r="I21" s="55" t="n">
        <f aca="false">G21+H21</f>
        <v>234.5</v>
      </c>
      <c r="J21" s="61" t="n">
        <f aca="false">IF(L21&gt;0,L21,0)</f>
        <v>0</v>
      </c>
      <c r="K21" s="55" t="n">
        <f aca="false">I21+J21</f>
        <v>234.5</v>
      </c>
      <c r="L21" s="55" t="n">
        <f aca="false">F21-(I21-X21)</f>
        <v>-34.1225611293169</v>
      </c>
      <c r="M21" s="95" t="n">
        <v>5.5</v>
      </c>
      <c r="N21" s="95" t="n">
        <v>0</v>
      </c>
      <c r="O21" s="55" t="n">
        <v>0</v>
      </c>
      <c r="P21" s="5" t="n">
        <f aca="false">M21-(N21+O21)</f>
        <v>5.5</v>
      </c>
      <c r="Q21" s="55" t="n">
        <v>0</v>
      </c>
      <c r="R21" s="55" t="n">
        <v>0</v>
      </c>
      <c r="S21" s="55" t="n">
        <f aca="false">SUM(P21:R21)</f>
        <v>5.5</v>
      </c>
      <c r="T21" s="57"/>
      <c r="U21" s="55" t="n">
        <v>0</v>
      </c>
      <c r="V21" s="55" t="n">
        <v>76.4</v>
      </c>
      <c r="W21" s="57" t="n">
        <f aca="false">W20-30</f>
        <v>10966.5</v>
      </c>
      <c r="X21" s="5" t="n">
        <f aca="false">N21+O21+S21+U21+V21</f>
        <v>81.9</v>
      </c>
      <c r="Y21" s="55" t="n">
        <f aca="false">IF(L21&lt;0,L21*-1,0)</f>
        <v>34.1225611293169</v>
      </c>
      <c r="Z21" s="55" t="n">
        <f aca="false">X21+Y21</f>
        <v>116.022561129317</v>
      </c>
      <c r="AA21" s="58" t="n">
        <v>0</v>
      </c>
      <c r="AB21" s="51" t="n">
        <v>42</v>
      </c>
      <c r="AC21" s="51" t="n">
        <v>22</v>
      </c>
      <c r="AD21" s="48" t="n">
        <f aca="false">AD20+1</f>
        <v>12</v>
      </c>
      <c r="AE21" s="81"/>
      <c r="AF21" s="83"/>
      <c r="AG21" s="82"/>
    </row>
    <row r="22" customFormat="false" ht="11.1" hidden="false" customHeight="true" outlineLevel="0" collapsed="false">
      <c r="A22" s="48" t="n">
        <f aca="false">A21+1</f>
        <v>13</v>
      </c>
      <c r="B22" s="59" t="n">
        <v>6907.3</v>
      </c>
      <c r="C22" s="57" t="n">
        <v>311313</v>
      </c>
      <c r="D22" s="51" t="n">
        <f aca="false">C22-C21</f>
        <v>234</v>
      </c>
      <c r="E22" s="57" t="n">
        <f aca="false">C22-152000</f>
        <v>159313</v>
      </c>
      <c r="F22" s="55" t="n">
        <f aca="false">D22/$D$2</f>
        <v>117.97327955634</v>
      </c>
      <c r="G22" s="55" t="n">
        <v>160.3</v>
      </c>
      <c r="H22" s="94" t="n">
        <v>47.3</v>
      </c>
      <c r="I22" s="55" t="n">
        <f aca="false">G22+H22</f>
        <v>207.6</v>
      </c>
      <c r="J22" s="61" t="n">
        <f aca="false">IF(L22&gt;0,L22,0)</f>
        <v>0</v>
      </c>
      <c r="K22" s="55" t="n">
        <f aca="false">I22+J22</f>
        <v>207.6</v>
      </c>
      <c r="L22" s="55" t="n">
        <f aca="false">F22-(I22-X22)</f>
        <v>-6.62672044366022</v>
      </c>
      <c r="M22" s="95" t="n">
        <v>5.5</v>
      </c>
      <c r="N22" s="95" t="n">
        <v>0</v>
      </c>
      <c r="O22" s="55" t="n">
        <v>0</v>
      </c>
      <c r="P22" s="5" t="n">
        <f aca="false">M22-(N22+O22)</f>
        <v>5.5</v>
      </c>
      <c r="Q22" s="55" t="n">
        <v>0</v>
      </c>
      <c r="R22" s="55" t="n">
        <v>0</v>
      </c>
      <c r="S22" s="55" t="n">
        <f aca="false">SUM(P22:R22)</f>
        <v>5.5</v>
      </c>
      <c r="T22" s="57"/>
      <c r="U22" s="55" t="n">
        <v>0</v>
      </c>
      <c r="V22" s="55" t="n">
        <v>77.5</v>
      </c>
      <c r="W22" s="57" t="n">
        <f aca="false">W21-30</f>
        <v>10936.5</v>
      </c>
      <c r="X22" s="5" t="n">
        <f aca="false">N22+O22+S22+U22+V22</f>
        <v>83</v>
      </c>
      <c r="Y22" s="55" t="n">
        <f aca="false">IF(L22&lt;0,L22*-1,0)</f>
        <v>6.62672044366022</v>
      </c>
      <c r="Z22" s="55" t="n">
        <f aca="false">X22+Y22</f>
        <v>89.6267204436602</v>
      </c>
      <c r="AA22" s="58" t="n">
        <v>0</v>
      </c>
      <c r="AB22" s="51" t="n">
        <v>46</v>
      </c>
      <c r="AC22" s="51" t="n">
        <v>28</v>
      </c>
      <c r="AD22" s="48" t="n">
        <f aca="false">AD21+1</f>
        <v>13</v>
      </c>
      <c r="AE22" s="81"/>
      <c r="AF22" s="83"/>
      <c r="AG22" s="82"/>
    </row>
    <row r="23" customFormat="false" ht="11.1" hidden="false" customHeight="true" outlineLevel="0" collapsed="false">
      <c r="A23" s="48" t="n">
        <f aca="false">A22+1</f>
        <v>14</v>
      </c>
      <c r="B23" s="59" t="n">
        <v>6907.32</v>
      </c>
      <c r="C23" s="57" t="n">
        <v>311391</v>
      </c>
      <c r="D23" s="51" t="n">
        <f aca="false">C23-C22</f>
        <v>78</v>
      </c>
      <c r="E23" s="57" t="n">
        <f aca="false">C23-152000</f>
        <v>159391</v>
      </c>
      <c r="F23" s="55" t="n">
        <f aca="false">D23/$D$2</f>
        <v>39.3244265187799</v>
      </c>
      <c r="G23" s="55" t="n">
        <v>151.2</v>
      </c>
      <c r="H23" s="66" t="n">
        <v>33.4</v>
      </c>
      <c r="I23" s="55" t="n">
        <f aca="false">G23+H23</f>
        <v>184.6</v>
      </c>
      <c r="J23" s="61" t="n">
        <f aca="false">IF(L23&gt;0,L23,0)</f>
        <v>0</v>
      </c>
      <c r="K23" s="55" t="n">
        <f aca="false">I23+J23</f>
        <v>184.6</v>
      </c>
      <c r="L23" s="55" t="n">
        <f aca="false">F23-(I23-X23)</f>
        <v>-62.3755734812201</v>
      </c>
      <c r="M23" s="55" t="n">
        <v>5.5</v>
      </c>
      <c r="N23" s="55" t="n">
        <v>0</v>
      </c>
      <c r="O23" s="55" t="n">
        <v>0</v>
      </c>
      <c r="P23" s="5" t="n">
        <f aca="false">M23-(N23+O23)</f>
        <v>5.5</v>
      </c>
      <c r="Q23" s="55" t="n">
        <v>0</v>
      </c>
      <c r="R23" s="55" t="n">
        <v>0</v>
      </c>
      <c r="S23" s="55" t="n">
        <f aca="false">SUM(P23:R23)</f>
        <v>5.5</v>
      </c>
      <c r="T23" s="57"/>
      <c r="U23" s="55" t="n">
        <v>0</v>
      </c>
      <c r="V23" s="55" t="n">
        <v>77.4</v>
      </c>
      <c r="W23" s="57" t="n">
        <f aca="false">W22-30</f>
        <v>10906.5</v>
      </c>
      <c r="X23" s="5" t="n">
        <f aca="false">N23+O23+S23+U23+V23</f>
        <v>82.9</v>
      </c>
      <c r="Y23" s="55" t="n">
        <f aca="false">IF(L23&lt;0,L23*-1,0)</f>
        <v>62.3755734812201</v>
      </c>
      <c r="Z23" s="55" t="n">
        <f aca="false">X23+Y23</f>
        <v>145.27557348122</v>
      </c>
      <c r="AA23" s="58" t="n">
        <v>0</v>
      </c>
      <c r="AB23" s="54" t="n">
        <v>47</v>
      </c>
      <c r="AC23" s="51" t="n">
        <v>30</v>
      </c>
      <c r="AD23" s="48" t="n">
        <f aca="false">AD22+1</f>
        <v>14</v>
      </c>
      <c r="AE23" s="81"/>
      <c r="AF23" s="83"/>
      <c r="AG23" s="82"/>
    </row>
    <row r="24" customFormat="false" ht="11.1" hidden="false" customHeight="true" outlineLevel="0" collapsed="false">
      <c r="A24" s="48" t="n">
        <f aca="false">A23+1</f>
        <v>15</v>
      </c>
      <c r="B24" s="59" t="n">
        <v>6907.44</v>
      </c>
      <c r="C24" s="57" t="n">
        <v>311862</v>
      </c>
      <c r="D24" s="51" t="n">
        <f aca="false">C24-C23</f>
        <v>471</v>
      </c>
      <c r="E24" s="57" t="n">
        <f aca="false">C24-152000</f>
        <v>159862</v>
      </c>
      <c r="F24" s="55" t="n">
        <f aca="false">D24/$D$2</f>
        <v>237.45903705571</v>
      </c>
      <c r="G24" s="55" t="n">
        <v>211.5</v>
      </c>
      <c r="H24" s="66" t="n">
        <v>24.5</v>
      </c>
      <c r="I24" s="55" t="n">
        <f aca="false">G24+H24</f>
        <v>236</v>
      </c>
      <c r="J24" s="61" t="n">
        <f aca="false">IF(L24&gt;0,L24,0)</f>
        <v>83.3590370557096</v>
      </c>
      <c r="K24" s="55" t="n">
        <f aca="false">I24+J24</f>
        <v>319.35903705571</v>
      </c>
      <c r="L24" s="55" t="n">
        <f aca="false">F24-(I24-X24)</f>
        <v>83.3590370557096</v>
      </c>
      <c r="M24" s="55" t="n">
        <v>5.5</v>
      </c>
      <c r="N24" s="55" t="n">
        <v>0</v>
      </c>
      <c r="O24" s="55" t="n">
        <v>0</v>
      </c>
      <c r="P24" s="5" t="n">
        <f aca="false">M24-(N24+O24)</f>
        <v>5.5</v>
      </c>
      <c r="Q24" s="55" t="n">
        <v>0</v>
      </c>
      <c r="R24" s="55" t="n">
        <v>0</v>
      </c>
      <c r="S24" s="55" t="n">
        <f aca="false">SUM(P24:R24)</f>
        <v>5.5</v>
      </c>
      <c r="T24" s="57"/>
      <c r="U24" s="55" t="n">
        <v>0</v>
      </c>
      <c r="V24" s="55" t="n">
        <v>76.4</v>
      </c>
      <c r="W24" s="57" t="n">
        <f aca="false">W23-30</f>
        <v>10876.5</v>
      </c>
      <c r="X24" s="5" t="n">
        <f aca="false">N24+O24+S24+U24+V24</f>
        <v>81.9</v>
      </c>
      <c r="Y24" s="55" t="n">
        <f aca="false">IF(L24&lt;0,L24*-1,0)</f>
        <v>0</v>
      </c>
      <c r="Z24" s="55" t="n">
        <f aca="false">X24+Y24</f>
        <v>81.9</v>
      </c>
      <c r="AA24" s="58" t="n">
        <v>0</v>
      </c>
      <c r="AB24" s="54" t="n">
        <v>48</v>
      </c>
      <c r="AC24" s="51" t="n">
        <v>35</v>
      </c>
      <c r="AD24" s="48" t="n">
        <f aca="false">AD23+1</f>
        <v>15</v>
      </c>
      <c r="AE24" s="81"/>
      <c r="AF24" s="83"/>
      <c r="AG24" s="82"/>
    </row>
    <row r="25" customFormat="false" ht="11.1" hidden="false" customHeight="true" outlineLevel="0" collapsed="false">
      <c r="A25" s="48" t="n">
        <f aca="false">A24+1</f>
        <v>16</v>
      </c>
      <c r="B25" s="59" t="n">
        <v>6907.57</v>
      </c>
      <c r="C25" s="57" t="n">
        <v>312371</v>
      </c>
      <c r="D25" s="51" t="n">
        <f aca="false">C25-C24</f>
        <v>509</v>
      </c>
      <c r="E25" s="57" t="n">
        <f aca="false">C25-152000</f>
        <v>160371</v>
      </c>
      <c r="F25" s="55" t="n">
        <f aca="false">D25/$D$2</f>
        <v>256.617091000756</v>
      </c>
      <c r="G25" s="55" t="n">
        <v>232.9</v>
      </c>
      <c r="H25" s="66" t="n">
        <v>38.8</v>
      </c>
      <c r="I25" s="55" t="n">
        <f aca="false">G25+H25</f>
        <v>271.7</v>
      </c>
      <c r="J25" s="61" t="n">
        <f aca="false">IF(L25&gt;0,L25,0)</f>
        <v>66.5170910007563</v>
      </c>
      <c r="K25" s="55" t="n">
        <f aca="false">I25+J25</f>
        <v>338.217091000756</v>
      </c>
      <c r="L25" s="55" t="n">
        <f aca="false">F25-(I25-X25)</f>
        <v>66.5170910007563</v>
      </c>
      <c r="M25" s="55" t="n">
        <v>5</v>
      </c>
      <c r="N25" s="55" t="n">
        <v>0</v>
      </c>
      <c r="O25" s="55" t="n">
        <v>0</v>
      </c>
      <c r="P25" s="5" t="n">
        <f aca="false">M25-(N25+O25)</f>
        <v>5</v>
      </c>
      <c r="Q25" s="55" t="n">
        <v>0</v>
      </c>
      <c r="R25" s="55" t="n">
        <v>0</v>
      </c>
      <c r="S25" s="55" t="n">
        <f aca="false">SUM(P25:R25)</f>
        <v>5</v>
      </c>
      <c r="T25" s="57"/>
      <c r="U25" s="55" t="n">
        <v>0</v>
      </c>
      <c r="V25" s="55" t="n">
        <v>76.6</v>
      </c>
      <c r="W25" s="57" t="n">
        <f aca="false">W24-30</f>
        <v>10846.5</v>
      </c>
      <c r="X25" s="5" t="n">
        <f aca="false">N25+O25+S25+U25+V25</f>
        <v>81.6</v>
      </c>
      <c r="Y25" s="55" t="n">
        <f aca="false">IF(L25&lt;0,L25*-1,0)</f>
        <v>0</v>
      </c>
      <c r="Z25" s="55" t="n">
        <f aca="false">X25+Y25</f>
        <v>81.6</v>
      </c>
      <c r="AA25" s="58" t="n">
        <v>0</v>
      </c>
      <c r="AB25" s="54" t="n">
        <v>52</v>
      </c>
      <c r="AC25" s="51" t="n">
        <v>30</v>
      </c>
      <c r="AD25" s="48" t="n">
        <f aca="false">AD24+1</f>
        <v>16</v>
      </c>
      <c r="AE25" s="81"/>
      <c r="AF25" s="0"/>
      <c r="AG25" s="82"/>
    </row>
    <row r="26" customFormat="false" ht="11.1" hidden="false" customHeight="true" outlineLevel="0" collapsed="false">
      <c r="A26" s="48" t="n">
        <f aca="false">A25+1</f>
        <v>17</v>
      </c>
      <c r="B26" s="59" t="n">
        <v>6907.69</v>
      </c>
      <c r="C26" s="57" t="n">
        <v>312841</v>
      </c>
      <c r="D26" s="51" t="n">
        <f aca="false">C26-C25</f>
        <v>470</v>
      </c>
      <c r="E26" s="57" t="n">
        <f aca="false">C26-152000</f>
        <v>160841</v>
      </c>
      <c r="F26" s="55" t="n">
        <f aca="false">D26/$D$2</f>
        <v>236.954877741366</v>
      </c>
      <c r="G26" s="55" t="n">
        <v>234.2</v>
      </c>
      <c r="H26" s="66" t="n">
        <v>55.9</v>
      </c>
      <c r="I26" s="55" t="n">
        <f aca="false">G26+H26</f>
        <v>290.1</v>
      </c>
      <c r="J26" s="61" t="n">
        <f aca="false">IF(L26&gt;0,L26,0)</f>
        <v>138.554877741366</v>
      </c>
      <c r="K26" s="55" t="n">
        <f aca="false">I26+J26</f>
        <v>428.654877741366</v>
      </c>
      <c r="L26" s="55" t="n">
        <f aca="false">F26-(I26-X26)</f>
        <v>138.554877741366</v>
      </c>
      <c r="M26" s="55" t="n">
        <v>3.6</v>
      </c>
      <c r="N26" s="55" t="n">
        <v>0</v>
      </c>
      <c r="O26" s="55" t="n">
        <v>0</v>
      </c>
      <c r="P26" s="5" t="n">
        <f aca="false">M26-(N26+O26)</f>
        <v>3.6</v>
      </c>
      <c r="Q26" s="55" t="n">
        <v>0</v>
      </c>
      <c r="R26" s="55" t="n">
        <v>0</v>
      </c>
      <c r="S26" s="55" t="n">
        <f aca="false">SUM(P26:R26)</f>
        <v>3.6</v>
      </c>
      <c r="T26" s="57"/>
      <c r="U26" s="55" t="n">
        <v>0</v>
      </c>
      <c r="V26" s="55" t="n">
        <v>188.1</v>
      </c>
      <c r="W26" s="57" t="n">
        <f aca="false">W25</f>
        <v>10846.5</v>
      </c>
      <c r="X26" s="5" t="n">
        <f aca="false">N26+O26+S26+U26+V26</f>
        <v>191.7</v>
      </c>
      <c r="Y26" s="55" t="n">
        <f aca="false">IF(L26&lt;0,L26*-1,0)</f>
        <v>0</v>
      </c>
      <c r="Z26" s="55" t="n">
        <f aca="false">X26+Y26</f>
        <v>191.7</v>
      </c>
      <c r="AA26" s="58" t="n">
        <v>0.22</v>
      </c>
      <c r="AB26" s="54" t="n">
        <v>49</v>
      </c>
      <c r="AC26" s="51" t="n">
        <v>34</v>
      </c>
      <c r="AD26" s="48" t="n">
        <f aca="false">AD25+1</f>
        <v>17</v>
      </c>
      <c r="AE26" s="81"/>
      <c r="AF26" s="83"/>
      <c r="AG26" s="82"/>
    </row>
    <row r="27" customFormat="false" ht="11.1" hidden="false" customHeight="true" outlineLevel="0" collapsed="false">
      <c r="A27" s="48" t="n">
        <f aca="false">A26+1</f>
        <v>18</v>
      </c>
      <c r="B27" s="59" t="n">
        <v>6907.8</v>
      </c>
      <c r="C27" s="57" t="n">
        <v>313272</v>
      </c>
      <c r="D27" s="51" t="n">
        <f aca="false">C27-C26</f>
        <v>431</v>
      </c>
      <c r="E27" s="57" t="n">
        <f aca="false">C27-152000</f>
        <v>161272</v>
      </c>
      <c r="F27" s="55" t="n">
        <f aca="false">D27/$D$2</f>
        <v>217.292664481976</v>
      </c>
      <c r="G27" s="55" t="n">
        <v>279</v>
      </c>
      <c r="H27" s="66" t="n">
        <v>104.5</v>
      </c>
      <c r="I27" s="55" t="n">
        <f aca="false">G27+H27</f>
        <v>383.5</v>
      </c>
      <c r="J27" s="61" t="n">
        <f aca="false">IF(L27&gt;0,L27,0)</f>
        <v>207.092664481976</v>
      </c>
      <c r="K27" s="55" t="n">
        <f aca="false">I27+J27</f>
        <v>590.592664481976</v>
      </c>
      <c r="L27" s="55" t="n">
        <f aca="false">F27-(I27-X27)</f>
        <v>207.092664481976</v>
      </c>
      <c r="M27" s="55" t="n">
        <v>6</v>
      </c>
      <c r="N27" s="55" t="n">
        <v>0</v>
      </c>
      <c r="O27" s="55" t="n">
        <v>0</v>
      </c>
      <c r="P27" s="5" t="n">
        <f aca="false">M27-(N27+O27)</f>
        <v>6</v>
      </c>
      <c r="Q27" s="55" t="n">
        <v>0</v>
      </c>
      <c r="R27" s="55" t="n">
        <v>0</v>
      </c>
      <c r="S27" s="55" t="n">
        <f aca="false">SUM(P27:R27)</f>
        <v>6</v>
      </c>
      <c r="T27" s="57"/>
      <c r="U27" s="55" t="n">
        <v>0</v>
      </c>
      <c r="V27" s="55" t="n">
        <v>367.3</v>
      </c>
      <c r="W27" s="57" t="n">
        <f aca="false">W26</f>
        <v>10846.5</v>
      </c>
      <c r="X27" s="5" t="n">
        <f aca="false">N27+O27+S27+U27+V27</f>
        <v>373.3</v>
      </c>
      <c r="Y27" s="55" t="n">
        <f aca="false">IF(L27&lt;0,L27*-1,0)</f>
        <v>0</v>
      </c>
      <c r="Z27" s="55" t="n">
        <f aca="false">X27+Y27</f>
        <v>373.3</v>
      </c>
      <c r="AA27" s="58" t="n">
        <v>0</v>
      </c>
      <c r="AB27" s="54" t="n">
        <v>47</v>
      </c>
      <c r="AC27" s="51" t="n">
        <v>29</v>
      </c>
      <c r="AD27" s="48" t="n">
        <f aca="false">AD26+1</f>
        <v>18</v>
      </c>
      <c r="AE27" s="81"/>
      <c r="AF27" s="83"/>
      <c r="AG27" s="82"/>
    </row>
    <row r="28" customFormat="false" ht="11.1" hidden="false" customHeight="true" outlineLevel="0" collapsed="false">
      <c r="A28" s="48" t="n">
        <f aca="false">A27+1</f>
        <v>19</v>
      </c>
      <c r="B28" s="59" t="n">
        <v>6908.07</v>
      </c>
      <c r="C28" s="93" t="n">
        <v>314332</v>
      </c>
      <c r="D28" s="51" t="n">
        <f aca="false">C28-C27</f>
        <v>1060</v>
      </c>
      <c r="E28" s="57" t="n">
        <f aca="false">C28-152000</f>
        <v>162332</v>
      </c>
      <c r="F28" s="55" t="n">
        <f aca="false">D28/$D$2</f>
        <v>534.408873203932</v>
      </c>
      <c r="G28" s="55" t="n">
        <v>321.6</v>
      </c>
      <c r="H28" s="66" t="n">
        <v>139.2</v>
      </c>
      <c r="I28" s="55" t="n">
        <f aca="false">G28+H28</f>
        <v>460.8</v>
      </c>
      <c r="J28" s="61" t="n">
        <f aca="false">IF(L28&gt;0,L28,0)</f>
        <v>446.608873203932</v>
      </c>
      <c r="K28" s="55" t="n">
        <f aca="false">I28+J28</f>
        <v>907.408873203933</v>
      </c>
      <c r="L28" s="55" t="n">
        <f aca="false">F28-(I28-X28)</f>
        <v>446.608873203932</v>
      </c>
      <c r="M28" s="55" t="n">
        <v>5.1</v>
      </c>
      <c r="N28" s="55" t="n">
        <v>0</v>
      </c>
      <c r="O28" s="55" t="n">
        <v>0</v>
      </c>
      <c r="P28" s="5" t="n">
        <f aca="false">M28-(N28+O28)</f>
        <v>5.1</v>
      </c>
      <c r="Q28" s="55" t="n">
        <v>0</v>
      </c>
      <c r="R28" s="55" t="n">
        <v>0</v>
      </c>
      <c r="S28" s="55" t="n">
        <f aca="false">SUM(P28:R28)</f>
        <v>5.1</v>
      </c>
      <c r="T28" s="57"/>
      <c r="U28" s="55" t="n">
        <v>0</v>
      </c>
      <c r="V28" s="55" t="n">
        <v>367.9</v>
      </c>
      <c r="W28" s="57" t="n">
        <f aca="false">W27</f>
        <v>10846.5</v>
      </c>
      <c r="X28" s="5" t="n">
        <f aca="false">N28+O28+S28+U28+V28</f>
        <v>373</v>
      </c>
      <c r="Y28" s="55" t="n">
        <f aca="false">IF(L28&lt;0,L28*-1,0)</f>
        <v>0</v>
      </c>
      <c r="Z28" s="55" t="n">
        <f aca="false">X28+Y28</f>
        <v>373</v>
      </c>
      <c r="AA28" s="58" t="n">
        <v>0</v>
      </c>
      <c r="AB28" s="54" t="n">
        <v>51</v>
      </c>
      <c r="AC28" s="51" t="n">
        <v>26</v>
      </c>
      <c r="AD28" s="48" t="n">
        <f aca="false">AD27+1</f>
        <v>19</v>
      </c>
      <c r="AE28" s="81"/>
      <c r="AF28" s="83"/>
      <c r="AG28" s="82"/>
    </row>
    <row r="29" customFormat="false" ht="11.1" hidden="false" customHeight="true" outlineLevel="0" collapsed="false">
      <c r="A29" s="48" t="n">
        <f aca="false">A28+1</f>
        <v>20</v>
      </c>
      <c r="B29" s="59" t="n">
        <v>6908.35</v>
      </c>
      <c r="C29" s="57" t="n">
        <v>315439</v>
      </c>
      <c r="D29" s="51" t="n">
        <f aca="false">C29-C28</f>
        <v>1107</v>
      </c>
      <c r="E29" s="57" t="n">
        <f aca="false">C29-152000</f>
        <v>163439</v>
      </c>
      <c r="F29" s="55" t="n">
        <f aca="false">D29/$D$2</f>
        <v>558.104360978069</v>
      </c>
      <c r="G29" s="55" t="n">
        <v>332.5</v>
      </c>
      <c r="H29" s="66" t="n">
        <v>140</v>
      </c>
      <c r="I29" s="55" t="n">
        <f aca="false">G29+H29</f>
        <v>472.5</v>
      </c>
      <c r="J29" s="61" t="n">
        <f aca="false">IF(L29&gt;0,L29,0)</f>
        <v>461.104360978069</v>
      </c>
      <c r="K29" s="55" t="n">
        <f aca="false">I29+J29</f>
        <v>933.604360978069</v>
      </c>
      <c r="L29" s="55" t="n">
        <f aca="false">F29-(I29-X29)</f>
        <v>461.104360978069</v>
      </c>
      <c r="M29" s="55" t="n">
        <v>5.1</v>
      </c>
      <c r="N29" s="55" t="n">
        <v>0</v>
      </c>
      <c r="O29" s="55" t="n">
        <v>0</v>
      </c>
      <c r="P29" s="5" t="n">
        <f aca="false">M29-(N29+O29)</f>
        <v>5.1</v>
      </c>
      <c r="Q29" s="55" t="n">
        <v>0</v>
      </c>
      <c r="R29" s="55" t="n">
        <v>0</v>
      </c>
      <c r="S29" s="55" t="n">
        <f aca="false">SUM(P29:R29)</f>
        <v>5.1</v>
      </c>
      <c r="T29" s="57"/>
      <c r="U29" s="55" t="n">
        <v>0</v>
      </c>
      <c r="V29" s="55" t="n">
        <v>370.4</v>
      </c>
      <c r="W29" s="57" t="n">
        <f aca="false">W28</f>
        <v>10846.5</v>
      </c>
      <c r="X29" s="5" t="n">
        <f aca="false">N29+O29+S29+U29+V29</f>
        <v>375.5</v>
      </c>
      <c r="Y29" s="55" t="n">
        <f aca="false">IF(L29&lt;0,L29*-1,0)</f>
        <v>0</v>
      </c>
      <c r="Z29" s="55" t="n">
        <f aca="false">X29+Y29</f>
        <v>375.5</v>
      </c>
      <c r="AA29" s="58" t="n">
        <v>0</v>
      </c>
      <c r="AB29" s="54" t="n">
        <v>52</v>
      </c>
      <c r="AC29" s="51" t="n">
        <v>28</v>
      </c>
      <c r="AD29" s="48" t="n">
        <f aca="false">AD28+1</f>
        <v>20</v>
      </c>
      <c r="AE29" s="81"/>
      <c r="AF29" s="83"/>
      <c r="AG29" s="82"/>
    </row>
    <row r="30" customFormat="false" ht="11.1" hidden="false" customHeight="true" outlineLevel="0" collapsed="false">
      <c r="A30" s="48" t="n">
        <f aca="false">A29+1</f>
        <v>21</v>
      </c>
      <c r="B30" s="59" t="n">
        <v>6908.62</v>
      </c>
      <c r="C30" s="57" t="n">
        <v>316505</v>
      </c>
      <c r="D30" s="51" t="n">
        <f aca="false">C30-C29</f>
        <v>1066</v>
      </c>
      <c r="E30" s="57" t="n">
        <f aca="false">C30-152000</f>
        <v>164505</v>
      </c>
      <c r="F30" s="55" t="n">
        <f aca="false">D30/$D$2</f>
        <v>537.433829089992</v>
      </c>
      <c r="G30" s="95" t="n">
        <v>345.1</v>
      </c>
      <c r="H30" s="66" t="n">
        <v>164.6</v>
      </c>
      <c r="I30" s="55" t="n">
        <f aca="false">G30+H30</f>
        <v>509.7</v>
      </c>
      <c r="J30" s="61" t="n">
        <f aca="false">IF(L30&gt;0,L30,0)</f>
        <v>404.633829089992</v>
      </c>
      <c r="K30" s="55" t="n">
        <f aca="false">I30+J30</f>
        <v>914.333829089992</v>
      </c>
      <c r="L30" s="55" t="n">
        <f aca="false">F30-(I30-X30)</f>
        <v>404.633829089992</v>
      </c>
      <c r="M30" s="55" t="n">
        <v>5.1</v>
      </c>
      <c r="N30" s="55" t="n">
        <v>0</v>
      </c>
      <c r="O30" s="55" t="n">
        <v>0</v>
      </c>
      <c r="P30" s="5" t="n">
        <f aca="false">M30-(N30+O30)</f>
        <v>5.1</v>
      </c>
      <c r="Q30" s="55" t="n">
        <v>0</v>
      </c>
      <c r="R30" s="55" t="n">
        <v>0</v>
      </c>
      <c r="S30" s="55" t="n">
        <f aca="false">SUM(P30:R30)</f>
        <v>5.1</v>
      </c>
      <c r="T30" s="57"/>
      <c r="U30" s="55" t="n">
        <v>0</v>
      </c>
      <c r="V30" s="55" t="n">
        <v>371.8</v>
      </c>
      <c r="W30" s="57" t="n">
        <f aca="false">W29</f>
        <v>10846.5</v>
      </c>
      <c r="X30" s="5" t="n">
        <f aca="false">N30+O30+S30+U30+V30</f>
        <v>376.9</v>
      </c>
      <c r="Y30" s="55" t="n">
        <f aca="false">IF(L30&lt;0,L30*-1,0)</f>
        <v>0</v>
      </c>
      <c r="Z30" s="55" t="n">
        <f aca="false">X30+Y30</f>
        <v>376.9</v>
      </c>
      <c r="AA30" s="58" t="n">
        <v>0</v>
      </c>
      <c r="AB30" s="51" t="n">
        <v>50</v>
      </c>
      <c r="AC30" s="51" t="n">
        <v>25</v>
      </c>
      <c r="AD30" s="48" t="n">
        <f aca="false">AD29+1</f>
        <v>21</v>
      </c>
      <c r="AE30" s="81"/>
      <c r="AF30" s="83"/>
      <c r="AG30" s="82"/>
    </row>
    <row r="31" customFormat="false" ht="11.1" hidden="false" customHeight="true" outlineLevel="0" collapsed="false">
      <c r="A31" s="48" t="n">
        <f aca="false">A30+1</f>
        <v>22</v>
      </c>
      <c r="B31" s="59" t="n">
        <v>6908.8</v>
      </c>
      <c r="C31" s="57" t="n">
        <v>317214</v>
      </c>
      <c r="D31" s="51" t="n">
        <f aca="false">C31-C30</f>
        <v>709</v>
      </c>
      <c r="E31" s="57" t="n">
        <f aca="false">C31-152000</f>
        <v>165214</v>
      </c>
      <c r="F31" s="55" t="n">
        <f aca="false">D31/$D$2</f>
        <v>357.448953869423</v>
      </c>
      <c r="G31" s="55" t="n">
        <v>400.6</v>
      </c>
      <c r="H31" s="66" t="n">
        <v>290.1</v>
      </c>
      <c r="I31" s="55" t="n">
        <f aca="false">G31+H31</f>
        <v>690.7</v>
      </c>
      <c r="J31" s="61" t="n">
        <f aca="false">IF(L31&gt;0,L31,0)</f>
        <v>48.6489538694227</v>
      </c>
      <c r="K31" s="55" t="n">
        <f aca="false">I31+J31</f>
        <v>739.348953869423</v>
      </c>
      <c r="L31" s="55" t="n">
        <f aca="false">F31-(I31-X31)</f>
        <v>48.6489538694227</v>
      </c>
      <c r="M31" s="55" t="n">
        <v>5.1</v>
      </c>
      <c r="N31" s="55" t="n">
        <v>0</v>
      </c>
      <c r="O31" s="55" t="n">
        <v>0</v>
      </c>
      <c r="P31" s="5" t="n">
        <f aca="false">M31-(N31+O31)</f>
        <v>5.1</v>
      </c>
      <c r="Q31" s="55" t="n">
        <v>0</v>
      </c>
      <c r="R31" s="55" t="n">
        <v>0</v>
      </c>
      <c r="S31" s="55" t="n">
        <f aca="false">SUM(P31:R31)</f>
        <v>5.1</v>
      </c>
      <c r="T31" s="57"/>
      <c r="U31" s="55" t="n">
        <v>0</v>
      </c>
      <c r="V31" s="55" t="n">
        <v>376.8</v>
      </c>
      <c r="W31" s="57" t="n">
        <f aca="false">W30</f>
        <v>10846.5</v>
      </c>
      <c r="X31" s="5" t="n">
        <f aca="false">N31+O31+S31+U31+V31</f>
        <v>381.9</v>
      </c>
      <c r="Y31" s="55" t="n">
        <f aca="false">IF(L31&lt;0,L31*-1,0)</f>
        <v>0</v>
      </c>
      <c r="Z31" s="55" t="n">
        <f aca="false">X31+Y31</f>
        <v>381.9</v>
      </c>
      <c r="AA31" s="58" t="n">
        <v>0</v>
      </c>
      <c r="AB31" s="51" t="n">
        <v>58</v>
      </c>
      <c r="AC31" s="51" t="n">
        <v>27</v>
      </c>
      <c r="AD31" s="48" t="n">
        <f aca="false">AD30+1</f>
        <v>22</v>
      </c>
      <c r="AE31" s="81"/>
      <c r="AF31" s="83"/>
      <c r="AG31" s="82"/>
    </row>
    <row r="32" customFormat="false" ht="11.1" hidden="false" customHeight="true" outlineLevel="0" collapsed="false">
      <c r="A32" s="48" t="n">
        <f aca="false">A31+1</f>
        <v>23</v>
      </c>
      <c r="B32" s="59" t="n">
        <v>6909.12</v>
      </c>
      <c r="C32" s="57" t="n">
        <v>318483</v>
      </c>
      <c r="D32" s="51" t="n">
        <f aca="false">C32-C31</f>
        <v>1269</v>
      </c>
      <c r="E32" s="57" t="n">
        <f aca="false">C32-152000</f>
        <v>166483</v>
      </c>
      <c r="F32" s="55" t="n">
        <f aca="false">D32/$D$2</f>
        <v>639.778169901689</v>
      </c>
      <c r="G32" s="55" t="n">
        <v>448.2</v>
      </c>
      <c r="H32" s="66" t="n">
        <v>290.1</v>
      </c>
      <c r="I32" s="55" t="n">
        <f aca="false">G32+H32</f>
        <v>738.3</v>
      </c>
      <c r="J32" s="61" t="n">
        <f aca="false">IF(L32&gt;0,L32,0)</f>
        <v>427.578169901689</v>
      </c>
      <c r="K32" s="55" t="n">
        <f aca="false">I32+J32</f>
        <v>1165.87816990169</v>
      </c>
      <c r="L32" s="55" t="n">
        <f aca="false">F32-(I32-X32)</f>
        <v>427.578169901689</v>
      </c>
      <c r="M32" s="55" t="n">
        <v>5.1</v>
      </c>
      <c r="N32" s="55" t="n">
        <v>0</v>
      </c>
      <c r="O32" s="55" t="n">
        <v>0</v>
      </c>
      <c r="P32" s="5" t="n">
        <f aca="false">M32-(N32+O32)</f>
        <v>5.1</v>
      </c>
      <c r="Q32" s="55" t="n">
        <v>0</v>
      </c>
      <c r="R32" s="55" t="n">
        <v>0</v>
      </c>
      <c r="S32" s="55" t="n">
        <f aca="false">SUM(P32:R32)</f>
        <v>5.1</v>
      </c>
      <c r="T32" s="57"/>
      <c r="U32" s="55" t="n">
        <v>0</v>
      </c>
      <c r="V32" s="55" t="n">
        <v>521</v>
      </c>
      <c r="W32" s="57" t="n">
        <f aca="false">W31</f>
        <v>10846.5</v>
      </c>
      <c r="X32" s="5" t="n">
        <f aca="false">N32+O32+S32+U32+V32</f>
        <v>526.1</v>
      </c>
      <c r="Y32" s="55" t="n">
        <f aca="false">IF(L32&lt;0,L32*-1,0)</f>
        <v>0</v>
      </c>
      <c r="Z32" s="55" t="n">
        <f aca="false">X32+Y32</f>
        <v>526.1</v>
      </c>
      <c r="AA32" s="58" t="n">
        <v>0</v>
      </c>
      <c r="AB32" s="51" t="n">
        <v>61</v>
      </c>
      <c r="AC32" s="54" t="n">
        <v>26</v>
      </c>
      <c r="AD32" s="48" t="n">
        <f aca="false">AD31+1</f>
        <v>23</v>
      </c>
      <c r="AE32" s="81"/>
      <c r="AF32" s="83"/>
      <c r="AG32" s="82"/>
    </row>
    <row r="33" customFormat="false" ht="11.1" hidden="false" customHeight="true" outlineLevel="0" collapsed="false">
      <c r="A33" s="48" t="n">
        <f aca="false">A32+1</f>
        <v>24</v>
      </c>
      <c r="B33" s="59" t="n">
        <v>6909.53</v>
      </c>
      <c r="C33" s="57" t="n">
        <v>320114</v>
      </c>
      <c r="D33" s="51" t="n">
        <f aca="false">C33-C32</f>
        <v>1631</v>
      </c>
      <c r="E33" s="57" t="n">
        <f aca="false">C33-152000</f>
        <v>168114</v>
      </c>
      <c r="F33" s="55" t="n">
        <f aca="false">D33/$D$2</f>
        <v>822.283841693975</v>
      </c>
      <c r="G33" s="55" t="n">
        <v>503.1</v>
      </c>
      <c r="H33" s="66" t="n">
        <v>290.1</v>
      </c>
      <c r="I33" s="55" t="n">
        <f aca="false">G33+H33</f>
        <v>793.2</v>
      </c>
      <c r="J33" s="61" t="n">
        <f aca="false">IF(L33&gt;0,L33,0)</f>
        <v>713.683841693975</v>
      </c>
      <c r="K33" s="55" t="n">
        <f aca="false">I33+J33</f>
        <v>1506.88384169398</v>
      </c>
      <c r="L33" s="55" t="n">
        <f aca="false">F33-(I33-X33)</f>
        <v>713.683841693975</v>
      </c>
      <c r="M33" s="55" t="n">
        <v>4.6</v>
      </c>
      <c r="N33" s="55" t="n">
        <v>0</v>
      </c>
      <c r="O33" s="55" t="n">
        <v>0</v>
      </c>
      <c r="P33" s="5" t="n">
        <f aca="false">M33-(N33+O33)</f>
        <v>4.6</v>
      </c>
      <c r="Q33" s="55" t="n">
        <v>0</v>
      </c>
      <c r="R33" s="55" t="n">
        <v>0</v>
      </c>
      <c r="S33" s="55" t="n">
        <f aca="false">SUM(P33:R33)</f>
        <v>4.6</v>
      </c>
      <c r="T33" s="57"/>
      <c r="U33" s="55" t="n">
        <v>0</v>
      </c>
      <c r="V33" s="55" t="n">
        <v>680</v>
      </c>
      <c r="W33" s="57" t="n">
        <f aca="false">W32</f>
        <v>10846.5</v>
      </c>
      <c r="X33" s="5" t="n">
        <f aca="false">N33+O33+S33+U33+V33</f>
        <v>684.6</v>
      </c>
      <c r="Y33" s="55" t="n">
        <f aca="false">IF(L33&lt;0,L33*-1,0)</f>
        <v>0</v>
      </c>
      <c r="Z33" s="55" t="n">
        <f aca="false">X33+Y33</f>
        <v>684.6</v>
      </c>
      <c r="AA33" s="58" t="n">
        <v>0</v>
      </c>
      <c r="AB33" s="51" t="n">
        <v>64</v>
      </c>
      <c r="AC33" s="54" t="n">
        <v>29</v>
      </c>
      <c r="AD33" s="48" t="n">
        <f aca="false">AD32+1</f>
        <v>24</v>
      </c>
      <c r="AE33" s="81"/>
      <c r="AF33" s="83"/>
      <c r="AG33" s="82"/>
    </row>
    <row r="34" customFormat="false" ht="11.1" hidden="false" customHeight="true" outlineLevel="0" collapsed="false">
      <c r="A34" s="48" t="n">
        <f aca="false">A33+1</f>
        <v>25</v>
      </c>
      <c r="B34" s="59" t="n">
        <v>6910.07</v>
      </c>
      <c r="C34" s="57" t="n">
        <v>322266</v>
      </c>
      <c r="D34" s="51" t="n">
        <f aca="false">C34-C33</f>
        <v>2152</v>
      </c>
      <c r="E34" s="57" t="n">
        <f aca="false">C34-152000</f>
        <v>170266</v>
      </c>
      <c r="F34" s="55" t="n">
        <f aca="false">D34/$D$2</f>
        <v>1084.95084446685</v>
      </c>
      <c r="G34" s="55" t="n">
        <v>590.9</v>
      </c>
      <c r="H34" s="66" t="n">
        <v>290.1</v>
      </c>
      <c r="I34" s="55" t="n">
        <f aca="false">G34+H34</f>
        <v>881</v>
      </c>
      <c r="J34" s="61" t="n">
        <f aca="false">IF(L34&gt;0,L34,0)</f>
        <v>887.850844466852</v>
      </c>
      <c r="K34" s="55" t="n">
        <f aca="false">I34+J34</f>
        <v>1768.85084446685</v>
      </c>
      <c r="L34" s="55" t="n">
        <f aca="false">F34-(I34-X34)</f>
        <v>887.850844466852</v>
      </c>
      <c r="M34" s="55" t="n">
        <v>3.9</v>
      </c>
      <c r="N34" s="55" t="n">
        <v>0</v>
      </c>
      <c r="O34" s="55" t="n">
        <v>0</v>
      </c>
      <c r="P34" s="5" t="n">
        <f aca="false">M34-(N34+O34)</f>
        <v>3.9</v>
      </c>
      <c r="Q34" s="55" t="n">
        <v>0</v>
      </c>
      <c r="R34" s="55" t="n">
        <v>0</v>
      </c>
      <c r="S34" s="55" t="n">
        <f aca="false">SUM(P34:R34)</f>
        <v>3.9</v>
      </c>
      <c r="T34" s="57"/>
      <c r="U34" s="55" t="n">
        <v>0</v>
      </c>
      <c r="V34" s="55" t="n">
        <v>680</v>
      </c>
      <c r="W34" s="57" t="n">
        <f aca="false">W33</f>
        <v>10846.5</v>
      </c>
      <c r="X34" s="5" t="n">
        <f aca="false">N34+O34+S34+U34+V34</f>
        <v>683.9</v>
      </c>
      <c r="Y34" s="55" t="n">
        <f aca="false">IF(L34&lt;0,L34*-1,0)</f>
        <v>0</v>
      </c>
      <c r="Z34" s="55" t="n">
        <f aca="false">X34+Y34</f>
        <v>683.9</v>
      </c>
      <c r="AA34" s="58" t="n">
        <v>0</v>
      </c>
      <c r="AB34" s="51" t="n">
        <v>66</v>
      </c>
      <c r="AC34" s="54" t="n">
        <v>31</v>
      </c>
      <c r="AD34" s="48" t="n">
        <f aca="false">AD33+1</f>
        <v>25</v>
      </c>
      <c r="AE34" s="81"/>
      <c r="AF34" s="83"/>
      <c r="AG34" s="82"/>
    </row>
    <row r="35" customFormat="false" ht="11.1" hidden="false" customHeight="true" outlineLevel="0" collapsed="false">
      <c r="A35" s="48" t="n">
        <f aca="false">A34+1</f>
        <v>26</v>
      </c>
      <c r="B35" s="59" t="n">
        <v>6910.45</v>
      </c>
      <c r="C35" s="57" t="n">
        <v>323793</v>
      </c>
      <c r="D35" s="51" t="n">
        <f aca="false">C35-C34</f>
        <v>1527</v>
      </c>
      <c r="E35" s="57" t="n">
        <f aca="false">C35-152000</f>
        <v>171793</v>
      </c>
      <c r="F35" s="55" t="n">
        <f aca="false">D35/$D$2</f>
        <v>769.851273002269</v>
      </c>
      <c r="G35" s="55" t="n">
        <v>643.9</v>
      </c>
      <c r="H35" s="66" t="n">
        <v>219.2</v>
      </c>
      <c r="I35" s="55" t="n">
        <f aca="false">G35+H35</f>
        <v>863.1</v>
      </c>
      <c r="J35" s="61" t="n">
        <f aca="false">IF(L35&gt;0,L35,0)</f>
        <v>590.851273002269</v>
      </c>
      <c r="K35" s="55" t="n">
        <f aca="false">I35+J35</f>
        <v>1453.95127300227</v>
      </c>
      <c r="L35" s="55" t="n">
        <f aca="false">F35-(I35-X35)</f>
        <v>590.851273002269</v>
      </c>
      <c r="M35" s="55" t="n">
        <v>4.1</v>
      </c>
      <c r="N35" s="55" t="n">
        <v>0.08</v>
      </c>
      <c r="O35" s="55" t="n">
        <v>0</v>
      </c>
      <c r="P35" s="5" t="n">
        <f aca="false">M35-(N35+O35)</f>
        <v>4.02</v>
      </c>
      <c r="Q35" s="55" t="n">
        <v>0</v>
      </c>
      <c r="R35" s="55" t="n">
        <v>0</v>
      </c>
      <c r="S35" s="55" t="n">
        <f aca="false">SUM(P35:R35)</f>
        <v>4.02</v>
      </c>
      <c r="T35" s="57"/>
      <c r="U35" s="55" t="n">
        <v>0</v>
      </c>
      <c r="V35" s="55" t="n">
        <v>680</v>
      </c>
      <c r="W35" s="57" t="n">
        <f aca="false">W34</f>
        <v>10846.5</v>
      </c>
      <c r="X35" s="5" t="n">
        <f aca="false">N35+O35+S35+U35+V35</f>
        <v>684.1</v>
      </c>
      <c r="Y35" s="55" t="n">
        <f aca="false">IF(L35&lt;0,L35*-1,0)</f>
        <v>0</v>
      </c>
      <c r="Z35" s="55" t="n">
        <f aca="false">X35+Y35</f>
        <v>684.1</v>
      </c>
      <c r="AA35" s="58" t="n">
        <v>0.12</v>
      </c>
      <c r="AB35" s="51" t="n">
        <v>61</v>
      </c>
      <c r="AC35" s="51" t="n">
        <v>33</v>
      </c>
      <c r="AD35" s="48" t="n">
        <f aca="false">AD34+1</f>
        <v>26</v>
      </c>
      <c r="AE35" s="81"/>
      <c r="AF35" s="83"/>
      <c r="AG35" s="82"/>
    </row>
    <row r="36" customFormat="false" ht="11.1" hidden="false" customHeight="true" outlineLevel="0" collapsed="false">
      <c r="A36" s="48" t="n">
        <f aca="false">A35+1</f>
        <v>27</v>
      </c>
      <c r="B36" s="59" t="n">
        <v>6910.83</v>
      </c>
      <c r="C36" s="57" t="n">
        <v>325317</v>
      </c>
      <c r="D36" s="51" t="n">
        <f aca="false">C36-C35</f>
        <v>1524</v>
      </c>
      <c r="E36" s="57" t="n">
        <f aca="false">C36-152000</f>
        <v>173317</v>
      </c>
      <c r="F36" s="55" t="n">
        <f aca="false">D36/$D$2</f>
        <v>768.338795059239</v>
      </c>
      <c r="G36" s="55" t="n">
        <v>595</v>
      </c>
      <c r="H36" s="66" t="n">
        <v>205.8</v>
      </c>
      <c r="I36" s="55" t="n">
        <f aca="false">G36+H36</f>
        <v>800.8</v>
      </c>
      <c r="J36" s="61" t="n">
        <f aca="false">IF(L36&gt;0,L36,0)</f>
        <v>651.938795059239</v>
      </c>
      <c r="K36" s="55" t="n">
        <f aca="false">I36+J36</f>
        <v>1452.73879505924</v>
      </c>
      <c r="L36" s="55" t="n">
        <f aca="false">F36-(I36-X36)</f>
        <v>651.938795059239</v>
      </c>
      <c r="M36" s="55" t="n">
        <v>4.4</v>
      </c>
      <c r="N36" s="55" t="n">
        <v>0</v>
      </c>
      <c r="O36" s="55" t="n">
        <v>0</v>
      </c>
      <c r="P36" s="5" t="n">
        <f aca="false">M36-(N36+O36)</f>
        <v>4.4</v>
      </c>
      <c r="Q36" s="55" t="n">
        <v>0</v>
      </c>
      <c r="R36" s="55" t="n">
        <v>0</v>
      </c>
      <c r="S36" s="55" t="n">
        <f aca="false">SUM(P36:R36)</f>
        <v>4.4</v>
      </c>
      <c r="T36" s="57"/>
      <c r="U36" s="55" t="n">
        <v>0</v>
      </c>
      <c r="V36" s="55" t="n">
        <v>680</v>
      </c>
      <c r="W36" s="57" t="n">
        <f aca="false">W35</f>
        <v>10846.5</v>
      </c>
      <c r="X36" s="5" t="n">
        <f aca="false">N36+O36+S36+U36+V36</f>
        <v>684.4</v>
      </c>
      <c r="Y36" s="55" t="n">
        <f aca="false">IF(L36&lt;0,L36*-1,0)</f>
        <v>0</v>
      </c>
      <c r="Z36" s="55" t="n">
        <f aca="false">X36+Y36</f>
        <v>684.4</v>
      </c>
      <c r="AA36" s="58" t="n">
        <v>0.1</v>
      </c>
      <c r="AB36" s="51" t="n">
        <v>57</v>
      </c>
      <c r="AC36" s="51" t="n">
        <v>30</v>
      </c>
      <c r="AD36" s="48" t="n">
        <f aca="false">AD35+1</f>
        <v>27</v>
      </c>
      <c r="AE36" s="81"/>
      <c r="AF36" s="83"/>
      <c r="AG36" s="82"/>
    </row>
    <row r="37" customFormat="false" ht="11.1" hidden="false" customHeight="true" outlineLevel="0" collapsed="false">
      <c r="A37" s="48" t="n">
        <f aca="false">A36+1</f>
        <v>28</v>
      </c>
      <c r="B37" s="59" t="n">
        <v>6911.2</v>
      </c>
      <c r="C37" s="57" t="n">
        <v>326809</v>
      </c>
      <c r="D37" s="51" t="n">
        <f aca="false">C37-C36</f>
        <v>1492</v>
      </c>
      <c r="E37" s="57" t="n">
        <f aca="false">C37-152000</f>
        <v>174809</v>
      </c>
      <c r="F37" s="55" t="n">
        <f aca="false">D37/$D$2</f>
        <v>752.205697000252</v>
      </c>
      <c r="G37" s="55" t="n">
        <v>460.9</v>
      </c>
      <c r="H37" s="66" t="n">
        <v>124.5</v>
      </c>
      <c r="I37" s="55" t="n">
        <f aca="false">G37+H37</f>
        <v>585.4</v>
      </c>
      <c r="J37" s="61" t="n">
        <f aca="false">IF(L37&gt;0,L37,0)</f>
        <v>851.005697000252</v>
      </c>
      <c r="K37" s="55" t="n">
        <f aca="false">I37+J37</f>
        <v>1436.40569700025</v>
      </c>
      <c r="L37" s="55" t="n">
        <f aca="false">F37-(I37-X37)</f>
        <v>851.005697000252</v>
      </c>
      <c r="M37" s="55" t="n">
        <v>4.2</v>
      </c>
      <c r="N37" s="55" t="n">
        <v>0</v>
      </c>
      <c r="O37" s="55" t="n">
        <v>0</v>
      </c>
      <c r="P37" s="5" t="n">
        <f aca="false">M37-(N37+O37)</f>
        <v>4.2</v>
      </c>
      <c r="Q37" s="55" t="n">
        <v>0</v>
      </c>
      <c r="R37" s="55" t="n">
        <v>0</v>
      </c>
      <c r="S37" s="55" t="n">
        <f aca="false">SUM(P37:R37)</f>
        <v>4.2</v>
      </c>
      <c r="T37" s="57"/>
      <c r="U37" s="55" t="n">
        <v>0</v>
      </c>
      <c r="V37" s="55" t="n">
        <v>680</v>
      </c>
      <c r="W37" s="57" t="n">
        <f aca="false">W36</f>
        <v>10846.5</v>
      </c>
      <c r="X37" s="5" t="n">
        <f aca="false">N37+O37+S37+U37+V37</f>
        <v>684.2</v>
      </c>
      <c r="Y37" s="55" t="n">
        <f aca="false">IF(L37&lt;0,L37*-1,0)</f>
        <v>0</v>
      </c>
      <c r="Z37" s="55" t="n">
        <f aca="false">X37+Y37</f>
        <v>684.2</v>
      </c>
      <c r="AA37" s="58" t="n">
        <v>0</v>
      </c>
      <c r="AB37" s="51" t="n">
        <v>54</v>
      </c>
      <c r="AC37" s="51" t="n">
        <v>26</v>
      </c>
      <c r="AD37" s="48" t="n">
        <f aca="false">AD36+1</f>
        <v>28</v>
      </c>
      <c r="AE37" s="81"/>
      <c r="AF37" s="83"/>
      <c r="AG37" s="82"/>
    </row>
    <row r="38" customFormat="false" ht="11.1" hidden="false" customHeight="true" outlineLevel="0" collapsed="false">
      <c r="A38" s="48" t="n">
        <f aca="false">A37+1</f>
        <v>29</v>
      </c>
      <c r="B38" s="59" t="n">
        <v>6911.37</v>
      </c>
      <c r="C38" s="57" t="n">
        <v>327496</v>
      </c>
      <c r="D38" s="51" t="n">
        <f aca="false">C38-C37</f>
        <v>687</v>
      </c>
      <c r="E38" s="57" t="n">
        <f aca="false">C38-152000</f>
        <v>175496</v>
      </c>
      <c r="F38" s="55" t="n">
        <f aca="false">D38/$D$2</f>
        <v>346.357448953869</v>
      </c>
      <c r="G38" s="55" t="n">
        <v>402.9</v>
      </c>
      <c r="H38" s="66" t="n">
        <v>96.9</v>
      </c>
      <c r="I38" s="55" t="n">
        <f aca="false">G38+H38</f>
        <v>499.8</v>
      </c>
      <c r="J38" s="61" t="n">
        <f aca="false">IF(L38&gt;0,L38,0)</f>
        <v>530.95744895387</v>
      </c>
      <c r="K38" s="55" t="n">
        <f aca="false">I38+J38</f>
        <v>1030.75744895387</v>
      </c>
      <c r="L38" s="55" t="n">
        <f aca="false">F38-(I38-X38)</f>
        <v>530.95744895387</v>
      </c>
      <c r="M38" s="55" t="n">
        <v>4.4</v>
      </c>
      <c r="N38" s="55" t="n">
        <v>0</v>
      </c>
      <c r="O38" s="55" t="n">
        <v>0</v>
      </c>
      <c r="P38" s="5" t="n">
        <f aca="false">M38-(N38+O38)</f>
        <v>4.4</v>
      </c>
      <c r="Q38" s="55" t="n">
        <v>0</v>
      </c>
      <c r="R38" s="55" t="n">
        <v>0</v>
      </c>
      <c r="S38" s="55" t="n">
        <f aca="false">SUM(P38:R38)</f>
        <v>4.4</v>
      </c>
      <c r="T38" s="57"/>
      <c r="U38" s="55" t="n">
        <v>0</v>
      </c>
      <c r="V38" s="55" t="n">
        <v>680</v>
      </c>
      <c r="W38" s="57" t="n">
        <f aca="false">W37</f>
        <v>10846.5</v>
      </c>
      <c r="X38" s="5" t="n">
        <f aca="false">N38+O38+S38+U38+V38</f>
        <v>684.4</v>
      </c>
      <c r="Y38" s="55" t="n">
        <f aca="false">IF(L38&lt;0,L38*-1,0)</f>
        <v>0</v>
      </c>
      <c r="Z38" s="55" t="n">
        <f aca="false">X38+Y38</f>
        <v>684.4</v>
      </c>
      <c r="AA38" s="58" t="n">
        <v>0</v>
      </c>
      <c r="AB38" s="54" t="n">
        <v>46</v>
      </c>
      <c r="AC38" s="51" t="n">
        <v>20</v>
      </c>
      <c r="AD38" s="48" t="n">
        <f aca="false">AD37+1</f>
        <v>29</v>
      </c>
      <c r="AE38" s="81"/>
      <c r="AF38" s="83"/>
      <c r="AG38" s="82"/>
    </row>
    <row r="39" customFormat="false" ht="11.1" hidden="false" customHeight="true" outlineLevel="0" collapsed="false">
      <c r="A39" s="48" t="n">
        <v>30</v>
      </c>
      <c r="B39" s="59" t="n">
        <v>6911.45</v>
      </c>
      <c r="C39" s="57" t="n">
        <v>327820</v>
      </c>
      <c r="D39" s="51" t="n">
        <f aca="false">C39-C38</f>
        <v>324</v>
      </c>
      <c r="E39" s="57" t="n">
        <f aca="false">C39-152000</f>
        <v>175820</v>
      </c>
      <c r="F39" s="55" t="n">
        <f aca="false">D39/$D$2</f>
        <v>163.34761784724</v>
      </c>
      <c r="G39" s="55" t="n">
        <v>392</v>
      </c>
      <c r="H39" s="66" t="n">
        <v>97.2</v>
      </c>
      <c r="I39" s="55" t="n">
        <f aca="false">G39+H39</f>
        <v>489.2</v>
      </c>
      <c r="J39" s="61" t="n">
        <f aca="false">IF(L39&gt;0,L39,0)</f>
        <v>349.54761784724</v>
      </c>
      <c r="K39" s="55" t="n">
        <f aca="false">I39+J39</f>
        <v>838.74761784724</v>
      </c>
      <c r="L39" s="55" t="n">
        <f aca="false">F39-(I39-X39)</f>
        <v>349.54761784724</v>
      </c>
      <c r="M39" s="55" t="n">
        <v>4.4</v>
      </c>
      <c r="N39" s="55" t="n">
        <v>0</v>
      </c>
      <c r="O39" s="55" t="n">
        <v>0</v>
      </c>
      <c r="P39" s="5" t="n">
        <f aca="false">M39-(N39+O39)</f>
        <v>4.4</v>
      </c>
      <c r="Q39" s="55" t="n">
        <v>0</v>
      </c>
      <c r="R39" s="55" t="n">
        <v>0</v>
      </c>
      <c r="S39" s="55" t="n">
        <f aca="false">SUM(P39:R39)</f>
        <v>4.4</v>
      </c>
      <c r="T39" s="57"/>
      <c r="U39" s="55" t="n">
        <v>0</v>
      </c>
      <c r="V39" s="55" t="n">
        <v>671</v>
      </c>
      <c r="W39" s="57" t="n">
        <f aca="false">W38</f>
        <v>10846.5</v>
      </c>
      <c r="X39" s="5" t="n">
        <f aca="false">N39+O39+S39+U39+V39</f>
        <v>675.4</v>
      </c>
      <c r="Y39" s="55" t="n">
        <f aca="false">IF(L39&lt;0,L39*-1,0)</f>
        <v>0</v>
      </c>
      <c r="Z39" s="55" t="n">
        <f aca="false">X39+Y39</f>
        <v>675.4</v>
      </c>
      <c r="AA39" s="58" t="n">
        <v>0</v>
      </c>
      <c r="AB39" s="54" t="n">
        <v>45</v>
      </c>
      <c r="AC39" s="51" t="n">
        <v>24</v>
      </c>
      <c r="AD39" s="48" t="n">
        <v>30</v>
      </c>
      <c r="AE39" s="81"/>
      <c r="AF39" s="83"/>
      <c r="AG39" s="82"/>
    </row>
    <row r="40" customFormat="false" ht="11.1" hidden="false" customHeight="true" outlineLevel="0" collapsed="false">
      <c r="A40" s="48" t="n">
        <v>31</v>
      </c>
      <c r="B40" s="59" t="n">
        <v>6911.53</v>
      </c>
      <c r="C40" s="57" t="n">
        <v>328142</v>
      </c>
      <c r="D40" s="51" t="n">
        <f aca="false">C40-C39</f>
        <v>322</v>
      </c>
      <c r="E40" s="57" t="n">
        <f aca="false">C40-152000</f>
        <v>176142</v>
      </c>
      <c r="F40" s="55" t="n">
        <f aca="false">D40/$D$2</f>
        <v>162.339299218553</v>
      </c>
      <c r="G40" s="55" t="n">
        <v>366.2</v>
      </c>
      <c r="H40" s="66" t="n">
        <v>88.1</v>
      </c>
      <c r="I40" s="55" t="n">
        <f aca="false">G40+H40</f>
        <v>454.3</v>
      </c>
      <c r="J40" s="61" t="n">
        <f aca="false">IF(L40&gt;0,L40,0)</f>
        <v>402.539299218553</v>
      </c>
      <c r="K40" s="55" t="n">
        <f aca="false">I40+J40</f>
        <v>856.839299218553</v>
      </c>
      <c r="L40" s="55" t="n">
        <f aca="false">F40-(I40-X40)</f>
        <v>402.539299218553</v>
      </c>
      <c r="M40" s="55" t="n">
        <v>29.5</v>
      </c>
      <c r="N40" s="55" t="n">
        <v>0</v>
      </c>
      <c r="O40" s="55" t="n">
        <v>0</v>
      </c>
      <c r="P40" s="5" t="n">
        <f aca="false">M40-(N40+O40)</f>
        <v>29.5</v>
      </c>
      <c r="Q40" s="55" t="n">
        <v>0</v>
      </c>
      <c r="R40" s="55" t="n">
        <v>0</v>
      </c>
      <c r="S40" s="55" t="n">
        <f aca="false">SUM(P40:R40)</f>
        <v>29.5</v>
      </c>
      <c r="T40" s="57"/>
      <c r="U40" s="55" t="n">
        <v>0</v>
      </c>
      <c r="V40" s="55" t="n">
        <v>665</v>
      </c>
      <c r="W40" s="57" t="n">
        <f aca="false">W39</f>
        <v>10846.5</v>
      </c>
      <c r="X40" s="5" t="n">
        <f aca="false">N40+O40+S40+U40+V40</f>
        <v>694.5</v>
      </c>
      <c r="Y40" s="55" t="n">
        <f aca="false">IF(L40&lt;0,L40*-1,0)</f>
        <v>0</v>
      </c>
      <c r="Z40" s="55" t="n">
        <f aca="false">X40+Y40</f>
        <v>694.5</v>
      </c>
      <c r="AA40" s="58" t="n">
        <v>0</v>
      </c>
      <c r="AB40" s="54" t="n">
        <v>49</v>
      </c>
      <c r="AC40" s="51" t="n">
        <v>22</v>
      </c>
      <c r="AD40" s="48" t="n">
        <v>31</v>
      </c>
      <c r="AE40" s="81"/>
      <c r="AF40" s="81"/>
      <c r="AG40" s="82"/>
    </row>
    <row r="41" customFormat="false" ht="3" hidden="false" customHeight="true" outlineLevel="0" collapsed="false">
      <c r="A41" s="84"/>
      <c r="B41" s="84"/>
      <c r="C41" s="86"/>
      <c r="D41" s="84"/>
      <c r="E41" s="86"/>
      <c r="F41" s="84"/>
      <c r="G41" s="84"/>
      <c r="H41" s="88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6"/>
      <c r="U41" s="84"/>
      <c r="V41" s="84"/>
      <c r="W41" s="84"/>
      <c r="X41" s="84"/>
      <c r="Y41" s="84"/>
      <c r="Z41" s="84"/>
      <c r="AA41" s="87"/>
      <c r="AB41" s="52"/>
      <c r="AC41" s="52"/>
      <c r="AD41" s="53"/>
      <c r="AE41" s="81"/>
      <c r="AF41" s="81"/>
      <c r="AG41" s="82"/>
    </row>
    <row r="42" customFormat="false" ht="11.1" hidden="false" customHeight="true" outlineLevel="0" collapsed="false">
      <c r="A42" s="55" t="s">
        <v>43</v>
      </c>
      <c r="B42" s="55"/>
      <c r="C42" s="57"/>
      <c r="D42" s="57"/>
      <c r="E42" s="57"/>
      <c r="F42" s="57" t="n">
        <f aca="false">SUM(F10:F40)</f>
        <v>8997.73128308546</v>
      </c>
      <c r="G42" s="57" t="n">
        <f aca="false">SUM(G10:G40)</f>
        <v>8355.3</v>
      </c>
      <c r="H42" s="66" t="n">
        <f aca="false">SUM(H10:H40)</f>
        <v>2963.9</v>
      </c>
      <c r="I42" s="57" t="n">
        <f aca="false">SUM(I10:I40)</f>
        <v>11319.2</v>
      </c>
      <c r="J42" s="57" t="n">
        <f aca="false">SUM(J10:J40)</f>
        <v>7298.67365767583</v>
      </c>
      <c r="K42" s="57" t="n">
        <f aca="false">SUM(K10:K40)</f>
        <v>18617.8736576758</v>
      </c>
      <c r="L42" s="57" t="n">
        <f aca="false">SUM(L10:L40)</f>
        <v>7195.53128308546</v>
      </c>
      <c r="M42" s="57" t="n">
        <f aca="false">SUM(M10:M40)</f>
        <v>168.8</v>
      </c>
      <c r="N42" s="57" t="n">
        <f aca="false">SUM(N10:N40)</f>
        <v>0.08</v>
      </c>
      <c r="O42" s="57" t="n">
        <f aca="false">SUM(O10:O40)</f>
        <v>0</v>
      </c>
      <c r="P42" s="57" t="n">
        <f aca="false">SUM(P10:P40)</f>
        <v>168.72</v>
      </c>
      <c r="Q42" s="57" t="n">
        <f aca="false">SUM(Q10:Q40)</f>
        <v>0</v>
      </c>
      <c r="R42" s="57" t="n">
        <f aca="false">SUM(R10:R40)</f>
        <v>0</v>
      </c>
      <c r="S42" s="57" t="n">
        <f aca="false">SUM(S10:S40)</f>
        <v>168.72</v>
      </c>
      <c r="T42" s="57"/>
      <c r="U42" s="57" t="n">
        <f aca="false">SUM(U10:U40)</f>
        <v>0</v>
      </c>
      <c r="V42" s="57" t="n">
        <f aca="false">SUM(V10:V40)</f>
        <v>9348.2</v>
      </c>
      <c r="W42" s="57"/>
      <c r="X42" s="57" t="n">
        <f aca="false">SUM(X10:X40)</f>
        <v>9517</v>
      </c>
      <c r="Y42" s="57" t="n">
        <f aca="false">SUM(Y10:Y40)</f>
        <v>103.142374590371</v>
      </c>
      <c r="Z42" s="57" t="n">
        <f aca="false">SUM(Z10:Z40)</f>
        <v>9620.14237459037</v>
      </c>
      <c r="AA42" s="58" t="n">
        <f aca="false">SUM(AA10:AA40)</f>
        <v>0.46</v>
      </c>
      <c r="AB42" s="51" t="n">
        <f aca="false">AVERAGE(AB10:AB40)</f>
        <v>50.1612903225807</v>
      </c>
      <c r="AC42" s="51" t="n">
        <f aca="false">AVERAGE(AC10:AC40)</f>
        <v>25.7096774193548</v>
      </c>
      <c r="AD42" s="48" t="s">
        <v>63</v>
      </c>
      <c r="AE42" s="81"/>
      <c r="AF42" s="81"/>
      <c r="AG42" s="82"/>
    </row>
    <row r="43" customFormat="false" ht="11.1" hidden="false" customHeight="true" outlineLevel="0" collapsed="false">
      <c r="A43" s="55" t="s">
        <v>44</v>
      </c>
      <c r="B43" s="55"/>
      <c r="C43" s="57"/>
      <c r="D43" s="57" t="n">
        <f aca="false">SUM(D10:D40)</f>
        <v>17847</v>
      </c>
      <c r="E43" s="57"/>
      <c r="F43" s="57" t="n">
        <f aca="false">F42*$D$2</f>
        <v>17847</v>
      </c>
      <c r="G43" s="57" t="n">
        <f aca="false">G42*$D$2</f>
        <v>16572.73755</v>
      </c>
      <c r="H43" s="66" t="n">
        <f aca="false">H42*$D$2</f>
        <v>5878.89565</v>
      </c>
      <c r="I43" s="57" t="n">
        <f aca="false">I42*$D$2</f>
        <v>22451.6332</v>
      </c>
      <c r="J43" s="57" t="n">
        <f aca="false">J42*$D$2</f>
        <v>14476.9192</v>
      </c>
      <c r="K43" s="57" t="n">
        <f aca="false">K42*$D$2</f>
        <v>36928.5524</v>
      </c>
      <c r="L43" s="57" t="n">
        <f aca="false">L42*$D$2</f>
        <v>14272.3363</v>
      </c>
      <c r="M43" s="57" t="n">
        <f aca="false">M42*$D$2</f>
        <v>334.8148</v>
      </c>
      <c r="N43" s="57" t="n">
        <f aca="false">N42*$D$2</f>
        <v>0.15868</v>
      </c>
      <c r="O43" s="57" t="n">
        <f aca="false">O42*$D$2</f>
        <v>0</v>
      </c>
      <c r="P43" s="57" t="n">
        <f aca="false">P42*$D$2</f>
        <v>334.65612</v>
      </c>
      <c r="Q43" s="57" t="n">
        <f aca="false">Q42*$D$2</f>
        <v>0</v>
      </c>
      <c r="R43" s="57" t="n">
        <f aca="false">R42*$D$2</f>
        <v>0</v>
      </c>
      <c r="S43" s="57" t="n">
        <f aca="false">S42*$D$2</f>
        <v>334.65612</v>
      </c>
      <c r="T43" s="57"/>
      <c r="U43" s="57" t="n">
        <f aca="false">U42*$D$2</f>
        <v>0</v>
      </c>
      <c r="V43" s="57" t="n">
        <f aca="false">V42*$D$2</f>
        <v>18542.1547</v>
      </c>
      <c r="W43" s="57"/>
      <c r="X43" s="57" t="n">
        <f aca="false">X42*$D$2</f>
        <v>18876.9695</v>
      </c>
      <c r="Y43" s="57" t="n">
        <f aca="false">Y42*$D$2</f>
        <v>204.5829</v>
      </c>
      <c r="Z43" s="57" t="n">
        <f aca="false">Z42*$D$2</f>
        <v>19081.5524</v>
      </c>
      <c r="AA43" s="58"/>
      <c r="AB43" s="51" t="n">
        <f aca="false">MAX(AB10:AB40)</f>
        <v>66</v>
      </c>
      <c r="AC43" s="51" t="n">
        <f aca="false">MAX(AC10:AC40)</f>
        <v>35</v>
      </c>
      <c r="AD43" s="48" t="s">
        <v>45</v>
      </c>
      <c r="AE43" s="81"/>
      <c r="AF43" s="81"/>
      <c r="AG43" s="82"/>
    </row>
    <row r="44" customFormat="false" ht="3" hidden="false" customHeight="true" outlineLevel="0" collapsed="false">
      <c r="A44" s="84"/>
      <c r="B44" s="84"/>
      <c r="C44" s="86"/>
      <c r="D44" s="86"/>
      <c r="E44" s="86"/>
      <c r="F44" s="86"/>
      <c r="G44" s="86"/>
      <c r="H44" s="88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4"/>
      <c r="X44" s="86"/>
      <c r="Y44" s="86"/>
      <c r="Z44" s="86"/>
      <c r="AA44" s="58"/>
      <c r="AB44" s="51"/>
      <c r="AC44" s="51"/>
      <c r="AD44" s="48"/>
      <c r="AE44" s="81"/>
      <c r="AF44" s="81"/>
      <c r="AG44" s="82"/>
    </row>
    <row r="45" customFormat="false" ht="11.1" hidden="false" customHeight="true" outlineLevel="0" collapsed="false">
      <c r="A45" s="55" t="s">
        <v>46</v>
      </c>
      <c r="B45" s="55"/>
      <c r="C45" s="57"/>
      <c r="D45" s="57"/>
      <c r="E45" s="57"/>
      <c r="F45" s="57"/>
      <c r="G45" s="57"/>
      <c r="H45" s="66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8"/>
      <c r="AB45" s="51" t="n">
        <f aca="false">MIN(AB10:AB40)</f>
        <v>36</v>
      </c>
      <c r="AC45" s="51" t="n">
        <f aca="false">MIN(AC10:AC40)</f>
        <v>14</v>
      </c>
      <c r="AD45" s="48" t="s">
        <v>47</v>
      </c>
      <c r="AE45" s="81"/>
      <c r="AF45" s="81"/>
      <c r="AG45" s="82"/>
    </row>
    <row r="46" customFormat="false" ht="11.1" hidden="false" customHeight="true" outlineLevel="0" collapsed="false">
      <c r="A46" s="55" t="s">
        <v>48</v>
      </c>
      <c r="B46" s="55"/>
      <c r="C46" s="57"/>
      <c r="D46" s="57"/>
      <c r="E46" s="57"/>
      <c r="F46" s="57"/>
      <c r="G46" s="57"/>
      <c r="H46" s="66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8"/>
      <c r="AB46" s="51"/>
      <c r="AC46" s="51"/>
      <c r="AD46" s="48"/>
      <c r="AE46" s="81"/>
      <c r="AF46" s="81"/>
      <c r="AG46" s="82"/>
    </row>
    <row r="47" customFormat="false" ht="3" hidden="false" customHeight="true" outlineLevel="0" collapsed="false">
      <c r="A47" s="84"/>
      <c r="B47" s="84"/>
      <c r="C47" s="86"/>
      <c r="D47" s="86"/>
      <c r="E47" s="86"/>
      <c r="F47" s="86"/>
      <c r="G47" s="86"/>
      <c r="H47" s="88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7"/>
      <c r="AB47" s="51"/>
      <c r="AC47" s="51"/>
      <c r="AD47" s="48"/>
      <c r="AE47" s="81"/>
      <c r="AF47" s="81"/>
      <c r="AG47" s="82"/>
    </row>
    <row r="48" customFormat="false" ht="11.1" hidden="false" customHeight="true" outlineLevel="0" collapsed="false">
      <c r="A48" s="55" t="s">
        <v>49</v>
      </c>
      <c r="B48" s="55"/>
      <c r="C48" s="57"/>
      <c r="D48" s="57"/>
      <c r="E48" s="57"/>
      <c r="F48" s="57" t="n">
        <f aca="false">F8+F42</f>
        <v>12183.0098311066</v>
      </c>
      <c r="G48" s="57" t="n">
        <f aca="false">G8+G42</f>
        <v>17606.6</v>
      </c>
      <c r="H48" s="66" t="n">
        <f aca="false">H8+H42</f>
        <v>3179.6</v>
      </c>
      <c r="I48" s="57" t="n">
        <f aca="false">I8+I42</f>
        <v>20786.2</v>
      </c>
      <c r="J48" s="57" t="n">
        <f aca="false">J8+J42</f>
        <v>7540.83884547517</v>
      </c>
      <c r="K48" s="57" t="n">
        <f aca="false">K8+K42</f>
        <v>28327.0388454752</v>
      </c>
      <c r="L48" s="57" t="n">
        <f aca="false">L8+L42</f>
        <v>6535.90983110663</v>
      </c>
      <c r="M48" s="57" t="n">
        <f aca="false">M8+M42</f>
        <v>1088.3</v>
      </c>
      <c r="N48" s="57" t="n">
        <f aca="false">N8+N42</f>
        <v>0.08</v>
      </c>
      <c r="O48" s="57" t="n">
        <f aca="false">O8+O42</f>
        <v>0</v>
      </c>
      <c r="P48" s="57" t="n">
        <f aca="false">P8+P42</f>
        <v>416.52</v>
      </c>
      <c r="Q48" s="57" t="n">
        <f aca="false">Q8+Q42</f>
        <v>0</v>
      </c>
      <c r="R48" s="57" t="n">
        <f aca="false">R8+R42</f>
        <v>178.7</v>
      </c>
      <c r="S48" s="57" t="n">
        <f aca="false">S8+S42</f>
        <v>1266.92</v>
      </c>
      <c r="T48" s="57"/>
      <c r="U48" s="57" t="n">
        <f aca="false">U8+U42</f>
        <v>0</v>
      </c>
      <c r="V48" s="57" t="n">
        <f aca="false">V8+V42</f>
        <v>13872.1</v>
      </c>
      <c r="W48" s="57" t="n">
        <f aca="false">W40</f>
        <v>10846.5</v>
      </c>
      <c r="X48" s="57" t="n">
        <f aca="false">X8+X42</f>
        <v>15139.1</v>
      </c>
      <c r="Y48" s="57" t="n">
        <f aca="false">Y8+Y42</f>
        <v>1004.92901436854</v>
      </c>
      <c r="Z48" s="57" t="n">
        <f aca="false">Z8+Z42</f>
        <v>16144.0290143685</v>
      </c>
      <c r="AA48" s="58" t="n">
        <f aca="false">AA8+AA42</f>
        <v>11.34</v>
      </c>
      <c r="AB48" s="51"/>
      <c r="AC48" s="51"/>
      <c r="AD48" s="48"/>
      <c r="AE48" s="81"/>
      <c r="AF48" s="81"/>
      <c r="AG48" s="82"/>
    </row>
    <row r="49" customFormat="false" ht="11.1" hidden="false" customHeight="true" outlineLevel="0" collapsed="false">
      <c r="A49" s="55" t="s">
        <v>50</v>
      </c>
      <c r="B49" s="55"/>
      <c r="C49" s="57"/>
      <c r="D49" s="57" t="n">
        <f aca="false">D8+D43</f>
        <v>24165</v>
      </c>
      <c r="E49" s="57" t="n">
        <f aca="false">E40</f>
        <v>176142</v>
      </c>
      <c r="F49" s="57" t="n">
        <f aca="false">F48*$D$2</f>
        <v>24165</v>
      </c>
      <c r="G49" s="57" t="n">
        <f aca="false">G48*$D$2</f>
        <v>34922.6911</v>
      </c>
      <c r="H49" s="66" t="n">
        <f aca="false">H48*$D$2</f>
        <v>6306.7366</v>
      </c>
      <c r="I49" s="57" t="n">
        <f aca="false">I48*$D$2</f>
        <v>41229.4277</v>
      </c>
      <c r="J49" s="57" t="n">
        <f aca="false">J48*$D$2</f>
        <v>14957.25385</v>
      </c>
      <c r="K49" s="57" t="n">
        <f aca="false">K48*$D$2</f>
        <v>56186.68155</v>
      </c>
      <c r="L49" s="57" t="n">
        <f aca="false">L48*$D$2</f>
        <v>12963.97715</v>
      </c>
      <c r="M49" s="57" t="n">
        <f aca="false">M48*$D$2</f>
        <v>2158.64305</v>
      </c>
      <c r="N49" s="57" t="n">
        <f aca="false">N48*$D$2</f>
        <v>0.15868</v>
      </c>
      <c r="O49" s="57" t="n">
        <f aca="false">O48*$D$2</f>
        <v>0</v>
      </c>
      <c r="P49" s="57" t="n">
        <f aca="false">P48*$D$2</f>
        <v>826.16742</v>
      </c>
      <c r="Q49" s="57" t="n">
        <f aca="false">Q48*$D$2</f>
        <v>0</v>
      </c>
      <c r="R49" s="57" t="n">
        <f aca="false">R48*$D$2</f>
        <v>354.45145</v>
      </c>
      <c r="S49" s="57" t="n">
        <f aca="false">S48*$D$2</f>
        <v>2512.93582</v>
      </c>
      <c r="T49" s="57" t="n">
        <f aca="false">T48*$D$2</f>
        <v>0</v>
      </c>
      <c r="U49" s="57" t="n">
        <f aca="false">U48*$D$2</f>
        <v>0</v>
      </c>
      <c r="V49" s="57" t="n">
        <f aca="false">V48*$D$2</f>
        <v>27515.31035</v>
      </c>
      <c r="W49" s="57" t="n">
        <f aca="false">W48*$D$2</f>
        <v>21514.03275</v>
      </c>
      <c r="X49" s="57" t="n">
        <f aca="false">X48*$D$2</f>
        <v>30028.40485</v>
      </c>
      <c r="Y49" s="57" t="n">
        <f aca="false">Y48*$D$2</f>
        <v>1993.2767</v>
      </c>
      <c r="Z49" s="57" t="n">
        <f aca="false">Z48*$D$2</f>
        <v>32021.68155</v>
      </c>
      <c r="AA49" s="58"/>
      <c r="AB49" s="51"/>
      <c r="AC49" s="51"/>
      <c r="AD49" s="48"/>
      <c r="AE49" s="81"/>
      <c r="AF49" s="81"/>
      <c r="AG49" s="82"/>
    </row>
    <row r="50" customFormat="false" ht="3" hidden="false" customHeight="true" outlineLevel="0" collapsed="false">
      <c r="A50" s="84"/>
      <c r="B50" s="84"/>
      <c r="C50" s="86"/>
      <c r="D50" s="84"/>
      <c r="E50" s="86"/>
      <c r="F50" s="84"/>
      <c r="G50" s="84"/>
      <c r="H50" s="88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6"/>
      <c r="U50" s="84"/>
      <c r="V50" s="84"/>
      <c r="W50" s="86"/>
      <c r="X50" s="84"/>
      <c r="Y50" s="84"/>
      <c r="Z50" s="84"/>
      <c r="AA50" s="58"/>
      <c r="AB50" s="51"/>
      <c r="AC50" s="51"/>
      <c r="AD50" s="48"/>
      <c r="AE50" s="81"/>
      <c r="AF50" s="81"/>
      <c r="AG50" s="82"/>
    </row>
    <row r="51" customFormat="false" ht="11.1" hidden="false" customHeight="true" outlineLevel="0" collapsed="false">
      <c r="A51" s="55"/>
      <c r="B51" s="56"/>
      <c r="C51" s="57"/>
      <c r="D51" s="55"/>
      <c r="E51" s="57"/>
      <c r="F51" s="55"/>
      <c r="G51" s="55"/>
      <c r="H51" s="66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7"/>
      <c r="U51" s="55"/>
      <c r="V51" s="55"/>
      <c r="W51" s="57"/>
      <c r="X51" s="55"/>
      <c r="Y51" s="55"/>
      <c r="Z51" s="55"/>
      <c r="AA51" s="58"/>
      <c r="AB51" s="51"/>
      <c r="AC51" s="51"/>
      <c r="AD51" s="48"/>
      <c r="AE51" s="67"/>
      <c r="AF51" s="67"/>
    </row>
    <row r="52" customFormat="false" ht="11.1" hidden="false" customHeight="true" outlineLevel="0" collapsed="false">
      <c r="A52" s="55"/>
      <c r="B52" s="59"/>
      <c r="C52" s="57"/>
      <c r="D52" s="54"/>
      <c r="E52" s="57"/>
      <c r="F52" s="55"/>
      <c r="G52" s="55"/>
      <c r="H52" s="66"/>
      <c r="I52" s="60"/>
      <c r="J52" s="55"/>
      <c r="K52" s="39"/>
      <c r="L52" s="55"/>
      <c r="M52" s="55"/>
      <c r="N52" s="55"/>
      <c r="O52" s="55"/>
      <c r="P52" s="55"/>
      <c r="Q52" s="55"/>
      <c r="R52" s="55"/>
      <c r="S52" s="55"/>
      <c r="T52" s="57"/>
      <c r="U52" s="55"/>
      <c r="V52" s="55"/>
      <c r="W52" s="57"/>
      <c r="X52" s="55"/>
      <c r="Y52" s="55"/>
      <c r="Z52" s="55"/>
      <c r="AA52" s="58"/>
      <c r="AB52" s="51"/>
      <c r="AC52" s="51"/>
      <c r="AD52" s="48"/>
      <c r="AE52" s="67"/>
      <c r="AF52" s="67"/>
    </row>
    <row r="53" customFormat="false" ht="11.1" hidden="false" customHeight="true" outlineLevel="0" collapsed="false">
      <c r="A53" s="54"/>
      <c r="B53" s="54"/>
      <c r="C53" s="57"/>
      <c r="D53" s="57"/>
      <c r="E53" s="57"/>
      <c r="F53" s="54"/>
      <c r="G53" s="54"/>
      <c r="H53" s="66"/>
      <c r="I53" s="54"/>
      <c r="J53" s="54"/>
      <c r="K53" s="54"/>
      <c r="L53" s="54"/>
      <c r="M53" s="61"/>
      <c r="N53" s="61"/>
      <c r="O53" s="61"/>
      <c r="P53" s="61"/>
      <c r="Q53" s="54"/>
      <c r="R53" s="54"/>
      <c r="S53" s="54"/>
      <c r="T53" s="57"/>
      <c r="U53" s="54"/>
      <c r="V53" s="54"/>
      <c r="W53" s="57"/>
      <c r="X53" s="54"/>
      <c r="Y53" s="54"/>
      <c r="Z53" s="54"/>
      <c r="AA53" s="58"/>
      <c r="AB53" s="51"/>
      <c r="AC53" s="51"/>
      <c r="AD53" s="48"/>
      <c r="AE53" s="91"/>
      <c r="AF53" s="91"/>
    </row>
    <row r="54" customFormat="false" ht="11.1" hidden="false" customHeight="true" outlineLevel="0" collapsed="false">
      <c r="A54" s="54"/>
      <c r="B54" s="62"/>
      <c r="C54" s="57"/>
      <c r="D54" s="57"/>
      <c r="E54" s="57"/>
      <c r="F54" s="54"/>
      <c r="G54" s="54"/>
      <c r="H54" s="66"/>
      <c r="I54" s="54"/>
      <c r="J54" s="54"/>
      <c r="K54" s="54"/>
      <c r="L54" s="54"/>
      <c r="M54" s="61"/>
      <c r="N54" s="61"/>
      <c r="O54" s="61"/>
      <c r="P54" s="54"/>
      <c r="Q54" s="54"/>
      <c r="R54" s="54"/>
      <c r="S54" s="57"/>
      <c r="T54" s="54"/>
      <c r="U54" s="54"/>
      <c r="V54" s="57"/>
      <c r="W54" s="54"/>
      <c r="X54" s="54"/>
      <c r="Y54" s="54"/>
      <c r="Z54" s="62"/>
      <c r="AA54" s="58"/>
      <c r="AB54" s="51"/>
      <c r="AC54" s="48"/>
      <c r="AD54" s="91"/>
      <c r="AE54" s="91"/>
    </row>
    <row r="55" customFormat="false" ht="11.1" hidden="false" customHeight="true" outlineLevel="0" collapsed="false">
      <c r="A55" s="54"/>
      <c r="B55" s="54"/>
      <c r="C55" s="57"/>
      <c r="D55" s="54"/>
      <c r="E55" s="57"/>
      <c r="F55" s="54"/>
      <c r="G55" s="63"/>
      <c r="H55" s="66"/>
      <c r="I55" s="54"/>
      <c r="J55" s="54"/>
      <c r="K55" s="54"/>
      <c r="L55" s="54"/>
      <c r="M55" s="61"/>
      <c r="N55" s="61"/>
      <c r="O55" s="61"/>
      <c r="P55" s="54"/>
      <c r="Q55" s="54"/>
      <c r="R55" s="54"/>
      <c r="S55" s="57"/>
      <c r="T55" s="54"/>
      <c r="U55" s="54"/>
      <c r="V55" s="57"/>
      <c r="W55" s="54"/>
      <c r="X55" s="54"/>
      <c r="Y55" s="54"/>
      <c r="Z55" s="62"/>
      <c r="AA55" s="58"/>
      <c r="AB55" s="51"/>
      <c r="AC55" s="48"/>
      <c r="AD55" s="91"/>
      <c r="AE55" s="91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20" activePane="bottomRight" state="frozen"/>
      <selection pane="topLeft" activeCell="A1" activeCellId="0" sqref="A1"/>
      <selection pane="topRight" activeCell="K1" activeCellId="0" sqref="K1"/>
      <selection pane="bottomLeft" activeCell="A20" activeCellId="0" sqref="A20"/>
      <selection pane="bottomRight" activeCell="K51" activeCellId="0" sqref="K51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96" width="6.66"/>
    <col collapsed="false" customWidth="true" hidden="false" outlineLevel="0" max="9" min="9" style="0" width="7.99"/>
    <col collapsed="false" customWidth="true" hidden="false" outlineLevel="0" max="11" min="10" style="0" width="6.66"/>
    <col collapsed="false" customWidth="true" hidden="false" outlineLevel="0" max="12" min="12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97" width="8.16"/>
    <col collapsed="false" customWidth="true" hidden="false" outlineLevel="0" max="27" min="27" style="2" width="5.16"/>
    <col collapsed="false" customWidth="true" hidden="false" outlineLevel="0" max="28" min="28" style="4" width="4.66"/>
    <col collapsed="false" customWidth="true" hidden="false" outlineLevel="0" max="29" min="29" style="98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5"/>
      <c r="B1" s="5"/>
      <c r="C1" s="6"/>
      <c r="D1" s="5"/>
      <c r="E1" s="6"/>
      <c r="F1" s="5"/>
      <c r="G1" s="5"/>
      <c r="H1" s="7"/>
      <c r="I1" s="5"/>
      <c r="J1" s="5"/>
      <c r="K1" s="8" t="s">
        <v>0</v>
      </c>
      <c r="L1" s="5"/>
      <c r="M1" s="5"/>
      <c r="N1" s="5"/>
      <c r="O1" s="5"/>
      <c r="P1" s="5"/>
      <c r="Q1" s="5"/>
      <c r="R1" s="5"/>
      <c r="S1" s="6"/>
      <c r="T1" s="5"/>
      <c r="U1" s="5"/>
      <c r="V1" s="6"/>
      <c r="W1" s="5"/>
      <c r="X1" s="5"/>
      <c r="Y1" s="5"/>
      <c r="Z1" s="9"/>
      <c r="AA1" s="38"/>
      <c r="AB1" s="10"/>
      <c r="AC1" s="11"/>
      <c r="AD1" s="99"/>
    </row>
    <row r="2" customFormat="false" ht="14.1" hidden="false" customHeight="true" outlineLevel="0" collapsed="false">
      <c r="A2" s="5" t="s">
        <v>1</v>
      </c>
      <c r="B2" s="5"/>
      <c r="C2" s="6"/>
      <c r="D2" s="12" t="n">
        <v>1.9835</v>
      </c>
      <c r="E2" s="6"/>
      <c r="F2" s="5"/>
      <c r="G2" s="5"/>
      <c r="H2" s="7"/>
      <c r="I2" s="5"/>
      <c r="J2" s="5"/>
      <c r="K2" s="100" t="s">
        <v>68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5"/>
      <c r="X2" s="5"/>
      <c r="Y2" s="5"/>
      <c r="Z2" s="9"/>
      <c r="AA2" s="38"/>
      <c r="AB2" s="10"/>
      <c r="AC2" s="11"/>
      <c r="AD2" s="99"/>
    </row>
    <row r="3" customFormat="false" ht="11.1" hidden="false" customHeight="true" outlineLevel="0" collapsed="false">
      <c r="A3" s="5"/>
      <c r="B3" s="5"/>
      <c r="C3" s="6"/>
      <c r="D3" s="13"/>
      <c r="E3" s="6"/>
      <c r="F3" s="5"/>
      <c r="G3" s="5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5"/>
      <c r="U3" s="5"/>
      <c r="V3" s="6"/>
      <c r="W3" s="5"/>
      <c r="X3" s="5"/>
      <c r="Y3" s="5" t="n">
        <v>5</v>
      </c>
      <c r="Z3" s="9"/>
      <c r="AA3" s="38"/>
      <c r="AB3" s="10"/>
      <c r="AC3" s="11"/>
      <c r="AD3" s="99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6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01" t="s">
        <v>54</v>
      </c>
      <c r="N4" s="101"/>
      <c r="O4" s="101"/>
      <c r="P4" s="101"/>
      <c r="Q4" s="14" t="s">
        <v>55</v>
      </c>
      <c r="R4" s="14" t="s">
        <v>14</v>
      </c>
      <c r="S4" s="14" t="s">
        <v>12</v>
      </c>
      <c r="T4" s="15" t="s">
        <v>13</v>
      </c>
      <c r="U4" s="14" t="s">
        <v>15</v>
      </c>
      <c r="V4" s="14" t="s">
        <v>17</v>
      </c>
      <c r="W4" s="15" t="s">
        <v>18</v>
      </c>
      <c r="X4" s="14" t="s">
        <v>10</v>
      </c>
      <c r="Y4" s="14" t="s">
        <v>11</v>
      </c>
      <c r="Z4" s="14" t="s">
        <v>12</v>
      </c>
      <c r="AA4" s="102" t="s">
        <v>19</v>
      </c>
      <c r="AB4" s="18" t="s">
        <v>20</v>
      </c>
      <c r="AC4" s="18" t="s">
        <v>21</v>
      </c>
      <c r="AD4" s="18" t="s">
        <v>3</v>
      </c>
      <c r="AE4" s="99"/>
    </row>
    <row r="5" customFormat="false" ht="11.1" hidden="false" customHeight="true" outlineLevel="0" collapsed="false">
      <c r="A5" s="19" t="s">
        <v>69</v>
      </c>
      <c r="B5" s="14" t="s">
        <v>23</v>
      </c>
      <c r="C5" s="15" t="s">
        <v>5</v>
      </c>
      <c r="D5" s="14" t="s">
        <v>24</v>
      </c>
      <c r="E5" s="15" t="s">
        <v>25</v>
      </c>
      <c r="F5" s="14" t="s">
        <v>26</v>
      </c>
      <c r="G5" s="14" t="s">
        <v>27</v>
      </c>
      <c r="H5" s="16" t="s">
        <v>28</v>
      </c>
      <c r="I5" s="14" t="s">
        <v>29</v>
      </c>
      <c r="J5" s="14" t="s">
        <v>29</v>
      </c>
      <c r="K5" s="14" t="s">
        <v>29</v>
      </c>
      <c r="L5" s="14" t="s">
        <v>30</v>
      </c>
      <c r="M5" s="14" t="s">
        <v>57</v>
      </c>
      <c r="N5" s="14" t="s">
        <v>58</v>
      </c>
      <c r="O5" s="14" t="s">
        <v>59</v>
      </c>
      <c r="P5" s="14" t="s">
        <v>70</v>
      </c>
      <c r="Q5" s="14" t="s">
        <v>61</v>
      </c>
      <c r="R5" s="14" t="s">
        <v>62</v>
      </c>
      <c r="S5" s="14" t="s">
        <v>13</v>
      </c>
      <c r="T5" s="15" t="s">
        <v>34</v>
      </c>
      <c r="U5" s="14" t="s">
        <v>35</v>
      </c>
      <c r="V5" s="14" t="s">
        <v>37</v>
      </c>
      <c r="W5" s="15" t="s">
        <v>38</v>
      </c>
      <c r="X5" s="14" t="s">
        <v>39</v>
      </c>
      <c r="Y5" s="14" t="s">
        <v>39</v>
      </c>
      <c r="Z5" s="14" t="s">
        <v>39</v>
      </c>
      <c r="AA5" s="103"/>
      <c r="AB5" s="18" t="s">
        <v>40</v>
      </c>
      <c r="AC5" s="18" t="s">
        <v>40</v>
      </c>
      <c r="AD5" s="21" t="s">
        <v>69</v>
      </c>
      <c r="AE5" s="99"/>
    </row>
    <row r="6" customFormat="false" ht="11.1" hidden="false" customHeight="true" outlineLevel="0" collapsed="false">
      <c r="A6" s="22"/>
      <c r="B6" s="22"/>
      <c r="C6" s="23"/>
      <c r="D6" s="22"/>
      <c r="E6" s="23"/>
      <c r="F6" s="22"/>
      <c r="G6" s="22"/>
      <c r="H6" s="24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3"/>
      <c r="U6" s="22"/>
      <c r="V6" s="22"/>
      <c r="W6" s="23" t="n">
        <v>11968</v>
      </c>
      <c r="X6" s="22"/>
      <c r="Y6" s="22"/>
      <c r="Z6" s="22"/>
      <c r="AA6" s="38"/>
      <c r="AB6" s="11"/>
      <c r="AC6" s="11"/>
      <c r="AD6" s="11"/>
      <c r="AE6" s="99"/>
    </row>
    <row r="7" customFormat="false" ht="11.1" hidden="false" customHeight="true" outlineLevel="0" collapsed="false">
      <c r="A7" s="5" t="s">
        <v>41</v>
      </c>
      <c r="B7" s="5"/>
      <c r="C7" s="6"/>
      <c r="D7" s="6"/>
      <c r="E7" s="6"/>
      <c r="F7" s="6"/>
      <c r="G7" s="6"/>
      <c r="H7" s="1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38"/>
      <c r="AB7" s="10"/>
      <c r="AC7" s="10"/>
      <c r="AD7" s="11"/>
    </row>
    <row r="8" s="1" customFormat="true" ht="11.1" hidden="false" customHeight="true" outlineLevel="0" collapsed="false">
      <c r="A8" s="6" t="s">
        <v>42</v>
      </c>
      <c r="B8" s="25" t="n">
        <f aca="false">MAR!B40</f>
        <v>6911.53</v>
      </c>
      <c r="C8" s="6" t="n">
        <f aca="false">MAR!C40</f>
        <v>328142</v>
      </c>
      <c r="D8" s="6" t="n">
        <f aca="false">MAR!D49</f>
        <v>24165</v>
      </c>
      <c r="E8" s="6" t="n">
        <f aca="false">MAR!E49</f>
        <v>176142</v>
      </c>
      <c r="F8" s="6" t="n">
        <f aca="false">MAR!F48</f>
        <v>12183.0098311066</v>
      </c>
      <c r="G8" s="6" t="n">
        <f aca="false">MAR!G48</f>
        <v>17606.6</v>
      </c>
      <c r="H8" s="10" t="n">
        <f aca="false">MAR!H48</f>
        <v>3179.6</v>
      </c>
      <c r="I8" s="6" t="n">
        <f aca="false">MAR!I48</f>
        <v>20786.2</v>
      </c>
      <c r="J8" s="6" t="n">
        <f aca="false">MAR!J48</f>
        <v>7540.83884547517</v>
      </c>
      <c r="K8" s="6" t="n">
        <f aca="false">MAR!K48</f>
        <v>28327.0388454752</v>
      </c>
      <c r="L8" s="6" t="n">
        <f aca="false">MAR!L48</f>
        <v>6535.90983110663</v>
      </c>
      <c r="M8" s="6" t="n">
        <f aca="false">MAR!M48</f>
        <v>1088.3</v>
      </c>
      <c r="N8" s="6" t="n">
        <f aca="false">MAR!N48</f>
        <v>0.08</v>
      </c>
      <c r="O8" s="6" t="n">
        <f aca="false">MAR!O48</f>
        <v>0</v>
      </c>
      <c r="P8" s="6" t="n">
        <f aca="false">MAR!P48</f>
        <v>416.52</v>
      </c>
      <c r="Q8" s="6" t="n">
        <f aca="false">MAR!Q48</f>
        <v>0</v>
      </c>
      <c r="R8" s="6" t="n">
        <f aca="false">MAR!R48</f>
        <v>178.7</v>
      </c>
      <c r="S8" s="6" t="n">
        <f aca="false">MAR!S48</f>
        <v>1266.92</v>
      </c>
      <c r="T8" s="6" t="n">
        <f aca="false">MAR!T48</f>
        <v>0</v>
      </c>
      <c r="U8" s="6" t="n">
        <f aca="false">MAR!U48</f>
        <v>0</v>
      </c>
      <c r="V8" s="6" t="n">
        <f aca="false">MAR!V48</f>
        <v>13872.1</v>
      </c>
      <c r="W8" s="6" t="n">
        <v>10847</v>
      </c>
      <c r="X8" s="6" t="n">
        <f aca="false">MAR!X48</f>
        <v>15139.1</v>
      </c>
      <c r="Y8" s="6" t="n">
        <f aca="false">MAR!Y48</f>
        <v>1004.92901436854</v>
      </c>
      <c r="Z8" s="6" t="n">
        <f aca="false">MAR!Z48</f>
        <v>16144.0290143685</v>
      </c>
      <c r="AA8" s="38" t="n">
        <f aca="false">MAR!AA48</f>
        <v>11.34</v>
      </c>
      <c r="AB8" s="10"/>
      <c r="AC8" s="10"/>
      <c r="AD8" s="11"/>
      <c r="AE8" s="99"/>
    </row>
    <row r="9" customFormat="false" ht="3" hidden="false" customHeight="true" outlineLevel="0" collapsed="false">
      <c r="A9" s="27"/>
      <c r="B9" s="28"/>
      <c r="C9" s="29"/>
      <c r="D9" s="27"/>
      <c r="E9" s="29"/>
      <c r="F9" s="27"/>
      <c r="G9" s="27"/>
      <c r="H9" s="30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9"/>
      <c r="U9" s="27"/>
      <c r="V9" s="27"/>
      <c r="W9" s="29"/>
      <c r="X9" s="27"/>
      <c r="Y9" s="27"/>
      <c r="Z9" s="27"/>
      <c r="AA9" s="104"/>
      <c r="AB9" s="32"/>
      <c r="AC9" s="32"/>
      <c r="AD9" s="33"/>
      <c r="AE9" s="99"/>
    </row>
    <row r="10" customFormat="false" ht="11.1" hidden="false" customHeight="true" outlineLevel="0" collapsed="false">
      <c r="A10" s="11" t="n">
        <v>1</v>
      </c>
      <c r="B10" s="25" t="n">
        <v>6911.7</v>
      </c>
      <c r="C10" s="6" t="n">
        <v>328831</v>
      </c>
      <c r="D10" s="10" t="n">
        <f aca="false">C10-C8</f>
        <v>689</v>
      </c>
      <c r="E10" s="6" t="n">
        <f aca="false">C10-152000</f>
        <v>176831</v>
      </c>
      <c r="F10" s="5" t="n">
        <f aca="false">D10/$D$2</f>
        <v>347.365767582556</v>
      </c>
      <c r="G10" s="5" t="n">
        <v>375.1</v>
      </c>
      <c r="H10" s="7" t="n">
        <v>93.9</v>
      </c>
      <c r="I10" s="5" t="n">
        <f aca="false">G10+H10</f>
        <v>469</v>
      </c>
      <c r="J10" s="105" t="n">
        <f aca="false">IF(L10&gt;0,L10,0)</f>
        <v>544.465767582556</v>
      </c>
      <c r="K10" s="5" t="n">
        <f aca="false">I10+J10</f>
        <v>1013.46576758256</v>
      </c>
      <c r="L10" s="5" t="n">
        <f aca="false">F10-(I10-X10)</f>
        <v>544.465767582556</v>
      </c>
      <c r="M10" s="5" t="n">
        <v>42.1</v>
      </c>
      <c r="N10" s="5" t="n">
        <v>0</v>
      </c>
      <c r="O10" s="5" t="n">
        <v>0</v>
      </c>
      <c r="P10" s="5" t="n">
        <f aca="false">M10-(N10+O10)</f>
        <v>42.1</v>
      </c>
      <c r="Q10" s="5" t="n">
        <v>0</v>
      </c>
      <c r="R10" s="5" t="n">
        <v>0</v>
      </c>
      <c r="S10" s="5" t="n">
        <f aca="false">SUM(P10:R10)</f>
        <v>42.1</v>
      </c>
      <c r="T10" s="6" t="n">
        <v>0</v>
      </c>
      <c r="U10" s="5" t="n">
        <v>0</v>
      </c>
      <c r="V10" s="5" t="n">
        <v>624</v>
      </c>
      <c r="W10" s="6" t="n">
        <f aca="false">W8</f>
        <v>10847</v>
      </c>
      <c r="X10" s="5" t="n">
        <f aca="false">N10+O10+S10+U10+V10</f>
        <v>666.1</v>
      </c>
      <c r="Y10" s="5" t="n">
        <f aca="false">IF(L10&lt;0,L10*-1,0)</f>
        <v>0</v>
      </c>
      <c r="Z10" s="5" t="n">
        <f aca="false">X10+Y10</f>
        <v>666.1</v>
      </c>
      <c r="AA10" s="38" t="n">
        <v>0</v>
      </c>
      <c r="AB10" s="10" t="n">
        <v>58</v>
      </c>
      <c r="AC10" s="10" t="n">
        <v>29</v>
      </c>
      <c r="AD10" s="11" t="n">
        <v>1</v>
      </c>
      <c r="AE10" s="10"/>
      <c r="AG10" s="5"/>
    </row>
    <row r="11" customFormat="false" ht="11.1" hidden="false" customHeight="true" outlineLevel="0" collapsed="false">
      <c r="A11" s="11" t="n">
        <f aca="false">A10+1</f>
        <v>2</v>
      </c>
      <c r="B11" s="25" t="n">
        <v>6911.91</v>
      </c>
      <c r="C11" s="6" t="n">
        <v>329801</v>
      </c>
      <c r="D11" s="10" t="n">
        <f aca="false">C11-C10</f>
        <v>970</v>
      </c>
      <c r="E11" s="6" t="n">
        <f aca="false">C11-152000</f>
        <v>177801</v>
      </c>
      <c r="F11" s="5" t="n">
        <f aca="false">D11/$D$2</f>
        <v>489.034534913033</v>
      </c>
      <c r="G11" s="5" t="n">
        <v>407.3</v>
      </c>
      <c r="H11" s="7" t="n">
        <v>102.6</v>
      </c>
      <c r="I11" s="5" t="n">
        <f aca="false">G11+H11</f>
        <v>509.9</v>
      </c>
      <c r="J11" s="105" t="n">
        <f aca="false">IF(L11&gt;0,L11,0)</f>
        <v>618.334534913033</v>
      </c>
      <c r="K11" s="5" t="n">
        <f aca="false">I11+J11</f>
        <v>1128.23453491303</v>
      </c>
      <c r="L11" s="5" t="n">
        <f aca="false">F11-(I11-X11)</f>
        <v>618.334534913033</v>
      </c>
      <c r="M11" s="5" t="n">
        <v>17.2</v>
      </c>
      <c r="N11" s="5" t="n">
        <v>0</v>
      </c>
      <c r="O11" s="5" t="n">
        <v>0</v>
      </c>
      <c r="P11" s="5" t="n">
        <f aca="false">M11-(N11+O11)</f>
        <v>17.2</v>
      </c>
      <c r="Q11" s="5" t="n">
        <v>0</v>
      </c>
      <c r="R11" s="5" t="n">
        <v>0</v>
      </c>
      <c r="S11" s="5" t="n">
        <f aca="false">SUM(P11:R11)</f>
        <v>17.2</v>
      </c>
      <c r="T11" s="6" t="n">
        <v>0</v>
      </c>
      <c r="U11" s="5" t="n">
        <v>0</v>
      </c>
      <c r="V11" s="5" t="n">
        <v>622</v>
      </c>
      <c r="W11" s="6" t="n">
        <f aca="false">W10</f>
        <v>10847</v>
      </c>
      <c r="X11" s="5" t="n">
        <f aca="false">N11+O11+S11+U11+V11</f>
        <v>639.2</v>
      </c>
      <c r="Y11" s="5" t="n">
        <f aca="false">IF(L11&lt;0,L11*-1,0)</f>
        <v>0</v>
      </c>
      <c r="Z11" s="5" t="n">
        <f aca="false">X11+Y11</f>
        <v>639.2</v>
      </c>
      <c r="AA11" s="38" t="n">
        <v>0</v>
      </c>
      <c r="AB11" s="10" t="n">
        <v>59</v>
      </c>
      <c r="AC11" s="10" t="n">
        <v>33</v>
      </c>
      <c r="AD11" s="11" t="n">
        <f aca="false">AD10+1</f>
        <v>2</v>
      </c>
      <c r="AE11" s="10"/>
      <c r="AG11" s="5"/>
    </row>
    <row r="12" customFormat="false" ht="11.1" hidden="false" customHeight="true" outlineLevel="0" collapsed="false">
      <c r="A12" s="11" t="n">
        <f aca="false">A11+1</f>
        <v>3</v>
      </c>
      <c r="B12" s="25" t="n">
        <v>6912.11</v>
      </c>
      <c r="C12" s="6" t="n">
        <v>330779</v>
      </c>
      <c r="D12" s="10" t="n">
        <f aca="false">C12-C11</f>
        <v>978</v>
      </c>
      <c r="E12" s="6" t="n">
        <f aca="false">C12-152000</f>
        <v>178779</v>
      </c>
      <c r="F12" s="5" t="n">
        <f aca="false">D12/$D$2</f>
        <v>493.067809427779</v>
      </c>
      <c r="G12" s="5" t="n">
        <v>397.5</v>
      </c>
      <c r="H12" s="7" t="n">
        <v>92.8</v>
      </c>
      <c r="I12" s="5" t="n">
        <f aca="false">G12+H12</f>
        <v>490.3</v>
      </c>
      <c r="J12" s="105" t="n">
        <f aca="false">IF(L12&gt;0,L12,0)</f>
        <v>632.467809427779</v>
      </c>
      <c r="K12" s="5" t="n">
        <f aca="false">I12+J12</f>
        <v>1122.76780942778</v>
      </c>
      <c r="L12" s="5" t="n">
        <f aca="false">F12-(I12-X12)</f>
        <v>632.467809427779</v>
      </c>
      <c r="M12" s="5" t="n">
        <v>3.7</v>
      </c>
      <c r="N12" s="5" t="n">
        <v>0</v>
      </c>
      <c r="O12" s="5" t="n">
        <v>0</v>
      </c>
      <c r="P12" s="5" t="n">
        <f aca="false">M12-(N12+O12)</f>
        <v>3.7</v>
      </c>
      <c r="Q12" s="5" t="n">
        <v>0</v>
      </c>
      <c r="R12" s="5" t="n">
        <v>0</v>
      </c>
      <c r="S12" s="5" t="n">
        <f aca="false">SUM(P12:R12)</f>
        <v>3.7</v>
      </c>
      <c r="T12" s="6" t="n">
        <v>0</v>
      </c>
      <c r="U12" s="5" t="n">
        <v>0</v>
      </c>
      <c r="V12" s="5" t="n">
        <v>626</v>
      </c>
      <c r="W12" s="6" t="n">
        <f aca="false">W10</f>
        <v>10847</v>
      </c>
      <c r="X12" s="5" t="n">
        <f aca="false">N12+O12+S12+U12+V12</f>
        <v>629.7</v>
      </c>
      <c r="Y12" s="5" t="n">
        <f aca="false">IF(L12&lt;0,L12*-1,0)</f>
        <v>0</v>
      </c>
      <c r="Z12" s="5" t="n">
        <f aca="false">X12+Y12</f>
        <v>629.7</v>
      </c>
      <c r="AA12" s="38" t="n">
        <v>0</v>
      </c>
      <c r="AB12" s="10" t="n">
        <v>58</v>
      </c>
      <c r="AC12" s="10" t="n">
        <v>28</v>
      </c>
      <c r="AD12" s="11" t="n">
        <f aca="false">AD11+1</f>
        <v>3</v>
      </c>
      <c r="AE12" s="10"/>
      <c r="AG12" s="5"/>
    </row>
    <row r="13" customFormat="false" ht="11.1" hidden="false" customHeight="true" outlineLevel="0" collapsed="false">
      <c r="A13" s="11" t="n">
        <f aca="false">A12+1</f>
        <v>4</v>
      </c>
      <c r="B13" s="25" t="n">
        <v>6912.43</v>
      </c>
      <c r="C13" s="6" t="n">
        <v>331798</v>
      </c>
      <c r="D13" s="10" t="n">
        <f aca="false">C13-C12</f>
        <v>1019</v>
      </c>
      <c r="E13" s="6" t="n">
        <f aca="false">C13-152000</f>
        <v>179798</v>
      </c>
      <c r="F13" s="5" t="n">
        <f aca="false">D13/$D$2</f>
        <v>513.738341315856</v>
      </c>
      <c r="G13" s="5" t="n">
        <v>445.7</v>
      </c>
      <c r="H13" s="7" t="n">
        <v>119.6</v>
      </c>
      <c r="I13" s="5" t="n">
        <f aca="false">G13+H13</f>
        <v>565.3</v>
      </c>
      <c r="J13" s="105" t="n">
        <f aca="false">IF(L13&gt;0,L13,0)</f>
        <v>579.238341315856</v>
      </c>
      <c r="K13" s="5" t="n">
        <f aca="false">I13+J13</f>
        <v>1144.53834131586</v>
      </c>
      <c r="L13" s="5" t="n">
        <f aca="false">F13-(I13-X13)</f>
        <v>579.238341315856</v>
      </c>
      <c r="M13" s="5" t="n">
        <v>3.8</v>
      </c>
      <c r="N13" s="5" t="n">
        <v>0</v>
      </c>
      <c r="O13" s="5" t="n">
        <v>0</v>
      </c>
      <c r="P13" s="5" t="n">
        <f aca="false">M13-(N13+O13)</f>
        <v>3.8</v>
      </c>
      <c r="Q13" s="5" t="n">
        <v>0</v>
      </c>
      <c r="R13" s="5" t="n">
        <v>0</v>
      </c>
      <c r="S13" s="5" t="n">
        <f aca="false">SUM(P13:R13)</f>
        <v>3.8</v>
      </c>
      <c r="T13" s="6" t="n">
        <v>0</v>
      </c>
      <c r="U13" s="5" t="n">
        <v>0</v>
      </c>
      <c r="V13" s="5" t="n">
        <v>627</v>
      </c>
      <c r="W13" s="6" t="n">
        <f aca="false">W11</f>
        <v>10847</v>
      </c>
      <c r="X13" s="5" t="n">
        <f aca="false">N13+O13+S13+U13+V13</f>
        <v>630.8</v>
      </c>
      <c r="Y13" s="5" t="n">
        <f aca="false">IF(L13&lt;0,L13*-1,0)</f>
        <v>0</v>
      </c>
      <c r="Z13" s="5" t="n">
        <f aca="false">X13+Y13</f>
        <v>630.8</v>
      </c>
      <c r="AA13" s="38" t="n">
        <v>0</v>
      </c>
      <c r="AB13" s="10" t="n">
        <v>59</v>
      </c>
      <c r="AC13" s="10" t="n">
        <v>30</v>
      </c>
      <c r="AD13" s="11" t="n">
        <f aca="false">AD12+1</f>
        <v>4</v>
      </c>
      <c r="AE13" s="10"/>
      <c r="AG13" s="5"/>
    </row>
    <row r="14" customFormat="false" ht="11.1" hidden="false" customHeight="true" outlineLevel="0" collapsed="false">
      <c r="A14" s="11" t="n">
        <f aca="false">A13+1</f>
        <v>5</v>
      </c>
      <c r="B14" s="25" t="n">
        <v>6912.86</v>
      </c>
      <c r="C14" s="6" t="n">
        <v>333550</v>
      </c>
      <c r="D14" s="10" t="n">
        <f aca="false">C14-C13</f>
        <v>1752</v>
      </c>
      <c r="E14" s="6" t="n">
        <f aca="false">C14-152000</f>
        <v>181550</v>
      </c>
      <c r="F14" s="5" t="n">
        <f aca="false">D14/$D$2</f>
        <v>883.287118729518</v>
      </c>
      <c r="G14" s="5" t="n">
        <v>524.7</v>
      </c>
      <c r="H14" s="7" t="n">
        <v>168</v>
      </c>
      <c r="I14" s="5" t="n">
        <f aca="false">G14+H14</f>
        <v>692.7</v>
      </c>
      <c r="J14" s="105" t="n">
        <f aca="false">IF(L14&gt;0,L14,0)</f>
        <v>828.087118729519</v>
      </c>
      <c r="K14" s="5" t="n">
        <f aca="false">I14+J14</f>
        <v>1520.78711872952</v>
      </c>
      <c r="L14" s="5" t="n">
        <f aca="false">F14-(I14-X14)</f>
        <v>828.087118729519</v>
      </c>
      <c r="M14" s="5" t="n">
        <v>16.5</v>
      </c>
      <c r="N14" s="5" t="n">
        <v>0</v>
      </c>
      <c r="O14" s="5" t="n">
        <v>0</v>
      </c>
      <c r="P14" s="5" t="n">
        <f aca="false">M14-(N14+O14)</f>
        <v>16.5</v>
      </c>
      <c r="Q14" s="5" t="n">
        <v>0</v>
      </c>
      <c r="R14" s="5" t="n">
        <v>0</v>
      </c>
      <c r="S14" s="5" t="n">
        <f aca="false">SUM(P14:R14)</f>
        <v>16.5</v>
      </c>
      <c r="T14" s="6" t="n">
        <v>0</v>
      </c>
      <c r="U14" s="5" t="n">
        <v>0</v>
      </c>
      <c r="V14" s="5" t="n">
        <v>621</v>
      </c>
      <c r="W14" s="6" t="n">
        <f aca="false">W12</f>
        <v>10847</v>
      </c>
      <c r="X14" s="5" t="n">
        <f aca="false">N14+O14+S14+U14+V14</f>
        <v>637.5</v>
      </c>
      <c r="Y14" s="5" t="n">
        <f aca="false">IF(L14&lt;0,L14*-1,0)</f>
        <v>0</v>
      </c>
      <c r="Z14" s="5" t="n">
        <f aca="false">X14+Y14</f>
        <v>637.5</v>
      </c>
      <c r="AA14" s="38" t="n">
        <v>0.06</v>
      </c>
      <c r="AB14" s="10" t="n">
        <v>54</v>
      </c>
      <c r="AC14" s="10" t="n">
        <v>34</v>
      </c>
      <c r="AD14" s="11" t="n">
        <f aca="false">AD13+1</f>
        <v>5</v>
      </c>
      <c r="AE14" s="10"/>
      <c r="AG14" s="5"/>
    </row>
    <row r="15" customFormat="false" ht="11.1" hidden="false" customHeight="true" outlineLevel="0" collapsed="false">
      <c r="A15" s="11" t="n">
        <f aca="false">A14+1</f>
        <v>6</v>
      </c>
      <c r="B15" s="25" t="n">
        <v>6913.2</v>
      </c>
      <c r="C15" s="6" t="n">
        <v>334944</v>
      </c>
      <c r="D15" s="10" t="n">
        <f aca="false">C15-C14</f>
        <v>1394</v>
      </c>
      <c r="E15" s="6" t="n">
        <f aca="false">C15-152000</f>
        <v>182944</v>
      </c>
      <c r="F15" s="5" t="n">
        <f aca="false">D15/$D$2</f>
        <v>702.798084194606</v>
      </c>
      <c r="G15" s="5" t="n">
        <v>542.7</v>
      </c>
      <c r="H15" s="7" t="n">
        <v>173.2</v>
      </c>
      <c r="I15" s="5" t="n">
        <f aca="false">G15+H15</f>
        <v>715.9</v>
      </c>
      <c r="J15" s="105" t="n">
        <f aca="false">IF(L15&gt;0,L15,0)</f>
        <v>604.298084194605</v>
      </c>
      <c r="K15" s="5" t="n">
        <f aca="false">I15+J15</f>
        <v>1320.19808419461</v>
      </c>
      <c r="L15" s="5" t="n">
        <f aca="false">F15-(I15-X15)</f>
        <v>604.298084194605</v>
      </c>
      <c r="M15" s="5" t="n">
        <v>12.4</v>
      </c>
      <c r="N15" s="5" t="n">
        <v>0</v>
      </c>
      <c r="O15" s="5" t="n">
        <v>0</v>
      </c>
      <c r="P15" s="5" t="n">
        <f aca="false">M15-(N15+O15)</f>
        <v>12.4</v>
      </c>
      <c r="Q15" s="5" t="n">
        <v>0</v>
      </c>
      <c r="R15" s="5" t="n">
        <v>0</v>
      </c>
      <c r="S15" s="5" t="n">
        <f aca="false">SUM(P15:R15)</f>
        <v>12.4</v>
      </c>
      <c r="T15" s="6" t="n">
        <v>0</v>
      </c>
      <c r="U15" s="5" t="n">
        <v>0</v>
      </c>
      <c r="V15" s="5" t="n">
        <v>605</v>
      </c>
      <c r="W15" s="6" t="n">
        <f aca="false">W13</f>
        <v>10847</v>
      </c>
      <c r="X15" s="5" t="n">
        <f aca="false">N15+O15+S15+U15+V15</f>
        <v>617.4</v>
      </c>
      <c r="Y15" s="5" t="n">
        <f aca="false">IF(L15&lt;0,L15*-1,0)</f>
        <v>0</v>
      </c>
      <c r="Z15" s="5" t="n">
        <f aca="false">X15+Y15</f>
        <v>617.4</v>
      </c>
      <c r="AA15" s="38" t="n">
        <v>0.04</v>
      </c>
      <c r="AB15" s="10" t="n">
        <v>41</v>
      </c>
      <c r="AC15" s="10" t="n">
        <v>32</v>
      </c>
      <c r="AD15" s="11" t="n">
        <f aca="false">AD14+1</f>
        <v>6</v>
      </c>
      <c r="AE15" s="10"/>
      <c r="AG15" s="5"/>
    </row>
    <row r="16" customFormat="false" ht="11.1" hidden="false" customHeight="true" outlineLevel="0" collapsed="false">
      <c r="A16" s="11" t="n">
        <f aca="false">A15+1</f>
        <v>7</v>
      </c>
      <c r="B16" s="25" t="n">
        <v>6913.45</v>
      </c>
      <c r="C16" s="6" t="n">
        <v>335971</v>
      </c>
      <c r="D16" s="10" t="n">
        <f aca="false">C16-C15</f>
        <v>1027</v>
      </c>
      <c r="E16" s="6" t="n">
        <f aca="false">C16-152000</f>
        <v>183971</v>
      </c>
      <c r="F16" s="5" t="n">
        <f aca="false">D16/$D$2</f>
        <v>517.771615830603</v>
      </c>
      <c r="G16" s="5" t="n">
        <v>452.8</v>
      </c>
      <c r="H16" s="7" t="n">
        <v>117.1</v>
      </c>
      <c r="I16" s="5" t="n">
        <f aca="false">G16+H16</f>
        <v>569.9</v>
      </c>
      <c r="J16" s="105" t="n">
        <f aca="false">IF(L16&gt;0,L16,0)</f>
        <v>556.971615830603</v>
      </c>
      <c r="K16" s="5" t="n">
        <f aca="false">I16+J16</f>
        <v>1126.8716158306</v>
      </c>
      <c r="L16" s="5" t="n">
        <f aca="false">F16-(I16-X16)</f>
        <v>556.971615830603</v>
      </c>
      <c r="M16" s="5" t="n">
        <v>4.1</v>
      </c>
      <c r="N16" s="5" t="n">
        <v>0</v>
      </c>
      <c r="O16" s="5" t="n">
        <v>0</v>
      </c>
      <c r="P16" s="5" t="n">
        <f aca="false">M16-(N16+O16)</f>
        <v>4.1</v>
      </c>
      <c r="Q16" s="5" t="n">
        <v>0</v>
      </c>
      <c r="R16" s="5" t="n">
        <v>0</v>
      </c>
      <c r="S16" s="5" t="n">
        <f aca="false">SUM(P16:R16)</f>
        <v>4.1</v>
      </c>
      <c r="T16" s="6" t="n">
        <v>0</v>
      </c>
      <c r="U16" s="5" t="n">
        <v>0</v>
      </c>
      <c r="V16" s="5" t="n">
        <v>605</v>
      </c>
      <c r="W16" s="6" t="n">
        <f aca="false">W14</f>
        <v>10847</v>
      </c>
      <c r="X16" s="5" t="n">
        <f aca="false">N16+O16+S16+U16+V16</f>
        <v>609.1</v>
      </c>
      <c r="Y16" s="5" t="n">
        <f aca="false">IF(L16&lt;0,L16*-1,0)</f>
        <v>0</v>
      </c>
      <c r="Z16" s="5" t="n">
        <f aca="false">X16+Y16</f>
        <v>609.1</v>
      </c>
      <c r="AA16" s="38" t="n">
        <v>0</v>
      </c>
      <c r="AB16" s="10" t="n">
        <v>42</v>
      </c>
      <c r="AC16" s="10" t="n">
        <v>27</v>
      </c>
      <c r="AD16" s="11" t="n">
        <f aca="false">AD15+1</f>
        <v>7</v>
      </c>
      <c r="AE16" s="10"/>
      <c r="AG16" s="5"/>
    </row>
    <row r="17" customFormat="false" ht="11.1" hidden="false" customHeight="true" outlineLevel="0" collapsed="false">
      <c r="A17" s="11" t="n">
        <f aca="false">A16+1</f>
        <v>8</v>
      </c>
      <c r="B17" s="25" t="n">
        <v>6913.61</v>
      </c>
      <c r="C17" s="6" t="n">
        <v>336628</v>
      </c>
      <c r="D17" s="10" t="n">
        <f aca="false">C17-C16</f>
        <v>657</v>
      </c>
      <c r="E17" s="6" t="n">
        <f aca="false">C17-152000</f>
        <v>184628</v>
      </c>
      <c r="F17" s="5" t="n">
        <f aca="false">D17/$D$2</f>
        <v>331.232669523569</v>
      </c>
      <c r="G17" s="5" t="n">
        <v>425</v>
      </c>
      <c r="H17" s="7" t="n">
        <v>101.6</v>
      </c>
      <c r="I17" s="5" t="n">
        <f aca="false">G17+H17</f>
        <v>526.6</v>
      </c>
      <c r="J17" s="105" t="n">
        <f aca="false">IF(L17&gt;0,L17,0)</f>
        <v>430.732669523569</v>
      </c>
      <c r="K17" s="5" t="n">
        <f aca="false">I17+J17</f>
        <v>957.332669523569</v>
      </c>
      <c r="L17" s="5" t="n">
        <f aca="false">F17-(I17-X17)</f>
        <v>430.732669523569</v>
      </c>
      <c r="M17" s="5" t="n">
        <v>4.1</v>
      </c>
      <c r="N17" s="5" t="n">
        <v>0</v>
      </c>
      <c r="O17" s="5" t="n">
        <v>0</v>
      </c>
      <c r="P17" s="5" t="n">
        <f aca="false">M17-(N17+O17)</f>
        <v>4.1</v>
      </c>
      <c r="Q17" s="5" t="n">
        <v>0</v>
      </c>
      <c r="R17" s="5" t="n">
        <v>0</v>
      </c>
      <c r="S17" s="5" t="n">
        <f aca="false">SUM(P17:R17)</f>
        <v>4.1</v>
      </c>
      <c r="T17" s="6" t="n">
        <v>0</v>
      </c>
      <c r="U17" s="5" t="n">
        <v>0</v>
      </c>
      <c r="V17" s="5" t="n">
        <v>622</v>
      </c>
      <c r="W17" s="6" t="n">
        <f aca="false">W15</f>
        <v>10847</v>
      </c>
      <c r="X17" s="5" t="n">
        <f aca="false">N17+O17+S17+U17+V17</f>
        <v>626.1</v>
      </c>
      <c r="Y17" s="5" t="n">
        <f aca="false">IF(L17&lt;0,L17*-1,0)</f>
        <v>0</v>
      </c>
      <c r="Z17" s="5" t="n">
        <f aca="false">X17+Y17</f>
        <v>626.1</v>
      </c>
      <c r="AA17" s="38" t="n">
        <v>0</v>
      </c>
      <c r="AB17" s="10" t="n">
        <v>51</v>
      </c>
      <c r="AC17" s="10" t="n">
        <v>16</v>
      </c>
      <c r="AD17" s="11" t="n">
        <f aca="false">AD16+1</f>
        <v>8</v>
      </c>
      <c r="AE17" s="10"/>
      <c r="AG17" s="5"/>
    </row>
    <row r="18" customFormat="false" ht="11.1" hidden="false" customHeight="true" outlineLevel="0" collapsed="false">
      <c r="A18" s="11" t="n">
        <f aca="false">A17+1</f>
        <v>9</v>
      </c>
      <c r="B18" s="25" t="n">
        <v>6913.68</v>
      </c>
      <c r="C18" s="6" t="n">
        <v>336917</v>
      </c>
      <c r="D18" s="10" t="n">
        <f aca="false">C18-C17</f>
        <v>289</v>
      </c>
      <c r="E18" s="6" t="n">
        <f aca="false">C18-152000</f>
        <v>184917</v>
      </c>
      <c r="F18" s="5" t="n">
        <f aca="false">D18/$D$2</f>
        <v>145.702041845223</v>
      </c>
      <c r="G18" s="5" t="n">
        <v>466.2</v>
      </c>
      <c r="H18" s="7" t="n">
        <v>123.2</v>
      </c>
      <c r="I18" s="5" t="n">
        <f aca="false">G18+H18</f>
        <v>589.4</v>
      </c>
      <c r="J18" s="105" t="n">
        <f aca="false">IF(L18&gt;0,L18,0)</f>
        <v>506.502041845223</v>
      </c>
      <c r="K18" s="5" t="n">
        <f aca="false">I18+J18</f>
        <v>1095.90204184522</v>
      </c>
      <c r="L18" s="5" t="n">
        <f aca="false">F18-(I18-X18)</f>
        <v>506.502041845223</v>
      </c>
      <c r="M18" s="5" t="n">
        <v>4.2</v>
      </c>
      <c r="N18" s="5" t="n">
        <v>0</v>
      </c>
      <c r="O18" s="5" t="n">
        <v>0</v>
      </c>
      <c r="P18" s="5" t="n">
        <f aca="false">M18-(N18+O18)</f>
        <v>4.2</v>
      </c>
      <c r="Q18" s="5" t="n">
        <v>0</v>
      </c>
      <c r="R18" s="5" t="n">
        <v>0</v>
      </c>
      <c r="S18" s="5" t="n">
        <f aca="false">SUM(P18:R18)</f>
        <v>4.2</v>
      </c>
      <c r="T18" s="6" t="n">
        <v>0</v>
      </c>
      <c r="U18" s="5" t="n">
        <v>0</v>
      </c>
      <c r="V18" s="5" t="n">
        <v>946</v>
      </c>
      <c r="W18" s="6" t="n">
        <f aca="false">W16</f>
        <v>10847</v>
      </c>
      <c r="X18" s="5" t="n">
        <f aca="false">N18+O18+S18+U18+V18</f>
        <v>950.2</v>
      </c>
      <c r="Y18" s="5" t="n">
        <f aca="false">IF(L18&lt;0,L18*-1,0)</f>
        <v>0</v>
      </c>
      <c r="Z18" s="5" t="n">
        <f aca="false">X18+Y18</f>
        <v>950.2</v>
      </c>
      <c r="AA18" s="38" t="n">
        <v>0</v>
      </c>
      <c r="AB18" s="35" t="n">
        <v>55</v>
      </c>
      <c r="AC18" s="10" t="n">
        <v>28</v>
      </c>
      <c r="AD18" s="11" t="n">
        <f aca="false">AD17+1</f>
        <v>9</v>
      </c>
      <c r="AE18" s="10"/>
      <c r="AG18" s="5"/>
    </row>
    <row r="19" customFormat="false" ht="11.1" hidden="false" customHeight="true" outlineLevel="0" collapsed="false">
      <c r="A19" s="11" t="n">
        <f aca="false">A18+1</f>
        <v>10</v>
      </c>
      <c r="B19" s="25" t="n">
        <v>6913.93</v>
      </c>
      <c r="C19" s="6" t="n">
        <v>337944</v>
      </c>
      <c r="D19" s="10" t="n">
        <f aca="false">C19-C18</f>
        <v>1027</v>
      </c>
      <c r="E19" s="6" t="n">
        <f aca="false">C19-152000</f>
        <v>185944</v>
      </c>
      <c r="F19" s="5" t="n">
        <f aca="false">D19/$D$2</f>
        <v>517.771615830603</v>
      </c>
      <c r="G19" s="5" t="n">
        <v>590.1</v>
      </c>
      <c r="H19" s="7" t="n">
        <v>177.3</v>
      </c>
      <c r="I19" s="5" t="n">
        <f aca="false">G19+H19</f>
        <v>767.4</v>
      </c>
      <c r="J19" s="105" t="n">
        <f aca="false">IF(L19&gt;0,L19,0)</f>
        <v>954.571615830603</v>
      </c>
      <c r="K19" s="5" t="n">
        <f aca="false">I19+J19</f>
        <v>1721.9716158306</v>
      </c>
      <c r="L19" s="5" t="n">
        <f aca="false">F19-(I19-X19)</f>
        <v>954.571615830603</v>
      </c>
      <c r="M19" s="5" t="n">
        <v>4.2</v>
      </c>
      <c r="N19" s="5" t="n">
        <v>0</v>
      </c>
      <c r="O19" s="5" t="n">
        <v>0</v>
      </c>
      <c r="P19" s="5" t="n">
        <f aca="false">M19-(N19+O19)</f>
        <v>4.2</v>
      </c>
      <c r="Q19" s="5" t="n">
        <v>0</v>
      </c>
      <c r="R19" s="5" t="n">
        <v>0</v>
      </c>
      <c r="S19" s="5" t="n">
        <f aca="false">SUM(P19:R19)</f>
        <v>4.2</v>
      </c>
      <c r="T19" s="6" t="n">
        <v>0</v>
      </c>
      <c r="U19" s="5" t="n">
        <v>0</v>
      </c>
      <c r="V19" s="5" t="n">
        <v>1200</v>
      </c>
      <c r="W19" s="6" t="n">
        <f aca="false">W17</f>
        <v>10847</v>
      </c>
      <c r="X19" s="5" t="n">
        <f aca="false">N19+O19+S19+U19+V19</f>
        <v>1204.2</v>
      </c>
      <c r="Y19" s="5" t="n">
        <f aca="false">IF(L19&lt;0,L19*-1,0)</f>
        <v>0</v>
      </c>
      <c r="Z19" s="5" t="n">
        <f aca="false">X19+Y19</f>
        <v>1204.2</v>
      </c>
      <c r="AA19" s="38" t="n">
        <v>0</v>
      </c>
      <c r="AB19" s="10" t="n">
        <v>58</v>
      </c>
      <c r="AC19" s="10" t="n">
        <v>29</v>
      </c>
      <c r="AD19" s="11" t="n">
        <f aca="false">AD18+1</f>
        <v>10</v>
      </c>
      <c r="AE19" s="10"/>
      <c r="AG19" s="5"/>
    </row>
    <row r="20" customFormat="false" ht="11.1" hidden="false" customHeight="true" outlineLevel="0" collapsed="false">
      <c r="A20" s="11" t="n">
        <f aca="false">A19+1</f>
        <v>11</v>
      </c>
      <c r="B20" s="25" t="n">
        <v>6914.43</v>
      </c>
      <c r="C20" s="6" t="n">
        <v>340012</v>
      </c>
      <c r="D20" s="10" t="n">
        <f aca="false">C20-C19</f>
        <v>2068</v>
      </c>
      <c r="E20" s="6" t="n">
        <f aca="false">C20-152000</f>
        <v>188012</v>
      </c>
      <c r="F20" s="5" t="n">
        <f aca="false">D20/$D$2</f>
        <v>1042.60146206201</v>
      </c>
      <c r="G20" s="5" t="n">
        <v>690</v>
      </c>
      <c r="H20" s="7" t="n">
        <v>208.9</v>
      </c>
      <c r="I20" s="5" t="n">
        <f aca="false">G20+H20</f>
        <v>898.9</v>
      </c>
      <c r="J20" s="105" t="n">
        <f aca="false">IF(L20&gt;0,L20,0)</f>
        <v>1347.90146206201</v>
      </c>
      <c r="K20" s="5" t="n">
        <f aca="false">I20+J20</f>
        <v>2246.80146206201</v>
      </c>
      <c r="L20" s="5" t="n">
        <f aca="false">F20-(I20-X20)</f>
        <v>1347.90146206201</v>
      </c>
      <c r="M20" s="5" t="n">
        <v>4.2</v>
      </c>
      <c r="N20" s="5" t="n">
        <v>0</v>
      </c>
      <c r="O20" s="5" t="n">
        <v>0</v>
      </c>
      <c r="P20" s="5" t="n">
        <f aca="false">M20-(N20+O20)</f>
        <v>4.2</v>
      </c>
      <c r="Q20" s="5" t="n">
        <v>0</v>
      </c>
      <c r="R20" s="5" t="n">
        <v>0</v>
      </c>
      <c r="S20" s="5" t="n">
        <f aca="false">SUM(P20:R20)</f>
        <v>4.2</v>
      </c>
      <c r="T20" s="6" t="n">
        <v>0</v>
      </c>
      <c r="U20" s="5" t="n">
        <v>0</v>
      </c>
      <c r="V20" s="5" t="n">
        <v>1200</v>
      </c>
      <c r="W20" s="6" t="n">
        <f aca="false">W18</f>
        <v>10847</v>
      </c>
      <c r="X20" s="5" t="n">
        <f aca="false">N20+O20+S20+U20+V20</f>
        <v>1204.2</v>
      </c>
      <c r="Y20" s="5" t="n">
        <f aca="false">IF(L20&lt;0,L20*-1,0)</f>
        <v>0</v>
      </c>
      <c r="Z20" s="5" t="n">
        <f aca="false">X20+Y20</f>
        <v>1204.2</v>
      </c>
      <c r="AA20" s="38" t="n">
        <v>0</v>
      </c>
      <c r="AB20" s="10" t="n">
        <v>64</v>
      </c>
      <c r="AC20" s="10" t="n">
        <v>33</v>
      </c>
      <c r="AD20" s="11" t="n">
        <f aca="false">AD19+1</f>
        <v>11</v>
      </c>
      <c r="AE20" s="10"/>
      <c r="AG20" s="5"/>
    </row>
    <row r="21" customFormat="false" ht="11.1" hidden="false" customHeight="true" outlineLevel="0" collapsed="false">
      <c r="A21" s="11" t="n">
        <f aca="false">A20+1</f>
        <v>12</v>
      </c>
      <c r="B21" s="25" t="n">
        <v>6914.59</v>
      </c>
      <c r="C21" s="6" t="n">
        <v>340674</v>
      </c>
      <c r="D21" s="10" t="n">
        <f aca="false">C21-C20</f>
        <v>662</v>
      </c>
      <c r="E21" s="6" t="n">
        <f aca="false">C21-152000</f>
        <v>188674</v>
      </c>
      <c r="F21" s="5" t="n">
        <f aca="false">D21/$D$2</f>
        <v>333.753466095286</v>
      </c>
      <c r="G21" s="5" t="n">
        <v>767.2</v>
      </c>
      <c r="H21" s="7" t="n">
        <v>214.1</v>
      </c>
      <c r="I21" s="5" t="n">
        <f aca="false">G21+H21</f>
        <v>981.3</v>
      </c>
      <c r="J21" s="105" t="n">
        <f aca="false">IF(L21&gt;0,L21,0)</f>
        <v>803.053466095286</v>
      </c>
      <c r="K21" s="5" t="n">
        <f aca="false">I21+J21</f>
        <v>1784.35346609529</v>
      </c>
      <c r="L21" s="5" t="n">
        <f aca="false">F21-(I21-X21)</f>
        <v>803.053466095286</v>
      </c>
      <c r="M21" s="5" t="n">
        <v>4.6</v>
      </c>
      <c r="N21" s="5" t="n">
        <v>0</v>
      </c>
      <c r="O21" s="5" t="n">
        <v>0</v>
      </c>
      <c r="P21" s="5" t="n">
        <f aca="false">M21-(N21+O21)</f>
        <v>4.6</v>
      </c>
      <c r="Q21" s="5" t="n">
        <v>0</v>
      </c>
      <c r="R21" s="5" t="n">
        <v>0</v>
      </c>
      <c r="S21" s="5" t="n">
        <f aca="false">SUM(P21:R21)</f>
        <v>4.6</v>
      </c>
      <c r="T21" s="6" t="n">
        <v>0</v>
      </c>
      <c r="U21" s="5" t="n">
        <v>0</v>
      </c>
      <c r="V21" s="5" t="n">
        <v>1446</v>
      </c>
      <c r="W21" s="6" t="n">
        <f aca="false">W19</f>
        <v>10847</v>
      </c>
      <c r="X21" s="5" t="n">
        <f aca="false">N21+O21+S21+U21+V21</f>
        <v>1450.6</v>
      </c>
      <c r="Y21" s="5" t="n">
        <f aca="false">IF(L21&lt;0,L21*-1,0)</f>
        <v>0</v>
      </c>
      <c r="Z21" s="5" t="n">
        <f aca="false">X21+Y21</f>
        <v>1450.6</v>
      </c>
      <c r="AA21" s="38" t="n">
        <v>0</v>
      </c>
      <c r="AB21" s="10" t="n">
        <v>44</v>
      </c>
      <c r="AC21" s="10" t="n">
        <v>34</v>
      </c>
      <c r="AD21" s="11" t="n">
        <f aca="false">AD20+1</f>
        <v>12</v>
      </c>
      <c r="AE21" s="10"/>
      <c r="AG21" s="5"/>
    </row>
    <row r="22" customFormat="false" ht="11.1" hidden="false" customHeight="true" outlineLevel="0" collapsed="false">
      <c r="A22" s="11" t="n">
        <f aca="false">A21+1</f>
        <v>13</v>
      </c>
      <c r="B22" s="25" t="n">
        <v>6914.59</v>
      </c>
      <c r="C22" s="6" t="n">
        <v>340674</v>
      </c>
      <c r="D22" s="10" t="n">
        <f aca="false">C22-C21</f>
        <v>0</v>
      </c>
      <c r="E22" s="6" t="n">
        <f aca="false">C22-152000</f>
        <v>188674</v>
      </c>
      <c r="F22" s="5" t="n">
        <f aca="false">D22/$D$2</f>
        <v>0</v>
      </c>
      <c r="G22" s="5" t="n">
        <v>662.8</v>
      </c>
      <c r="H22" s="7" t="n">
        <v>148.9</v>
      </c>
      <c r="I22" s="5" t="n">
        <f aca="false">G22+H22</f>
        <v>811.7</v>
      </c>
      <c r="J22" s="105" t="n">
        <f aca="false">IF(L22&gt;0,L22,0)</f>
        <v>792.7</v>
      </c>
      <c r="K22" s="5" t="n">
        <f aca="false">I22+J22</f>
        <v>1604.4</v>
      </c>
      <c r="L22" s="5" t="n">
        <f aca="false">F22-(I22-X22)</f>
        <v>792.7</v>
      </c>
      <c r="M22" s="5" t="n">
        <v>4.4</v>
      </c>
      <c r="N22" s="5" t="n">
        <v>0</v>
      </c>
      <c r="O22" s="5" t="n">
        <v>0</v>
      </c>
      <c r="P22" s="5" t="n">
        <f aca="false">M22-(N22+O22)</f>
        <v>4.4</v>
      </c>
      <c r="Q22" s="5" t="n">
        <v>0</v>
      </c>
      <c r="R22" s="5" t="n">
        <v>0</v>
      </c>
      <c r="S22" s="5" t="n">
        <f aca="false">SUM(P22:R22)</f>
        <v>4.4</v>
      </c>
      <c r="T22" s="6" t="n">
        <v>0</v>
      </c>
      <c r="U22" s="5" t="n">
        <v>0</v>
      </c>
      <c r="V22" s="5" t="n">
        <v>1600</v>
      </c>
      <c r="W22" s="6" t="n">
        <f aca="false">W20</f>
        <v>10847</v>
      </c>
      <c r="X22" s="5" t="n">
        <f aca="false">N22+O22+S22+U22+V22</f>
        <v>1604.4</v>
      </c>
      <c r="Y22" s="5" t="n">
        <f aca="false">IF(L22&lt;0,L22*-1,0)</f>
        <v>0</v>
      </c>
      <c r="Z22" s="5" t="n">
        <f aca="false">X22+Y22</f>
        <v>1604.4</v>
      </c>
      <c r="AA22" s="38" t="n">
        <v>0</v>
      </c>
      <c r="AB22" s="10" t="n">
        <v>48</v>
      </c>
      <c r="AC22" s="10" t="n">
        <v>20</v>
      </c>
      <c r="AD22" s="11" t="n">
        <f aca="false">AD21+1</f>
        <v>13</v>
      </c>
      <c r="AE22" s="10"/>
      <c r="AG22" s="5"/>
    </row>
    <row r="23" customFormat="false" ht="11.1" hidden="false" customHeight="true" outlineLevel="0" collapsed="false">
      <c r="A23" s="11" t="n">
        <f aca="false">A22+1</f>
        <v>14</v>
      </c>
      <c r="B23" s="25" t="n">
        <v>6914.51</v>
      </c>
      <c r="C23" s="6" t="n">
        <v>340342</v>
      </c>
      <c r="D23" s="10" t="n">
        <f aca="false">C23-C22</f>
        <v>-332</v>
      </c>
      <c r="E23" s="6" t="n">
        <f aca="false">C23-152000</f>
        <v>188342</v>
      </c>
      <c r="F23" s="5" t="n">
        <f aca="false">D23/$D$2</f>
        <v>-167.380892361986</v>
      </c>
      <c r="G23" s="5" t="n">
        <v>647.8</v>
      </c>
      <c r="H23" s="7" t="n">
        <v>129.5</v>
      </c>
      <c r="I23" s="5" t="n">
        <f aca="false">G23+H23</f>
        <v>777.3</v>
      </c>
      <c r="J23" s="105" t="n">
        <f aca="false">IF(L23&gt;0,L23,0)</f>
        <v>660.819107638014</v>
      </c>
      <c r="K23" s="5" t="n">
        <f aca="false">I23+J23</f>
        <v>1438.11910763801</v>
      </c>
      <c r="L23" s="5" t="n">
        <f aca="false">F23-(I23-X23)</f>
        <v>660.819107638014</v>
      </c>
      <c r="M23" s="5" t="n">
        <v>5.5</v>
      </c>
      <c r="N23" s="5" t="n">
        <v>0</v>
      </c>
      <c r="O23" s="5" t="n">
        <v>0</v>
      </c>
      <c r="P23" s="5" t="n">
        <f aca="false">M23-(N23+O23)</f>
        <v>5.5</v>
      </c>
      <c r="Q23" s="5" t="n">
        <v>0</v>
      </c>
      <c r="R23" s="5" t="n">
        <v>0</v>
      </c>
      <c r="S23" s="5" t="n">
        <f aca="false">SUM(P23:R23)</f>
        <v>5.5</v>
      </c>
      <c r="T23" s="6" t="n">
        <v>0</v>
      </c>
      <c r="U23" s="5" t="n">
        <v>0</v>
      </c>
      <c r="V23" s="5" t="n">
        <v>1600</v>
      </c>
      <c r="W23" s="6" t="n">
        <f aca="false">W21</f>
        <v>10847</v>
      </c>
      <c r="X23" s="5" t="n">
        <f aca="false">N23+O23+S23+U23+V23</f>
        <v>1605.5</v>
      </c>
      <c r="Y23" s="5" t="n">
        <f aca="false">IF(L23&lt;0,L23*-1,0)</f>
        <v>0</v>
      </c>
      <c r="Z23" s="5" t="n">
        <f aca="false">X23+Y23</f>
        <v>1605.5</v>
      </c>
      <c r="AA23" s="38" t="n">
        <v>0</v>
      </c>
      <c r="AB23" s="35" t="n">
        <v>50</v>
      </c>
      <c r="AC23" s="10" t="n">
        <v>20</v>
      </c>
      <c r="AD23" s="11" t="n">
        <f aca="false">AD22+1</f>
        <v>14</v>
      </c>
      <c r="AE23" s="10"/>
      <c r="AG23" s="5"/>
    </row>
    <row r="24" customFormat="false" ht="11.1" hidden="false" customHeight="true" outlineLevel="0" collapsed="false">
      <c r="A24" s="11" t="n">
        <f aca="false">A23+1</f>
        <v>15</v>
      </c>
      <c r="B24" s="25" t="n">
        <v>6914.49</v>
      </c>
      <c r="C24" s="6" t="n">
        <v>340261</v>
      </c>
      <c r="D24" s="10" t="n">
        <f aca="false">C24-C23</f>
        <v>-81</v>
      </c>
      <c r="E24" s="6" t="n">
        <f aca="false">C24-152000</f>
        <v>188261</v>
      </c>
      <c r="F24" s="5" t="n">
        <f aca="false">D24/$D$2</f>
        <v>-40.8369044618099</v>
      </c>
      <c r="G24" s="5" t="n">
        <v>618.6</v>
      </c>
      <c r="H24" s="7" t="n">
        <v>98.3</v>
      </c>
      <c r="I24" s="5" t="n">
        <f aca="false">G24+H24</f>
        <v>716.9</v>
      </c>
      <c r="J24" s="105" t="n">
        <f aca="false">IF(L24&gt;0,L24,0)</f>
        <v>860.36309553819</v>
      </c>
      <c r="K24" s="5" t="n">
        <f aca="false">I24+J24</f>
        <v>1577.26309553819</v>
      </c>
      <c r="L24" s="5" t="n">
        <f aca="false">F24-(I24-X24)</f>
        <v>860.36309553819</v>
      </c>
      <c r="M24" s="5" t="n">
        <v>16.1</v>
      </c>
      <c r="N24" s="5" t="n">
        <v>0</v>
      </c>
      <c r="O24" s="5" t="n">
        <v>0</v>
      </c>
      <c r="P24" s="5" t="n">
        <f aca="false">M24-(N24+O24)</f>
        <v>16.1</v>
      </c>
      <c r="Q24" s="5" t="n">
        <v>0</v>
      </c>
      <c r="R24" s="5" t="n">
        <v>0</v>
      </c>
      <c r="S24" s="5" t="n">
        <f aca="false">SUM(P24:R24)</f>
        <v>16.1</v>
      </c>
      <c r="T24" s="6" t="n">
        <v>0</v>
      </c>
      <c r="U24" s="5" t="n">
        <v>0</v>
      </c>
      <c r="V24" s="5" t="n">
        <v>1602</v>
      </c>
      <c r="W24" s="6" t="n">
        <f aca="false">W22</f>
        <v>10847</v>
      </c>
      <c r="X24" s="5" t="n">
        <f aca="false">N24+O24+S24+U24+V24</f>
        <v>1618.1</v>
      </c>
      <c r="Y24" s="5" t="n">
        <f aca="false">IF(L24&lt;0,L24*-1,0)</f>
        <v>0</v>
      </c>
      <c r="Z24" s="5" t="n">
        <f aca="false">X24+Y24</f>
        <v>1618.1</v>
      </c>
      <c r="AA24" s="38" t="n">
        <v>0.18</v>
      </c>
      <c r="AB24" s="35" t="n">
        <v>54</v>
      </c>
      <c r="AC24" s="10" t="n">
        <v>24</v>
      </c>
      <c r="AD24" s="11" t="n">
        <f aca="false">AD23+1</f>
        <v>15</v>
      </c>
      <c r="AE24" s="10"/>
      <c r="AG24" s="5"/>
    </row>
    <row r="25" customFormat="false" ht="11.1" hidden="false" customHeight="true" outlineLevel="0" collapsed="false">
      <c r="A25" s="11" t="n">
        <f aca="false">A24+1</f>
        <v>16</v>
      </c>
      <c r="B25" s="25" t="n">
        <v>6914.62</v>
      </c>
      <c r="C25" s="6" t="n">
        <v>340799</v>
      </c>
      <c r="D25" s="10" t="n">
        <f aca="false">C25-C24</f>
        <v>538</v>
      </c>
      <c r="E25" s="6" t="n">
        <f aca="false">C25-152000</f>
        <v>188799</v>
      </c>
      <c r="F25" s="5" t="n">
        <f aca="false">D25/$D$2</f>
        <v>271.237711116713</v>
      </c>
      <c r="G25" s="5" t="n">
        <v>691.2</v>
      </c>
      <c r="H25" s="7" t="n">
        <v>134.8</v>
      </c>
      <c r="I25" s="5" t="n">
        <f aca="false">G25+H25</f>
        <v>826</v>
      </c>
      <c r="J25" s="105" t="n">
        <f aca="false">IF(L25&gt;0,L25,0)</f>
        <v>1025.23771111671</v>
      </c>
      <c r="K25" s="5" t="n">
        <f aca="false">I25+J25</f>
        <v>1851.23771111671</v>
      </c>
      <c r="L25" s="5" t="n">
        <f aca="false">F25-(I25-X25)</f>
        <v>1025.23771111671</v>
      </c>
      <c r="M25" s="5" t="n">
        <v>9</v>
      </c>
      <c r="N25" s="5" t="n">
        <v>0</v>
      </c>
      <c r="O25" s="5" t="n">
        <v>0</v>
      </c>
      <c r="P25" s="5" t="n">
        <f aca="false">M25-(N25+O25)</f>
        <v>9</v>
      </c>
      <c r="Q25" s="5" t="n">
        <v>0</v>
      </c>
      <c r="R25" s="5" t="n">
        <v>0</v>
      </c>
      <c r="S25" s="5" t="n">
        <f aca="false">SUM(P25:R25)</f>
        <v>9</v>
      </c>
      <c r="T25" s="6" t="n">
        <v>0</v>
      </c>
      <c r="U25" s="5" t="n">
        <v>0</v>
      </c>
      <c r="V25" s="5" t="n">
        <v>1571</v>
      </c>
      <c r="W25" s="6" t="n">
        <f aca="false">W23</f>
        <v>10847</v>
      </c>
      <c r="X25" s="5" t="n">
        <f aca="false">N25+O25+S25+U25+V25</f>
        <v>1580</v>
      </c>
      <c r="Y25" s="5" t="n">
        <f aca="false">IF(L25&lt;0,L25*-1,0)</f>
        <v>0</v>
      </c>
      <c r="Z25" s="5" t="n">
        <f aca="false">X25+Y25</f>
        <v>1580</v>
      </c>
      <c r="AA25" s="38" t="n">
        <v>0</v>
      </c>
      <c r="AB25" s="35" t="n">
        <v>48</v>
      </c>
      <c r="AC25" s="10" t="n">
        <v>35</v>
      </c>
      <c r="AD25" s="11" t="n">
        <f aca="false">AD24+1</f>
        <v>16</v>
      </c>
      <c r="AE25" s="10"/>
      <c r="AG25" s="5"/>
    </row>
    <row r="26" customFormat="false" ht="11.1" hidden="false" customHeight="true" outlineLevel="0" collapsed="false">
      <c r="A26" s="11" t="n">
        <f aca="false">A25+1</f>
        <v>17</v>
      </c>
      <c r="B26" s="25" t="n">
        <v>6914.76</v>
      </c>
      <c r="C26" s="6" t="n">
        <v>341377</v>
      </c>
      <c r="D26" s="10" t="n">
        <f aca="false">C26-C25</f>
        <v>578</v>
      </c>
      <c r="E26" s="6" t="n">
        <f aca="false">C26-152000</f>
        <v>189377</v>
      </c>
      <c r="F26" s="5" t="n">
        <f aca="false">D26/$D$2</f>
        <v>291.404083690446</v>
      </c>
      <c r="G26" s="5" t="n">
        <v>760.7</v>
      </c>
      <c r="H26" s="7" t="n">
        <v>167.6</v>
      </c>
      <c r="I26" s="5" t="n">
        <f aca="false">G26+H26</f>
        <v>928.3</v>
      </c>
      <c r="J26" s="105" t="n">
        <f aca="false">IF(L26&gt;0,L26,0)</f>
        <v>1343.30408369045</v>
      </c>
      <c r="K26" s="5" t="n">
        <f aca="false">I26+J26</f>
        <v>2271.60408369045</v>
      </c>
      <c r="L26" s="5" t="n">
        <f aca="false">F26-(I26-X26)</f>
        <v>1343.30408369045</v>
      </c>
      <c r="M26" s="5" t="n">
        <v>4.2</v>
      </c>
      <c r="N26" s="5" t="n">
        <v>0</v>
      </c>
      <c r="O26" s="5" t="n">
        <v>0</v>
      </c>
      <c r="P26" s="5" t="n">
        <f aca="false">M26-(N26+O26)</f>
        <v>4.2</v>
      </c>
      <c r="Q26" s="5" t="n">
        <v>0</v>
      </c>
      <c r="R26" s="5" t="n">
        <v>0</v>
      </c>
      <c r="S26" s="5" t="n">
        <f aca="false">SUM(P26:R26)</f>
        <v>4.2</v>
      </c>
      <c r="T26" s="6" t="n">
        <v>0</v>
      </c>
      <c r="U26" s="5" t="n">
        <v>0</v>
      </c>
      <c r="V26" s="5" t="n">
        <v>1976</v>
      </c>
      <c r="W26" s="6" t="n">
        <f aca="false">W24</f>
        <v>10847</v>
      </c>
      <c r="X26" s="5" t="n">
        <f aca="false">N26+O26+S26+U26+V26</f>
        <v>1980.2</v>
      </c>
      <c r="Y26" s="5" t="n">
        <f aca="false">IF(L26&lt;0,L26*-1,0)</f>
        <v>0</v>
      </c>
      <c r="Z26" s="5" t="n">
        <f aca="false">X26+Y26</f>
        <v>1980.2</v>
      </c>
      <c r="AA26" s="38" t="n">
        <v>0</v>
      </c>
      <c r="AB26" s="35" t="n">
        <v>64</v>
      </c>
      <c r="AC26" s="10" t="n">
        <v>34</v>
      </c>
      <c r="AD26" s="11" t="n">
        <f aca="false">AD25+1</f>
        <v>17</v>
      </c>
      <c r="AE26" s="10"/>
      <c r="AG26" s="5"/>
    </row>
    <row r="27" customFormat="false" ht="11.1" hidden="false" customHeight="true" outlineLevel="0" collapsed="false">
      <c r="A27" s="11" t="n">
        <f aca="false">A26+1</f>
        <v>18</v>
      </c>
      <c r="B27" s="25" t="n">
        <v>6915.01</v>
      </c>
      <c r="C27" s="6" t="n">
        <v>342413</v>
      </c>
      <c r="D27" s="10" t="n">
        <f aca="false">C27-C26</f>
        <v>1036</v>
      </c>
      <c r="E27" s="6" t="n">
        <f aca="false">C27-152000</f>
        <v>190413</v>
      </c>
      <c r="F27" s="5" t="n">
        <f aca="false">D27/$D$2</f>
        <v>522.309049659693</v>
      </c>
      <c r="G27" s="5" t="n">
        <v>945.8</v>
      </c>
      <c r="H27" s="7" t="n">
        <v>253.8</v>
      </c>
      <c r="I27" s="5" t="n">
        <f aca="false">G27+H27</f>
        <v>1199.6</v>
      </c>
      <c r="J27" s="105" t="n">
        <f aca="false">IF(L27&gt;0,L27,0)</f>
        <v>1316.00904965969</v>
      </c>
      <c r="K27" s="5" t="n">
        <f aca="false">I27+J27</f>
        <v>2515.60904965969</v>
      </c>
      <c r="L27" s="5" t="n">
        <f aca="false">F27-(I27-X27)</f>
        <v>1316.00904965969</v>
      </c>
      <c r="M27" s="5" t="n">
        <v>4.3</v>
      </c>
      <c r="N27" s="5" t="n">
        <v>0</v>
      </c>
      <c r="O27" s="5" t="n">
        <v>0</v>
      </c>
      <c r="P27" s="5" t="n">
        <f aca="false">M27-(N27+O27)</f>
        <v>4.3</v>
      </c>
      <c r="Q27" s="5" t="n">
        <v>0</v>
      </c>
      <c r="R27" s="5" t="n">
        <v>0</v>
      </c>
      <c r="S27" s="5" t="n">
        <f aca="false">SUM(P27:R27)</f>
        <v>4.3</v>
      </c>
      <c r="T27" s="6" t="n">
        <v>0</v>
      </c>
      <c r="U27" s="5" t="n">
        <v>0</v>
      </c>
      <c r="V27" s="5" t="n">
        <v>1989</v>
      </c>
      <c r="W27" s="6" t="n">
        <f aca="false">W25</f>
        <v>10847</v>
      </c>
      <c r="X27" s="5" t="n">
        <f aca="false">N27+O27+S27+U27+V27</f>
        <v>1993.3</v>
      </c>
      <c r="Y27" s="5" t="n">
        <f aca="false">IF(L27&lt;0,L27*-1,0)</f>
        <v>0</v>
      </c>
      <c r="Z27" s="5" t="n">
        <f aca="false">X27+Y27</f>
        <v>1993.3</v>
      </c>
      <c r="AA27" s="38" t="n">
        <v>0</v>
      </c>
      <c r="AB27" s="35" t="n">
        <v>62</v>
      </c>
      <c r="AC27" s="10" t="n">
        <v>40</v>
      </c>
      <c r="AD27" s="11" t="n">
        <f aca="false">AD26+1</f>
        <v>18</v>
      </c>
      <c r="AE27" s="10"/>
      <c r="AG27" s="5"/>
    </row>
    <row r="28" customFormat="false" ht="11.1" hidden="false" customHeight="true" outlineLevel="0" collapsed="false">
      <c r="A28" s="11" t="n">
        <f aca="false">A27+1</f>
        <v>19</v>
      </c>
      <c r="B28" s="25" t="n">
        <v>6914.98</v>
      </c>
      <c r="C28" s="6" t="n">
        <v>342289</v>
      </c>
      <c r="D28" s="10" t="n">
        <f aca="false">C28-C27</f>
        <v>-124</v>
      </c>
      <c r="E28" s="6" t="n">
        <f aca="false">C28-152000</f>
        <v>190289</v>
      </c>
      <c r="F28" s="5" t="n">
        <f aca="false">D28/$D$2</f>
        <v>-62.5157549785732</v>
      </c>
      <c r="G28" s="5" t="n">
        <v>909.8</v>
      </c>
      <c r="H28" s="7" t="n">
        <v>247.5</v>
      </c>
      <c r="I28" s="5" t="n">
        <f aca="false">G28+H28</f>
        <v>1157.3</v>
      </c>
      <c r="J28" s="105" t="n">
        <f aca="false">IF(L28&gt;0,L28,0)</f>
        <v>902.184245021427</v>
      </c>
      <c r="K28" s="5" t="n">
        <f aca="false">I28+J28</f>
        <v>2059.48424502143</v>
      </c>
      <c r="L28" s="5" t="n">
        <f aca="false">F28-(I28-X28)</f>
        <v>902.184245021427</v>
      </c>
      <c r="M28" s="5" t="n">
        <v>12</v>
      </c>
      <c r="N28" s="5" t="n">
        <v>0</v>
      </c>
      <c r="O28" s="5" t="n">
        <v>0</v>
      </c>
      <c r="P28" s="5" t="n">
        <f aca="false">M28-(N28+O28)</f>
        <v>12</v>
      </c>
      <c r="Q28" s="5" t="n">
        <v>0</v>
      </c>
      <c r="R28" s="5" t="n">
        <v>0</v>
      </c>
      <c r="S28" s="5" t="n">
        <f aca="false">SUM(P28:R28)</f>
        <v>12</v>
      </c>
      <c r="T28" s="6" t="n">
        <v>0</v>
      </c>
      <c r="U28" s="5" t="n">
        <v>0</v>
      </c>
      <c r="V28" s="5" t="n">
        <v>2110</v>
      </c>
      <c r="W28" s="6" t="n">
        <f aca="false">W26</f>
        <v>10847</v>
      </c>
      <c r="X28" s="5" t="n">
        <f aca="false">N28+O28+S28+U28+V28</f>
        <v>2122</v>
      </c>
      <c r="Y28" s="5" t="n">
        <f aca="false">IF(L28&lt;0,L28*-1,0)</f>
        <v>0</v>
      </c>
      <c r="Z28" s="5" t="n">
        <f aca="false">X28+Y28</f>
        <v>2122</v>
      </c>
      <c r="AA28" s="38" t="n">
        <v>0</v>
      </c>
      <c r="AB28" s="35" t="n">
        <v>46</v>
      </c>
      <c r="AC28" s="10" t="n">
        <v>24</v>
      </c>
      <c r="AD28" s="11" t="n">
        <f aca="false">AD27+1</f>
        <v>19</v>
      </c>
      <c r="AE28" s="10"/>
      <c r="AG28" s="5"/>
    </row>
    <row r="29" customFormat="false" ht="11.1" hidden="false" customHeight="true" outlineLevel="0" collapsed="false">
      <c r="A29" s="11" t="n">
        <f aca="false">A28+1</f>
        <v>20</v>
      </c>
      <c r="B29" s="25" t="n">
        <v>6914.99</v>
      </c>
      <c r="C29" s="6" t="n">
        <v>342332</v>
      </c>
      <c r="D29" s="10" t="n">
        <f aca="false">C29-C28</f>
        <v>43</v>
      </c>
      <c r="E29" s="6" t="n">
        <f aca="false">C29-152000</f>
        <v>190332</v>
      </c>
      <c r="F29" s="5" t="n">
        <f aca="false">D29/$D$2</f>
        <v>21.6788505167633</v>
      </c>
      <c r="G29" s="5" t="n">
        <v>899</v>
      </c>
      <c r="H29" s="7" t="n">
        <v>243</v>
      </c>
      <c r="I29" s="5" t="n">
        <f aca="false">G29+H29</f>
        <v>1142</v>
      </c>
      <c r="J29" s="105" t="n">
        <f aca="false">IF(L29&gt;0,L29,0)</f>
        <v>936.178850516763</v>
      </c>
      <c r="K29" s="5" t="n">
        <f aca="false">I29+J29</f>
        <v>2078.17885051676</v>
      </c>
      <c r="L29" s="5" t="n">
        <f aca="false">F29-(I29-X29)</f>
        <v>936.178850516763</v>
      </c>
      <c r="M29" s="5" t="n">
        <v>16.5</v>
      </c>
      <c r="N29" s="5" t="n">
        <v>0</v>
      </c>
      <c r="O29" s="5" t="n">
        <v>0</v>
      </c>
      <c r="P29" s="5" t="n">
        <f aca="false">M29-(N29+O29)</f>
        <v>16.5</v>
      </c>
      <c r="Q29" s="5" t="n">
        <v>0</v>
      </c>
      <c r="R29" s="5" t="n">
        <v>0</v>
      </c>
      <c r="S29" s="5" t="n">
        <f aca="false">SUM(P29:R29)</f>
        <v>16.5</v>
      </c>
      <c r="T29" s="6" t="n">
        <v>0</v>
      </c>
      <c r="U29" s="5" t="n">
        <v>0</v>
      </c>
      <c r="V29" s="5" t="n">
        <v>2040</v>
      </c>
      <c r="W29" s="6" t="n">
        <f aca="false">W27</f>
        <v>10847</v>
      </c>
      <c r="X29" s="5" t="n">
        <f aca="false">N29+O29+S29+U29+V29</f>
        <v>2056.5</v>
      </c>
      <c r="Y29" s="5" t="n">
        <f aca="false">IF(L29&lt;0,L29*-1,0)</f>
        <v>0</v>
      </c>
      <c r="Z29" s="5" t="n">
        <f aca="false">X29+Y29</f>
        <v>2056.5</v>
      </c>
      <c r="AA29" s="38" t="n">
        <v>0</v>
      </c>
      <c r="AB29" s="35" t="n">
        <v>54</v>
      </c>
      <c r="AC29" s="10" t="n">
        <v>20</v>
      </c>
      <c r="AD29" s="11" t="n">
        <f aca="false">AD28+1</f>
        <v>20</v>
      </c>
      <c r="AE29" s="10"/>
      <c r="AG29" s="5"/>
    </row>
    <row r="30" customFormat="false" ht="11.1" hidden="false" customHeight="true" outlineLevel="0" collapsed="false">
      <c r="A30" s="11" t="n">
        <f aca="false">A29+1</f>
        <v>21</v>
      </c>
      <c r="B30" s="25" t="n">
        <v>6915.21</v>
      </c>
      <c r="C30" s="6" t="n">
        <v>343249</v>
      </c>
      <c r="D30" s="10" t="n">
        <f aca="false">C30-C29</f>
        <v>917</v>
      </c>
      <c r="E30" s="6" t="n">
        <f aca="false">C30-152000</f>
        <v>191249</v>
      </c>
      <c r="F30" s="5" t="n">
        <f aca="false">D30/$D$2</f>
        <v>462.314091252836</v>
      </c>
      <c r="G30" s="5" t="n">
        <v>1029.9</v>
      </c>
      <c r="H30" s="7" t="n">
        <v>201</v>
      </c>
      <c r="I30" s="5" t="n">
        <f aca="false">G30+H30</f>
        <v>1230.9</v>
      </c>
      <c r="J30" s="105" t="n">
        <f aca="false">IF(L30&gt;0,L30,0)</f>
        <v>1273.91409125284</v>
      </c>
      <c r="K30" s="5" t="n">
        <f aca="false">I30+J30</f>
        <v>2504.81409125284</v>
      </c>
      <c r="L30" s="5" t="n">
        <f aca="false">F30-(I30-X30)</f>
        <v>1273.91409125284</v>
      </c>
      <c r="M30" s="5" t="n">
        <v>14.5</v>
      </c>
      <c r="N30" s="5" t="n">
        <v>0</v>
      </c>
      <c r="O30" s="5" t="n">
        <v>0</v>
      </c>
      <c r="P30" s="5" t="n">
        <f aca="false">M30-(N30+O30)</f>
        <v>14.5</v>
      </c>
      <c r="Q30" s="5" t="n">
        <v>0</v>
      </c>
      <c r="R30" s="5" t="n">
        <v>0</v>
      </c>
      <c r="S30" s="5" t="n">
        <f aca="false">SUM(P30:R30)</f>
        <v>14.5</v>
      </c>
      <c r="T30" s="6" t="n">
        <v>0</v>
      </c>
      <c r="U30" s="5" t="n">
        <v>0</v>
      </c>
      <c r="V30" s="5" t="n">
        <v>2028</v>
      </c>
      <c r="W30" s="6" t="n">
        <f aca="false">W28</f>
        <v>10847</v>
      </c>
      <c r="X30" s="5" t="n">
        <f aca="false">N30+O30+S30+U30+V30</f>
        <v>2042.5</v>
      </c>
      <c r="Y30" s="5" t="n">
        <f aca="false">IF(L30&lt;0,L30*-1,0)</f>
        <v>0</v>
      </c>
      <c r="Z30" s="5" t="n">
        <f aca="false">X30+Y30</f>
        <v>2042.5</v>
      </c>
      <c r="AA30" s="38" t="n">
        <v>0</v>
      </c>
      <c r="AB30" s="10" t="n">
        <v>64</v>
      </c>
      <c r="AC30" s="10" t="n">
        <v>26</v>
      </c>
      <c r="AD30" s="11" t="n">
        <f aca="false">AD29+1</f>
        <v>21</v>
      </c>
      <c r="AE30" s="10"/>
      <c r="AG30" s="5"/>
    </row>
    <row r="31" customFormat="false" ht="11.1" hidden="false" customHeight="true" outlineLevel="0" collapsed="false">
      <c r="A31" s="11" t="n">
        <f aca="false">A30+1</f>
        <v>22</v>
      </c>
      <c r="B31" s="25" t="n">
        <v>6915.34</v>
      </c>
      <c r="C31" s="6" t="n">
        <v>343792</v>
      </c>
      <c r="D31" s="10" t="n">
        <f aca="false">C31-C30</f>
        <v>543</v>
      </c>
      <c r="E31" s="6" t="n">
        <f aca="false">C31-152000</f>
        <v>191792</v>
      </c>
      <c r="F31" s="5" t="n">
        <f aca="false">D31/$D$2</f>
        <v>273.758507688429</v>
      </c>
      <c r="G31" s="5" t="n">
        <v>1242.2</v>
      </c>
      <c r="H31" s="7" t="n">
        <v>261.5</v>
      </c>
      <c r="I31" s="5" t="n">
        <f aca="false">G31+H31</f>
        <v>1503.7</v>
      </c>
      <c r="J31" s="105" t="n">
        <f aca="false">IF(L31&gt;0,L31,0)</f>
        <v>1187.75850768843</v>
      </c>
      <c r="K31" s="5" t="n">
        <f aca="false">I31+J31</f>
        <v>2691.45850768843</v>
      </c>
      <c r="L31" s="5" t="n">
        <f aca="false">F31-(I31-X31)</f>
        <v>1187.75850768843</v>
      </c>
      <c r="M31" s="5" t="n">
        <v>95.7</v>
      </c>
      <c r="N31" s="5" t="n">
        <v>0</v>
      </c>
      <c r="O31" s="5" t="n">
        <v>0</v>
      </c>
      <c r="P31" s="5" t="n">
        <f aca="false">M31-(N31+O31)</f>
        <v>95.7</v>
      </c>
      <c r="Q31" s="5" t="n">
        <v>0</v>
      </c>
      <c r="R31" s="5" t="n">
        <v>0</v>
      </c>
      <c r="S31" s="5" t="n">
        <f aca="false">SUM(P31:R31)</f>
        <v>95.7</v>
      </c>
      <c r="T31" s="6" t="n">
        <v>0</v>
      </c>
      <c r="U31" s="5" t="n">
        <v>0</v>
      </c>
      <c r="V31" s="5" t="n">
        <v>2322</v>
      </c>
      <c r="W31" s="6" t="n">
        <f aca="false">W29</f>
        <v>10847</v>
      </c>
      <c r="X31" s="5" t="n">
        <f aca="false">N31+O31+S31+U31+V31</f>
        <v>2417.7</v>
      </c>
      <c r="Y31" s="5" t="n">
        <f aca="false">IF(L31&lt;0,L31*-1,0)</f>
        <v>0</v>
      </c>
      <c r="Z31" s="5" t="n">
        <f aca="false">X31+Y31</f>
        <v>2417.7</v>
      </c>
      <c r="AA31" s="38" t="n">
        <v>0</v>
      </c>
      <c r="AB31" s="10" t="n">
        <v>70</v>
      </c>
      <c r="AC31" s="10" t="n">
        <v>34</v>
      </c>
      <c r="AD31" s="11" t="n">
        <f aca="false">AD30+1</f>
        <v>22</v>
      </c>
      <c r="AE31" s="10"/>
      <c r="AG31" s="5"/>
    </row>
    <row r="32" customFormat="false" ht="11.1" hidden="false" customHeight="true" outlineLevel="0" collapsed="false">
      <c r="A32" s="11" t="n">
        <f aca="false">A31+1</f>
        <v>23</v>
      </c>
      <c r="B32" s="25" t="n">
        <v>6915.34</v>
      </c>
      <c r="C32" s="6" t="n">
        <v>343792</v>
      </c>
      <c r="D32" s="10" t="n">
        <f aca="false">C32-C31</f>
        <v>0</v>
      </c>
      <c r="E32" s="6" t="n">
        <f aca="false">C32-152000</f>
        <v>191792</v>
      </c>
      <c r="F32" s="5" t="n">
        <f aca="false">D32/$D$2</f>
        <v>0</v>
      </c>
      <c r="G32" s="5" t="n">
        <v>1464.1</v>
      </c>
      <c r="H32" s="7" t="n">
        <v>283.4</v>
      </c>
      <c r="I32" s="5" t="n">
        <f aca="false">G32+H32</f>
        <v>1747.5</v>
      </c>
      <c r="J32" s="105" t="n">
        <f aca="false">IF(L32&gt;0,L32,0)</f>
        <v>1028.1</v>
      </c>
      <c r="K32" s="5" t="n">
        <f aca="false">I32+J32</f>
        <v>2775.6</v>
      </c>
      <c r="L32" s="5" t="n">
        <f aca="false">F32-(I32-X32)</f>
        <v>1028.1</v>
      </c>
      <c r="M32" s="5" t="n">
        <v>55.6</v>
      </c>
      <c r="N32" s="5" t="n">
        <v>0</v>
      </c>
      <c r="O32" s="5" t="n">
        <v>0</v>
      </c>
      <c r="P32" s="5" t="n">
        <f aca="false">M32-(N32+O32)</f>
        <v>55.6</v>
      </c>
      <c r="Q32" s="5" t="n">
        <v>0</v>
      </c>
      <c r="R32" s="5" t="n">
        <v>0</v>
      </c>
      <c r="S32" s="5" t="n">
        <f aca="false">SUM(P32:R32)</f>
        <v>55.6</v>
      </c>
      <c r="T32" s="6" t="n">
        <v>0</v>
      </c>
      <c r="U32" s="5" t="n">
        <v>0</v>
      </c>
      <c r="V32" s="5" t="n">
        <v>2720</v>
      </c>
      <c r="W32" s="6" t="n">
        <f aca="false">W30</f>
        <v>10847</v>
      </c>
      <c r="X32" s="5" t="n">
        <f aca="false">N32+O32+S32+U32+V32</f>
        <v>2775.6</v>
      </c>
      <c r="Y32" s="5" t="n">
        <f aca="false">IF(L32&lt;0,L32*-1,0)</f>
        <v>0</v>
      </c>
      <c r="Z32" s="5" t="n">
        <f aca="false">X32+Y32</f>
        <v>2775.6</v>
      </c>
      <c r="AA32" s="38" t="n">
        <v>0</v>
      </c>
      <c r="AB32" s="10" t="n">
        <v>66</v>
      </c>
      <c r="AC32" s="35" t="n">
        <v>38</v>
      </c>
      <c r="AD32" s="11" t="n">
        <f aca="false">AD31+1</f>
        <v>23</v>
      </c>
      <c r="AE32" s="10"/>
      <c r="AG32" s="5"/>
    </row>
    <row r="33" customFormat="false" ht="11.1" hidden="false" customHeight="true" outlineLevel="0" collapsed="false">
      <c r="A33" s="11" t="n">
        <f aca="false">A32+1</f>
        <v>24</v>
      </c>
      <c r="B33" s="25" t="n">
        <v>6915.18</v>
      </c>
      <c r="C33" s="6" t="n">
        <v>343124</v>
      </c>
      <c r="D33" s="10" t="n">
        <f aca="false">C33-C32</f>
        <v>-668</v>
      </c>
      <c r="E33" s="6" t="n">
        <f aca="false">C33-152000</f>
        <v>191124</v>
      </c>
      <c r="F33" s="5" t="n">
        <f aca="false">D33/$D$2</f>
        <v>-336.778421981346</v>
      </c>
      <c r="G33" s="5" t="n">
        <v>1488.7</v>
      </c>
      <c r="H33" s="7" t="n">
        <v>286.1</v>
      </c>
      <c r="I33" s="5" t="n">
        <f aca="false">G33+H33</f>
        <v>1774.8</v>
      </c>
      <c r="J33" s="105" t="n">
        <f aca="false">IF(L33&gt;0,L33,0)</f>
        <v>814.021578018654</v>
      </c>
      <c r="K33" s="5" t="n">
        <f aca="false">I33+J33</f>
        <v>2588.82157801865</v>
      </c>
      <c r="L33" s="5" t="n">
        <f aca="false">F33-(I33-X33)</f>
        <v>814.021578018654</v>
      </c>
      <c r="M33" s="5" t="n">
        <v>55.6</v>
      </c>
      <c r="N33" s="5" t="n">
        <v>0</v>
      </c>
      <c r="O33" s="5" t="n">
        <v>0</v>
      </c>
      <c r="P33" s="5" t="n">
        <f aca="false">M33-(N33+O33)</f>
        <v>55.6</v>
      </c>
      <c r="Q33" s="5" t="n">
        <v>0</v>
      </c>
      <c r="R33" s="5" t="n">
        <v>0</v>
      </c>
      <c r="S33" s="5" t="n">
        <f aca="false">SUM(P33:R33)</f>
        <v>55.6</v>
      </c>
      <c r="T33" s="6" t="n">
        <v>0</v>
      </c>
      <c r="U33" s="5" t="n">
        <v>0</v>
      </c>
      <c r="V33" s="5" t="n">
        <v>2870</v>
      </c>
      <c r="W33" s="6" t="n">
        <f aca="false">W31</f>
        <v>10847</v>
      </c>
      <c r="X33" s="5" t="n">
        <f aca="false">N33+O33+S33+U33+V33</f>
        <v>2925.6</v>
      </c>
      <c r="Y33" s="5" t="n">
        <f aca="false">IF(L33&lt;0,L33*-1,0)</f>
        <v>0</v>
      </c>
      <c r="Z33" s="5" t="n">
        <f aca="false">X33+Y33</f>
        <v>2925.6</v>
      </c>
      <c r="AA33" s="38" t="n">
        <v>0.05</v>
      </c>
      <c r="AB33" s="10" t="n">
        <v>62</v>
      </c>
      <c r="AC33" s="35" t="n">
        <v>34</v>
      </c>
      <c r="AD33" s="11" t="n">
        <f aca="false">AD32+1</f>
        <v>24</v>
      </c>
      <c r="AE33" s="10"/>
      <c r="AG33" s="5"/>
    </row>
    <row r="34" customFormat="false" ht="11.1" hidden="false" customHeight="true" outlineLevel="0" collapsed="false">
      <c r="A34" s="11" t="n">
        <f aca="false">A33+1</f>
        <v>25</v>
      </c>
      <c r="B34" s="25" t="n">
        <v>6915.04</v>
      </c>
      <c r="C34" s="6" t="n">
        <v>342539</v>
      </c>
      <c r="D34" s="10" t="n">
        <f aca="false">C34-C33</f>
        <v>-585</v>
      </c>
      <c r="E34" s="6" t="n">
        <f aca="false">C34-152000</f>
        <v>190539</v>
      </c>
      <c r="F34" s="5" t="n">
        <f aca="false">D34/$D$2</f>
        <v>-294.933198890849</v>
      </c>
      <c r="G34" s="5" t="n">
        <v>1255.8</v>
      </c>
      <c r="H34" s="7" t="n">
        <v>191.1</v>
      </c>
      <c r="I34" s="5" t="n">
        <f aca="false">G34+H34</f>
        <v>1446.9</v>
      </c>
      <c r="J34" s="105" t="n">
        <f aca="false">IF(L34&gt;0,L34,0)</f>
        <v>1153.76680110915</v>
      </c>
      <c r="K34" s="5" t="n">
        <f aca="false">I34+J34</f>
        <v>2600.66680110915</v>
      </c>
      <c r="L34" s="5" t="n">
        <f aca="false">F34-(I34-X34)</f>
        <v>1153.76680110915</v>
      </c>
      <c r="M34" s="5" t="n">
        <v>55.6</v>
      </c>
      <c r="N34" s="5" t="n">
        <v>0</v>
      </c>
      <c r="O34" s="5" t="n">
        <v>0</v>
      </c>
      <c r="P34" s="5" t="n">
        <f aca="false">M34-(N34+O34)</f>
        <v>55.6</v>
      </c>
      <c r="Q34" s="5" t="n">
        <v>0</v>
      </c>
      <c r="R34" s="5" t="n">
        <v>0</v>
      </c>
      <c r="S34" s="5" t="n">
        <f aca="false">SUM(P34:R34)</f>
        <v>55.6</v>
      </c>
      <c r="T34" s="6" t="n">
        <v>0</v>
      </c>
      <c r="U34" s="5" t="n">
        <v>0</v>
      </c>
      <c r="V34" s="5" t="n">
        <v>2840</v>
      </c>
      <c r="W34" s="6" t="n">
        <f aca="false">W32</f>
        <v>10847</v>
      </c>
      <c r="X34" s="5" t="n">
        <f aca="false">N34+O34+S34+U34+V34</f>
        <v>2895.6</v>
      </c>
      <c r="Y34" s="5" t="n">
        <f aca="false">IF(L34&lt;0,L34*-1,0)</f>
        <v>0</v>
      </c>
      <c r="Z34" s="5" t="n">
        <f aca="false">X34+Y34</f>
        <v>2895.6</v>
      </c>
      <c r="AA34" s="38" t="n">
        <v>0</v>
      </c>
      <c r="AB34" s="10" t="n">
        <v>66</v>
      </c>
      <c r="AC34" s="35" t="n">
        <v>31</v>
      </c>
      <c r="AD34" s="11" t="n">
        <f aca="false">AD33+1</f>
        <v>25</v>
      </c>
      <c r="AE34" s="10"/>
      <c r="AG34" s="5"/>
    </row>
    <row r="35" customFormat="false" ht="11.1" hidden="false" customHeight="true" outlineLevel="0" collapsed="false">
      <c r="A35" s="11" t="n">
        <f aca="false">A34+1</f>
        <v>26</v>
      </c>
      <c r="B35" s="25" t="n">
        <v>6915.13</v>
      </c>
      <c r="C35" s="6" t="n">
        <v>342915</v>
      </c>
      <c r="D35" s="10" t="n">
        <f aca="false">C35-C34</f>
        <v>376</v>
      </c>
      <c r="E35" s="6" t="n">
        <f aca="false">C35-152000</f>
        <v>190915</v>
      </c>
      <c r="F35" s="5" t="n">
        <f aca="false">D35/$D$2</f>
        <v>189.563902193093</v>
      </c>
      <c r="G35" s="5" t="n">
        <v>1455.6</v>
      </c>
      <c r="H35" s="7" t="n">
        <v>290.7</v>
      </c>
      <c r="I35" s="5" t="n">
        <f aca="false">G35+H35</f>
        <v>1746.3</v>
      </c>
      <c r="J35" s="105" t="n">
        <f aca="false">IF(L35&gt;0,L35,0)</f>
        <v>1315.76390219309</v>
      </c>
      <c r="K35" s="5" t="n">
        <f aca="false">I35+J35</f>
        <v>3062.06390219309</v>
      </c>
      <c r="L35" s="5" t="n">
        <f aca="false">F35-(I35-X35)</f>
        <v>1315.76390219309</v>
      </c>
      <c r="M35" s="5" t="n">
        <v>34.5</v>
      </c>
      <c r="N35" s="5" t="n">
        <v>0</v>
      </c>
      <c r="O35" s="5" t="n">
        <v>0</v>
      </c>
      <c r="P35" s="5" t="n">
        <f aca="false">M35-(N35+O35)</f>
        <v>34.5</v>
      </c>
      <c r="Q35" s="5" t="n">
        <v>0</v>
      </c>
      <c r="R35" s="5" t="n">
        <v>0</v>
      </c>
      <c r="S35" s="5" t="n">
        <f aca="false">SUM(P35:R35)</f>
        <v>34.5</v>
      </c>
      <c r="T35" s="6" t="n">
        <v>0</v>
      </c>
      <c r="U35" s="5" t="n">
        <v>0</v>
      </c>
      <c r="V35" s="5" t="n">
        <v>2838</v>
      </c>
      <c r="W35" s="6" t="n">
        <f aca="false">W33</f>
        <v>10847</v>
      </c>
      <c r="X35" s="5" t="n">
        <f aca="false">N35+O35+S35+U35+V35</f>
        <v>2872.5</v>
      </c>
      <c r="Y35" s="5" t="n">
        <f aca="false">IF(L35&lt;0,L35*-1,0)</f>
        <v>0</v>
      </c>
      <c r="Z35" s="5" t="n">
        <f aca="false">X35+Y35</f>
        <v>2872.5</v>
      </c>
      <c r="AA35" s="38" t="n">
        <v>0</v>
      </c>
      <c r="AB35" s="10" t="n">
        <v>68</v>
      </c>
      <c r="AC35" s="10" t="n">
        <v>34</v>
      </c>
      <c r="AD35" s="11" t="n">
        <f aca="false">AD34+1</f>
        <v>26</v>
      </c>
      <c r="AE35" s="10"/>
      <c r="AG35" s="3"/>
    </row>
    <row r="36" customFormat="false" ht="11.1" hidden="false" customHeight="true" outlineLevel="0" collapsed="false">
      <c r="A36" s="11" t="n">
        <f aca="false">A35+1</f>
        <v>27</v>
      </c>
      <c r="B36" s="25" t="n">
        <v>6915.33</v>
      </c>
      <c r="C36" s="6" t="n">
        <v>343750</v>
      </c>
      <c r="D36" s="10" t="n">
        <f aca="false">C36-C35</f>
        <v>835</v>
      </c>
      <c r="E36" s="6" t="n">
        <f aca="false">C36-152000</f>
        <v>191750</v>
      </c>
      <c r="F36" s="5" t="n">
        <f aca="false">D36/$D$2</f>
        <v>420.973027476683</v>
      </c>
      <c r="G36" s="5" t="n">
        <v>1813.6</v>
      </c>
      <c r="H36" s="7" t="n">
        <v>349.8</v>
      </c>
      <c r="I36" s="5" t="n">
        <f aca="false">G36+H36</f>
        <v>2163.4</v>
      </c>
      <c r="J36" s="105" t="n">
        <f aca="false">IF(L36&gt;0,L36,0)</f>
        <v>1120.07302747668</v>
      </c>
      <c r="K36" s="5" t="n">
        <f aca="false">I36+J36</f>
        <v>3283.47302747668</v>
      </c>
      <c r="L36" s="5" t="n">
        <f aca="false">F36-(I36-X36)</f>
        <v>1120.07302747668</v>
      </c>
      <c r="M36" s="5" t="n">
        <v>43.4</v>
      </c>
      <c r="N36" s="5" t="n">
        <v>0</v>
      </c>
      <c r="O36" s="5" t="n">
        <v>0</v>
      </c>
      <c r="P36" s="5" t="n">
        <f aca="false">M36-(N36+O36)</f>
        <v>43.4</v>
      </c>
      <c r="Q36" s="5" t="n">
        <v>0</v>
      </c>
      <c r="R36" s="5" t="n">
        <v>2.1</v>
      </c>
      <c r="S36" s="5" t="n">
        <f aca="false">SUM(P36:R36)</f>
        <v>45.5</v>
      </c>
      <c r="T36" s="6" t="n">
        <v>0</v>
      </c>
      <c r="U36" s="5" t="n">
        <v>5</v>
      </c>
      <c r="V36" s="5" t="n">
        <v>2812</v>
      </c>
      <c r="W36" s="6" t="n">
        <f aca="false">W34</f>
        <v>10847</v>
      </c>
      <c r="X36" s="5" t="n">
        <f aca="false">N36+O36+S36+U36+V36</f>
        <v>2862.5</v>
      </c>
      <c r="Y36" s="5" t="n">
        <f aca="false">IF(L36&lt;0,L36*-1,0)</f>
        <v>0</v>
      </c>
      <c r="Z36" s="5" t="n">
        <f aca="false">X36+Y36</f>
        <v>2862.5</v>
      </c>
      <c r="AA36" s="38" t="n">
        <v>0</v>
      </c>
      <c r="AB36" s="10" t="n">
        <v>68</v>
      </c>
      <c r="AC36" s="10" t="n">
        <v>36</v>
      </c>
      <c r="AD36" s="11" t="n">
        <f aca="false">AD35+1</f>
        <v>27</v>
      </c>
      <c r="AE36" s="10"/>
      <c r="AG36" s="5"/>
    </row>
    <row r="37" customFormat="false" ht="11.1" hidden="false" customHeight="true" outlineLevel="0" collapsed="false">
      <c r="A37" s="11" t="n">
        <f aca="false">A36+1</f>
        <v>28</v>
      </c>
      <c r="B37" s="25" t="n">
        <v>6915.53</v>
      </c>
      <c r="C37" s="6" t="n">
        <v>344585</v>
      </c>
      <c r="D37" s="10" t="n">
        <f aca="false">C37-C36</f>
        <v>835</v>
      </c>
      <c r="E37" s="6" t="n">
        <f aca="false">C37-152000</f>
        <v>192585</v>
      </c>
      <c r="F37" s="5" t="n">
        <f aca="false">D37/$D$2</f>
        <v>420.973027476683</v>
      </c>
      <c r="G37" s="5" t="n">
        <v>2070.2</v>
      </c>
      <c r="H37" s="7" t="n">
        <v>373.7</v>
      </c>
      <c r="I37" s="5" t="n">
        <f aca="false">G37+H37</f>
        <v>2443.9</v>
      </c>
      <c r="J37" s="105" t="n">
        <f aca="false">IF(L37&gt;0,L37,0)</f>
        <v>1057.37302747668</v>
      </c>
      <c r="K37" s="5" t="n">
        <f aca="false">I37+J37</f>
        <v>3501.27302747668</v>
      </c>
      <c r="L37" s="5" t="n">
        <f aca="false">F37-(I37-X37)</f>
        <v>1057.37302747668</v>
      </c>
      <c r="M37" s="5" t="n">
        <v>59.4</v>
      </c>
      <c r="N37" s="5" t="n">
        <v>0</v>
      </c>
      <c r="O37" s="5" t="n">
        <v>0</v>
      </c>
      <c r="P37" s="5" t="n">
        <f aca="false">M37-(N37+O37)</f>
        <v>59.4</v>
      </c>
      <c r="Q37" s="5" t="n">
        <v>0</v>
      </c>
      <c r="R37" s="5" t="n">
        <v>2.9</v>
      </c>
      <c r="S37" s="5" t="n">
        <f aca="false">SUM(P37:R37)</f>
        <v>62.3</v>
      </c>
      <c r="T37" s="6" t="n">
        <v>0</v>
      </c>
      <c r="U37" s="5" t="n">
        <v>5</v>
      </c>
      <c r="V37" s="5" t="n">
        <v>3013</v>
      </c>
      <c r="W37" s="6" t="n">
        <f aca="false">W35</f>
        <v>10847</v>
      </c>
      <c r="X37" s="5" t="n">
        <f aca="false">N37+O37+S37+U37+V37</f>
        <v>3080.3</v>
      </c>
      <c r="Y37" s="5" t="n">
        <f aca="false">IF(L37&lt;0,L37*-1,0)</f>
        <v>0</v>
      </c>
      <c r="Z37" s="5" t="n">
        <f aca="false">X37+Y37</f>
        <v>3080.3</v>
      </c>
      <c r="AA37" s="38" t="n">
        <v>0</v>
      </c>
      <c r="AB37" s="10" t="n">
        <v>68</v>
      </c>
      <c r="AC37" s="10" t="n">
        <v>39</v>
      </c>
      <c r="AD37" s="11" t="n">
        <f aca="false">AD36+1</f>
        <v>28</v>
      </c>
      <c r="AE37" s="10"/>
      <c r="AG37" s="5"/>
    </row>
    <row r="38" customFormat="false" ht="11.1" hidden="false" customHeight="true" outlineLevel="0" collapsed="false">
      <c r="A38" s="11" t="n">
        <f aca="false">A37+1</f>
        <v>29</v>
      </c>
      <c r="B38" s="25" t="n">
        <v>6915.53</v>
      </c>
      <c r="C38" s="6" t="n">
        <v>344585</v>
      </c>
      <c r="D38" s="10" t="n">
        <f aca="false">C38-C37</f>
        <v>0</v>
      </c>
      <c r="E38" s="6" t="n">
        <f aca="false">C38-152000</f>
        <v>192585</v>
      </c>
      <c r="F38" s="5" t="n">
        <f aca="false">D38/$D$2</f>
        <v>0</v>
      </c>
      <c r="G38" s="5" t="n">
        <v>2248</v>
      </c>
      <c r="H38" s="7" t="n">
        <v>394.7</v>
      </c>
      <c r="I38" s="5" t="n">
        <f aca="false">G38+H38</f>
        <v>2642.7</v>
      </c>
      <c r="J38" s="105" t="n">
        <f aca="false">IF(L38&gt;0,L38,0)</f>
        <v>888.9</v>
      </c>
      <c r="K38" s="5" t="n">
        <f aca="false">I38+J38</f>
        <v>3531.6</v>
      </c>
      <c r="L38" s="5" t="n">
        <f aca="false">F38-(I38-X38)</f>
        <v>888.9</v>
      </c>
      <c r="M38" s="5" t="n">
        <v>75.2</v>
      </c>
      <c r="N38" s="5" t="n">
        <v>0</v>
      </c>
      <c r="O38" s="5" t="n">
        <v>0</v>
      </c>
      <c r="P38" s="5" t="n">
        <f aca="false">M38-(N38+O38)</f>
        <v>75.2</v>
      </c>
      <c r="Q38" s="5" t="n">
        <v>0</v>
      </c>
      <c r="R38" s="5" t="n">
        <v>4.4</v>
      </c>
      <c r="S38" s="5" t="n">
        <f aca="false">SUM(P38:R38)</f>
        <v>79.6</v>
      </c>
      <c r="T38" s="6" t="n">
        <v>0</v>
      </c>
      <c r="U38" s="5" t="n">
        <v>10</v>
      </c>
      <c r="V38" s="5" t="n">
        <v>3442</v>
      </c>
      <c r="W38" s="6" t="n">
        <f aca="false">W36</f>
        <v>10847</v>
      </c>
      <c r="X38" s="5" t="n">
        <f aca="false">N38+O38+S38+U38+V38</f>
        <v>3531.6</v>
      </c>
      <c r="Y38" s="5" t="n">
        <f aca="false">IF(L38&lt;0,L38*-1,0)</f>
        <v>0</v>
      </c>
      <c r="Z38" s="5" t="n">
        <f aca="false">X38+Y38</f>
        <v>3531.6</v>
      </c>
      <c r="AA38" s="38" t="n">
        <v>0</v>
      </c>
      <c r="AB38" s="35" t="n">
        <v>67</v>
      </c>
      <c r="AC38" s="10" t="n">
        <v>42</v>
      </c>
      <c r="AD38" s="11" t="n">
        <f aca="false">AD37+1</f>
        <v>29</v>
      </c>
      <c r="AE38" s="10"/>
      <c r="AG38" s="5"/>
    </row>
    <row r="39" customFormat="false" ht="11.1" hidden="false" customHeight="true" outlineLevel="0" collapsed="false">
      <c r="A39" s="11" t="n">
        <v>30</v>
      </c>
      <c r="B39" s="25" t="n">
        <v>6915.36</v>
      </c>
      <c r="C39" s="6" t="n">
        <v>343875</v>
      </c>
      <c r="D39" s="10" t="n">
        <f aca="false">C39-C38</f>
        <v>-710</v>
      </c>
      <c r="E39" s="6" t="n">
        <f aca="false">C39-152000</f>
        <v>191875</v>
      </c>
      <c r="F39" s="5" t="n">
        <f aca="false">D39/$D$2</f>
        <v>-357.953113183766</v>
      </c>
      <c r="G39" s="5" t="n">
        <v>2307.7</v>
      </c>
      <c r="H39" s="7" t="n">
        <v>376.6</v>
      </c>
      <c r="I39" s="5" t="n">
        <f aca="false">G39+H39</f>
        <v>2684.3</v>
      </c>
      <c r="J39" s="105" t="n">
        <f aca="false">IF(L39&gt;0,L39,0)</f>
        <v>644.146886816234</v>
      </c>
      <c r="K39" s="5" t="n">
        <f aca="false">I39+J39</f>
        <v>3328.44688681623</v>
      </c>
      <c r="L39" s="5" t="n">
        <f aca="false">F39-(I39-X39)</f>
        <v>644.146886816234</v>
      </c>
      <c r="M39" s="5" t="n">
        <v>91.6</v>
      </c>
      <c r="N39" s="5" t="n">
        <v>0</v>
      </c>
      <c r="O39" s="5" t="n">
        <v>0</v>
      </c>
      <c r="P39" s="5" t="n">
        <f aca="false">M39-(N39+O39)</f>
        <v>91.6</v>
      </c>
      <c r="Q39" s="5" t="n">
        <v>0</v>
      </c>
      <c r="R39" s="5" t="n">
        <v>5.8</v>
      </c>
      <c r="S39" s="5" t="n">
        <f aca="false">SUM(P39:R39)</f>
        <v>97.4</v>
      </c>
      <c r="T39" s="6" t="n">
        <v>0</v>
      </c>
      <c r="U39" s="5" t="n">
        <v>10</v>
      </c>
      <c r="V39" s="5" t="n">
        <v>3579</v>
      </c>
      <c r="W39" s="6" t="n">
        <f aca="false">W37</f>
        <v>10847</v>
      </c>
      <c r="X39" s="5" t="n">
        <f aca="false">N39+O39+S39+U39+V39</f>
        <v>3686.4</v>
      </c>
      <c r="Y39" s="5" t="n">
        <f aca="false">IF(L39&lt;0,L39*-1,0)</f>
        <v>0</v>
      </c>
      <c r="Z39" s="5" t="n">
        <f aca="false">X39+Y39</f>
        <v>3686.4</v>
      </c>
      <c r="AA39" s="38" t="n">
        <v>0</v>
      </c>
      <c r="AB39" s="35" t="n">
        <v>64</v>
      </c>
      <c r="AC39" s="10" t="n">
        <v>36</v>
      </c>
      <c r="AD39" s="11" t="n">
        <v>30</v>
      </c>
      <c r="AE39" s="10"/>
      <c r="AG39" s="5"/>
    </row>
    <row r="40" customFormat="false" ht="3" hidden="false" customHeight="true" outlineLevel="0" collapsed="false">
      <c r="A40" s="27"/>
      <c r="B40" s="27"/>
      <c r="C40" s="29"/>
      <c r="D40" s="27"/>
      <c r="E40" s="29"/>
      <c r="F40" s="27"/>
      <c r="G40" s="27"/>
      <c r="H40" s="30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9"/>
      <c r="U40" s="27"/>
      <c r="V40" s="27"/>
      <c r="W40" s="27"/>
      <c r="X40" s="27"/>
      <c r="Y40" s="27"/>
      <c r="Z40" s="27"/>
      <c r="AA40" s="104"/>
      <c r="AB40" s="32"/>
      <c r="AC40" s="32"/>
      <c r="AD40" s="33"/>
      <c r="AE40" s="99"/>
    </row>
    <row r="41" customFormat="false" ht="11.1" hidden="false" customHeight="true" outlineLevel="0" collapsed="false">
      <c r="A41" s="5" t="s">
        <v>43</v>
      </c>
      <c r="B41" s="5"/>
      <c r="C41" s="6"/>
      <c r="D41" s="6"/>
      <c r="E41" s="6"/>
      <c r="F41" s="6" t="n">
        <f aca="false">SUM(F10:F39)</f>
        <v>7931.93849256365</v>
      </c>
      <c r="G41" s="6" t="n">
        <f aca="false">SUM(G10:G39)</f>
        <v>28595.8</v>
      </c>
      <c r="H41" s="6" t="n">
        <f aca="false">SUM(H10:H39)</f>
        <v>6124.3</v>
      </c>
      <c r="I41" s="6" t="n">
        <f aca="false">SUM(I10:I39)</f>
        <v>34720.1</v>
      </c>
      <c r="J41" s="6" t="n">
        <f aca="false">SUM(J10:J39)</f>
        <v>26727.2384925637</v>
      </c>
      <c r="K41" s="6" t="n">
        <f aca="false">SUM(K10:K39)</f>
        <v>61447.3384925637</v>
      </c>
      <c r="L41" s="6" t="n">
        <f aca="false">SUM(L10:L39)</f>
        <v>26727.2384925637</v>
      </c>
      <c r="M41" s="6" t="n">
        <f aca="false">SUM(M10:M39)</f>
        <v>774.2</v>
      </c>
      <c r="N41" s="6" t="n">
        <f aca="false">SUM(N10:N39)</f>
        <v>0</v>
      </c>
      <c r="O41" s="6" t="n">
        <f aca="false">SUM(O10:O39)</f>
        <v>0</v>
      </c>
      <c r="P41" s="6" t="n">
        <f aca="false">SUM(P10:P39)</f>
        <v>774.2</v>
      </c>
      <c r="Q41" s="6" t="n">
        <f aca="false">SUM(Q10:Q39)</f>
        <v>0</v>
      </c>
      <c r="R41" s="6" t="n">
        <f aca="false">SUM(R10:R39)</f>
        <v>15.2</v>
      </c>
      <c r="S41" s="6" t="n">
        <f aca="false">SUM(S10:S39)</f>
        <v>789.4</v>
      </c>
      <c r="T41" s="6"/>
      <c r="U41" s="6" t="n">
        <f aca="false">SUM(U10:U39)</f>
        <v>30</v>
      </c>
      <c r="V41" s="6" t="n">
        <f aca="false">SUM(V10:V39)</f>
        <v>52696</v>
      </c>
      <c r="W41" s="6"/>
      <c r="X41" s="6" t="n">
        <f aca="false">SUM(X10:X39)</f>
        <v>53515.4</v>
      </c>
      <c r="Y41" s="6" t="n">
        <f aca="false">SUM(Y10:Y39)</f>
        <v>0</v>
      </c>
      <c r="Z41" s="6" t="n">
        <f aca="false">SUM(Z10:Z39)</f>
        <v>53515.4</v>
      </c>
      <c r="AA41" s="38" t="n">
        <f aca="false">SUM(AA10:AA39)</f>
        <v>0.33</v>
      </c>
      <c r="AB41" s="10" t="n">
        <f aca="false">AVERAGE(AB10:AB39)</f>
        <v>57.7333333333333</v>
      </c>
      <c r="AC41" s="10" t="n">
        <f aca="false">AVERAGE(AC10:AC39)</f>
        <v>30.6666666666667</v>
      </c>
      <c r="AD41" s="11" t="s">
        <v>71</v>
      </c>
      <c r="AE41" s="99"/>
    </row>
    <row r="42" customFormat="false" ht="11.1" hidden="false" customHeight="true" outlineLevel="0" collapsed="false">
      <c r="A42" s="5" t="s">
        <v>44</v>
      </c>
      <c r="B42" s="5"/>
      <c r="C42" s="6"/>
      <c r="D42" s="6" t="n">
        <f aca="false">SUM(D10:D39)</f>
        <v>15733</v>
      </c>
      <c r="E42" s="6"/>
      <c r="F42" s="6" t="n">
        <f aca="false">F41*$D$2</f>
        <v>15733</v>
      </c>
      <c r="G42" s="6" t="n">
        <f aca="false">G41*$D$2</f>
        <v>56719.7693</v>
      </c>
      <c r="H42" s="6" t="n">
        <f aca="false">H41*$D$2</f>
        <v>12147.54905</v>
      </c>
      <c r="I42" s="6" t="n">
        <f aca="false">I41*$D$2</f>
        <v>68867.31835</v>
      </c>
      <c r="J42" s="6" t="n">
        <f aca="false">J41*$D$2</f>
        <v>53013.47755</v>
      </c>
      <c r="K42" s="6" t="n">
        <f aca="false">K41*$D$2</f>
        <v>121880.7959</v>
      </c>
      <c r="L42" s="6" t="n">
        <f aca="false">L41*$D$2</f>
        <v>53013.47755</v>
      </c>
      <c r="M42" s="6" t="n">
        <f aca="false">M41*$D$2</f>
        <v>1535.6257</v>
      </c>
      <c r="N42" s="6" t="n">
        <f aca="false">N41*$D$2</f>
        <v>0</v>
      </c>
      <c r="O42" s="6" t="n">
        <f aca="false">O41*$D$2</f>
        <v>0</v>
      </c>
      <c r="P42" s="6" t="n">
        <f aca="false">P41*$D$2</f>
        <v>1535.6257</v>
      </c>
      <c r="Q42" s="6" t="n">
        <f aca="false">Q41*$D$2</f>
        <v>0</v>
      </c>
      <c r="R42" s="6" t="n">
        <f aca="false">R41*$D$2</f>
        <v>30.1492</v>
      </c>
      <c r="S42" s="6" t="n">
        <f aca="false">S41*$D$2</f>
        <v>1565.7749</v>
      </c>
      <c r="T42" s="6"/>
      <c r="U42" s="6" t="n">
        <f aca="false">U41*$D$2</f>
        <v>59.505</v>
      </c>
      <c r="V42" s="6" t="n">
        <f aca="false">V41*$D$2</f>
        <v>104522.516</v>
      </c>
      <c r="W42" s="6"/>
      <c r="X42" s="6" t="n">
        <f aca="false">X41*$D$2</f>
        <v>106147.7959</v>
      </c>
      <c r="Y42" s="6" t="n">
        <f aca="false">Y41*$D$2</f>
        <v>0</v>
      </c>
      <c r="Z42" s="6" t="n">
        <f aca="false">Z41*$D$2</f>
        <v>106147.7959</v>
      </c>
      <c r="AA42" s="38"/>
      <c r="AB42" s="10" t="n">
        <f aca="false">MAX(AB10:AB39)</f>
        <v>70</v>
      </c>
      <c r="AC42" s="10" t="n">
        <f aca="false">MAX(AC10:AC39)</f>
        <v>42</v>
      </c>
      <c r="AD42" s="11" t="s">
        <v>45</v>
      </c>
      <c r="AE42" s="99"/>
    </row>
    <row r="43" customFormat="false" ht="3" hidden="false" customHeight="true" outlineLevel="0" collapsed="false">
      <c r="A43" s="27"/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7"/>
      <c r="X43" s="29"/>
      <c r="Y43" s="29"/>
      <c r="Z43" s="29"/>
      <c r="AA43" s="38"/>
      <c r="AB43" s="10"/>
      <c r="AC43" s="10"/>
      <c r="AD43" s="11"/>
      <c r="AE43" s="99"/>
    </row>
    <row r="44" customFormat="false" ht="11.1" hidden="false" customHeight="true" outlineLevel="0" collapsed="false">
      <c r="A44" s="5" t="s">
        <v>46</v>
      </c>
      <c r="B44" s="5"/>
      <c r="C44" s="6"/>
      <c r="D44" s="6"/>
      <c r="E44" s="6"/>
      <c r="F44" s="6" t="n">
        <f aca="false">F7+F41</f>
        <v>7931.93849256365</v>
      </c>
      <c r="G44" s="6" t="n">
        <f aca="false">G7+G41</f>
        <v>28595.8</v>
      </c>
      <c r="H44" s="10" t="n">
        <f aca="false">H7+H41</f>
        <v>6124.3</v>
      </c>
      <c r="I44" s="6" t="n">
        <f aca="false">I7+I41</f>
        <v>34720.1</v>
      </c>
      <c r="J44" s="6" t="n">
        <f aca="false">J7+J41</f>
        <v>26727.2384925637</v>
      </c>
      <c r="K44" s="6" t="n">
        <f aca="false">K7+K41</f>
        <v>61447.3384925637</v>
      </c>
      <c r="L44" s="6" t="n">
        <f aca="false">L7+L41</f>
        <v>26727.2384925637</v>
      </c>
      <c r="M44" s="6" t="n">
        <f aca="false">M7+M41</f>
        <v>774.2</v>
      </c>
      <c r="N44" s="6" t="n">
        <f aca="false">N7+N41</f>
        <v>0</v>
      </c>
      <c r="O44" s="6" t="n">
        <f aca="false">O7+O41</f>
        <v>0</v>
      </c>
      <c r="P44" s="6" t="n">
        <f aca="false">P7+P41</f>
        <v>774.2</v>
      </c>
      <c r="Q44" s="6" t="n">
        <f aca="false">Q7+Q41</f>
        <v>0</v>
      </c>
      <c r="R44" s="6" t="n">
        <f aca="false">R7+R41</f>
        <v>15.2</v>
      </c>
      <c r="S44" s="6" t="n">
        <f aca="false">S7+S41</f>
        <v>789.4</v>
      </c>
      <c r="T44" s="6" t="n">
        <f aca="false">T39</f>
        <v>0</v>
      </c>
      <c r="U44" s="6" t="n">
        <f aca="false">U7+U41</f>
        <v>30</v>
      </c>
      <c r="V44" s="6" t="n">
        <f aca="false">V7+V41</f>
        <v>52696</v>
      </c>
      <c r="W44" s="6"/>
      <c r="X44" s="6" t="n">
        <f aca="false">X7+X41</f>
        <v>53515.4</v>
      </c>
      <c r="Y44" s="6" t="n">
        <f aca="false">Y7+Y41</f>
        <v>0</v>
      </c>
      <c r="Z44" s="6" t="n">
        <f aca="false">Z7+Z41</f>
        <v>53515.4</v>
      </c>
      <c r="AA44" s="38"/>
      <c r="AB44" s="10" t="n">
        <f aca="false">MIN(AB10:AB39)</f>
        <v>41</v>
      </c>
      <c r="AC44" s="10" t="n">
        <f aca="false">MIN(AC10:AC39)</f>
        <v>16</v>
      </c>
      <c r="AD44" s="11" t="s">
        <v>47</v>
      </c>
      <c r="AE44" s="99"/>
    </row>
    <row r="45" customFormat="false" ht="11.1" hidden="false" customHeight="true" outlineLevel="0" collapsed="false">
      <c r="A45" s="5" t="s">
        <v>48</v>
      </c>
      <c r="B45" s="5"/>
      <c r="C45" s="6"/>
      <c r="D45" s="6"/>
      <c r="E45" s="6"/>
      <c r="F45" s="6" t="n">
        <f aca="false">F44*$D$2</f>
        <v>15733</v>
      </c>
      <c r="G45" s="6" t="n">
        <f aca="false">G44*$D$2</f>
        <v>56719.7693</v>
      </c>
      <c r="H45" s="10" t="n">
        <f aca="false">H44*$D$2</f>
        <v>12147.54905</v>
      </c>
      <c r="I45" s="6" t="n">
        <f aca="false">I44*$D$2</f>
        <v>68867.31835</v>
      </c>
      <c r="J45" s="6" t="n">
        <f aca="false">J44*$D$2</f>
        <v>53013.47755</v>
      </c>
      <c r="K45" s="6" t="n">
        <f aca="false">K44*$D$2</f>
        <v>121880.7959</v>
      </c>
      <c r="L45" s="6" t="n">
        <f aca="false">L44*$D$2</f>
        <v>53013.47755</v>
      </c>
      <c r="M45" s="6" t="n">
        <f aca="false">M44*$D$2</f>
        <v>1535.6257</v>
      </c>
      <c r="N45" s="6" t="n">
        <f aca="false">N44*$D$2</f>
        <v>0</v>
      </c>
      <c r="O45" s="6" t="n">
        <f aca="false">O44*$D$2</f>
        <v>0</v>
      </c>
      <c r="P45" s="6" t="n">
        <f aca="false">P44*$D$2</f>
        <v>1535.6257</v>
      </c>
      <c r="Q45" s="6" t="n">
        <f aca="false">Q44*$D$2</f>
        <v>0</v>
      </c>
      <c r="R45" s="6" t="n">
        <f aca="false">R44*$D$2</f>
        <v>30.1492</v>
      </c>
      <c r="S45" s="6" t="n">
        <f aca="false">S44*$D$2</f>
        <v>1565.7749</v>
      </c>
      <c r="T45" s="6" t="n">
        <f aca="false">T44*$D$2</f>
        <v>0</v>
      </c>
      <c r="U45" s="6" t="n">
        <f aca="false">U44*$D$2</f>
        <v>59.505</v>
      </c>
      <c r="V45" s="6" t="n">
        <f aca="false">V44*$D$2</f>
        <v>104522.516</v>
      </c>
      <c r="W45" s="6"/>
      <c r="X45" s="6" t="n">
        <f aca="false">X44*$D$2</f>
        <v>106147.7959</v>
      </c>
      <c r="Y45" s="6" t="n">
        <f aca="false">Y44*$D$2</f>
        <v>0</v>
      </c>
      <c r="Z45" s="6" t="n">
        <f aca="false">Z44*$D$2</f>
        <v>106147.7959</v>
      </c>
      <c r="AA45" s="38"/>
      <c r="AB45" s="10"/>
      <c r="AC45" s="10"/>
      <c r="AD45" s="11"/>
      <c r="AE45" s="99"/>
    </row>
    <row r="46" customFormat="false" ht="3" hidden="false" customHeight="true" outlineLevel="0" collapsed="false">
      <c r="A46" s="27"/>
      <c r="B46" s="27"/>
      <c r="C46" s="29"/>
      <c r="D46" s="29"/>
      <c r="E46" s="29"/>
      <c r="F46" s="29"/>
      <c r="G46" s="29"/>
      <c r="H46" s="32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104"/>
      <c r="AB46" s="10"/>
      <c r="AC46" s="10"/>
      <c r="AD46" s="11"/>
      <c r="AE46" s="99"/>
    </row>
    <row r="47" customFormat="false" ht="11.1" hidden="false" customHeight="true" outlineLevel="0" collapsed="false">
      <c r="A47" s="5" t="s">
        <v>49</v>
      </c>
      <c r="B47" s="5"/>
      <c r="C47" s="6"/>
      <c r="D47" s="6"/>
      <c r="E47" s="6"/>
      <c r="F47" s="6" t="n">
        <f aca="false">F8+F41</f>
        <v>20114.9483236703</v>
      </c>
      <c r="G47" s="6" t="n">
        <f aca="false">G8+G41</f>
        <v>46202.4</v>
      </c>
      <c r="H47" s="10" t="n">
        <f aca="false">H8+H41</f>
        <v>9303.9</v>
      </c>
      <c r="I47" s="6" t="n">
        <f aca="false">I8+I41</f>
        <v>55506.3</v>
      </c>
      <c r="J47" s="6" t="n">
        <f aca="false">J8+J41</f>
        <v>34268.0773380388</v>
      </c>
      <c r="K47" s="6" t="n">
        <f aca="false">K8+K41</f>
        <v>89774.3773380388</v>
      </c>
      <c r="L47" s="6" t="n">
        <f aca="false">L8+L41</f>
        <v>33263.1483236703</v>
      </c>
      <c r="M47" s="6" t="n">
        <f aca="false">M8+M41</f>
        <v>1862.5</v>
      </c>
      <c r="N47" s="6" t="n">
        <f aca="false">N8+N41</f>
        <v>0.08</v>
      </c>
      <c r="O47" s="6" t="n">
        <f aca="false">O8+O41</f>
        <v>0</v>
      </c>
      <c r="P47" s="6" t="n">
        <f aca="false">P8+P41</f>
        <v>1190.72</v>
      </c>
      <c r="Q47" s="6" t="n">
        <f aca="false">Q8+Q41</f>
        <v>0</v>
      </c>
      <c r="R47" s="6" t="n">
        <f aca="false">R8+R41</f>
        <v>193.9</v>
      </c>
      <c r="S47" s="6" t="n">
        <f aca="false">S8+S41</f>
        <v>2056.32</v>
      </c>
      <c r="T47" s="6"/>
      <c r="U47" s="6" t="n">
        <f aca="false">U8+U41</f>
        <v>30</v>
      </c>
      <c r="V47" s="6" t="n">
        <f aca="false">V8+V41</f>
        <v>66568.1</v>
      </c>
      <c r="W47" s="6" t="n">
        <f aca="false">W39</f>
        <v>10847</v>
      </c>
      <c r="X47" s="6" t="n">
        <f aca="false">X8+X41</f>
        <v>68654.5</v>
      </c>
      <c r="Y47" s="6" t="n">
        <f aca="false">Y8+Y41</f>
        <v>1004.92901436854</v>
      </c>
      <c r="Z47" s="6" t="n">
        <f aca="false">Z8+Z41</f>
        <v>69659.4290143685</v>
      </c>
      <c r="AA47" s="38" t="n">
        <f aca="false">AA8+AA41</f>
        <v>11.67</v>
      </c>
      <c r="AB47" s="10"/>
      <c r="AC47" s="10"/>
      <c r="AD47" s="11"/>
      <c r="AE47" s="99"/>
    </row>
    <row r="48" customFormat="false" ht="11.1" hidden="false" customHeight="true" outlineLevel="0" collapsed="false">
      <c r="A48" s="5" t="s">
        <v>50</v>
      </c>
      <c r="B48" s="5"/>
      <c r="C48" s="6"/>
      <c r="D48" s="6" t="n">
        <f aca="false">D8+D42</f>
        <v>39898</v>
      </c>
      <c r="E48" s="6" t="n">
        <f aca="false">E39</f>
        <v>191875</v>
      </c>
      <c r="F48" s="6" t="n">
        <f aca="false">F47*$D$2</f>
        <v>39898</v>
      </c>
      <c r="G48" s="6" t="n">
        <f aca="false">G47*$D$2</f>
        <v>91642.4604</v>
      </c>
      <c r="H48" s="10" t="n">
        <f aca="false">H47*$D$2</f>
        <v>18454.28565</v>
      </c>
      <c r="I48" s="6" t="n">
        <f aca="false">I47*$D$2</f>
        <v>110096.74605</v>
      </c>
      <c r="J48" s="6" t="n">
        <f aca="false">J47*$D$2</f>
        <v>67970.7314</v>
      </c>
      <c r="K48" s="6" t="n">
        <f aca="false">K47*$D$2</f>
        <v>178067.47745</v>
      </c>
      <c r="L48" s="6" t="n">
        <f aca="false">L47*$D$2</f>
        <v>65977.4547</v>
      </c>
      <c r="M48" s="6" t="n">
        <f aca="false">M47*$D$2</f>
        <v>3694.26875</v>
      </c>
      <c r="N48" s="6" t="n">
        <f aca="false">N47*$D$2</f>
        <v>0.15868</v>
      </c>
      <c r="O48" s="6" t="n">
        <f aca="false">O47*$D$2</f>
        <v>0</v>
      </c>
      <c r="P48" s="6" t="n">
        <f aca="false">P47*$D$2</f>
        <v>2361.79312</v>
      </c>
      <c r="Q48" s="6" t="n">
        <f aca="false">Q47*$D$2</f>
        <v>0</v>
      </c>
      <c r="R48" s="6" t="n">
        <f aca="false">R47*$D$2</f>
        <v>384.60065</v>
      </c>
      <c r="S48" s="6" t="n">
        <f aca="false">S47*$D$2</f>
        <v>4078.71072</v>
      </c>
      <c r="T48" s="6" t="n">
        <f aca="false">T47*$D$2</f>
        <v>0</v>
      </c>
      <c r="U48" s="6" t="n">
        <f aca="false">U47*$D$2</f>
        <v>59.505</v>
      </c>
      <c r="V48" s="6" t="n">
        <f aca="false">V47*$D$2</f>
        <v>132037.82635</v>
      </c>
      <c r="W48" s="6" t="n">
        <f aca="false">W47*$D$2</f>
        <v>21515.0245</v>
      </c>
      <c r="X48" s="6" t="n">
        <f aca="false">X47*$D$2</f>
        <v>136176.20075</v>
      </c>
      <c r="Y48" s="6" t="n">
        <f aca="false">Y47*$D$2</f>
        <v>1993.2767</v>
      </c>
      <c r="Z48" s="6" t="n">
        <f aca="false">Z47*$D$2</f>
        <v>138169.47745</v>
      </c>
      <c r="AA48" s="38"/>
      <c r="AB48" s="10"/>
      <c r="AC48" s="10"/>
      <c r="AD48" s="11"/>
      <c r="AE48" s="99"/>
    </row>
    <row r="49" customFormat="false" ht="3" hidden="false" customHeight="true" outlineLevel="0" collapsed="false">
      <c r="A49" s="27"/>
      <c r="B49" s="27"/>
      <c r="C49" s="29"/>
      <c r="D49" s="27"/>
      <c r="E49" s="29"/>
      <c r="F49" s="27"/>
      <c r="G49" s="27"/>
      <c r="H49" s="30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9"/>
      <c r="U49" s="27"/>
      <c r="V49" s="27"/>
      <c r="W49" s="29"/>
      <c r="X49" s="27"/>
      <c r="Y49" s="27"/>
      <c r="Z49" s="27"/>
      <c r="AA49" s="38"/>
      <c r="AB49" s="10"/>
      <c r="AC49" s="10"/>
      <c r="AD49" s="11"/>
      <c r="AE49" s="99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I21" activePane="bottomRight" state="frozen"/>
      <selection pane="topLeft" activeCell="A1" activeCellId="0" sqref="A1"/>
      <selection pane="topRight" activeCell="I1" activeCellId="0" sqref="I1"/>
      <selection pane="bottomLeft" activeCell="A21" activeCellId="0" sqref="A21"/>
      <selection pane="bottomRight" activeCell="I52" activeCellId="0" sqref="I52"/>
    </sheetView>
  </sheetViews>
  <sheetFormatPr defaultColWidth="9.328125" defaultRowHeight="11.1" zeroHeight="false" outlineLevelRow="0" outlineLevelCol="0"/>
  <cols>
    <col collapsed="false" customWidth="true" hidden="false" outlineLevel="0" max="1" min="1" style="41" width="7.16"/>
    <col collapsed="false" customWidth="true" hidden="false" outlineLevel="0" max="2" min="2" style="41" width="7.82"/>
    <col collapsed="false" customWidth="true" hidden="false" outlineLevel="0" max="3" min="3" style="42" width="7.66"/>
    <col collapsed="false" customWidth="true" hidden="false" outlineLevel="0" max="4" min="4" style="41" width="6.99"/>
    <col collapsed="false" customWidth="true" hidden="false" outlineLevel="0" max="5" min="5" style="42" width="7.66"/>
    <col collapsed="false" customWidth="true" hidden="false" outlineLevel="0" max="6" min="6" style="41" width="7.66"/>
    <col collapsed="false" customWidth="true" hidden="false" outlineLevel="0" max="7" min="7" style="41" width="7.16"/>
    <col collapsed="false" customWidth="true" hidden="false" outlineLevel="0" max="8" min="8" style="44" width="6.66"/>
    <col collapsed="false" customWidth="true" hidden="false" outlineLevel="0" max="9" min="9" style="41" width="7.99"/>
    <col collapsed="false" customWidth="true" hidden="false" outlineLevel="0" max="10" min="10" style="41" width="6.66"/>
    <col collapsed="false" customWidth="true" hidden="false" outlineLevel="0" max="12" min="11" style="41" width="7.16"/>
    <col collapsed="false" customWidth="true" hidden="false" outlineLevel="0" max="13" min="13" style="44" width="6.16"/>
    <col collapsed="false" customWidth="true" hidden="true" outlineLevel="0" max="14" min="14" style="44" width="7.32"/>
    <col collapsed="false" customWidth="true" hidden="false" outlineLevel="0" max="15" min="15" style="44" width="6.49"/>
    <col collapsed="false" customWidth="true" hidden="false" outlineLevel="0" max="16" min="16" style="41" width="7.16"/>
    <col collapsed="false" customWidth="true" hidden="false" outlineLevel="0" max="17" min="17" style="41" width="6.32"/>
    <col collapsed="false" customWidth="true" hidden="false" outlineLevel="0" max="18" min="18" style="41" width="5.82"/>
    <col collapsed="false" customWidth="true" hidden="false" outlineLevel="0" max="19" min="19" style="42" width="6.82"/>
    <col collapsed="false" customWidth="true" hidden="false" outlineLevel="0" max="20" min="20" style="41" width="7.66"/>
    <col collapsed="false" customWidth="true" hidden="false" outlineLevel="0" max="21" min="21" style="41" width="5.82"/>
    <col collapsed="false" customWidth="true" hidden="false" outlineLevel="0" max="22" min="22" style="42" width="6.66"/>
    <col collapsed="false" customWidth="true" hidden="false" outlineLevel="0" max="23" min="23" style="41" width="6.82"/>
    <col collapsed="false" customWidth="true" hidden="false" outlineLevel="0" max="25" min="24" style="41" width="7.82"/>
    <col collapsed="false" customWidth="true" hidden="false" outlineLevel="0" max="26" min="26" style="45" width="8.16"/>
    <col collapsed="false" customWidth="true" hidden="false" outlineLevel="0" max="27" min="27" style="43" width="5.49"/>
    <col collapsed="false" customWidth="true" hidden="false" outlineLevel="0" max="28" min="28" style="46" width="4.66"/>
    <col collapsed="false" customWidth="true" hidden="false" outlineLevel="0" max="29" min="29" style="47" width="4.66"/>
    <col collapsed="false" customWidth="true" hidden="false" outlineLevel="0" max="30" min="30" style="41" width="5.66"/>
    <col collapsed="false" customWidth="false" hidden="false" outlineLevel="0" max="257" min="31" style="41" width="9.32"/>
  </cols>
  <sheetData>
    <row r="1" customFormat="false" ht="14.1" hidden="false" customHeight="true" outlineLevel="0" collapsed="false">
      <c r="A1" s="55"/>
      <c r="B1" s="55"/>
      <c r="C1" s="57"/>
      <c r="D1" s="55"/>
      <c r="E1" s="57"/>
      <c r="F1" s="55"/>
      <c r="G1" s="55"/>
      <c r="H1" s="61"/>
      <c r="I1" s="55"/>
      <c r="J1" s="55"/>
      <c r="K1" s="65" t="s">
        <v>0</v>
      </c>
      <c r="L1" s="55"/>
      <c r="M1" s="55"/>
      <c r="N1" s="55"/>
      <c r="O1" s="55"/>
      <c r="P1" s="55"/>
      <c r="Q1" s="55"/>
      <c r="R1" s="55"/>
      <c r="S1" s="57"/>
      <c r="T1" s="55"/>
      <c r="U1" s="55"/>
      <c r="V1" s="57"/>
      <c r="W1" s="55"/>
      <c r="X1" s="55"/>
      <c r="Y1" s="55"/>
      <c r="Z1" s="62"/>
      <c r="AA1" s="58"/>
      <c r="AB1" s="51"/>
      <c r="AC1" s="48"/>
      <c r="AD1" s="67"/>
    </row>
    <row r="2" customFormat="false" ht="14.1" hidden="false" customHeight="true" outlineLevel="0" collapsed="false">
      <c r="A2" s="55" t="s">
        <v>1</v>
      </c>
      <c r="B2" s="55"/>
      <c r="C2" s="57"/>
      <c r="D2" s="68" t="n">
        <v>1.9835</v>
      </c>
      <c r="E2" s="57"/>
      <c r="F2" s="55"/>
      <c r="G2" s="55"/>
      <c r="H2" s="61"/>
      <c r="I2" s="55"/>
      <c r="J2" s="55"/>
      <c r="K2" s="69" t="s">
        <v>72</v>
      </c>
      <c r="L2" s="69"/>
      <c r="M2" s="69"/>
      <c r="N2" s="69"/>
      <c r="O2" s="69"/>
      <c r="P2" s="69"/>
      <c r="Q2" s="69"/>
      <c r="R2" s="69"/>
      <c r="S2" s="69"/>
      <c r="T2" s="69"/>
      <c r="U2" s="55"/>
      <c r="V2" s="57"/>
      <c r="W2" s="55"/>
      <c r="X2" s="55"/>
      <c r="Y2" s="55"/>
      <c r="Z2" s="62"/>
      <c r="AA2" s="58"/>
      <c r="AB2" s="51"/>
      <c r="AC2" s="48"/>
      <c r="AD2" s="67"/>
    </row>
    <row r="3" customFormat="false" ht="11.1" hidden="false" customHeight="true" outlineLevel="0" collapsed="false">
      <c r="A3" s="55"/>
      <c r="B3" s="55"/>
      <c r="C3" s="57"/>
      <c r="D3" s="70"/>
      <c r="E3" s="57"/>
      <c r="F3" s="55"/>
      <c r="G3" s="55"/>
      <c r="H3" s="61"/>
      <c r="I3" s="55"/>
      <c r="J3" s="55"/>
      <c r="K3" s="55"/>
      <c r="L3" s="55"/>
      <c r="M3" s="55"/>
      <c r="N3" s="55"/>
      <c r="O3" s="55"/>
      <c r="P3" s="55"/>
      <c r="Q3" s="55"/>
      <c r="R3" s="55"/>
      <c r="S3" s="57"/>
      <c r="T3" s="55"/>
      <c r="U3" s="55"/>
      <c r="V3" s="57"/>
      <c r="W3" s="55"/>
      <c r="X3" s="55"/>
      <c r="Y3" s="55"/>
      <c r="Z3" s="62"/>
      <c r="AA3" s="58"/>
      <c r="AB3" s="51"/>
      <c r="AC3" s="48"/>
      <c r="AD3" s="67"/>
    </row>
    <row r="4" customFormat="false" ht="11.1" hidden="false" customHeight="true" outlineLevel="0" collapsed="false">
      <c r="A4" s="71" t="s">
        <v>3</v>
      </c>
      <c r="B4" s="71" t="s">
        <v>4</v>
      </c>
      <c r="C4" s="72" t="s">
        <v>4</v>
      </c>
      <c r="D4" s="71" t="s">
        <v>5</v>
      </c>
      <c r="E4" s="72" t="s">
        <v>6</v>
      </c>
      <c r="F4" s="71" t="s">
        <v>7</v>
      </c>
      <c r="G4" s="71" t="s">
        <v>8</v>
      </c>
      <c r="H4" s="106" t="s">
        <v>9</v>
      </c>
      <c r="I4" s="71" t="s">
        <v>10</v>
      </c>
      <c r="J4" s="71" t="s">
        <v>11</v>
      </c>
      <c r="K4" s="71" t="s">
        <v>12</v>
      </c>
      <c r="L4" s="71" t="s">
        <v>11</v>
      </c>
      <c r="M4" s="71" t="s">
        <v>54</v>
      </c>
      <c r="N4" s="71"/>
      <c r="O4" s="71"/>
      <c r="P4" s="71"/>
      <c r="Q4" s="71" t="s">
        <v>55</v>
      </c>
      <c r="R4" s="71" t="s">
        <v>14</v>
      </c>
      <c r="S4" s="71" t="s">
        <v>12</v>
      </c>
      <c r="T4" s="72" t="s">
        <v>13</v>
      </c>
      <c r="U4" s="71" t="s">
        <v>15</v>
      </c>
      <c r="V4" s="71" t="s">
        <v>17</v>
      </c>
      <c r="W4" s="72" t="s">
        <v>18</v>
      </c>
      <c r="X4" s="71" t="s">
        <v>10</v>
      </c>
      <c r="Y4" s="71" t="s">
        <v>11</v>
      </c>
      <c r="Z4" s="71" t="s">
        <v>12</v>
      </c>
      <c r="AA4" s="73" t="s">
        <v>19</v>
      </c>
      <c r="AB4" s="49" t="s">
        <v>20</v>
      </c>
      <c r="AC4" s="49" t="s">
        <v>21</v>
      </c>
      <c r="AD4" s="49" t="s">
        <v>3</v>
      </c>
      <c r="AE4" s="67"/>
    </row>
    <row r="5" customFormat="false" ht="11.1" hidden="false" customHeight="true" outlineLevel="0" collapsed="false">
      <c r="A5" s="75" t="s">
        <v>73</v>
      </c>
      <c r="B5" s="71" t="s">
        <v>23</v>
      </c>
      <c r="C5" s="72" t="s">
        <v>5</v>
      </c>
      <c r="D5" s="71" t="s">
        <v>24</v>
      </c>
      <c r="E5" s="72" t="s">
        <v>25</v>
      </c>
      <c r="F5" s="71" t="s">
        <v>26</v>
      </c>
      <c r="G5" s="71" t="s">
        <v>27</v>
      </c>
      <c r="H5" s="106" t="s">
        <v>28</v>
      </c>
      <c r="I5" s="71" t="s">
        <v>29</v>
      </c>
      <c r="J5" s="71" t="s">
        <v>29</v>
      </c>
      <c r="K5" s="71" t="s">
        <v>29</v>
      </c>
      <c r="L5" s="71" t="s">
        <v>30</v>
      </c>
      <c r="M5" s="71" t="s">
        <v>57</v>
      </c>
      <c r="N5" s="71" t="s">
        <v>58</v>
      </c>
      <c r="O5" s="71" t="s">
        <v>59</v>
      </c>
      <c r="P5" s="71" t="s">
        <v>60</v>
      </c>
      <c r="Q5" s="71" t="s">
        <v>61</v>
      </c>
      <c r="R5" s="71" t="s">
        <v>62</v>
      </c>
      <c r="S5" s="71" t="s">
        <v>13</v>
      </c>
      <c r="T5" s="72" t="s">
        <v>34</v>
      </c>
      <c r="U5" s="71" t="s">
        <v>35</v>
      </c>
      <c r="V5" s="71" t="s">
        <v>37</v>
      </c>
      <c r="W5" s="72" t="s">
        <v>38</v>
      </c>
      <c r="X5" s="71" t="s">
        <v>39</v>
      </c>
      <c r="Y5" s="71" t="s">
        <v>39</v>
      </c>
      <c r="Z5" s="71" t="s">
        <v>39</v>
      </c>
      <c r="AA5" s="76"/>
      <c r="AB5" s="49" t="s">
        <v>40</v>
      </c>
      <c r="AC5" s="49" t="s">
        <v>40</v>
      </c>
      <c r="AD5" s="50" t="s">
        <v>73</v>
      </c>
      <c r="AE5" s="67"/>
    </row>
    <row r="6" customFormat="false" ht="11.1" hidden="false" customHeight="true" outlineLevel="0" collapsed="false">
      <c r="A6" s="77"/>
      <c r="B6" s="77"/>
      <c r="C6" s="78"/>
      <c r="D6" s="77"/>
      <c r="E6" s="78"/>
      <c r="F6" s="77"/>
      <c r="G6" s="77"/>
      <c r="H6" s="10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8"/>
      <c r="U6" s="77"/>
      <c r="V6" s="77"/>
      <c r="W6" s="108"/>
      <c r="X6" s="77"/>
      <c r="Y6" s="77"/>
      <c r="Z6" s="77"/>
      <c r="AA6" s="58"/>
      <c r="AB6" s="48"/>
      <c r="AC6" s="48"/>
      <c r="AD6" s="48"/>
      <c r="AE6" s="81"/>
      <c r="AF6" s="82"/>
    </row>
    <row r="7" customFormat="false" ht="11.1" hidden="false" customHeight="true" outlineLevel="0" collapsed="false">
      <c r="A7" s="55" t="s">
        <v>41</v>
      </c>
      <c r="B7" s="55"/>
      <c r="C7" s="57"/>
      <c r="D7" s="57"/>
      <c r="E7" s="57"/>
      <c r="F7" s="57" t="n">
        <f aca="false">APR!F44</f>
        <v>7931.93849256365</v>
      </c>
      <c r="G7" s="57" t="n">
        <f aca="false">APR!G44</f>
        <v>28595.8</v>
      </c>
      <c r="H7" s="61" t="n">
        <f aca="false">APR!H44</f>
        <v>6124.3</v>
      </c>
      <c r="I7" s="57" t="n">
        <f aca="false">APR!I44</f>
        <v>34720.1</v>
      </c>
      <c r="J7" s="57" t="n">
        <f aca="false">APR!J44</f>
        <v>26727.2384925637</v>
      </c>
      <c r="K7" s="57" t="n">
        <f aca="false">APR!K44</f>
        <v>61447.3384925637</v>
      </c>
      <c r="L7" s="57" t="n">
        <f aca="false">APR!L44</f>
        <v>26727.2384925637</v>
      </c>
      <c r="M7" s="57" t="n">
        <f aca="false">APR!M44</f>
        <v>774.2</v>
      </c>
      <c r="N7" s="57" t="n">
        <f aca="false">APR!N44</f>
        <v>0</v>
      </c>
      <c r="O7" s="57" t="n">
        <f aca="false">APR!O44</f>
        <v>0</v>
      </c>
      <c r="P7" s="57" t="n">
        <f aca="false">APR!P44</f>
        <v>774.2</v>
      </c>
      <c r="Q7" s="57" t="n">
        <f aca="false">APR!Q44</f>
        <v>0</v>
      </c>
      <c r="R7" s="57" t="n">
        <f aca="false">APR!R44</f>
        <v>15.2</v>
      </c>
      <c r="S7" s="57" t="n">
        <f aca="false">APR!S44</f>
        <v>789.4</v>
      </c>
      <c r="T7" s="57" t="n">
        <f aca="false">APR!T44</f>
        <v>0</v>
      </c>
      <c r="U7" s="57" t="n">
        <f aca="false">APR!U44</f>
        <v>30</v>
      </c>
      <c r="V7" s="57" t="n">
        <f aca="false">APR!V44</f>
        <v>52696</v>
      </c>
      <c r="W7" s="57"/>
      <c r="X7" s="57" t="n">
        <f aca="false">APR!X44</f>
        <v>53515.4</v>
      </c>
      <c r="Y7" s="57" t="n">
        <f aca="false">APR!Y44</f>
        <v>0</v>
      </c>
      <c r="Z7" s="57" t="n">
        <f aca="false">APR!Z44</f>
        <v>53515.4</v>
      </c>
      <c r="AA7" s="58"/>
      <c r="AB7" s="51"/>
      <c r="AC7" s="51"/>
      <c r="AD7" s="48"/>
      <c r="AE7" s="82"/>
      <c r="AF7" s="82"/>
    </row>
    <row r="8" s="42" customFormat="true" ht="11.1" hidden="false" customHeight="true" outlineLevel="0" collapsed="false">
      <c r="A8" s="57" t="s">
        <v>42</v>
      </c>
      <c r="B8" s="59" t="n">
        <f aca="false">APR!B39</f>
        <v>6915.36</v>
      </c>
      <c r="C8" s="57" t="n">
        <f aca="false">APR!C39</f>
        <v>343875</v>
      </c>
      <c r="D8" s="57" t="n">
        <f aca="false">APR!D48</f>
        <v>39898</v>
      </c>
      <c r="E8" s="57" t="n">
        <f aca="false">APR!E48</f>
        <v>191875</v>
      </c>
      <c r="F8" s="57" t="n">
        <f aca="false">APR!F47</f>
        <v>20114.9483236703</v>
      </c>
      <c r="G8" s="57" t="n">
        <f aca="false">APR!G47</f>
        <v>46202.4</v>
      </c>
      <c r="H8" s="61" t="n">
        <f aca="false">APR!H47</f>
        <v>9303.9</v>
      </c>
      <c r="I8" s="57" t="n">
        <f aca="false">APR!I47</f>
        <v>55506.3</v>
      </c>
      <c r="J8" s="57" t="n">
        <f aca="false">APR!J47</f>
        <v>34268.0773380388</v>
      </c>
      <c r="K8" s="57" t="n">
        <f aca="false">APR!K47</f>
        <v>89774.3773380388</v>
      </c>
      <c r="L8" s="57" t="n">
        <f aca="false">APR!L47</f>
        <v>33263.1483236703</v>
      </c>
      <c r="M8" s="57" t="n">
        <f aca="false">APR!M47</f>
        <v>1862.5</v>
      </c>
      <c r="N8" s="57" t="n">
        <f aca="false">APR!N47</f>
        <v>0.08</v>
      </c>
      <c r="O8" s="57" t="n">
        <f aca="false">APR!O47</f>
        <v>0</v>
      </c>
      <c r="P8" s="57" t="n">
        <f aca="false">APR!P47</f>
        <v>1190.72</v>
      </c>
      <c r="Q8" s="57" t="n">
        <f aca="false">APR!Q47</f>
        <v>0</v>
      </c>
      <c r="R8" s="57" t="n">
        <f aca="false">APR!R47</f>
        <v>193.9</v>
      </c>
      <c r="S8" s="57" t="n">
        <f aca="false">APR!S47</f>
        <v>2056.32</v>
      </c>
      <c r="T8" s="57" t="n">
        <f aca="false">APR!T47</f>
        <v>0</v>
      </c>
      <c r="U8" s="57" t="n">
        <f aca="false">APR!U47</f>
        <v>30</v>
      </c>
      <c r="V8" s="57" t="n">
        <f aca="false">APR!V47</f>
        <v>66568.1</v>
      </c>
      <c r="W8" s="57" t="n">
        <f aca="false">APR!W47</f>
        <v>10847</v>
      </c>
      <c r="X8" s="57" t="n">
        <f aca="false">APR!X47</f>
        <v>68654.5</v>
      </c>
      <c r="Y8" s="57" t="n">
        <f aca="false">APR!Y47</f>
        <v>1004.92901436854</v>
      </c>
      <c r="Z8" s="57" t="n">
        <f aca="false">APR!Z47</f>
        <v>69659.4290143685</v>
      </c>
      <c r="AA8" s="58" t="n">
        <f aca="false">APR!AA47</f>
        <v>11.67</v>
      </c>
      <c r="AB8" s="51"/>
      <c r="AC8" s="51"/>
      <c r="AD8" s="48"/>
      <c r="AE8" s="81"/>
      <c r="AF8" s="83"/>
    </row>
    <row r="9" customFormat="false" ht="3" hidden="false" customHeight="true" outlineLevel="0" collapsed="false">
      <c r="A9" s="84"/>
      <c r="B9" s="85"/>
      <c r="C9" s="86"/>
      <c r="D9" s="84"/>
      <c r="E9" s="86"/>
      <c r="F9" s="84"/>
      <c r="G9" s="84"/>
      <c r="H9" s="109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6"/>
      <c r="U9" s="84"/>
      <c r="V9" s="84"/>
      <c r="W9" s="86"/>
      <c r="X9" s="84"/>
      <c r="Y9" s="84"/>
      <c r="Z9" s="84"/>
      <c r="AA9" s="87"/>
      <c r="AB9" s="52"/>
      <c r="AC9" s="52"/>
      <c r="AD9" s="53"/>
      <c r="AE9" s="81"/>
      <c r="AF9" s="82"/>
    </row>
    <row r="10" customFormat="false" ht="11.1" hidden="false" customHeight="true" outlineLevel="0" collapsed="false">
      <c r="A10" s="48" t="n">
        <v>1</v>
      </c>
      <c r="B10" s="59" t="n">
        <v>6914.96</v>
      </c>
      <c r="C10" s="57" t="n">
        <v>342207</v>
      </c>
      <c r="D10" s="51" t="n">
        <f aca="false">C10-C8</f>
        <v>-1668</v>
      </c>
      <c r="E10" s="57" t="n">
        <f aca="false">C10-152000</f>
        <v>190207</v>
      </c>
      <c r="F10" s="55" t="n">
        <f aca="false">D10/$D$2</f>
        <v>-840.937736324679</v>
      </c>
      <c r="G10" s="55" t="n">
        <v>1915.6</v>
      </c>
      <c r="H10" s="61" t="n">
        <v>308.8</v>
      </c>
      <c r="I10" s="55" t="n">
        <f aca="false">G10+H10</f>
        <v>2224.4</v>
      </c>
      <c r="J10" s="61" t="n">
        <f aca="false">IF(L10&gt;0,L10,0)</f>
        <v>605.362263675321</v>
      </c>
      <c r="K10" s="55" t="n">
        <f aca="false">I10+J10</f>
        <v>2829.76226367532</v>
      </c>
      <c r="L10" s="55" t="n">
        <f aca="false">F10-(I10-X10)</f>
        <v>605.362263675321</v>
      </c>
      <c r="M10" s="55" t="n">
        <v>110.9</v>
      </c>
      <c r="N10" s="55" t="n">
        <v>0</v>
      </c>
      <c r="O10" s="55" t="n">
        <v>0</v>
      </c>
      <c r="P10" s="5" t="n">
        <f aca="false">M10-(N10+O10)</f>
        <v>110.9</v>
      </c>
      <c r="Q10" s="55" t="n">
        <v>0</v>
      </c>
      <c r="R10" s="55" t="n">
        <v>16.1</v>
      </c>
      <c r="S10" s="55" t="n">
        <f aca="false">SUM(P10:R10)</f>
        <v>127</v>
      </c>
      <c r="T10" s="57"/>
      <c r="U10" s="55" t="n">
        <v>17.1</v>
      </c>
      <c r="V10" s="55" t="n">
        <v>3526.6</v>
      </c>
      <c r="W10" s="57" t="n">
        <f aca="false">W8</f>
        <v>10847</v>
      </c>
      <c r="X10" s="5" t="n">
        <f aca="false">N10+O10+S10+U10+V10</f>
        <v>3670.7</v>
      </c>
      <c r="Y10" s="55" t="n">
        <f aca="false">IF(L10&lt;0,L10*-1,0)</f>
        <v>0</v>
      </c>
      <c r="Z10" s="55" t="n">
        <f aca="false">X10+Y10</f>
        <v>3670.7</v>
      </c>
      <c r="AA10" s="58" t="n">
        <v>0</v>
      </c>
      <c r="AB10" s="51" t="n">
        <v>58</v>
      </c>
      <c r="AC10" s="51" t="n">
        <v>33</v>
      </c>
      <c r="AD10" s="48" t="n">
        <v>1</v>
      </c>
      <c r="AE10" s="83"/>
      <c r="AF10" s="82"/>
    </row>
    <row r="11" customFormat="false" ht="11.1" hidden="false" customHeight="true" outlineLevel="0" collapsed="false">
      <c r="A11" s="48" t="n">
        <f aca="false">A10+1</f>
        <v>2</v>
      </c>
      <c r="B11" s="59" t="n">
        <v>6914.66</v>
      </c>
      <c r="C11" s="57" t="n">
        <v>340964</v>
      </c>
      <c r="D11" s="51" t="n">
        <f aca="false">C11-C10</f>
        <v>-1243</v>
      </c>
      <c r="E11" s="57" t="n">
        <f aca="false">C11-152000</f>
        <v>188964</v>
      </c>
      <c r="F11" s="55" t="n">
        <f aca="false">D11/$D$2</f>
        <v>-626.670027728762</v>
      </c>
      <c r="G11" s="55" t="n">
        <v>1766.3</v>
      </c>
      <c r="H11" s="61" t="n">
        <v>289.9</v>
      </c>
      <c r="I11" s="55" t="n">
        <f aca="false">G11+H11</f>
        <v>2056.2</v>
      </c>
      <c r="J11" s="61" t="n">
        <f aca="false">IF(L11&gt;0,L11,0)</f>
        <v>678.429972271238</v>
      </c>
      <c r="K11" s="55" t="n">
        <f aca="false">I11+J11</f>
        <v>2734.62997227124</v>
      </c>
      <c r="L11" s="55" t="n">
        <f aca="false">F11-(I11-X11)</f>
        <v>678.429972271238</v>
      </c>
      <c r="M11" s="55" t="n">
        <v>113.5</v>
      </c>
      <c r="N11" s="55" t="n">
        <v>0</v>
      </c>
      <c r="O11" s="55" t="n">
        <v>0</v>
      </c>
      <c r="P11" s="5" t="n">
        <f aca="false">M11-(N11+O11)</f>
        <v>113.5</v>
      </c>
      <c r="Q11" s="55" t="n">
        <v>0</v>
      </c>
      <c r="R11" s="55" t="n">
        <v>16.6</v>
      </c>
      <c r="S11" s="55" t="n">
        <f aca="false">SUM(P11:R11)</f>
        <v>130.1</v>
      </c>
      <c r="T11" s="57"/>
      <c r="U11" s="55" t="n">
        <v>0</v>
      </c>
      <c r="V11" s="55" t="n">
        <v>3231.2</v>
      </c>
      <c r="W11" s="57" t="n">
        <f aca="false">W10</f>
        <v>10847</v>
      </c>
      <c r="X11" s="5" t="n">
        <f aca="false">N11+O11+S11+U11+V11</f>
        <v>3361.3</v>
      </c>
      <c r="Y11" s="55" t="n">
        <f aca="false">IF(L11&lt;0,L11*-1,0)</f>
        <v>0</v>
      </c>
      <c r="Z11" s="55" t="n">
        <f aca="false">X11+Y11</f>
        <v>3361.3</v>
      </c>
      <c r="AA11" s="58" t="n">
        <v>0</v>
      </c>
      <c r="AB11" s="51" t="n">
        <v>64</v>
      </c>
      <c r="AC11" s="51" t="n">
        <v>30</v>
      </c>
      <c r="AD11" s="48" t="n">
        <f aca="false">AD10+1</f>
        <v>2</v>
      </c>
      <c r="AE11" s="83"/>
      <c r="AF11" s="82"/>
    </row>
    <row r="12" customFormat="false" ht="11.1" hidden="false" customHeight="true" outlineLevel="0" collapsed="false">
      <c r="A12" s="48" t="n">
        <f aca="false">A11+1</f>
        <v>3</v>
      </c>
      <c r="B12" s="59" t="n">
        <v>6914.36</v>
      </c>
      <c r="C12" s="57" t="n">
        <v>339722</v>
      </c>
      <c r="D12" s="51" t="n">
        <f aca="false">C12-C11</f>
        <v>-1242</v>
      </c>
      <c r="E12" s="57" t="n">
        <f aca="false">C12-152000</f>
        <v>187722</v>
      </c>
      <c r="F12" s="55" t="n">
        <f aca="false">D12/$D$2</f>
        <v>-626.165868414419</v>
      </c>
      <c r="G12" s="55" t="n">
        <v>1913.5</v>
      </c>
      <c r="H12" s="61" t="n">
        <v>280</v>
      </c>
      <c r="I12" s="55" t="n">
        <f aca="false">G12+H12</f>
        <v>2193.5</v>
      </c>
      <c r="J12" s="61" t="n">
        <f aca="false">IF(L12&gt;0,L12,0)</f>
        <v>472.234131585581</v>
      </c>
      <c r="K12" s="55" t="n">
        <f aca="false">I12+J12</f>
        <v>2665.73413158558</v>
      </c>
      <c r="L12" s="55" t="n">
        <f aca="false">F12-(I12-X12)</f>
        <v>472.234131585581</v>
      </c>
      <c r="M12" s="55" t="n">
        <v>117.9</v>
      </c>
      <c r="N12" s="55" t="n">
        <v>0</v>
      </c>
      <c r="O12" s="55" t="n">
        <v>0</v>
      </c>
      <c r="P12" s="5" t="n">
        <f aca="false">M12-(N12+O12)</f>
        <v>117.9</v>
      </c>
      <c r="Q12" s="55" t="n">
        <v>0</v>
      </c>
      <c r="R12" s="55" t="n">
        <v>20.1</v>
      </c>
      <c r="S12" s="55" t="n">
        <f aca="false">SUM(P12:R12)</f>
        <v>138</v>
      </c>
      <c r="T12" s="57"/>
      <c r="U12" s="55" t="n">
        <v>43</v>
      </c>
      <c r="V12" s="55" t="n">
        <v>3110.9</v>
      </c>
      <c r="W12" s="57" t="n">
        <f aca="false">W11</f>
        <v>10847</v>
      </c>
      <c r="X12" s="5" t="n">
        <f aca="false">N12+O12+S12+U12+V12</f>
        <v>3291.9</v>
      </c>
      <c r="Y12" s="55" t="n">
        <f aca="false">IF(L12&lt;0,L12*-1,0)</f>
        <v>0</v>
      </c>
      <c r="Z12" s="55" t="n">
        <f aca="false">X12+Y12</f>
        <v>3291.9</v>
      </c>
      <c r="AA12" s="58" t="n">
        <v>0</v>
      </c>
      <c r="AB12" s="51" t="n">
        <v>68</v>
      </c>
      <c r="AC12" s="51" t="n">
        <v>31</v>
      </c>
      <c r="AD12" s="48" t="n">
        <f aca="false">AD11+1</f>
        <v>3</v>
      </c>
      <c r="AE12" s="83"/>
      <c r="AF12" s="82"/>
    </row>
    <row r="13" customFormat="false" ht="11.1" hidden="false" customHeight="true" outlineLevel="0" collapsed="false">
      <c r="A13" s="48" t="n">
        <f aca="false">A12+1</f>
        <v>4</v>
      </c>
      <c r="B13" s="59" t="n">
        <v>6914.26</v>
      </c>
      <c r="C13" s="57" t="n">
        <v>339307</v>
      </c>
      <c r="D13" s="51" t="n">
        <f aca="false">C13-C12</f>
        <v>-415</v>
      </c>
      <c r="E13" s="57" t="n">
        <f aca="false">C13-152000</f>
        <v>187307</v>
      </c>
      <c r="F13" s="55" t="n">
        <f aca="false">D13/$D$2</f>
        <v>-209.226115452483</v>
      </c>
      <c r="G13" s="55" t="n">
        <v>2046.1</v>
      </c>
      <c r="H13" s="61" t="n">
        <v>287.4</v>
      </c>
      <c r="I13" s="55" t="n">
        <f aca="false">G13+H13</f>
        <v>2333.5</v>
      </c>
      <c r="J13" s="61" t="n">
        <f aca="false">IF(L13&gt;0,L13,0)</f>
        <v>616.373884547517</v>
      </c>
      <c r="K13" s="55" t="n">
        <f aca="false">I13+J13</f>
        <v>2949.87388454752</v>
      </c>
      <c r="L13" s="55" t="n">
        <f aca="false">F13-(I13-X13)</f>
        <v>616.373884547517</v>
      </c>
      <c r="M13" s="55" t="n">
        <v>121.3</v>
      </c>
      <c r="N13" s="55" t="n">
        <v>0</v>
      </c>
      <c r="O13" s="55" t="n">
        <v>0</v>
      </c>
      <c r="P13" s="5" t="n">
        <f aca="false">M13-(N13+O13)</f>
        <v>121.3</v>
      </c>
      <c r="Q13" s="55" t="n">
        <v>32.7</v>
      </c>
      <c r="R13" s="55" t="n">
        <v>29</v>
      </c>
      <c r="S13" s="55" t="n">
        <f aca="false">SUM(P13:R13)</f>
        <v>183</v>
      </c>
      <c r="T13" s="57"/>
      <c r="U13" s="55" t="n">
        <v>66</v>
      </c>
      <c r="V13" s="55" t="n">
        <v>2910.1</v>
      </c>
      <c r="W13" s="57" t="n">
        <f aca="false">W12</f>
        <v>10847</v>
      </c>
      <c r="X13" s="5" t="n">
        <f aca="false">N13+O13+S13+U13+V13</f>
        <v>3159.1</v>
      </c>
      <c r="Y13" s="55" t="n">
        <f aca="false">IF(L13&lt;0,L13*-1,0)</f>
        <v>0</v>
      </c>
      <c r="Z13" s="55" t="n">
        <f aca="false">X13+Y13</f>
        <v>3159.1</v>
      </c>
      <c r="AA13" s="58" t="n">
        <v>0.03</v>
      </c>
      <c r="AB13" s="51" t="n">
        <v>60</v>
      </c>
      <c r="AC13" s="51" t="n">
        <v>36</v>
      </c>
      <c r="AD13" s="48" t="n">
        <f aca="false">AD12+1</f>
        <v>4</v>
      </c>
      <c r="AE13" s="83"/>
      <c r="AF13" s="82"/>
    </row>
    <row r="14" customFormat="false" ht="11.1" hidden="false" customHeight="true" outlineLevel="0" collapsed="false">
      <c r="A14" s="48" t="n">
        <f aca="false">A13+1</f>
        <v>5</v>
      </c>
      <c r="B14" s="59" t="n">
        <v>6914.11</v>
      </c>
      <c r="C14" s="57" t="n">
        <v>338686</v>
      </c>
      <c r="D14" s="51" t="n">
        <f aca="false">C14-C13</f>
        <v>-621</v>
      </c>
      <c r="E14" s="57" t="n">
        <f aca="false">C14-152000</f>
        <v>186686</v>
      </c>
      <c r="F14" s="55" t="n">
        <f aca="false">D14/$D$2</f>
        <v>-313.082934207209</v>
      </c>
      <c r="G14" s="55" t="n">
        <v>2063</v>
      </c>
      <c r="H14" s="61" t="n">
        <v>297</v>
      </c>
      <c r="I14" s="55" t="n">
        <f aca="false">G14+H14</f>
        <v>2360</v>
      </c>
      <c r="J14" s="61" t="n">
        <f aca="false">IF(L14&gt;0,L14,0)</f>
        <v>381.01706579279</v>
      </c>
      <c r="K14" s="55" t="n">
        <f aca="false">I14+J14</f>
        <v>2741.01706579279</v>
      </c>
      <c r="L14" s="55" t="n">
        <f aca="false">F14-(I14-X14)</f>
        <v>381.01706579279</v>
      </c>
      <c r="M14" s="55" t="n">
        <v>133.9</v>
      </c>
      <c r="N14" s="55" t="n">
        <v>0</v>
      </c>
      <c r="O14" s="55" t="n">
        <v>0</v>
      </c>
      <c r="P14" s="5" t="n">
        <f aca="false">M14-(N14+O14)</f>
        <v>133.9</v>
      </c>
      <c r="Q14" s="55" t="n">
        <v>50.1</v>
      </c>
      <c r="R14" s="55" t="n">
        <v>33</v>
      </c>
      <c r="S14" s="55" t="n">
        <f aca="false">SUM(P14:R14)</f>
        <v>217</v>
      </c>
      <c r="T14" s="57"/>
      <c r="U14" s="55" t="n">
        <v>27</v>
      </c>
      <c r="V14" s="55" t="n">
        <v>2810.1</v>
      </c>
      <c r="W14" s="57" t="n">
        <f aca="false">W13</f>
        <v>10847</v>
      </c>
      <c r="X14" s="5" t="n">
        <f aca="false">N14+O14+S14+U14+V14</f>
        <v>3054.1</v>
      </c>
      <c r="Y14" s="55" t="n">
        <f aca="false">IF(L14&lt;0,L14*-1,0)</f>
        <v>0</v>
      </c>
      <c r="Z14" s="55" t="n">
        <f aca="false">X14+Y14</f>
        <v>3054.1</v>
      </c>
      <c r="AA14" s="58" t="n">
        <v>0.3</v>
      </c>
      <c r="AB14" s="51" t="n">
        <v>46</v>
      </c>
      <c r="AC14" s="51" t="n">
        <v>28</v>
      </c>
      <c r="AD14" s="48" t="n">
        <f aca="false">AD13+1</f>
        <v>5</v>
      </c>
      <c r="AE14" s="83"/>
      <c r="AF14" s="82"/>
    </row>
    <row r="15" customFormat="false" ht="11.1" hidden="false" customHeight="true" outlineLevel="0" collapsed="false">
      <c r="A15" s="48" t="n">
        <f aca="false">A14+1</f>
        <v>6</v>
      </c>
      <c r="B15" s="59" t="n">
        <v>6913.61</v>
      </c>
      <c r="C15" s="57" t="n">
        <v>336628</v>
      </c>
      <c r="D15" s="51" t="n">
        <f aca="false">C15-C14</f>
        <v>-2058</v>
      </c>
      <c r="E15" s="57" t="n">
        <f aca="false">C15-152000</f>
        <v>184628</v>
      </c>
      <c r="F15" s="55" t="n">
        <f aca="false">D15/$D$2</f>
        <v>-1037.55986891858</v>
      </c>
      <c r="G15" s="55" t="n">
        <v>1619.4</v>
      </c>
      <c r="H15" s="61" t="n">
        <v>220.7</v>
      </c>
      <c r="I15" s="55" t="n">
        <f aca="false">G15+H15</f>
        <v>1840.1</v>
      </c>
      <c r="J15" s="61" t="n">
        <f aca="false">IF(L15&gt;0,L15,0)</f>
        <v>149.140131081421</v>
      </c>
      <c r="K15" s="55" t="n">
        <f aca="false">I15+J15</f>
        <v>1989.24013108142</v>
      </c>
      <c r="L15" s="55" t="n">
        <f aca="false">F15-(I15-X15)</f>
        <v>149.140131081421</v>
      </c>
      <c r="M15" s="55" t="n">
        <v>143.1</v>
      </c>
      <c r="N15" s="55" t="n">
        <v>0</v>
      </c>
      <c r="O15" s="55" t="n">
        <v>0</v>
      </c>
      <c r="P15" s="5" t="n">
        <f aca="false">M15-(N15+O15)</f>
        <v>143.1</v>
      </c>
      <c r="Q15" s="55" t="n">
        <v>50.1</v>
      </c>
      <c r="R15" s="55" t="n">
        <v>38.9</v>
      </c>
      <c r="S15" s="55" t="n">
        <f aca="false">SUM(P15:R15)</f>
        <v>232.1</v>
      </c>
      <c r="T15" s="57"/>
      <c r="U15" s="55" t="n">
        <v>7.1</v>
      </c>
      <c r="V15" s="55" t="n">
        <v>2787.6</v>
      </c>
      <c r="W15" s="57" t="n">
        <f aca="false">W14</f>
        <v>10847</v>
      </c>
      <c r="X15" s="5" t="n">
        <f aca="false">N15+O15+S15+U15+V15</f>
        <v>3026.8</v>
      </c>
      <c r="Y15" s="55" t="n">
        <f aca="false">IF(L15&lt;0,L15*-1,0)</f>
        <v>0</v>
      </c>
      <c r="Z15" s="55" t="n">
        <f aca="false">X15+Y15</f>
        <v>3026.8</v>
      </c>
      <c r="AA15" s="58" t="n">
        <v>0.06</v>
      </c>
      <c r="AB15" s="51" t="n">
        <v>48</v>
      </c>
      <c r="AC15" s="51" t="n">
        <v>28</v>
      </c>
      <c r="AD15" s="48" t="n">
        <f aca="false">AD14+1</f>
        <v>6</v>
      </c>
      <c r="AE15" s="83"/>
      <c r="AF15" s="82"/>
    </row>
    <row r="16" customFormat="false" ht="11.1" hidden="false" customHeight="true" outlineLevel="0" collapsed="false">
      <c r="A16" s="48" t="n">
        <f aca="false">A15+1</f>
        <v>7</v>
      </c>
      <c r="B16" s="59" t="n">
        <v>6913.53</v>
      </c>
      <c r="C16" s="57" t="n">
        <v>336298</v>
      </c>
      <c r="D16" s="51" t="n">
        <f aca="false">C16-C15</f>
        <v>-330</v>
      </c>
      <c r="E16" s="57" t="n">
        <f aca="false">C16-152000</f>
        <v>184298</v>
      </c>
      <c r="F16" s="55" t="n">
        <f aca="false">D16/$D$2</f>
        <v>-166.3725737333</v>
      </c>
      <c r="G16" s="55" t="n">
        <v>1526.5</v>
      </c>
      <c r="H16" s="61" t="n">
        <v>214.8</v>
      </c>
      <c r="I16" s="55" t="n">
        <f aca="false">G16+H16</f>
        <v>1741.3</v>
      </c>
      <c r="J16" s="61" t="n">
        <f aca="false">IF(L16&gt;0,L16,0)</f>
        <v>895.1274262667</v>
      </c>
      <c r="K16" s="55" t="n">
        <f aca="false">I16+J16</f>
        <v>2636.4274262667</v>
      </c>
      <c r="L16" s="55" t="n">
        <f aca="false">F16-(I16-X16)</f>
        <v>895.1274262667</v>
      </c>
      <c r="M16" s="55" t="n">
        <v>143</v>
      </c>
      <c r="N16" s="55" t="n">
        <v>0</v>
      </c>
      <c r="O16" s="55" t="n">
        <v>0</v>
      </c>
      <c r="P16" s="5" t="n">
        <f aca="false">M16-(N16+O16)</f>
        <v>143</v>
      </c>
      <c r="Q16" s="55" t="n">
        <v>75.2</v>
      </c>
      <c r="R16" s="55" t="n">
        <v>42.7</v>
      </c>
      <c r="S16" s="55" t="n">
        <f aca="false">SUM(P16:R16)</f>
        <v>260.9</v>
      </c>
      <c r="T16" s="57"/>
      <c r="U16" s="55" t="n">
        <v>5.5</v>
      </c>
      <c r="V16" s="55" t="n">
        <v>2536.4</v>
      </c>
      <c r="W16" s="57" t="n">
        <f aca="false">W15</f>
        <v>10847</v>
      </c>
      <c r="X16" s="5" t="n">
        <f aca="false">N16+O16+S16+U16+V16</f>
        <v>2802.8</v>
      </c>
      <c r="Y16" s="55" t="n">
        <f aca="false">IF(L16&lt;0,L16*-1,0)</f>
        <v>0</v>
      </c>
      <c r="Z16" s="55" t="n">
        <f aca="false">X16+Y16</f>
        <v>2802.8</v>
      </c>
      <c r="AA16" s="58" t="n">
        <v>0.46</v>
      </c>
      <c r="AB16" s="51" t="n">
        <v>56</v>
      </c>
      <c r="AC16" s="51" t="n">
        <v>32</v>
      </c>
      <c r="AD16" s="48" t="n">
        <f aca="false">AD15+1</f>
        <v>7</v>
      </c>
      <c r="AE16" s="83"/>
      <c r="AF16" s="82"/>
    </row>
    <row r="17" customFormat="false" ht="11.1" hidden="false" customHeight="true" outlineLevel="0" collapsed="false">
      <c r="A17" s="48" t="n">
        <f aca="false">A16+1</f>
        <v>8</v>
      </c>
      <c r="B17" s="59" t="n">
        <v>6913.11</v>
      </c>
      <c r="C17" s="57" t="n">
        <v>334573</v>
      </c>
      <c r="D17" s="51" t="n">
        <f aca="false">C17-C16</f>
        <v>-1725</v>
      </c>
      <c r="E17" s="57" t="n">
        <f aca="false">C17-152000</f>
        <v>182573</v>
      </c>
      <c r="F17" s="55" t="n">
        <f aca="false">D17/$D$2</f>
        <v>-869.674817242248</v>
      </c>
      <c r="G17" s="55" t="n">
        <v>1380.9</v>
      </c>
      <c r="H17" s="61" t="n">
        <v>211.1</v>
      </c>
      <c r="I17" s="55" t="n">
        <f aca="false">G17+H17</f>
        <v>1592</v>
      </c>
      <c r="J17" s="61" t="n">
        <f aca="false">IF(L17&gt;0,L17,0)</f>
        <v>247.425182757751</v>
      </c>
      <c r="K17" s="55" t="n">
        <f aca="false">I17+J17</f>
        <v>1839.42518275775</v>
      </c>
      <c r="L17" s="55" t="n">
        <f aca="false">F17-(I17-X17)</f>
        <v>247.425182757751</v>
      </c>
      <c r="M17" s="55" t="n">
        <v>142.6</v>
      </c>
      <c r="N17" s="55" t="n">
        <v>0</v>
      </c>
      <c r="O17" s="55" t="n">
        <v>0</v>
      </c>
      <c r="P17" s="5" t="n">
        <f aca="false">M17-(N17+O17)</f>
        <v>142.6</v>
      </c>
      <c r="Q17" s="55" t="n">
        <v>99</v>
      </c>
      <c r="R17" s="55" t="n">
        <v>42.4</v>
      </c>
      <c r="S17" s="55" t="n">
        <f aca="false">SUM(P17:R17)</f>
        <v>284</v>
      </c>
      <c r="T17" s="57"/>
      <c r="U17" s="55" t="n">
        <v>0</v>
      </c>
      <c r="V17" s="55" t="n">
        <v>2425.1</v>
      </c>
      <c r="W17" s="57" t="n">
        <f aca="false">W16</f>
        <v>10847</v>
      </c>
      <c r="X17" s="5" t="n">
        <f aca="false">N17+O17+S17+U17+V17</f>
        <v>2709.1</v>
      </c>
      <c r="Y17" s="55" t="n">
        <f aca="false">IF(L17&lt;0,L17*-1,0)</f>
        <v>0</v>
      </c>
      <c r="Z17" s="55" t="n">
        <f aca="false">X17+Y17</f>
        <v>2709.1</v>
      </c>
      <c r="AA17" s="58" t="n">
        <v>0.18</v>
      </c>
      <c r="AB17" s="51" t="n">
        <v>40</v>
      </c>
      <c r="AC17" s="51" t="n">
        <v>32</v>
      </c>
      <c r="AD17" s="48" t="n">
        <f aca="false">AD16+1</f>
        <v>8</v>
      </c>
      <c r="AE17" s="83"/>
      <c r="AF17" s="82"/>
    </row>
    <row r="18" customFormat="false" ht="11.1" hidden="false" customHeight="true" outlineLevel="0" collapsed="false">
      <c r="A18" s="48" t="n">
        <f aca="false">A17+1</f>
        <v>9</v>
      </c>
      <c r="B18" s="59" t="n">
        <v>6912.61</v>
      </c>
      <c r="C18" s="57" t="n">
        <v>332531</v>
      </c>
      <c r="D18" s="51" t="n">
        <f aca="false">C18-C17</f>
        <v>-2042</v>
      </c>
      <c r="E18" s="57" t="n">
        <f aca="false">C18-152000</f>
        <v>180531</v>
      </c>
      <c r="F18" s="55" t="n">
        <f aca="false">D18/$D$2</f>
        <v>-1029.49331988909</v>
      </c>
      <c r="G18" s="55" t="n">
        <v>1185</v>
      </c>
      <c r="H18" s="61" t="n">
        <v>159.7</v>
      </c>
      <c r="I18" s="55" t="n">
        <f aca="false">G18+H18</f>
        <v>1344.7</v>
      </c>
      <c r="J18" s="61" t="n">
        <f aca="false">IF(L18&gt;0,L18,0)</f>
        <v>309.106680110915</v>
      </c>
      <c r="K18" s="55" t="n">
        <f aca="false">I18+J18</f>
        <v>1653.80668011092</v>
      </c>
      <c r="L18" s="55" t="n">
        <f aca="false">F18-(I18-X18)</f>
        <v>309.106680110915</v>
      </c>
      <c r="M18" s="55" t="n">
        <v>143.7</v>
      </c>
      <c r="N18" s="55" t="n">
        <v>0</v>
      </c>
      <c r="O18" s="55" t="n">
        <v>0</v>
      </c>
      <c r="P18" s="5" t="n">
        <f aca="false">M18-(N18+O18)</f>
        <v>143.7</v>
      </c>
      <c r="Q18" s="55" t="n">
        <v>99.3</v>
      </c>
      <c r="R18" s="55" t="n">
        <v>42</v>
      </c>
      <c r="S18" s="55" t="n">
        <f aca="false">SUM(P18:R18)</f>
        <v>285</v>
      </c>
      <c r="T18" s="57"/>
      <c r="U18" s="55" t="n">
        <v>4</v>
      </c>
      <c r="V18" s="55" t="n">
        <v>2394.3</v>
      </c>
      <c r="W18" s="57" t="n">
        <f aca="false">W17</f>
        <v>10847</v>
      </c>
      <c r="X18" s="5" t="n">
        <f aca="false">N18+O18+S18+U18+V18</f>
        <v>2683.3</v>
      </c>
      <c r="Y18" s="55" t="n">
        <f aca="false">IF(L18&lt;0,L18*-1,0)</f>
        <v>0</v>
      </c>
      <c r="Z18" s="55" t="n">
        <f aca="false">X18+Y18</f>
        <v>2683.3</v>
      </c>
      <c r="AA18" s="58" t="n">
        <v>0</v>
      </c>
      <c r="AB18" s="51" t="n">
        <v>58</v>
      </c>
      <c r="AC18" s="51" t="n">
        <v>28</v>
      </c>
      <c r="AD18" s="48" t="n">
        <f aca="false">AD17+1</f>
        <v>9</v>
      </c>
      <c r="AE18" s="83"/>
      <c r="AF18" s="82"/>
    </row>
    <row r="19" customFormat="false" ht="11.1" hidden="false" customHeight="true" outlineLevel="0" collapsed="false">
      <c r="A19" s="48" t="n">
        <f aca="false">A18+1</f>
        <v>10</v>
      </c>
      <c r="B19" s="59" t="n">
        <v>6912.16</v>
      </c>
      <c r="C19" s="57" t="n">
        <v>330697</v>
      </c>
      <c r="D19" s="51" t="n">
        <f aca="false">C19-C18</f>
        <v>-1834</v>
      </c>
      <c r="E19" s="57" t="n">
        <f aca="false">C19-152000</f>
        <v>178697</v>
      </c>
      <c r="F19" s="55" t="n">
        <f aca="false">D19/$D$2</f>
        <v>-924.628182505672</v>
      </c>
      <c r="G19" s="55" t="n">
        <v>1195.4</v>
      </c>
      <c r="H19" s="61" t="n">
        <v>155.2</v>
      </c>
      <c r="I19" s="55" t="n">
        <f aca="false">G19+H19</f>
        <v>1350.6</v>
      </c>
      <c r="J19" s="61" t="n">
        <f aca="false">IF(L19&gt;0,L19,0)</f>
        <v>371.271817494328</v>
      </c>
      <c r="K19" s="55" t="n">
        <f aca="false">I19+J19</f>
        <v>1721.87181749433</v>
      </c>
      <c r="L19" s="55" t="n">
        <f aca="false">F19-(I19-X19)</f>
        <v>371.271817494328</v>
      </c>
      <c r="M19" s="55" t="n">
        <v>146.4</v>
      </c>
      <c r="N19" s="55" t="n">
        <v>0</v>
      </c>
      <c r="O19" s="55" t="n">
        <v>0</v>
      </c>
      <c r="P19" s="5" t="n">
        <f aca="false">M19-(N19+O19)</f>
        <v>146.4</v>
      </c>
      <c r="Q19" s="55" t="n">
        <v>99.5</v>
      </c>
      <c r="R19" s="55" t="n">
        <v>46</v>
      </c>
      <c r="S19" s="55" t="n">
        <f aca="false">SUM(P19:R19)</f>
        <v>291.9</v>
      </c>
      <c r="T19" s="57"/>
      <c r="U19" s="55" t="n">
        <v>0</v>
      </c>
      <c r="V19" s="55" t="n">
        <v>2354.6</v>
      </c>
      <c r="W19" s="57" t="n">
        <f aca="false">W18</f>
        <v>10847</v>
      </c>
      <c r="X19" s="5" t="n">
        <f aca="false">N19+O19+S19+U19+V19</f>
        <v>2646.5</v>
      </c>
      <c r="Y19" s="55" t="n">
        <f aca="false">IF(L19&lt;0,L19*-1,0)</f>
        <v>0</v>
      </c>
      <c r="Z19" s="55" t="n">
        <f aca="false">X19+Y19</f>
        <v>2646.5</v>
      </c>
      <c r="AA19" s="58" t="n">
        <v>0</v>
      </c>
      <c r="AB19" s="51" t="n">
        <v>72</v>
      </c>
      <c r="AC19" s="51" t="n">
        <v>32</v>
      </c>
      <c r="AD19" s="48" t="n">
        <f aca="false">AD18+1</f>
        <v>10</v>
      </c>
      <c r="AE19" s="83"/>
      <c r="AF19" s="82"/>
    </row>
    <row r="20" customFormat="false" ht="11.1" hidden="false" customHeight="true" outlineLevel="0" collapsed="false">
      <c r="A20" s="48" t="n">
        <f aca="false">A19+1</f>
        <v>11</v>
      </c>
      <c r="B20" s="59" t="n">
        <v>6912.18</v>
      </c>
      <c r="C20" s="57" t="n">
        <v>330778</v>
      </c>
      <c r="D20" s="51" t="n">
        <f aca="false">C20-C19</f>
        <v>81</v>
      </c>
      <c r="E20" s="57" t="n">
        <f aca="false">C20-152000</f>
        <v>178778</v>
      </c>
      <c r="F20" s="55" t="n">
        <f aca="false">D20/$D$2</f>
        <v>40.8369044618099</v>
      </c>
      <c r="G20" s="55" t="n">
        <v>1518.8</v>
      </c>
      <c r="H20" s="61" t="n">
        <v>167.7</v>
      </c>
      <c r="I20" s="55" t="n">
        <f aca="false">G20+H20</f>
        <v>1686.5</v>
      </c>
      <c r="J20" s="61" t="n">
        <f aca="false">IF(L20&gt;0,L20,0)</f>
        <v>778.63690446181</v>
      </c>
      <c r="K20" s="55" t="n">
        <f aca="false">I20+J20</f>
        <v>2465.13690446181</v>
      </c>
      <c r="L20" s="55" t="n">
        <f aca="false">F20-(I20-X20)</f>
        <v>778.63690446181</v>
      </c>
      <c r="M20" s="55" t="n">
        <v>160.1</v>
      </c>
      <c r="N20" s="55" t="n">
        <v>0</v>
      </c>
      <c r="O20" s="55" t="n">
        <v>0</v>
      </c>
      <c r="P20" s="5" t="n">
        <f aca="false">M20-(N20+O20)</f>
        <v>160.1</v>
      </c>
      <c r="Q20" s="55" t="n">
        <v>115.9</v>
      </c>
      <c r="R20" s="55" t="n">
        <v>52</v>
      </c>
      <c r="S20" s="55" t="n">
        <f aca="false">SUM(P20:R20)</f>
        <v>328</v>
      </c>
      <c r="T20" s="57"/>
      <c r="U20" s="55" t="n">
        <v>1</v>
      </c>
      <c r="V20" s="55" t="n">
        <v>2095.3</v>
      </c>
      <c r="W20" s="57" t="n">
        <f aca="false">W19</f>
        <v>10847</v>
      </c>
      <c r="X20" s="5" t="n">
        <f aca="false">N20+O20+S20+U20+V20</f>
        <v>2424.3</v>
      </c>
      <c r="Y20" s="55" t="n">
        <f aca="false">IF(L20&lt;0,L20*-1,0)</f>
        <v>0</v>
      </c>
      <c r="Z20" s="55" t="n">
        <f aca="false">X20+Y20</f>
        <v>2424.3</v>
      </c>
      <c r="AA20" s="58" t="n">
        <v>0</v>
      </c>
      <c r="AB20" s="51" t="n">
        <v>74</v>
      </c>
      <c r="AC20" s="51" t="n">
        <v>34</v>
      </c>
      <c r="AD20" s="48" t="n">
        <f aca="false">AD19+1</f>
        <v>11</v>
      </c>
      <c r="AE20" s="83"/>
      <c r="AF20" s="82"/>
    </row>
    <row r="21" customFormat="false" ht="11.1" hidden="false" customHeight="true" outlineLevel="0" collapsed="false">
      <c r="A21" s="48" t="n">
        <f aca="false">A20+1</f>
        <v>12</v>
      </c>
      <c r="B21" s="59" t="n">
        <v>6912.36</v>
      </c>
      <c r="C21" s="57" t="n">
        <v>331512</v>
      </c>
      <c r="D21" s="51" t="n">
        <f aca="false">C21-C20</f>
        <v>734</v>
      </c>
      <c r="E21" s="57" t="n">
        <f aca="false">C21-152000</f>
        <v>179512</v>
      </c>
      <c r="F21" s="55" t="n">
        <f aca="false">D21/$D$2</f>
        <v>370.052936728006</v>
      </c>
      <c r="G21" s="55" t="n">
        <v>2065</v>
      </c>
      <c r="H21" s="61" t="n">
        <v>354</v>
      </c>
      <c r="I21" s="55" t="n">
        <f aca="false">G21+H21</f>
        <v>2419</v>
      </c>
      <c r="J21" s="61" t="n">
        <f aca="false">IF(L21&gt;0,L21,0)</f>
        <v>522.952936728006</v>
      </c>
      <c r="K21" s="55" t="n">
        <f aca="false">I21+J21</f>
        <v>2941.95293672801</v>
      </c>
      <c r="L21" s="55" t="n">
        <f aca="false">F21-(I21-X21)</f>
        <v>522.952936728006</v>
      </c>
      <c r="M21" s="55" t="n">
        <v>168.4</v>
      </c>
      <c r="N21" s="55" t="n">
        <v>0</v>
      </c>
      <c r="O21" s="55" t="n">
        <v>0</v>
      </c>
      <c r="P21" s="5" t="n">
        <f aca="false">M21-(N21+O21)</f>
        <v>168.4</v>
      </c>
      <c r="Q21" s="55" t="n">
        <v>123.3</v>
      </c>
      <c r="R21" s="55" t="n">
        <v>57.3</v>
      </c>
      <c r="S21" s="55" t="n">
        <f aca="false">SUM(P21:R21)</f>
        <v>349</v>
      </c>
      <c r="T21" s="57"/>
      <c r="U21" s="55" t="n">
        <v>4.5</v>
      </c>
      <c r="V21" s="55" t="n">
        <v>2218.4</v>
      </c>
      <c r="W21" s="57" t="n">
        <f aca="false">W20</f>
        <v>10847</v>
      </c>
      <c r="X21" s="5" t="n">
        <f aca="false">N21+O21+S21+U21+V21</f>
        <v>2571.9</v>
      </c>
      <c r="Y21" s="55" t="n">
        <f aca="false">IF(L21&lt;0,L21*-1,0)</f>
        <v>0</v>
      </c>
      <c r="Z21" s="55" t="n">
        <f aca="false">X21+Y21</f>
        <v>2571.9</v>
      </c>
      <c r="AA21" s="58" t="n">
        <v>0</v>
      </c>
      <c r="AB21" s="51" t="n">
        <v>74</v>
      </c>
      <c r="AC21" s="51" t="n">
        <v>34</v>
      </c>
      <c r="AD21" s="48" t="n">
        <f aca="false">AD20+1</f>
        <v>12</v>
      </c>
      <c r="AE21" s="83"/>
      <c r="AF21" s="82"/>
    </row>
    <row r="22" customFormat="false" ht="11.1" hidden="false" customHeight="true" outlineLevel="0" collapsed="false">
      <c r="A22" s="48" t="n">
        <f aca="false">A21+1</f>
        <v>13</v>
      </c>
      <c r="B22" s="59" t="n">
        <v>6912.61</v>
      </c>
      <c r="C22" s="57" t="n">
        <v>332531</v>
      </c>
      <c r="D22" s="51" t="n">
        <f aca="false">C22-C21</f>
        <v>1019</v>
      </c>
      <c r="E22" s="57" t="n">
        <f aca="false">C22-152000</f>
        <v>180531</v>
      </c>
      <c r="F22" s="55" t="n">
        <f aca="false">D22/$D$2</f>
        <v>513.738341315856</v>
      </c>
      <c r="G22" s="55" t="n">
        <v>2404.2</v>
      </c>
      <c r="H22" s="61" t="n">
        <v>403.9</v>
      </c>
      <c r="I22" s="55" t="n">
        <f aca="false">G22+H22</f>
        <v>2808.1</v>
      </c>
      <c r="J22" s="61" t="n">
        <f aca="false">IF(L22&gt;0,L22,0)</f>
        <v>605.238341315856</v>
      </c>
      <c r="K22" s="55" t="n">
        <f aca="false">I22+J22</f>
        <v>3413.33834131586</v>
      </c>
      <c r="L22" s="55" t="n">
        <f aca="false">F22-(I22-X22)</f>
        <v>605.238341315856</v>
      </c>
      <c r="M22" s="55" t="n">
        <v>156.5</v>
      </c>
      <c r="N22" s="55" t="n">
        <v>0</v>
      </c>
      <c r="O22" s="55" t="n">
        <v>0</v>
      </c>
      <c r="P22" s="5" t="n">
        <f aca="false">M22-(N22+O22)</f>
        <v>156.5</v>
      </c>
      <c r="Q22" s="55" t="n">
        <v>121.4</v>
      </c>
      <c r="R22" s="55" t="n">
        <v>60.1</v>
      </c>
      <c r="S22" s="55" t="n">
        <f aca="false">SUM(P22:R22)</f>
        <v>338</v>
      </c>
      <c r="T22" s="57"/>
      <c r="U22" s="55" t="n">
        <v>0</v>
      </c>
      <c r="V22" s="55" t="n">
        <v>2561.6</v>
      </c>
      <c r="W22" s="57" t="n">
        <f aca="false">W21</f>
        <v>10847</v>
      </c>
      <c r="X22" s="5" t="n">
        <f aca="false">N22+O22+S22+U22+V22</f>
        <v>2899.6</v>
      </c>
      <c r="Y22" s="55" t="n">
        <f aca="false">IF(L22&lt;0,L22*-1,0)</f>
        <v>0</v>
      </c>
      <c r="Z22" s="55" t="n">
        <f aca="false">X22+Y22</f>
        <v>2899.6</v>
      </c>
      <c r="AA22" s="58" t="n">
        <v>0.17</v>
      </c>
      <c r="AB22" s="51" t="n">
        <v>73</v>
      </c>
      <c r="AC22" s="51" t="n">
        <v>42</v>
      </c>
      <c r="AD22" s="48" t="n">
        <f aca="false">AD21+1</f>
        <v>13</v>
      </c>
      <c r="AE22" s="83"/>
      <c r="AF22" s="82"/>
    </row>
    <row r="23" customFormat="false" ht="11.1" hidden="false" customHeight="true" outlineLevel="0" collapsed="false">
      <c r="A23" s="48" t="n">
        <f aca="false">A22+1</f>
        <v>14</v>
      </c>
      <c r="B23" s="59" t="n">
        <v>6912.95</v>
      </c>
      <c r="C23" s="57" t="n">
        <v>333917</v>
      </c>
      <c r="D23" s="51" t="n">
        <f aca="false">C23-C22</f>
        <v>1386</v>
      </c>
      <c r="E23" s="57" t="n">
        <f aca="false">C23-152000</f>
        <v>181917</v>
      </c>
      <c r="F23" s="55" t="n">
        <f aca="false">D23/$D$2</f>
        <v>698.764809679859</v>
      </c>
      <c r="G23" s="55" t="n">
        <v>2473.9</v>
      </c>
      <c r="H23" s="61" t="n">
        <v>376.6</v>
      </c>
      <c r="I23" s="55" t="n">
        <f aca="false">G23+H23</f>
        <v>2850.5</v>
      </c>
      <c r="J23" s="61" t="n">
        <f aca="false">IF(L23&gt;0,L23,0)</f>
        <v>832.264809679859</v>
      </c>
      <c r="K23" s="55" t="n">
        <f aca="false">I23+J23</f>
        <v>3682.76480967986</v>
      </c>
      <c r="L23" s="55" t="n">
        <f aca="false">F23-(I23-X23)</f>
        <v>832.264809679859</v>
      </c>
      <c r="M23" s="55" t="n">
        <v>143.1</v>
      </c>
      <c r="N23" s="55" t="n">
        <v>0</v>
      </c>
      <c r="O23" s="55" t="n">
        <v>0</v>
      </c>
      <c r="P23" s="5" t="n">
        <f aca="false">M23-(N23+O23)</f>
        <v>143.1</v>
      </c>
      <c r="Q23" s="55" t="n">
        <v>121.9</v>
      </c>
      <c r="R23" s="55" t="n">
        <v>67</v>
      </c>
      <c r="S23" s="55" t="n">
        <f aca="false">SUM(P23:R23)</f>
        <v>332</v>
      </c>
      <c r="T23" s="57"/>
      <c r="U23" s="55" t="n">
        <v>11</v>
      </c>
      <c r="V23" s="55" t="n">
        <v>2641</v>
      </c>
      <c r="W23" s="57" t="n">
        <f aca="false">W22</f>
        <v>10847</v>
      </c>
      <c r="X23" s="5" t="n">
        <f aca="false">N23+O23+S23+U23+V23</f>
        <v>2984</v>
      </c>
      <c r="Y23" s="55" t="n">
        <f aca="false">IF(L23&lt;0,L23*-1,0)</f>
        <v>0</v>
      </c>
      <c r="Z23" s="55" t="n">
        <f aca="false">X23+Y23</f>
        <v>2984</v>
      </c>
      <c r="AA23" s="58" t="n">
        <v>0.11</v>
      </c>
      <c r="AB23" s="51" t="n">
        <v>71</v>
      </c>
      <c r="AC23" s="51" t="n">
        <v>42</v>
      </c>
      <c r="AD23" s="48" t="n">
        <f aca="false">AD22+1</f>
        <v>14</v>
      </c>
      <c r="AE23" s="83"/>
      <c r="AF23" s="82"/>
    </row>
    <row r="24" customFormat="false" ht="11.1" hidden="false" customHeight="true" outlineLevel="0" collapsed="false">
      <c r="A24" s="48" t="n">
        <f aca="false">A23+1</f>
        <v>15</v>
      </c>
      <c r="B24" s="59" t="n">
        <v>6913.28</v>
      </c>
      <c r="C24" s="57" t="n">
        <v>335272</v>
      </c>
      <c r="D24" s="51" t="n">
        <f aca="false">C24-C23</f>
        <v>1355</v>
      </c>
      <c r="E24" s="57" t="n">
        <f aca="false">C24-152000</f>
        <v>183272</v>
      </c>
      <c r="F24" s="55" t="n">
        <f aca="false">D24/$D$2</f>
        <v>683.135870935216</v>
      </c>
      <c r="G24" s="55" t="n">
        <v>2602.6</v>
      </c>
      <c r="H24" s="61" t="n">
        <v>430.4</v>
      </c>
      <c r="I24" s="55" t="n">
        <f aca="false">G24+H24</f>
        <v>3033</v>
      </c>
      <c r="J24" s="61" t="n">
        <f aca="false">IF(L24&gt;0,L24,0)</f>
        <v>834.635870935215</v>
      </c>
      <c r="K24" s="95" t="n">
        <f aca="false">I24+J24</f>
        <v>3867.63587093522</v>
      </c>
      <c r="L24" s="55" t="n">
        <f aca="false">F24-(I24-X24)</f>
        <v>834.635870935215</v>
      </c>
      <c r="M24" s="55" t="n">
        <v>146.5</v>
      </c>
      <c r="N24" s="55" t="n">
        <v>0</v>
      </c>
      <c r="O24" s="55" t="n">
        <v>0</v>
      </c>
      <c r="P24" s="5" t="n">
        <f aca="false">M24-(N24+O24)</f>
        <v>146.5</v>
      </c>
      <c r="Q24" s="55" t="n">
        <v>121.9</v>
      </c>
      <c r="R24" s="55" t="n">
        <v>66.7</v>
      </c>
      <c r="S24" s="55" t="n">
        <f aca="false">SUM(P24:R24)</f>
        <v>335.1</v>
      </c>
      <c r="T24" s="57"/>
      <c r="U24" s="55" t="n">
        <v>27.7</v>
      </c>
      <c r="V24" s="55" t="n">
        <v>2821.7</v>
      </c>
      <c r="W24" s="57" t="n">
        <f aca="false">W23</f>
        <v>10847</v>
      </c>
      <c r="X24" s="5" t="n">
        <f aca="false">N24+O24+S24+U24+V24</f>
        <v>3184.5</v>
      </c>
      <c r="Y24" s="55" t="n">
        <f aca="false">IF(L24&lt;0,L24*-1,0)</f>
        <v>0</v>
      </c>
      <c r="Z24" s="55" t="n">
        <f aca="false">X24+Y24</f>
        <v>3184.5</v>
      </c>
      <c r="AA24" s="58" t="n">
        <v>0.12</v>
      </c>
      <c r="AB24" s="51" t="n">
        <v>70</v>
      </c>
      <c r="AC24" s="51" t="n">
        <v>41</v>
      </c>
      <c r="AD24" s="48" t="n">
        <f aca="false">AD23+1</f>
        <v>15</v>
      </c>
      <c r="AE24" s="83"/>
      <c r="AF24" s="82"/>
    </row>
    <row r="25" customFormat="false" ht="11.1" hidden="false" customHeight="true" outlineLevel="0" collapsed="false">
      <c r="A25" s="48" t="n">
        <f aca="false">A24+1</f>
        <v>16</v>
      </c>
      <c r="B25" s="59" t="n">
        <v>6914.03</v>
      </c>
      <c r="C25" s="57" t="n">
        <v>338355</v>
      </c>
      <c r="D25" s="51" t="n">
        <f aca="false">C25-C24</f>
        <v>3083</v>
      </c>
      <c r="E25" s="57" t="n">
        <f aca="false">C25-152000</f>
        <v>186355</v>
      </c>
      <c r="F25" s="55" t="n">
        <f aca="false">D25/$D$2</f>
        <v>1554.32316612049</v>
      </c>
      <c r="G25" s="55" t="n">
        <v>2395.4</v>
      </c>
      <c r="H25" s="61" t="n">
        <v>466.1</v>
      </c>
      <c r="I25" s="55" t="n">
        <f aca="false">G25+H25</f>
        <v>2861.5</v>
      </c>
      <c r="J25" s="61" t="n">
        <f aca="false">IF(L25&gt;0,L25,0)</f>
        <v>1967.72316612049</v>
      </c>
      <c r="K25" s="55" t="n">
        <f aca="false">I25+J25</f>
        <v>4829.22316612049</v>
      </c>
      <c r="L25" s="55" t="n">
        <f aca="false">F25-(I25-X25)</f>
        <v>1967.72316612049</v>
      </c>
      <c r="M25" s="55" t="n">
        <v>155.3</v>
      </c>
      <c r="N25" s="55" t="n">
        <v>0</v>
      </c>
      <c r="O25" s="55" t="n">
        <v>0</v>
      </c>
      <c r="P25" s="5" t="n">
        <f aca="false">M25-(N25+O25)</f>
        <v>155.3</v>
      </c>
      <c r="Q25" s="55" t="n">
        <v>122.4</v>
      </c>
      <c r="R25" s="55" t="n">
        <v>67.2</v>
      </c>
      <c r="S25" s="55" t="n">
        <f aca="false">SUM(P25:R25)</f>
        <v>344.9</v>
      </c>
      <c r="T25" s="57"/>
      <c r="U25" s="55" t="n">
        <v>21</v>
      </c>
      <c r="V25" s="55" t="n">
        <v>2909</v>
      </c>
      <c r="W25" s="57" t="n">
        <f aca="false">W24</f>
        <v>10847</v>
      </c>
      <c r="X25" s="5" t="n">
        <f aca="false">N25+O25+S25+U25+V25</f>
        <v>3274.9</v>
      </c>
      <c r="Y25" s="55" t="n">
        <f aca="false">IF(L25&lt;0,L25*-1,0)</f>
        <v>0</v>
      </c>
      <c r="Z25" s="55" t="n">
        <f aca="false">X25+Y25</f>
        <v>3274.9</v>
      </c>
      <c r="AA25" s="58" t="n">
        <v>0.11</v>
      </c>
      <c r="AB25" s="51" t="n">
        <v>68</v>
      </c>
      <c r="AC25" s="51" t="n">
        <v>42</v>
      </c>
      <c r="AD25" s="48" t="n">
        <f aca="false">AD24+1</f>
        <v>16</v>
      </c>
      <c r="AE25" s="83"/>
      <c r="AF25" s="82"/>
    </row>
    <row r="26" customFormat="false" ht="11.1" hidden="false" customHeight="true" outlineLevel="0" collapsed="false">
      <c r="A26" s="48" t="n">
        <f aca="false">A25+1</f>
        <v>17</v>
      </c>
      <c r="B26" s="59" t="n">
        <v>6914.69</v>
      </c>
      <c r="C26" s="57" t="n">
        <v>341088</v>
      </c>
      <c r="D26" s="51" t="n">
        <f aca="false">C26-C25</f>
        <v>2733</v>
      </c>
      <c r="E26" s="57" t="n">
        <f aca="false">C26-152000</f>
        <v>189088</v>
      </c>
      <c r="F26" s="55" t="n">
        <f aca="false">D26/$D$2</f>
        <v>1377.86740610033</v>
      </c>
      <c r="G26" s="55" t="n">
        <v>3305.1</v>
      </c>
      <c r="H26" s="61" t="n">
        <v>487</v>
      </c>
      <c r="I26" s="55" t="n">
        <f aca="false">G26+H26</f>
        <v>3792.1</v>
      </c>
      <c r="J26" s="61" t="n">
        <f aca="false">IF(L26&gt;0,L26,0)</f>
        <v>1457.66740610033</v>
      </c>
      <c r="K26" s="95" t="n">
        <f aca="false">I26+J26</f>
        <v>5249.76740610033</v>
      </c>
      <c r="L26" s="55" t="n">
        <f aca="false">F26-(I26-X26)</f>
        <v>1457.66740610033</v>
      </c>
      <c r="M26" s="55" t="n">
        <v>149.1</v>
      </c>
      <c r="N26" s="55" t="n">
        <v>0</v>
      </c>
      <c r="O26" s="55" t="n">
        <v>0</v>
      </c>
      <c r="P26" s="5" t="n">
        <f aca="false">M26-(N26+O26)</f>
        <v>149.1</v>
      </c>
      <c r="Q26" s="55" t="n">
        <v>122.9</v>
      </c>
      <c r="R26" s="55" t="n">
        <v>68.9</v>
      </c>
      <c r="S26" s="55" t="n">
        <f aca="false">SUM(P26:R26)</f>
        <v>340.9</v>
      </c>
      <c r="T26" s="57"/>
      <c r="U26" s="55" t="n">
        <v>21</v>
      </c>
      <c r="V26" s="55" t="n">
        <v>3510</v>
      </c>
      <c r="W26" s="57" t="n">
        <f aca="false">W25</f>
        <v>10847</v>
      </c>
      <c r="X26" s="5" t="n">
        <f aca="false">N26+O26+S26+U26+V26</f>
        <v>3871.9</v>
      </c>
      <c r="Y26" s="55" t="n">
        <f aca="false">IF(L26&lt;0,L26*-1,0)</f>
        <v>0</v>
      </c>
      <c r="Z26" s="55" t="n">
        <f aca="false">X26+Y26</f>
        <v>3871.9</v>
      </c>
      <c r="AA26" s="58" t="n">
        <v>0.15</v>
      </c>
      <c r="AB26" s="51" t="n">
        <v>66</v>
      </c>
      <c r="AC26" s="51" t="n">
        <v>42</v>
      </c>
      <c r="AD26" s="48" t="n">
        <f aca="false">AD25+1</f>
        <v>17</v>
      </c>
      <c r="AE26" s="83"/>
      <c r="AF26" s="82"/>
    </row>
    <row r="27" customFormat="false" ht="11.1" hidden="false" customHeight="true" outlineLevel="0" collapsed="false">
      <c r="A27" s="48" t="n">
        <f aca="false">A26+1</f>
        <v>18</v>
      </c>
      <c r="B27" s="59" t="n">
        <v>6914.94</v>
      </c>
      <c r="C27" s="57" t="n">
        <v>342124</v>
      </c>
      <c r="D27" s="51" t="n">
        <f aca="false">C27-C26</f>
        <v>1036</v>
      </c>
      <c r="E27" s="57" t="n">
        <f aca="false">C27-152000</f>
        <v>190124</v>
      </c>
      <c r="F27" s="55" t="n">
        <f aca="false">D27/$D$2</f>
        <v>522.309049659693</v>
      </c>
      <c r="G27" s="55" t="n">
        <v>3739.3</v>
      </c>
      <c r="H27" s="61" t="n">
        <v>489.1</v>
      </c>
      <c r="I27" s="55" t="n">
        <f aca="false">G27+H27</f>
        <v>4228.4</v>
      </c>
      <c r="J27" s="61" t="n">
        <f aca="false">IF(L27&gt;0,L27,0)</f>
        <v>526.809049659692</v>
      </c>
      <c r="K27" s="55" t="n">
        <f aca="false">I27+J27</f>
        <v>4755.20904965969</v>
      </c>
      <c r="L27" s="55" t="n">
        <f aca="false">F27-(I27-X27)</f>
        <v>526.809049659692</v>
      </c>
      <c r="M27" s="55" t="n">
        <v>147.4</v>
      </c>
      <c r="N27" s="55" t="n">
        <v>0</v>
      </c>
      <c r="O27" s="55" t="n">
        <v>0</v>
      </c>
      <c r="P27" s="5" t="n">
        <f aca="false">M27-(N27+O27)</f>
        <v>147.4</v>
      </c>
      <c r="Q27" s="55" t="n">
        <v>122.6</v>
      </c>
      <c r="R27" s="55" t="n">
        <v>66.9</v>
      </c>
      <c r="S27" s="55" t="n">
        <f aca="false">SUM(P27:R27)</f>
        <v>336.9</v>
      </c>
      <c r="T27" s="57"/>
      <c r="U27" s="55" t="n">
        <v>36</v>
      </c>
      <c r="V27" s="55" t="n">
        <v>3860</v>
      </c>
      <c r="W27" s="57" t="n">
        <f aca="false">W26</f>
        <v>10847</v>
      </c>
      <c r="X27" s="5" t="n">
        <f aca="false">N27+O27+S27+U27+V27</f>
        <v>4232.9</v>
      </c>
      <c r="Y27" s="55" t="n">
        <f aca="false">IF(L27&lt;0,L27*-1,0)</f>
        <v>0</v>
      </c>
      <c r="Z27" s="55" t="n">
        <f aca="false">X27+Y27</f>
        <v>4232.9</v>
      </c>
      <c r="AA27" s="58" t="n">
        <v>0</v>
      </c>
      <c r="AB27" s="51" t="n">
        <v>70</v>
      </c>
      <c r="AC27" s="51" t="n">
        <v>40</v>
      </c>
      <c r="AD27" s="48" t="n">
        <f aca="false">AD26+1</f>
        <v>18</v>
      </c>
      <c r="AE27" s="83"/>
      <c r="AF27" s="82"/>
    </row>
    <row r="28" customFormat="false" ht="11.1" hidden="false" customHeight="true" outlineLevel="0" collapsed="false">
      <c r="A28" s="48" t="n">
        <f aca="false">A27+1</f>
        <v>19</v>
      </c>
      <c r="B28" s="59" t="n">
        <v>6915.03</v>
      </c>
      <c r="C28" s="93" t="n">
        <v>342496</v>
      </c>
      <c r="D28" s="51" t="n">
        <f aca="false">C28-C27</f>
        <v>372</v>
      </c>
      <c r="E28" s="57" t="n">
        <f aca="false">C28-152000</f>
        <v>190496</v>
      </c>
      <c r="F28" s="55" t="n">
        <f aca="false">D28/$D$2</f>
        <v>187.54726493572</v>
      </c>
      <c r="G28" s="55" t="n">
        <v>3718.6</v>
      </c>
      <c r="H28" s="61" t="n">
        <v>408.9</v>
      </c>
      <c r="I28" s="55" t="n">
        <f aca="false">G28+H28</f>
        <v>4127.5</v>
      </c>
      <c r="J28" s="61" t="n">
        <f aca="false">IF(L28&gt;0,L28,0)</f>
        <v>586.04726493572</v>
      </c>
      <c r="K28" s="55" t="n">
        <f aca="false">I28+J28</f>
        <v>4713.54726493572</v>
      </c>
      <c r="L28" s="55" t="n">
        <f aca="false">F28-(I28-X28)</f>
        <v>586.04726493572</v>
      </c>
      <c r="M28" s="55" t="n">
        <v>150.8</v>
      </c>
      <c r="N28" s="55" t="n">
        <v>0</v>
      </c>
      <c r="O28" s="55" t="n">
        <v>0</v>
      </c>
      <c r="P28" s="5" t="n">
        <f aca="false">M28-(N28+O28)</f>
        <v>150.8</v>
      </c>
      <c r="Q28" s="55" t="n">
        <v>122.3</v>
      </c>
      <c r="R28" s="55" t="n">
        <v>67.9</v>
      </c>
      <c r="S28" s="55" t="n">
        <f aca="false">SUM(P28:R28)</f>
        <v>341</v>
      </c>
      <c r="T28" s="57"/>
      <c r="U28" s="55" t="n">
        <v>45</v>
      </c>
      <c r="V28" s="55" t="n">
        <v>4140</v>
      </c>
      <c r="W28" s="57" t="n">
        <f aca="false">W27</f>
        <v>10847</v>
      </c>
      <c r="X28" s="5" t="n">
        <f aca="false">N28+O28+S28+U28+V28</f>
        <v>4526</v>
      </c>
      <c r="Y28" s="55" t="n">
        <f aca="false">IF(L28&lt;0,L28*-1,0)</f>
        <v>0</v>
      </c>
      <c r="Z28" s="55" t="n">
        <f aca="false">X28+Y28</f>
        <v>4526</v>
      </c>
      <c r="AA28" s="58" t="n">
        <v>0</v>
      </c>
      <c r="AB28" s="51" t="n">
        <v>72</v>
      </c>
      <c r="AC28" s="51" t="n">
        <v>42</v>
      </c>
      <c r="AD28" s="48" t="n">
        <f aca="false">AD27+1</f>
        <v>19</v>
      </c>
      <c r="AE28" s="83"/>
      <c r="AF28" s="82"/>
    </row>
    <row r="29" customFormat="false" ht="11.1" hidden="false" customHeight="true" outlineLevel="0" collapsed="false">
      <c r="A29" s="48" t="n">
        <f aca="false">A28+1</f>
        <v>20</v>
      </c>
      <c r="B29" s="59" t="n">
        <v>6915.19</v>
      </c>
      <c r="C29" s="57" t="n">
        <v>343165</v>
      </c>
      <c r="D29" s="51" t="n">
        <f aca="false">C29-C28</f>
        <v>669</v>
      </c>
      <c r="E29" s="57" t="n">
        <f aca="false">C29-152000</f>
        <v>191165</v>
      </c>
      <c r="F29" s="55" t="n">
        <f aca="false">D29/$D$2</f>
        <v>337.282581295689</v>
      </c>
      <c r="G29" s="55" t="n">
        <v>3679.6</v>
      </c>
      <c r="H29" s="61" t="n">
        <v>387.3</v>
      </c>
      <c r="I29" s="55" t="n">
        <f aca="false">G29+H29</f>
        <v>4066.9</v>
      </c>
      <c r="J29" s="61" t="n">
        <f aca="false">IF(L29&gt;0,L29,0)</f>
        <v>480.382581295689</v>
      </c>
      <c r="K29" s="55" t="n">
        <f aca="false">I29+J29</f>
        <v>4547.28258129569</v>
      </c>
      <c r="L29" s="55" t="n">
        <f aca="false">F29-(I29-X29)</f>
        <v>480.382581295689</v>
      </c>
      <c r="M29" s="55" t="n">
        <v>150.2</v>
      </c>
      <c r="N29" s="55" t="n">
        <v>0</v>
      </c>
      <c r="O29" s="55" t="n">
        <v>0</v>
      </c>
      <c r="P29" s="5" t="n">
        <f aca="false">M29-(N29+O29)</f>
        <v>150.2</v>
      </c>
      <c r="Q29" s="55" t="n">
        <v>136.4</v>
      </c>
      <c r="R29" s="55" t="n">
        <v>70.4</v>
      </c>
      <c r="S29" s="55" t="n">
        <f aca="false">SUM(P29:R29)</f>
        <v>357</v>
      </c>
      <c r="T29" s="57"/>
      <c r="U29" s="55" t="n">
        <v>43</v>
      </c>
      <c r="V29" s="55" t="n">
        <v>3810</v>
      </c>
      <c r="W29" s="57" t="n">
        <f aca="false">W28</f>
        <v>10847</v>
      </c>
      <c r="X29" s="5" t="n">
        <f aca="false">N29+O29+S29+U29+V29</f>
        <v>4210</v>
      </c>
      <c r="Y29" s="55" t="n">
        <f aca="false">IF(L29&lt;0,L29*-1,0)</f>
        <v>0</v>
      </c>
      <c r="Z29" s="55" t="n">
        <f aca="false">X29+Y29</f>
        <v>4210</v>
      </c>
      <c r="AA29" s="58" t="n">
        <v>0.04</v>
      </c>
      <c r="AB29" s="51" t="n">
        <v>75</v>
      </c>
      <c r="AC29" s="51" t="n">
        <v>43</v>
      </c>
      <c r="AD29" s="48" t="n">
        <f aca="false">AD28+1</f>
        <v>20</v>
      </c>
      <c r="AE29" s="83"/>
      <c r="AF29" s="82"/>
    </row>
    <row r="30" customFormat="false" ht="11.1" hidden="false" customHeight="true" outlineLevel="0" collapsed="false">
      <c r="A30" s="48" t="n">
        <f aca="false">A29+1</f>
        <v>21</v>
      </c>
      <c r="B30" s="110" t="n">
        <v>6915.53</v>
      </c>
      <c r="C30" s="57" t="n">
        <v>344585</v>
      </c>
      <c r="D30" s="51" t="n">
        <f aca="false">C30-C29</f>
        <v>1420</v>
      </c>
      <c r="E30" s="57" t="n">
        <f aca="false">C30-152000</f>
        <v>192585</v>
      </c>
      <c r="F30" s="55" t="n">
        <f aca="false">D30/$D$2</f>
        <v>715.906226367532</v>
      </c>
      <c r="G30" s="55" t="n">
        <v>4094.3</v>
      </c>
      <c r="H30" s="61" t="n">
        <v>407.8</v>
      </c>
      <c r="I30" s="55" t="n">
        <f aca="false">G30+H30</f>
        <v>4502.1</v>
      </c>
      <c r="J30" s="61" t="n">
        <f aca="false">IF(L30&gt;0,L30,0)</f>
        <v>307.806226367532</v>
      </c>
      <c r="K30" s="55" t="n">
        <f aca="false">I30+J30</f>
        <v>4809.90622636753</v>
      </c>
      <c r="L30" s="55" t="n">
        <f aca="false">F30-(I30-X30)</f>
        <v>307.806226367532</v>
      </c>
      <c r="M30" s="55" t="n">
        <v>147.4</v>
      </c>
      <c r="N30" s="55" t="n">
        <v>0</v>
      </c>
      <c r="O30" s="55" t="n">
        <v>0</v>
      </c>
      <c r="P30" s="5" t="n">
        <f aca="false">M30-(N30+O30)</f>
        <v>147.4</v>
      </c>
      <c r="Q30" s="55" t="n">
        <v>145.3</v>
      </c>
      <c r="R30" s="55" t="n">
        <v>81.3</v>
      </c>
      <c r="S30" s="55" t="n">
        <f aca="false">SUM(P30:R30)</f>
        <v>374</v>
      </c>
      <c r="T30" s="57"/>
      <c r="U30" s="55" t="n">
        <v>70</v>
      </c>
      <c r="V30" s="55" t="n">
        <v>3650</v>
      </c>
      <c r="W30" s="57" t="n">
        <f aca="false">W29</f>
        <v>10847</v>
      </c>
      <c r="X30" s="5" t="n">
        <f aca="false">N30+O30+S30+U30+V30</f>
        <v>4094</v>
      </c>
      <c r="Y30" s="55" t="n">
        <f aca="false">IF(L30&lt;0,L30*-1,0)</f>
        <v>0</v>
      </c>
      <c r="Z30" s="55" t="n">
        <f aca="false">X30+Y30</f>
        <v>4094</v>
      </c>
      <c r="AA30" s="58" t="n">
        <v>0</v>
      </c>
      <c r="AB30" s="51" t="n">
        <v>72</v>
      </c>
      <c r="AC30" s="51" t="n">
        <v>47</v>
      </c>
      <c r="AD30" s="48" t="n">
        <f aca="false">AD29+1</f>
        <v>21</v>
      </c>
      <c r="AE30" s="83"/>
      <c r="AF30" s="82"/>
    </row>
    <row r="31" customFormat="false" ht="11.1" hidden="false" customHeight="true" outlineLevel="0" collapsed="false">
      <c r="A31" s="48" t="n">
        <f aca="false">A30+1</f>
        <v>22</v>
      </c>
      <c r="B31" s="59" t="n">
        <v>6915.63</v>
      </c>
      <c r="C31" s="57" t="n">
        <v>345002</v>
      </c>
      <c r="D31" s="51" t="n">
        <f aca="false">C31-C30</f>
        <v>417</v>
      </c>
      <c r="E31" s="57" t="n">
        <f aca="false">C31-152000</f>
        <v>193002</v>
      </c>
      <c r="F31" s="55" t="n">
        <f aca="false">D31/$D$2</f>
        <v>210.23443408117</v>
      </c>
      <c r="G31" s="55" t="n">
        <v>4482.8</v>
      </c>
      <c r="H31" s="61" t="n">
        <v>400</v>
      </c>
      <c r="I31" s="55" t="n">
        <f aca="false">G31+H31</f>
        <v>4882.8</v>
      </c>
      <c r="J31" s="61" t="n">
        <f aca="false">IF(L31&gt;0,L31,0)</f>
        <v>0</v>
      </c>
      <c r="K31" s="55" t="n">
        <f aca="false">I31+J31</f>
        <v>4882.8</v>
      </c>
      <c r="L31" s="55" t="n">
        <f aca="false">F31-(I31-X31)</f>
        <v>-116.565565918831</v>
      </c>
      <c r="M31" s="55" t="n">
        <v>165.5</v>
      </c>
      <c r="N31" s="55" t="n">
        <v>0</v>
      </c>
      <c r="O31" s="55" t="n">
        <v>0</v>
      </c>
      <c r="P31" s="5" t="n">
        <f aca="false">M31-(N31+O31)</f>
        <v>165.5</v>
      </c>
      <c r="Q31" s="55" t="n">
        <v>147.4</v>
      </c>
      <c r="R31" s="55" t="n">
        <v>73.1</v>
      </c>
      <c r="S31" s="95" t="n">
        <f aca="false">SUM(P31:R31)</f>
        <v>386</v>
      </c>
      <c r="T31" s="57"/>
      <c r="U31" s="55" t="n">
        <v>50</v>
      </c>
      <c r="V31" s="55" t="n">
        <v>4120</v>
      </c>
      <c r="W31" s="57" t="n">
        <f aca="false">W30</f>
        <v>10847</v>
      </c>
      <c r="X31" s="5" t="n">
        <f aca="false">N31+O31+S31+U31+V31</f>
        <v>4556</v>
      </c>
      <c r="Y31" s="55" t="n">
        <f aca="false">IF(L31&lt;0,L31*-1,0)</f>
        <v>116.565565918831</v>
      </c>
      <c r="Z31" s="55" t="n">
        <f aca="false">X31+Y31</f>
        <v>4672.56556591883</v>
      </c>
      <c r="AA31" s="58" t="n">
        <v>0</v>
      </c>
      <c r="AB31" s="51" t="n">
        <v>74</v>
      </c>
      <c r="AC31" s="51" t="n">
        <v>42</v>
      </c>
      <c r="AD31" s="48" t="n">
        <f aca="false">AD30+1</f>
        <v>22</v>
      </c>
      <c r="AE31" s="83"/>
      <c r="AF31" s="82"/>
    </row>
    <row r="32" customFormat="false" ht="11.1" hidden="false" customHeight="true" outlineLevel="0" collapsed="false">
      <c r="A32" s="48" t="n">
        <f aca="false">A31+1</f>
        <v>23</v>
      </c>
      <c r="B32" s="59" t="n">
        <v>6915.44</v>
      </c>
      <c r="C32" s="57" t="n">
        <v>344209</v>
      </c>
      <c r="D32" s="51" t="n">
        <f aca="false">C32-C31</f>
        <v>-793</v>
      </c>
      <c r="E32" s="57" t="n">
        <f aca="false">C32-152000</f>
        <v>192209</v>
      </c>
      <c r="F32" s="55" t="n">
        <f aca="false">D32/$D$2</f>
        <v>-399.798336274263</v>
      </c>
      <c r="G32" s="55" t="n">
        <v>3893.5</v>
      </c>
      <c r="H32" s="61" t="n">
        <v>350.3</v>
      </c>
      <c r="I32" s="55" t="n">
        <f aca="false">G32+H32</f>
        <v>4243.8</v>
      </c>
      <c r="J32" s="61" t="n">
        <f aca="false">IF(L32&gt;0,L32,0)</f>
        <v>0</v>
      </c>
      <c r="K32" s="55" t="n">
        <f aca="false">I32+J32</f>
        <v>4243.8</v>
      </c>
      <c r="L32" s="55" t="n">
        <f aca="false">F32-(I32-X32)</f>
        <v>-40.6383362742628</v>
      </c>
      <c r="M32" s="55" t="n">
        <v>176.56</v>
      </c>
      <c r="N32" s="55" t="n">
        <v>0</v>
      </c>
      <c r="O32" s="55" t="n">
        <v>0</v>
      </c>
      <c r="P32" s="5" t="n">
        <f aca="false">M32-(N32+O32)</f>
        <v>176.56</v>
      </c>
      <c r="Q32" s="55" t="n">
        <v>147.3</v>
      </c>
      <c r="R32" s="55" t="n">
        <v>77.1</v>
      </c>
      <c r="S32" s="55" t="n">
        <f aca="false">SUM(P32:R32)</f>
        <v>400.96</v>
      </c>
      <c r="T32" s="57"/>
      <c r="U32" s="55" t="n">
        <v>72</v>
      </c>
      <c r="V32" s="55" t="n">
        <v>4130</v>
      </c>
      <c r="W32" s="57" t="n">
        <f aca="false">W31</f>
        <v>10847</v>
      </c>
      <c r="X32" s="5" t="n">
        <f aca="false">N32+O32+S32+U32+V32</f>
        <v>4602.96</v>
      </c>
      <c r="Y32" s="55" t="n">
        <f aca="false">IF(L32&lt;0,L32*-1,0)</f>
        <v>40.6383362742628</v>
      </c>
      <c r="Z32" s="55" t="n">
        <f aca="false">X32+Y32</f>
        <v>4643.59833627426</v>
      </c>
      <c r="AA32" s="58" t="n">
        <v>0</v>
      </c>
      <c r="AB32" s="51" t="n">
        <v>76</v>
      </c>
      <c r="AC32" s="51" t="n">
        <v>40</v>
      </c>
      <c r="AD32" s="48" t="n">
        <f aca="false">AD31+1</f>
        <v>23</v>
      </c>
      <c r="AE32" s="83"/>
      <c r="AF32" s="82"/>
    </row>
    <row r="33" customFormat="false" ht="11.1" hidden="false" customHeight="true" outlineLevel="0" collapsed="false">
      <c r="A33" s="48" t="n">
        <f aca="false">A32+1</f>
        <v>24</v>
      </c>
      <c r="B33" s="59" t="n">
        <v>6915.61</v>
      </c>
      <c r="C33" s="57" t="n">
        <v>344909</v>
      </c>
      <c r="D33" s="51" t="n">
        <f aca="false">C33-C32</f>
        <v>700</v>
      </c>
      <c r="E33" s="57" t="n">
        <f aca="false">C33-152000</f>
        <v>192909</v>
      </c>
      <c r="F33" s="55" t="n">
        <f aca="false">D33/$D$2</f>
        <v>352.911520040333</v>
      </c>
      <c r="G33" s="55" t="n">
        <v>3674</v>
      </c>
      <c r="H33" s="61" t="n">
        <v>307.3</v>
      </c>
      <c r="I33" s="55" t="n">
        <f aca="false">G33+H33</f>
        <v>3981.3</v>
      </c>
      <c r="J33" s="61" t="n">
        <f aca="false">IF(L33&gt;0,L33,0)</f>
        <v>421.411520040333</v>
      </c>
      <c r="K33" s="55" t="n">
        <f aca="false">I33+J33</f>
        <v>4402.71152004033</v>
      </c>
      <c r="L33" s="55" t="n">
        <f aca="false">F33-(I33-X33)</f>
        <v>421.411520040333</v>
      </c>
      <c r="M33" s="55" t="n">
        <v>172.4</v>
      </c>
      <c r="N33" s="55" t="n">
        <v>0</v>
      </c>
      <c r="O33" s="55" t="n">
        <v>0</v>
      </c>
      <c r="P33" s="5" t="n">
        <f aca="false">M33-(N33+O33)</f>
        <v>172.4</v>
      </c>
      <c r="Q33" s="55" t="n">
        <v>147.4</v>
      </c>
      <c r="R33" s="55" t="n">
        <v>82.3</v>
      </c>
      <c r="S33" s="55" t="n">
        <f aca="false">SUM(P33:R33)</f>
        <v>402.1</v>
      </c>
      <c r="T33" s="57"/>
      <c r="U33" s="55" t="n">
        <v>69.6</v>
      </c>
      <c r="V33" s="55" t="n">
        <v>3578.1</v>
      </c>
      <c r="W33" s="57" t="n">
        <f aca="false">W32</f>
        <v>10847</v>
      </c>
      <c r="X33" s="5" t="n">
        <f aca="false">N33+O33+S33+U33+V33</f>
        <v>4049.8</v>
      </c>
      <c r="Y33" s="55" t="n">
        <f aca="false">IF(L33&lt;0,L33*-1,0)</f>
        <v>0</v>
      </c>
      <c r="Z33" s="55" t="n">
        <f aca="false">X33+Y33</f>
        <v>4049.8</v>
      </c>
      <c r="AA33" s="58" t="n">
        <v>0</v>
      </c>
      <c r="AB33" s="51" t="n">
        <v>76</v>
      </c>
      <c r="AC33" s="51" t="n">
        <v>42</v>
      </c>
      <c r="AD33" s="48" t="n">
        <f aca="false">AD32+1</f>
        <v>24</v>
      </c>
      <c r="AE33" s="83"/>
      <c r="AF33" s="82"/>
    </row>
    <row r="34" customFormat="false" ht="11.1" hidden="false" customHeight="true" outlineLevel="0" collapsed="false">
      <c r="A34" s="48" t="n">
        <f aca="false">A33+1</f>
        <v>25</v>
      </c>
      <c r="B34" s="59" t="n">
        <v>6916.11</v>
      </c>
      <c r="C34" s="57" t="n">
        <v>347009</v>
      </c>
      <c r="D34" s="51" t="n">
        <f aca="false">C34-C33</f>
        <v>2100</v>
      </c>
      <c r="E34" s="57" t="n">
        <f aca="false">C34-152000</f>
        <v>195009</v>
      </c>
      <c r="F34" s="55" t="n">
        <f aca="false">D34/$D$2</f>
        <v>1058.734560121</v>
      </c>
      <c r="G34" s="55" t="n">
        <v>4339</v>
      </c>
      <c r="H34" s="61" t="n">
        <v>305.4</v>
      </c>
      <c r="I34" s="55" t="n">
        <f aca="false">G34+H34</f>
        <v>4644.4</v>
      </c>
      <c r="J34" s="61" t="n">
        <f aca="false">IF(L34&gt;0,L34,0)</f>
        <v>0</v>
      </c>
      <c r="K34" s="55" t="n">
        <f aca="false">I34+J34</f>
        <v>4644.4</v>
      </c>
      <c r="L34" s="55" t="n">
        <f aca="false">F34-(I34-X34)</f>
        <v>-104.665439879002</v>
      </c>
      <c r="M34" s="55" t="n">
        <v>179.6</v>
      </c>
      <c r="N34" s="55" t="n">
        <v>0</v>
      </c>
      <c r="O34" s="55" t="n">
        <v>0</v>
      </c>
      <c r="P34" s="5" t="n">
        <f aca="false">M34-(N34+O34)</f>
        <v>179.6</v>
      </c>
      <c r="Q34" s="55" t="n">
        <v>147.5</v>
      </c>
      <c r="R34" s="55" t="n">
        <v>84</v>
      </c>
      <c r="S34" s="55" t="n">
        <f aca="false">SUM(P34:R34)</f>
        <v>411.1</v>
      </c>
      <c r="T34" s="57"/>
      <c r="U34" s="55" t="n">
        <v>81.2</v>
      </c>
      <c r="V34" s="55" t="n">
        <v>2988.7</v>
      </c>
      <c r="W34" s="57" t="n">
        <f aca="false">W33</f>
        <v>10847</v>
      </c>
      <c r="X34" s="5" t="n">
        <f aca="false">N34+O34+S34+U34+V34</f>
        <v>3481</v>
      </c>
      <c r="Y34" s="55" t="n">
        <f aca="false">IF(L34&lt;0,L34*-1,0)</f>
        <v>104.665439879002</v>
      </c>
      <c r="Z34" s="55" t="n">
        <f aca="false">X34+Y34</f>
        <v>3585.665439879</v>
      </c>
      <c r="AA34" s="58" t="n">
        <v>0.03</v>
      </c>
      <c r="AB34" s="51" t="n">
        <v>79</v>
      </c>
      <c r="AC34" s="51" t="n">
        <v>44</v>
      </c>
      <c r="AD34" s="48" t="n">
        <f aca="false">AD33+1</f>
        <v>25</v>
      </c>
      <c r="AE34" s="83"/>
      <c r="AF34" s="82"/>
    </row>
    <row r="35" customFormat="false" ht="11.1" hidden="false" customHeight="true" outlineLevel="0" collapsed="false">
      <c r="A35" s="48" t="n">
        <f aca="false">A34+1</f>
        <v>26</v>
      </c>
      <c r="B35" s="59" t="n">
        <v>6916.96</v>
      </c>
      <c r="C35" s="57" t="n">
        <v>350586</v>
      </c>
      <c r="D35" s="51" t="n">
        <f aca="false">C35-C34</f>
        <v>3577</v>
      </c>
      <c r="E35" s="57" t="n">
        <f aca="false">C35-152000</f>
        <v>198586</v>
      </c>
      <c r="F35" s="55" t="n">
        <f aca="false">D35/$D$2</f>
        <v>1803.3778674061</v>
      </c>
      <c r="G35" s="55" t="n">
        <v>4817.2</v>
      </c>
      <c r="H35" s="61" t="n">
        <v>288.1</v>
      </c>
      <c r="I35" s="55" t="n">
        <f aca="false">G35+H35</f>
        <v>5105.3</v>
      </c>
      <c r="J35" s="61" t="n">
        <f aca="false">IF(L35&gt;0,L35,0)</f>
        <v>0</v>
      </c>
      <c r="K35" s="55" t="n">
        <f aca="false">I35+J35</f>
        <v>5105.3</v>
      </c>
      <c r="L35" s="55" t="n">
        <f aca="false">F35-(I35-X35)</f>
        <v>-258.0221325939</v>
      </c>
      <c r="M35" s="55" t="n">
        <v>196</v>
      </c>
      <c r="N35" s="55" t="n">
        <v>0</v>
      </c>
      <c r="O35" s="55" t="n">
        <v>0</v>
      </c>
      <c r="P35" s="5" t="n">
        <f aca="false">M35-(N35+O35)</f>
        <v>196</v>
      </c>
      <c r="Q35" s="55" t="n">
        <v>147.6</v>
      </c>
      <c r="R35" s="55" t="n">
        <v>84.4</v>
      </c>
      <c r="S35" s="55" t="n">
        <f aca="false">SUM(P35:R35)</f>
        <v>428</v>
      </c>
      <c r="T35" s="57"/>
      <c r="U35" s="55" t="n">
        <v>56.5</v>
      </c>
      <c r="V35" s="55" t="n">
        <v>2559.4</v>
      </c>
      <c r="W35" s="57" t="n">
        <f aca="false">W34</f>
        <v>10847</v>
      </c>
      <c r="X35" s="5" t="n">
        <f aca="false">N35+O35+S35+U35+V35</f>
        <v>3043.9</v>
      </c>
      <c r="Y35" s="55" t="n">
        <f aca="false">IF(L35&lt;0,L35*-1,0)</f>
        <v>258.0221325939</v>
      </c>
      <c r="Z35" s="55" t="n">
        <f aca="false">X35+Y35</f>
        <v>3301.9221325939</v>
      </c>
      <c r="AA35" s="58" t="n">
        <v>0.09</v>
      </c>
      <c r="AB35" s="51" t="n">
        <v>64</v>
      </c>
      <c r="AC35" s="51" t="n">
        <v>50</v>
      </c>
      <c r="AD35" s="48" t="n">
        <f aca="false">AD34+1</f>
        <v>26</v>
      </c>
      <c r="AE35" s="83"/>
      <c r="AF35" s="82"/>
    </row>
    <row r="36" customFormat="false" ht="11.1" hidden="false" customHeight="true" outlineLevel="0" collapsed="false">
      <c r="A36" s="48" t="n">
        <f aca="false">A35+1</f>
        <v>27</v>
      </c>
      <c r="B36" s="59" t="n">
        <v>6918.11</v>
      </c>
      <c r="C36" s="57" t="n">
        <v>355464</v>
      </c>
      <c r="D36" s="51" t="n">
        <f aca="false">C36-C35</f>
        <v>4878</v>
      </c>
      <c r="E36" s="57" t="n">
        <f aca="false">C36-152000</f>
        <v>203464</v>
      </c>
      <c r="F36" s="55" t="n">
        <f aca="false">D36/$D$2</f>
        <v>2459.28913536678</v>
      </c>
      <c r="G36" s="55" t="n">
        <v>5118.2</v>
      </c>
      <c r="H36" s="61" t="n">
        <v>325.7</v>
      </c>
      <c r="I36" s="55" t="n">
        <f aca="false">G36+H36</f>
        <v>5443.9</v>
      </c>
      <c r="J36" s="61" t="n">
        <f aca="false">IF(L36&gt;0,L36,0)</f>
        <v>0</v>
      </c>
      <c r="K36" s="55" t="n">
        <f aca="false">I36+J36</f>
        <v>5443.9</v>
      </c>
      <c r="L36" s="55" t="n">
        <f aca="false">F36-(I36-X36)</f>
        <v>-137.110864633224</v>
      </c>
      <c r="M36" s="55" t="n">
        <v>203.9</v>
      </c>
      <c r="N36" s="55" t="n">
        <v>0</v>
      </c>
      <c r="O36" s="55" t="n">
        <v>0</v>
      </c>
      <c r="P36" s="5" t="n">
        <f aca="false">M36-(N36+O36)</f>
        <v>203.9</v>
      </c>
      <c r="Q36" s="55" t="n">
        <v>147.6</v>
      </c>
      <c r="R36" s="55" t="n">
        <v>86.5</v>
      </c>
      <c r="S36" s="55" t="n">
        <f aca="false">SUM(P36:R36)</f>
        <v>438</v>
      </c>
      <c r="T36" s="57"/>
      <c r="U36" s="55" t="n">
        <v>72.1</v>
      </c>
      <c r="V36" s="55" t="n">
        <v>2337.4</v>
      </c>
      <c r="W36" s="57" t="n">
        <f aca="false">W35</f>
        <v>10847</v>
      </c>
      <c r="X36" s="5" t="n">
        <f aca="false">N36+O36+S36+U36+V36</f>
        <v>2847.5</v>
      </c>
      <c r="Y36" s="55" t="n">
        <f aca="false">IF(L36&lt;0,L36*-1,0)</f>
        <v>137.110864633224</v>
      </c>
      <c r="Z36" s="55" t="n">
        <f aca="false">X36+Y36</f>
        <v>2984.61086463322</v>
      </c>
      <c r="AA36" s="58" t="n">
        <v>0.14</v>
      </c>
      <c r="AB36" s="51" t="n">
        <v>65</v>
      </c>
      <c r="AC36" s="51" t="n">
        <v>51</v>
      </c>
      <c r="AD36" s="48" t="n">
        <f aca="false">AD35+1</f>
        <v>27</v>
      </c>
      <c r="AE36" s="83"/>
      <c r="AF36" s="82"/>
    </row>
    <row r="37" customFormat="false" ht="11.1" hidden="false" customHeight="true" outlineLevel="0" collapsed="false">
      <c r="A37" s="48" t="n">
        <v>28</v>
      </c>
      <c r="B37" s="59" t="n">
        <v>6918.69</v>
      </c>
      <c r="C37" s="57" t="n">
        <v>357942</v>
      </c>
      <c r="D37" s="51" t="n">
        <f aca="false">C37-C36</f>
        <v>2478</v>
      </c>
      <c r="E37" s="57" t="n">
        <f aca="false">C37-152000</f>
        <v>205942</v>
      </c>
      <c r="F37" s="55" t="n">
        <f aca="false">D37/$D$2</f>
        <v>1249.30678094278</v>
      </c>
      <c r="G37" s="55" t="n">
        <v>4633.5</v>
      </c>
      <c r="H37" s="61" t="n">
        <v>318.8</v>
      </c>
      <c r="I37" s="55" t="n">
        <f aca="false">G37+H37</f>
        <v>4952.3</v>
      </c>
      <c r="J37" s="61" t="n">
        <f aca="false">IF(L37&gt;0,L37,0)</f>
        <v>0</v>
      </c>
      <c r="K37" s="55" t="n">
        <f aca="false">I37+J37</f>
        <v>4952.3</v>
      </c>
      <c r="L37" s="55" t="n">
        <f aca="false">F37-(I37-X37)</f>
        <v>-374.693219057222</v>
      </c>
      <c r="M37" s="55" t="n">
        <v>219.3</v>
      </c>
      <c r="N37" s="55" t="n">
        <v>0</v>
      </c>
      <c r="O37" s="55" t="n">
        <v>0</v>
      </c>
      <c r="P37" s="5" t="n">
        <f aca="false">M37-(N37+O37)</f>
        <v>219.3</v>
      </c>
      <c r="Q37" s="55" t="n">
        <v>163.4</v>
      </c>
      <c r="R37" s="55" t="n">
        <v>86.3</v>
      </c>
      <c r="S37" s="55" t="n">
        <f aca="false">SUM(P37:R37)</f>
        <v>469</v>
      </c>
      <c r="T37" s="57"/>
      <c r="U37" s="55" t="n">
        <v>69.6</v>
      </c>
      <c r="V37" s="55" t="n">
        <v>2789.7</v>
      </c>
      <c r="W37" s="57" t="n">
        <f aca="false">W36</f>
        <v>10847</v>
      </c>
      <c r="X37" s="5" t="n">
        <f aca="false">N37+O37+S37+U37+V37</f>
        <v>3328.3</v>
      </c>
      <c r="Y37" s="55" t="n">
        <f aca="false">IF(L37&lt;0,L37*-1,0)</f>
        <v>374.693219057222</v>
      </c>
      <c r="Z37" s="55" t="n">
        <f aca="false">X37+Y37</f>
        <v>3702.99321905722</v>
      </c>
      <c r="AA37" s="58" t="n">
        <v>0.01</v>
      </c>
      <c r="AB37" s="51" t="n">
        <v>73</v>
      </c>
      <c r="AC37" s="51" t="n">
        <v>45</v>
      </c>
      <c r="AD37" s="48" t="n">
        <v>28</v>
      </c>
      <c r="AE37" s="83"/>
      <c r="AF37" s="82"/>
    </row>
    <row r="38" customFormat="false" ht="11.1" hidden="false" customHeight="true" outlineLevel="0" collapsed="false">
      <c r="A38" s="48" t="n">
        <v>29</v>
      </c>
      <c r="B38" s="59" t="n">
        <v>6919.1</v>
      </c>
      <c r="C38" s="57" t="n">
        <v>359698</v>
      </c>
      <c r="D38" s="51" t="n">
        <f aca="false">C38-C37</f>
        <v>1756</v>
      </c>
      <c r="E38" s="57" t="n">
        <f aca="false">C38-152000</f>
        <v>207698</v>
      </c>
      <c r="F38" s="55" t="n">
        <f aca="false">D38/$D$2</f>
        <v>885.303755986892</v>
      </c>
      <c r="G38" s="55" t="n">
        <v>3778.7</v>
      </c>
      <c r="H38" s="61" t="n">
        <v>253.1</v>
      </c>
      <c r="I38" s="55" t="n">
        <f aca="false">G38+H38</f>
        <v>4031.8</v>
      </c>
      <c r="J38" s="61" t="n">
        <f aca="false">IF(L38&gt;0,L38,0)</f>
        <v>404.203755986892</v>
      </c>
      <c r="K38" s="55" t="n">
        <f aca="false">I38+J38</f>
        <v>4436.00375598689</v>
      </c>
      <c r="L38" s="55" t="n">
        <f aca="false">F38-(I38-X38)</f>
        <v>404.203755986892</v>
      </c>
      <c r="M38" s="55" t="n">
        <v>211.6</v>
      </c>
      <c r="N38" s="55" t="n">
        <v>0</v>
      </c>
      <c r="O38" s="55" t="n">
        <v>0</v>
      </c>
      <c r="P38" s="5" t="n">
        <f aca="false">M38-(N38+O38)</f>
        <v>211.6</v>
      </c>
      <c r="Q38" s="55" t="n">
        <v>171.4</v>
      </c>
      <c r="R38" s="55" t="n">
        <v>87</v>
      </c>
      <c r="S38" s="55" t="n">
        <f aca="false">SUM(P38:R38)</f>
        <v>470</v>
      </c>
      <c r="T38" s="57"/>
      <c r="U38" s="55" t="n">
        <v>75.6</v>
      </c>
      <c r="V38" s="55" t="n">
        <v>3005.1</v>
      </c>
      <c r="W38" s="57" t="n">
        <f aca="false">W37</f>
        <v>10847</v>
      </c>
      <c r="X38" s="5" t="n">
        <f aca="false">N38+O38+S38+U38+V38</f>
        <v>3550.7</v>
      </c>
      <c r="Y38" s="55" t="n">
        <f aca="false">IF(L38&lt;0,L38*-1,0)</f>
        <v>0</v>
      </c>
      <c r="Z38" s="55" t="n">
        <f aca="false">X38+Y38</f>
        <v>3550.7</v>
      </c>
      <c r="AA38" s="58" t="n">
        <v>0</v>
      </c>
      <c r="AB38" s="51" t="n">
        <v>73</v>
      </c>
      <c r="AC38" s="51" t="n">
        <v>47</v>
      </c>
      <c r="AD38" s="48" t="n">
        <v>29</v>
      </c>
      <c r="AE38" s="83"/>
      <c r="AF38" s="82"/>
    </row>
    <row r="39" customFormat="false" ht="11.1" hidden="false" customHeight="true" outlineLevel="0" collapsed="false">
      <c r="A39" s="48" t="n">
        <v>30</v>
      </c>
      <c r="B39" s="59" t="n">
        <v>6919.52</v>
      </c>
      <c r="C39" s="57" t="n">
        <v>361506</v>
      </c>
      <c r="D39" s="51" t="n">
        <f aca="false">C39-C38</f>
        <v>1808</v>
      </c>
      <c r="E39" s="57" t="n">
        <f aca="false">C39-152000</f>
        <v>209506</v>
      </c>
      <c r="F39" s="55" t="n">
        <f aca="false">D39/$D$2</f>
        <v>911.520040332745</v>
      </c>
      <c r="G39" s="55" t="n">
        <v>3810.1</v>
      </c>
      <c r="H39" s="61" t="n">
        <v>239</v>
      </c>
      <c r="I39" s="55" t="n">
        <f aca="false">G39+H39</f>
        <v>4049.1</v>
      </c>
      <c r="J39" s="61" t="n">
        <f aca="false">IF(L39&gt;0,L39,0)</f>
        <v>192.020040332745</v>
      </c>
      <c r="K39" s="55" t="n">
        <f aca="false">I39+J39</f>
        <v>4241.12004033275</v>
      </c>
      <c r="L39" s="55" t="n">
        <f aca="false">F39-(I39-X39)</f>
        <v>192.020040332745</v>
      </c>
      <c r="M39" s="55" t="n">
        <v>203.5</v>
      </c>
      <c r="N39" s="55" t="n">
        <v>0</v>
      </c>
      <c r="O39" s="55" t="n">
        <v>0</v>
      </c>
      <c r="P39" s="5" t="n">
        <f aca="false">M39-(N39+O39)</f>
        <v>203.5</v>
      </c>
      <c r="Q39" s="55" t="n">
        <v>171.8</v>
      </c>
      <c r="R39" s="55" t="n">
        <v>85.6</v>
      </c>
      <c r="S39" s="55" t="n">
        <f aca="false">SUM(P39:R39)</f>
        <v>460.9</v>
      </c>
      <c r="T39" s="57"/>
      <c r="U39" s="55" t="n">
        <v>73.6</v>
      </c>
      <c r="V39" s="55" t="n">
        <v>2795.1</v>
      </c>
      <c r="W39" s="57" t="n">
        <f aca="false">W38</f>
        <v>10847</v>
      </c>
      <c r="X39" s="5" t="n">
        <f aca="false">N39+O39+S39+U39+V39</f>
        <v>3329.6</v>
      </c>
      <c r="Y39" s="55" t="n">
        <f aca="false">IF(L39&lt;0,L39*-1,0)</f>
        <v>0</v>
      </c>
      <c r="Z39" s="55" t="n">
        <f aca="false">X39+Y39</f>
        <v>3329.6</v>
      </c>
      <c r="AA39" s="58" t="n">
        <v>0</v>
      </c>
      <c r="AB39" s="51" t="n">
        <v>78</v>
      </c>
      <c r="AC39" s="51" t="n">
        <v>46</v>
      </c>
      <c r="AD39" s="48" t="n">
        <v>30</v>
      </c>
      <c r="AE39" s="83"/>
      <c r="AF39" s="82"/>
    </row>
    <row r="40" customFormat="false" ht="11.1" hidden="false" customHeight="true" outlineLevel="0" collapsed="false">
      <c r="A40" s="48" t="n">
        <v>31</v>
      </c>
      <c r="B40" s="59" t="n">
        <v>6920.1</v>
      </c>
      <c r="C40" s="57" t="n">
        <v>364008</v>
      </c>
      <c r="D40" s="51" t="n">
        <f aca="false">C40-C39</f>
        <v>2502</v>
      </c>
      <c r="E40" s="57" t="n">
        <f aca="false">C40-152000</f>
        <v>212008</v>
      </c>
      <c r="F40" s="55" t="n">
        <f aca="false">D40/$D$2</f>
        <v>1261.40660448702</v>
      </c>
      <c r="G40" s="55" t="n">
        <v>4247.3</v>
      </c>
      <c r="H40" s="61" t="n">
        <v>231.2</v>
      </c>
      <c r="I40" s="55" t="n">
        <f aca="false">G40+H40</f>
        <v>4478.5</v>
      </c>
      <c r="J40" s="61" t="n">
        <f aca="false">IF(L40&gt;0,L40,0)</f>
        <v>0</v>
      </c>
      <c r="K40" s="55" t="n">
        <f aca="false">I40+J40</f>
        <v>4478.5</v>
      </c>
      <c r="L40" s="55" t="n">
        <f aca="false">F40-(I40-X40)</f>
        <v>-64.9933955129823</v>
      </c>
      <c r="M40" s="55" t="n">
        <v>194.3</v>
      </c>
      <c r="N40" s="55" t="n">
        <v>0</v>
      </c>
      <c r="O40" s="55" t="n">
        <v>0</v>
      </c>
      <c r="P40" s="5" t="n">
        <f aca="false">M40-(N40+O40)</f>
        <v>194.3</v>
      </c>
      <c r="Q40" s="55" t="n">
        <v>172.2</v>
      </c>
      <c r="R40" s="55" t="n">
        <v>91.5</v>
      </c>
      <c r="S40" s="55" t="n">
        <f aca="false">SUM(P40:R40)</f>
        <v>458</v>
      </c>
      <c r="T40" s="57"/>
      <c r="U40" s="55" t="n">
        <v>80</v>
      </c>
      <c r="V40" s="55" t="n">
        <v>2614.1</v>
      </c>
      <c r="W40" s="57" t="n">
        <f aca="false">W39</f>
        <v>10847</v>
      </c>
      <c r="X40" s="5" t="n">
        <f aca="false">N40+O40+S40+U40+V40</f>
        <v>3152.1</v>
      </c>
      <c r="Y40" s="55" t="n">
        <f aca="false">IF(L40&lt;0,L40*-1,0)</f>
        <v>64.9933955129823</v>
      </c>
      <c r="Z40" s="55" t="n">
        <f aca="false">X40+Y40</f>
        <v>3217.09339551298</v>
      </c>
      <c r="AA40" s="58" t="n">
        <v>0</v>
      </c>
      <c r="AB40" s="51" t="n">
        <v>80</v>
      </c>
      <c r="AC40" s="51" t="n">
        <v>46</v>
      </c>
      <c r="AD40" s="48" t="n">
        <v>31</v>
      </c>
      <c r="AE40" s="83"/>
      <c r="AF40" s="82"/>
    </row>
    <row r="41" customFormat="false" ht="3" hidden="false" customHeight="true" outlineLevel="0" collapsed="false">
      <c r="A41" s="84"/>
      <c r="B41" s="84"/>
      <c r="C41" s="86"/>
      <c r="D41" s="84"/>
      <c r="E41" s="86"/>
      <c r="F41" s="84"/>
      <c r="G41" s="84"/>
      <c r="H41" s="109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6"/>
      <c r="U41" s="84"/>
      <c r="V41" s="84"/>
      <c r="W41" s="84"/>
      <c r="X41" s="84"/>
      <c r="Y41" s="84"/>
      <c r="Z41" s="84"/>
      <c r="AA41" s="87"/>
      <c r="AB41" s="52"/>
      <c r="AC41" s="52"/>
      <c r="AD41" s="53"/>
      <c r="AE41" s="81"/>
      <c r="AF41" s="82"/>
    </row>
    <row r="42" customFormat="false" ht="11.1" hidden="false" customHeight="true" outlineLevel="0" collapsed="false">
      <c r="A42" s="55" t="s">
        <v>43</v>
      </c>
      <c r="B42" s="55"/>
      <c r="C42" s="57"/>
      <c r="D42" s="57"/>
      <c r="E42" s="57"/>
      <c r="F42" s="57" t="n">
        <f aca="false">SUM(F10:F40)</f>
        <v>10150.2394756743</v>
      </c>
      <c r="G42" s="57" t="n">
        <f aca="false">SUM(G10:G40)</f>
        <v>91402.8</v>
      </c>
      <c r="H42" s="61" t="n">
        <f aca="false">SUM(H10:H40)</f>
        <v>9822.3</v>
      </c>
      <c r="I42" s="57" t="n">
        <f aca="false">SUM(I10:I40)</f>
        <v>101225.1</v>
      </c>
      <c r="J42" s="57" t="n">
        <f aca="false">SUM(J10:J40)</f>
        <v>14643.2884295437</v>
      </c>
      <c r="K42" s="57" t="n">
        <f aca="false">SUM(K10:K40)</f>
        <v>115868.388429544</v>
      </c>
      <c r="L42" s="57" t="n">
        <f aca="false">SUM(L10:L40)</f>
        <v>13546.5994756743</v>
      </c>
      <c r="M42" s="57" t="n">
        <f aca="false">SUM(M10:M40)</f>
        <v>4913.76</v>
      </c>
      <c r="N42" s="57" t="n">
        <f aca="false">SUM(N10:N40)</f>
        <v>0</v>
      </c>
      <c r="O42" s="57" t="n">
        <f aca="false">SUM(O10:O40)</f>
        <v>0</v>
      </c>
      <c r="P42" s="57" t="n">
        <f aca="false">SUM(P10:P40)</f>
        <v>4913.76</v>
      </c>
      <c r="Q42" s="57" t="n">
        <f aca="false">SUM(Q10:Q40)</f>
        <v>3445.8</v>
      </c>
      <c r="R42" s="57" t="n">
        <f aca="false">SUM(R10:R40)</f>
        <v>1890.3</v>
      </c>
      <c r="S42" s="57" t="n">
        <f aca="false">SUM(S10:S40)</f>
        <v>10249.86</v>
      </c>
      <c r="T42" s="57"/>
      <c r="U42" s="57" t="n">
        <f aca="false">SUM(U10:U40)</f>
        <v>1150.1</v>
      </c>
      <c r="V42" s="57" t="n">
        <f aca="false">SUM(V10:V40)</f>
        <v>93221.5</v>
      </c>
      <c r="W42" s="57"/>
      <c r="X42" s="57" t="n">
        <f aca="false">SUM(X10:X40)</f>
        <v>104621.46</v>
      </c>
      <c r="Y42" s="57" t="n">
        <f aca="false">SUM(Y10:Y40)</f>
        <v>1096.68895386942</v>
      </c>
      <c r="Z42" s="57" t="n">
        <f aca="false">SUM(Z10:Z40)</f>
        <v>105718.148953869</v>
      </c>
      <c r="AA42" s="58" t="n">
        <f aca="false">SUM(AA10:AA40)</f>
        <v>2</v>
      </c>
      <c r="AB42" s="51" t="n">
        <f aca="false">AVERAGE(AB10:AB40)</f>
        <v>67.5161290322581</v>
      </c>
      <c r="AC42" s="51" t="n">
        <f aca="false">AVERAGE(AC10:AC40)</f>
        <v>39.0967741935484</v>
      </c>
      <c r="AD42" s="48" t="s">
        <v>74</v>
      </c>
      <c r="AE42" s="81"/>
      <c r="AF42" s="82"/>
    </row>
    <row r="43" customFormat="false" ht="11.1" hidden="false" customHeight="true" outlineLevel="0" collapsed="false">
      <c r="A43" s="55" t="s">
        <v>44</v>
      </c>
      <c r="B43" s="55"/>
      <c r="C43" s="57"/>
      <c r="D43" s="57" t="n">
        <f aca="false">SUM(D10:D40)</f>
        <v>20133</v>
      </c>
      <c r="E43" s="57"/>
      <c r="F43" s="57" t="n">
        <f aca="false">F42*$D$2</f>
        <v>20133</v>
      </c>
      <c r="G43" s="57" t="n">
        <f aca="false">G42*$D$2</f>
        <v>181297.4538</v>
      </c>
      <c r="H43" s="61" t="n">
        <f aca="false">H42*$D$2</f>
        <v>19482.53205</v>
      </c>
      <c r="I43" s="57" t="n">
        <f aca="false">I42*$D$2</f>
        <v>200779.98585</v>
      </c>
      <c r="J43" s="57" t="n">
        <f aca="false">J42*$D$2</f>
        <v>29044.9626</v>
      </c>
      <c r="K43" s="57" t="n">
        <f aca="false">K42*$D$2</f>
        <v>229824.94845</v>
      </c>
      <c r="L43" s="57" t="n">
        <f aca="false">L42*$D$2</f>
        <v>26869.68006</v>
      </c>
      <c r="M43" s="57" t="n">
        <f aca="false">M42*$D$2</f>
        <v>9746.44296</v>
      </c>
      <c r="N43" s="57" t="n">
        <f aca="false">N42*$D$2</f>
        <v>0</v>
      </c>
      <c r="O43" s="57" t="n">
        <f aca="false">O42*$D$2</f>
        <v>0</v>
      </c>
      <c r="P43" s="57" t="n">
        <f aca="false">P42*$D$2</f>
        <v>9746.44296</v>
      </c>
      <c r="Q43" s="57" t="n">
        <f aca="false">Q42*$D$2</f>
        <v>6834.7443</v>
      </c>
      <c r="R43" s="57" t="n">
        <f aca="false">R42*$D$2</f>
        <v>3749.41005</v>
      </c>
      <c r="S43" s="57" t="n">
        <f aca="false">S42*$D$2</f>
        <v>20330.59731</v>
      </c>
      <c r="T43" s="57"/>
      <c r="U43" s="57" t="n">
        <f aca="false">U42*$D$2</f>
        <v>2281.22335</v>
      </c>
      <c r="V43" s="57" t="n">
        <f aca="false">V42*$D$2</f>
        <v>184904.84525</v>
      </c>
      <c r="W43" s="57"/>
      <c r="X43" s="111" t="n">
        <f aca="false">X42*$D$2</f>
        <v>207516.66591</v>
      </c>
      <c r="Y43" s="57" t="n">
        <f aca="false">Y42*$D$2</f>
        <v>2175.28254</v>
      </c>
      <c r="Z43" s="57" t="n">
        <f aca="false">Z42*$D$2</f>
        <v>209691.94845</v>
      </c>
      <c r="AA43" s="58"/>
      <c r="AB43" s="51" t="n">
        <f aca="false">MAX(AB10:AB40)</f>
        <v>80</v>
      </c>
      <c r="AC43" s="51" t="n">
        <f aca="false">MAX(AC10:AC40)</f>
        <v>51</v>
      </c>
      <c r="AD43" s="48" t="s">
        <v>45</v>
      </c>
      <c r="AE43" s="81"/>
      <c r="AF43" s="82"/>
    </row>
    <row r="44" customFormat="false" ht="3" hidden="false" customHeight="true" outlineLevel="0" collapsed="false">
      <c r="A44" s="84"/>
      <c r="B44" s="84"/>
      <c r="C44" s="86"/>
      <c r="D44" s="86"/>
      <c r="E44" s="86"/>
      <c r="F44" s="86"/>
      <c r="G44" s="86"/>
      <c r="H44" s="109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4"/>
      <c r="X44" s="86"/>
      <c r="Y44" s="86"/>
      <c r="Z44" s="86"/>
      <c r="AA44" s="58"/>
      <c r="AB44" s="51"/>
      <c r="AC44" s="51"/>
      <c r="AD44" s="48"/>
      <c r="AE44" s="81"/>
      <c r="AF44" s="82"/>
    </row>
    <row r="45" customFormat="false" ht="11.1" hidden="false" customHeight="true" outlineLevel="0" collapsed="false">
      <c r="A45" s="55" t="s">
        <v>46</v>
      </c>
      <c r="B45" s="55"/>
      <c r="C45" s="57"/>
      <c r="D45" s="57"/>
      <c r="E45" s="57"/>
      <c r="F45" s="57" t="n">
        <f aca="false">F7+F42</f>
        <v>18082.177968238</v>
      </c>
      <c r="G45" s="57" t="n">
        <f aca="false">G7+G42</f>
        <v>119998.6</v>
      </c>
      <c r="H45" s="61" t="n">
        <f aca="false">H7+H42</f>
        <v>15946.6</v>
      </c>
      <c r="I45" s="57" t="n">
        <f aca="false">I7+I42</f>
        <v>135945.2</v>
      </c>
      <c r="J45" s="57" t="n">
        <f aca="false">J7+J42</f>
        <v>41370.5269221074</v>
      </c>
      <c r="K45" s="57" t="n">
        <f aca="false">K7+K42</f>
        <v>177315.726922107</v>
      </c>
      <c r="L45" s="57" t="n">
        <f aca="false">L7+L42</f>
        <v>40273.837968238</v>
      </c>
      <c r="M45" s="57" t="n">
        <f aca="false">M7+M42</f>
        <v>5687.96</v>
      </c>
      <c r="N45" s="57" t="n">
        <f aca="false">N7+N42</f>
        <v>0</v>
      </c>
      <c r="O45" s="57" t="n">
        <f aca="false">O7+O42</f>
        <v>0</v>
      </c>
      <c r="P45" s="57" t="n">
        <f aca="false">P7+P42</f>
        <v>5687.96</v>
      </c>
      <c r="Q45" s="57" t="n">
        <f aca="false">Q7+Q42</f>
        <v>3445.8</v>
      </c>
      <c r="R45" s="57" t="n">
        <f aca="false">R7+R42</f>
        <v>1905.5</v>
      </c>
      <c r="S45" s="57" t="n">
        <f aca="false">S7+S42</f>
        <v>11039.26</v>
      </c>
      <c r="T45" s="57" t="n">
        <f aca="false">T40+T42</f>
        <v>0</v>
      </c>
      <c r="U45" s="57" t="n">
        <f aca="false">U7+U42</f>
        <v>1180.1</v>
      </c>
      <c r="V45" s="57" t="n">
        <f aca="false">V7+V42</f>
        <v>145917.5</v>
      </c>
      <c r="W45" s="57" t="n">
        <f aca="false">W40</f>
        <v>10847</v>
      </c>
      <c r="X45" s="57" t="n">
        <f aca="false">X7+X42</f>
        <v>158136.86</v>
      </c>
      <c r="Y45" s="57" t="n">
        <f aca="false">Y7+Y42</f>
        <v>1096.68895386942</v>
      </c>
      <c r="Z45" s="57" t="n">
        <f aca="false">Z7+Z42</f>
        <v>159233.548953869</v>
      </c>
      <c r="AA45" s="58"/>
      <c r="AB45" s="51" t="n">
        <f aca="false">MIN(AB10:AB40)</f>
        <v>40</v>
      </c>
      <c r="AC45" s="51" t="n">
        <f aca="false">MIN(AC10:AC40)</f>
        <v>28</v>
      </c>
      <c r="AD45" s="48" t="s">
        <v>47</v>
      </c>
      <c r="AE45" s="81"/>
      <c r="AF45" s="82"/>
    </row>
    <row r="46" customFormat="false" ht="11.1" hidden="false" customHeight="true" outlineLevel="0" collapsed="false">
      <c r="A46" s="55" t="s">
        <v>48</v>
      </c>
      <c r="B46" s="55"/>
      <c r="C46" s="57"/>
      <c r="D46" s="57"/>
      <c r="E46" s="57"/>
      <c r="F46" s="57" t="n">
        <f aca="false">F45*$D$2</f>
        <v>35866</v>
      </c>
      <c r="G46" s="57" t="n">
        <f aca="false">G45*$D$2</f>
        <v>238017.2231</v>
      </c>
      <c r="H46" s="61" t="n">
        <f aca="false">H45*$D$2</f>
        <v>31630.0811</v>
      </c>
      <c r="I46" s="57" t="n">
        <f aca="false">I45*$D$2</f>
        <v>269647.3042</v>
      </c>
      <c r="J46" s="57" t="n">
        <f aca="false">J45*$D$2</f>
        <v>82058.44015</v>
      </c>
      <c r="K46" s="57" t="n">
        <f aca="false">K45*$D$2</f>
        <v>351705.74435</v>
      </c>
      <c r="L46" s="57" t="n">
        <f aca="false">L45*$D$2</f>
        <v>79883.15761</v>
      </c>
      <c r="M46" s="57" t="n">
        <f aca="false">M45*$D$2</f>
        <v>11282.06866</v>
      </c>
      <c r="N46" s="57" t="n">
        <f aca="false">N45*$D$2</f>
        <v>0</v>
      </c>
      <c r="O46" s="57" t="n">
        <f aca="false">O45*$D$2</f>
        <v>0</v>
      </c>
      <c r="P46" s="57" t="n">
        <f aca="false">P45*$D$2</f>
        <v>11282.06866</v>
      </c>
      <c r="Q46" s="57" t="n">
        <f aca="false">Q45*$D$2</f>
        <v>6834.7443</v>
      </c>
      <c r="R46" s="57" t="n">
        <f aca="false">R45*$D$2</f>
        <v>3779.55925</v>
      </c>
      <c r="S46" s="57" t="n">
        <f aca="false">S45*$D$2</f>
        <v>21896.37221</v>
      </c>
      <c r="T46" s="57" t="n">
        <f aca="false">T45*$D$2</f>
        <v>0</v>
      </c>
      <c r="U46" s="57" t="n">
        <f aca="false">U45*$D$2</f>
        <v>2340.72835</v>
      </c>
      <c r="V46" s="57" t="n">
        <f aca="false">V45*$D$2</f>
        <v>289427.36125</v>
      </c>
      <c r="W46" s="57" t="n">
        <f aca="false">W45*D2</f>
        <v>21515.0245</v>
      </c>
      <c r="X46" s="57" t="n">
        <f aca="false">X45*$D$2</f>
        <v>313664.46181</v>
      </c>
      <c r="Y46" s="57" t="n">
        <f aca="false">Y45*$D$2</f>
        <v>2175.28254</v>
      </c>
      <c r="Z46" s="57" t="n">
        <f aca="false">Z45*$D$2</f>
        <v>315839.74435</v>
      </c>
      <c r="AA46" s="58"/>
      <c r="AB46" s="51"/>
      <c r="AC46" s="51"/>
      <c r="AD46" s="48"/>
      <c r="AE46" s="81"/>
      <c r="AF46" s="82"/>
    </row>
    <row r="47" customFormat="false" ht="3" hidden="false" customHeight="true" outlineLevel="0" collapsed="false">
      <c r="A47" s="84"/>
      <c r="B47" s="84"/>
      <c r="C47" s="86"/>
      <c r="D47" s="86"/>
      <c r="E47" s="86"/>
      <c r="F47" s="86"/>
      <c r="G47" s="86"/>
      <c r="H47" s="109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7"/>
      <c r="AB47" s="51"/>
      <c r="AC47" s="51"/>
      <c r="AD47" s="48"/>
      <c r="AE47" s="81"/>
      <c r="AF47" s="82"/>
    </row>
    <row r="48" customFormat="false" ht="11.1" hidden="false" customHeight="true" outlineLevel="0" collapsed="false">
      <c r="A48" s="55" t="s">
        <v>49</v>
      </c>
      <c r="B48" s="55"/>
      <c r="C48" s="57"/>
      <c r="D48" s="57"/>
      <c r="E48" s="57"/>
      <c r="F48" s="57" t="n">
        <f aca="false">F8+F42</f>
        <v>30265.1877993446</v>
      </c>
      <c r="G48" s="57" t="n">
        <f aca="false">G8+G42</f>
        <v>137605.2</v>
      </c>
      <c r="H48" s="61" t="n">
        <f aca="false">H8+H42</f>
        <v>19126.2</v>
      </c>
      <c r="I48" s="57" t="n">
        <f aca="false">I8+I42</f>
        <v>156731.4</v>
      </c>
      <c r="J48" s="57" t="n">
        <f aca="false">J8+J42</f>
        <v>48911.3657675826</v>
      </c>
      <c r="K48" s="57" t="n">
        <f aca="false">K8+K42</f>
        <v>205642.765767583</v>
      </c>
      <c r="L48" s="57" t="n">
        <f aca="false">L8+L42</f>
        <v>46809.7477993446</v>
      </c>
      <c r="M48" s="57" t="n">
        <f aca="false">M8+M42</f>
        <v>6776.26</v>
      </c>
      <c r="N48" s="57" t="n">
        <f aca="false">N8+N42</f>
        <v>0.08</v>
      </c>
      <c r="O48" s="57" t="n">
        <f aca="false">O8+O42</f>
        <v>0</v>
      </c>
      <c r="P48" s="57" t="n">
        <f aca="false">P8+P42</f>
        <v>6104.48</v>
      </c>
      <c r="Q48" s="57" t="n">
        <f aca="false">Q8+Q42</f>
        <v>3445.8</v>
      </c>
      <c r="R48" s="57" t="n">
        <f aca="false">R8+R42</f>
        <v>2084.2</v>
      </c>
      <c r="S48" s="57" t="n">
        <f aca="false">S8+S42</f>
        <v>12306.18</v>
      </c>
      <c r="T48" s="57"/>
      <c r="U48" s="57" t="n">
        <f aca="false">U8+U42</f>
        <v>1180.1</v>
      </c>
      <c r="V48" s="57" t="n">
        <f aca="false">V8+V42</f>
        <v>159789.6</v>
      </c>
      <c r="W48" s="57" t="n">
        <f aca="false">W40</f>
        <v>10847</v>
      </c>
      <c r="X48" s="57" t="n">
        <f aca="false">X8+X42</f>
        <v>173275.96</v>
      </c>
      <c r="Y48" s="57" t="n">
        <f aca="false">Y8+Y42</f>
        <v>2101.61796823796</v>
      </c>
      <c r="Z48" s="57" t="n">
        <f aca="false">Z8+Z42</f>
        <v>175377.577968238</v>
      </c>
      <c r="AA48" s="58" t="n">
        <f aca="false">AA8+AA42</f>
        <v>13.67</v>
      </c>
      <c r="AB48" s="51"/>
      <c r="AC48" s="51"/>
      <c r="AD48" s="48"/>
      <c r="AE48" s="81"/>
      <c r="AF48" s="82"/>
    </row>
    <row r="49" customFormat="false" ht="11.1" hidden="false" customHeight="true" outlineLevel="0" collapsed="false">
      <c r="A49" s="55" t="s">
        <v>50</v>
      </c>
      <c r="B49" s="55"/>
      <c r="C49" s="57"/>
      <c r="D49" s="57" t="n">
        <f aca="false">D8+D43</f>
        <v>60031</v>
      </c>
      <c r="E49" s="57" t="n">
        <f aca="false">E40</f>
        <v>212008</v>
      </c>
      <c r="F49" s="57" t="n">
        <f aca="false">F48*$D$2</f>
        <v>60031</v>
      </c>
      <c r="G49" s="57" t="n">
        <f aca="false">G48*$D$2</f>
        <v>272939.9142</v>
      </c>
      <c r="H49" s="61" t="n">
        <f aca="false">H48*$D$2</f>
        <v>37936.8177</v>
      </c>
      <c r="I49" s="57" t="n">
        <f aca="false">I48*$D$2</f>
        <v>310876.7319</v>
      </c>
      <c r="J49" s="57" t="n">
        <f aca="false">J48*$D$2</f>
        <v>97015.694</v>
      </c>
      <c r="K49" s="57" t="n">
        <f aca="false">K48*$D$2</f>
        <v>407892.4259</v>
      </c>
      <c r="L49" s="57" t="n">
        <f aca="false">L48*$D$2</f>
        <v>92847.13476</v>
      </c>
      <c r="M49" s="57" t="n">
        <f aca="false">M48*$D$2</f>
        <v>13440.71171</v>
      </c>
      <c r="N49" s="57" t="n">
        <f aca="false">N48*$D$2</f>
        <v>0.15868</v>
      </c>
      <c r="O49" s="57" t="n">
        <f aca="false">O48*$D$2</f>
        <v>0</v>
      </c>
      <c r="P49" s="57" t="n">
        <f aca="false">P48*$D$2</f>
        <v>12108.23608</v>
      </c>
      <c r="Q49" s="57" t="n">
        <f aca="false">Q48*$D$2</f>
        <v>6834.7443</v>
      </c>
      <c r="R49" s="57" t="n">
        <f aca="false">R48*$D$2</f>
        <v>4134.0107</v>
      </c>
      <c r="S49" s="57" t="n">
        <f aca="false">S48*$D$2</f>
        <v>24409.30803</v>
      </c>
      <c r="T49" s="57" t="n">
        <f aca="false">T48*$D$2</f>
        <v>0</v>
      </c>
      <c r="U49" s="57" t="n">
        <f aca="false">U48*$D$2</f>
        <v>2340.72835</v>
      </c>
      <c r="V49" s="57" t="n">
        <f aca="false">V48*$D$2</f>
        <v>316942.6716</v>
      </c>
      <c r="W49" s="57" t="n">
        <f aca="false">W48*$D$2</f>
        <v>21515.0245</v>
      </c>
      <c r="X49" s="57" t="n">
        <f aca="false">X48*$D$2</f>
        <v>343692.86666</v>
      </c>
      <c r="Y49" s="57" t="n">
        <f aca="false">Y48*$D$2</f>
        <v>4168.55924</v>
      </c>
      <c r="Z49" s="57" t="n">
        <f aca="false">Z48*$D$2</f>
        <v>347861.4259</v>
      </c>
      <c r="AA49" s="58"/>
      <c r="AB49" s="51"/>
      <c r="AC49" s="51"/>
      <c r="AD49" s="48"/>
      <c r="AE49" s="81"/>
      <c r="AF49" s="82"/>
    </row>
    <row r="50" customFormat="false" ht="3" hidden="false" customHeight="true" outlineLevel="0" collapsed="false">
      <c r="A50" s="84"/>
      <c r="B50" s="84"/>
      <c r="C50" s="86"/>
      <c r="D50" s="84"/>
      <c r="E50" s="86"/>
      <c r="F50" s="112"/>
      <c r="G50" s="112"/>
      <c r="H50" s="109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6"/>
      <c r="U50" s="84"/>
      <c r="V50" s="84"/>
      <c r="W50" s="86"/>
      <c r="X50" s="84"/>
      <c r="Y50" s="84"/>
      <c r="Z50" s="84"/>
      <c r="AA50" s="58"/>
      <c r="AB50" s="51"/>
      <c r="AC50" s="51"/>
      <c r="AD50" s="48"/>
      <c r="AE50" s="81"/>
      <c r="AF50" s="82"/>
    </row>
    <row r="51" customFormat="false" ht="11.1" hidden="false" customHeight="true" outlineLevel="0" collapsed="false">
      <c r="A51" s="54"/>
      <c r="B51" s="0"/>
      <c r="C51" s="57"/>
      <c r="D51" s="0"/>
      <c r="E51" s="57"/>
      <c r="F51" s="54"/>
      <c r="G51" s="113"/>
      <c r="H51" s="114"/>
      <c r="I51" s="115"/>
      <c r="J51" s="54"/>
      <c r="K51" s="54"/>
      <c r="L51" s="54"/>
      <c r="M51" s="61"/>
      <c r="N51" s="61"/>
      <c r="O51" s="61"/>
      <c r="P51" s="54"/>
      <c r="Q51" s="54"/>
      <c r="R51" s="54"/>
      <c r="S51" s="57"/>
      <c r="T51" s="54"/>
      <c r="U51" s="54"/>
      <c r="V51" s="57"/>
      <c r="W51" s="54"/>
      <c r="X51" s="54"/>
      <c r="Y51" s="54"/>
      <c r="Z51" s="62"/>
      <c r="AA51" s="58"/>
      <c r="AB51" s="51"/>
      <c r="AC51" s="48"/>
      <c r="AD51" s="91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I24" activePane="bottomRight" state="frozen"/>
      <selection pane="topLeft" activeCell="A1" activeCellId="0" sqref="A1"/>
      <selection pane="topRight" activeCell="I1" activeCellId="0" sqref="I1"/>
      <selection pane="bottomLeft" activeCell="A24" activeCellId="0" sqref="A24"/>
      <selection pane="bottomRight" activeCell="I52" activeCellId="0" sqref="I52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3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97" width="8.16"/>
    <col collapsed="false" customWidth="true" hidden="false" outlineLevel="0" max="27" min="27" style="2" width="5.16"/>
    <col collapsed="false" customWidth="true" hidden="false" outlineLevel="0" max="28" min="28" style="4" width="4.66"/>
    <col collapsed="false" customWidth="true" hidden="false" outlineLevel="0" max="29" min="29" style="98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5"/>
      <c r="B1" s="5"/>
      <c r="C1" s="6"/>
      <c r="D1" s="5"/>
      <c r="E1" s="6"/>
      <c r="F1" s="5"/>
      <c r="G1" s="5"/>
      <c r="H1" s="26"/>
      <c r="I1" s="5"/>
      <c r="J1" s="5"/>
      <c r="K1" s="8" t="s">
        <v>0</v>
      </c>
      <c r="L1" s="5"/>
      <c r="M1" s="5"/>
      <c r="N1" s="5"/>
      <c r="O1" s="5"/>
      <c r="P1" s="5"/>
      <c r="Q1" s="5"/>
      <c r="R1" s="5"/>
      <c r="S1" s="6"/>
      <c r="T1" s="5"/>
      <c r="U1" s="5"/>
      <c r="V1" s="6"/>
      <c r="W1" s="5"/>
      <c r="X1" s="5"/>
      <c r="Y1" s="5"/>
      <c r="Z1" s="9"/>
      <c r="AA1" s="38"/>
      <c r="AB1" s="10"/>
      <c r="AC1" s="11"/>
      <c r="AD1" s="99"/>
    </row>
    <row r="2" customFormat="false" ht="14.1" hidden="false" customHeight="true" outlineLevel="0" collapsed="false">
      <c r="A2" s="5" t="s">
        <v>1</v>
      </c>
      <c r="B2" s="5"/>
      <c r="C2" s="6"/>
      <c r="D2" s="12" t="n">
        <v>1.9835</v>
      </c>
      <c r="E2" s="6"/>
      <c r="F2" s="5"/>
      <c r="G2" s="5"/>
      <c r="H2" s="26"/>
      <c r="I2" s="5"/>
      <c r="J2" s="5"/>
      <c r="K2" s="100" t="s">
        <v>75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5"/>
      <c r="X2" s="5"/>
      <c r="Y2" s="5"/>
      <c r="Z2" s="9"/>
      <c r="AA2" s="38"/>
      <c r="AB2" s="10"/>
      <c r="AC2" s="11"/>
      <c r="AD2" s="99"/>
    </row>
    <row r="3" customFormat="false" ht="11.1" hidden="false" customHeight="true" outlineLevel="0" collapsed="false">
      <c r="A3" s="5"/>
      <c r="B3" s="5"/>
      <c r="C3" s="6"/>
      <c r="D3" s="13"/>
      <c r="E3" s="6"/>
      <c r="F3" s="5"/>
      <c r="G3" s="5"/>
      <c r="H3" s="26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5"/>
      <c r="U3" s="5"/>
      <c r="V3" s="6"/>
      <c r="W3" s="5"/>
      <c r="X3" s="5"/>
      <c r="Y3" s="5"/>
      <c r="Z3" s="9"/>
      <c r="AA3" s="38"/>
      <c r="AB3" s="10"/>
      <c r="AC3" s="11"/>
      <c r="AD3" s="99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16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01" t="s">
        <v>54</v>
      </c>
      <c r="N4" s="101"/>
      <c r="O4" s="101"/>
      <c r="P4" s="101"/>
      <c r="Q4" s="14" t="s">
        <v>55</v>
      </c>
      <c r="R4" s="14" t="s">
        <v>14</v>
      </c>
      <c r="S4" s="14" t="s">
        <v>12</v>
      </c>
      <c r="T4" s="15" t="s">
        <v>13</v>
      </c>
      <c r="U4" s="14" t="s">
        <v>15</v>
      </c>
      <c r="V4" s="14" t="s">
        <v>17</v>
      </c>
      <c r="W4" s="15" t="s">
        <v>18</v>
      </c>
      <c r="X4" s="14" t="s">
        <v>10</v>
      </c>
      <c r="Y4" s="14" t="s">
        <v>11</v>
      </c>
      <c r="Z4" s="14" t="s">
        <v>12</v>
      </c>
      <c r="AA4" s="102" t="s">
        <v>19</v>
      </c>
      <c r="AB4" s="18" t="s">
        <v>20</v>
      </c>
      <c r="AC4" s="18" t="s">
        <v>21</v>
      </c>
      <c r="AD4" s="18" t="s">
        <v>3</v>
      </c>
      <c r="AE4" s="99"/>
    </row>
    <row r="5" customFormat="false" ht="11.1" hidden="false" customHeight="true" outlineLevel="0" collapsed="false">
      <c r="A5" s="19" t="s">
        <v>76</v>
      </c>
      <c r="B5" s="14" t="s">
        <v>23</v>
      </c>
      <c r="C5" s="15" t="s">
        <v>5</v>
      </c>
      <c r="D5" s="14" t="s">
        <v>24</v>
      </c>
      <c r="E5" s="15" t="s">
        <v>25</v>
      </c>
      <c r="F5" s="14" t="s">
        <v>26</v>
      </c>
      <c r="G5" s="14" t="s">
        <v>27</v>
      </c>
      <c r="H5" s="116" t="s">
        <v>28</v>
      </c>
      <c r="I5" s="14" t="s">
        <v>29</v>
      </c>
      <c r="J5" s="14" t="s">
        <v>29</v>
      </c>
      <c r="K5" s="14" t="s">
        <v>29</v>
      </c>
      <c r="L5" s="14" t="s">
        <v>30</v>
      </c>
      <c r="M5" s="14" t="s">
        <v>57</v>
      </c>
      <c r="N5" s="14" t="s">
        <v>58</v>
      </c>
      <c r="O5" s="14" t="s">
        <v>59</v>
      </c>
      <c r="P5" s="14" t="s">
        <v>70</v>
      </c>
      <c r="Q5" s="14" t="s">
        <v>61</v>
      </c>
      <c r="R5" s="14" t="s">
        <v>62</v>
      </c>
      <c r="S5" s="14" t="s">
        <v>13</v>
      </c>
      <c r="T5" s="15" t="s">
        <v>34</v>
      </c>
      <c r="U5" s="14" t="s">
        <v>35</v>
      </c>
      <c r="V5" s="14" t="s">
        <v>37</v>
      </c>
      <c r="W5" s="15" t="s">
        <v>38</v>
      </c>
      <c r="X5" s="14" t="s">
        <v>39</v>
      </c>
      <c r="Y5" s="14" t="s">
        <v>39</v>
      </c>
      <c r="Z5" s="14" t="s">
        <v>39</v>
      </c>
      <c r="AA5" s="103"/>
      <c r="AB5" s="18" t="s">
        <v>40</v>
      </c>
      <c r="AC5" s="18" t="s">
        <v>40</v>
      </c>
      <c r="AD5" s="21" t="s">
        <v>76</v>
      </c>
      <c r="AE5" s="99"/>
    </row>
    <row r="6" customFormat="false" ht="11.1" hidden="false" customHeight="true" outlineLevel="0" collapsed="false">
      <c r="A6" s="22"/>
      <c r="B6" s="22"/>
      <c r="C6" s="23"/>
      <c r="D6" s="22"/>
      <c r="E6" s="23"/>
      <c r="F6" s="22"/>
      <c r="G6" s="22"/>
      <c r="H6" s="117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3"/>
      <c r="U6" s="22"/>
      <c r="V6" s="22"/>
      <c r="W6" s="23"/>
      <c r="X6" s="22"/>
      <c r="Y6" s="22"/>
      <c r="Z6" s="22"/>
      <c r="AA6" s="38"/>
      <c r="AB6" s="11"/>
      <c r="AC6" s="11"/>
      <c r="AD6" s="11"/>
      <c r="AF6" s="118"/>
    </row>
    <row r="7" customFormat="false" ht="11.1" hidden="false" customHeight="true" outlineLevel="0" collapsed="false">
      <c r="A7" s="5" t="s">
        <v>41</v>
      </c>
      <c r="B7" s="5"/>
      <c r="C7" s="6"/>
      <c r="D7" s="6"/>
      <c r="E7" s="6"/>
      <c r="F7" s="6" t="n">
        <f aca="false">MAY!F45</f>
        <v>18082.177968238</v>
      </c>
      <c r="G7" s="6" t="n">
        <f aca="false">MAY!G45</f>
        <v>119998.6</v>
      </c>
      <c r="H7" s="26" t="n">
        <f aca="false">MAY!H45</f>
        <v>15946.6</v>
      </c>
      <c r="I7" s="6" t="n">
        <f aca="false">MAY!I45</f>
        <v>135945.2</v>
      </c>
      <c r="J7" s="6" t="n">
        <f aca="false">MAY!J45</f>
        <v>41370.5269221074</v>
      </c>
      <c r="K7" s="6" t="n">
        <f aca="false">MAY!K45</f>
        <v>177315.726922107</v>
      </c>
      <c r="L7" s="6" t="n">
        <f aca="false">MAY!L45</f>
        <v>40273.837968238</v>
      </c>
      <c r="M7" s="6" t="n">
        <f aca="false">MAY!M45</f>
        <v>5687.96</v>
      </c>
      <c r="N7" s="6" t="n">
        <f aca="false">MAY!N45</f>
        <v>0</v>
      </c>
      <c r="O7" s="6" t="n">
        <f aca="false">MAY!O45</f>
        <v>0</v>
      </c>
      <c r="P7" s="6" t="n">
        <f aca="false">MAY!P45</f>
        <v>5687.96</v>
      </c>
      <c r="Q7" s="6" t="n">
        <f aca="false">MAY!Q45</f>
        <v>3445.8</v>
      </c>
      <c r="R7" s="6" t="n">
        <f aca="false">MAY!R45</f>
        <v>1905.5</v>
      </c>
      <c r="S7" s="6" t="n">
        <f aca="false">MAY!S45</f>
        <v>11039.26</v>
      </c>
      <c r="T7" s="6" t="n">
        <f aca="false">MAY!T45</f>
        <v>0</v>
      </c>
      <c r="U7" s="6" t="n">
        <f aca="false">MAY!U45</f>
        <v>1180.1</v>
      </c>
      <c r="V7" s="6" t="n">
        <f aca="false">MAY!V45</f>
        <v>145917.5</v>
      </c>
      <c r="W7" s="6"/>
      <c r="X7" s="6" t="n">
        <f aca="false">MAY!X45</f>
        <v>158136.86</v>
      </c>
      <c r="Y7" s="6" t="n">
        <f aca="false">MAY!Y45</f>
        <v>1096.68895386942</v>
      </c>
      <c r="Z7" s="6" t="n">
        <f aca="false">MAY!Z45</f>
        <v>159233.548953869</v>
      </c>
      <c r="AA7" s="38"/>
      <c r="AB7" s="10"/>
      <c r="AC7" s="10"/>
      <c r="AD7" s="11"/>
      <c r="AF7" s="119"/>
    </row>
    <row r="8" s="1" customFormat="true" ht="11.1" hidden="false" customHeight="true" outlineLevel="0" collapsed="false">
      <c r="A8" s="6" t="s">
        <v>42</v>
      </c>
      <c r="B8" s="25" t="n">
        <f aca="false">MAY!B40</f>
        <v>6920.1</v>
      </c>
      <c r="C8" s="6" t="n">
        <f aca="false">MAY!C40</f>
        <v>364008</v>
      </c>
      <c r="D8" s="6" t="n">
        <f aca="false">MAY!D49</f>
        <v>60031</v>
      </c>
      <c r="E8" s="6" t="n">
        <f aca="false">MAY!E49</f>
        <v>212008</v>
      </c>
      <c r="F8" s="6" t="n">
        <f aca="false">MAY!F48</f>
        <v>30265.1877993446</v>
      </c>
      <c r="G8" s="6" t="n">
        <f aca="false">MAY!G48</f>
        <v>137605.2</v>
      </c>
      <c r="H8" s="26" t="n">
        <f aca="false">MAY!H48</f>
        <v>19126.2</v>
      </c>
      <c r="I8" s="6" t="n">
        <f aca="false">MAY!I48</f>
        <v>156731.4</v>
      </c>
      <c r="J8" s="6" t="n">
        <f aca="false">MAY!J48</f>
        <v>48911.3657675826</v>
      </c>
      <c r="K8" s="6" t="n">
        <f aca="false">MAY!K48</f>
        <v>205642.765767583</v>
      </c>
      <c r="L8" s="6" t="n">
        <f aca="false">MAY!L48</f>
        <v>46809.7477993446</v>
      </c>
      <c r="M8" s="6" t="n">
        <f aca="false">MAY!M48</f>
        <v>6776.26</v>
      </c>
      <c r="N8" s="6" t="n">
        <f aca="false">MAY!N48</f>
        <v>0.08</v>
      </c>
      <c r="O8" s="6" t="n">
        <f aca="false">MAY!O48</f>
        <v>0</v>
      </c>
      <c r="P8" s="6" t="n">
        <f aca="false">MAY!P48</f>
        <v>6104.48</v>
      </c>
      <c r="Q8" s="6" t="n">
        <f aca="false">MAY!Q48</f>
        <v>3445.8</v>
      </c>
      <c r="R8" s="6" t="n">
        <f aca="false">MAY!R48</f>
        <v>2084.2</v>
      </c>
      <c r="S8" s="6" t="n">
        <f aca="false">MAY!S48</f>
        <v>12306.18</v>
      </c>
      <c r="T8" s="6" t="n">
        <f aca="false">MAY!T48</f>
        <v>0</v>
      </c>
      <c r="U8" s="6" t="n">
        <f aca="false">MAY!U48</f>
        <v>1180.1</v>
      </c>
      <c r="V8" s="6" t="n">
        <f aca="false">MAY!V48</f>
        <v>159789.6</v>
      </c>
      <c r="W8" s="6" t="n">
        <f aca="false">MAY!W48</f>
        <v>10847</v>
      </c>
      <c r="X8" s="6" t="n">
        <f aca="false">MAY!X48</f>
        <v>173275.96</v>
      </c>
      <c r="Y8" s="6" t="n">
        <f aca="false">MAY!Y48</f>
        <v>2101.61796823796</v>
      </c>
      <c r="Z8" s="6" t="n">
        <f aca="false">MAY!Z48</f>
        <v>175377.577968238</v>
      </c>
      <c r="AA8" s="38" t="n">
        <f aca="false">MAY!AA48</f>
        <v>13.67</v>
      </c>
      <c r="AB8" s="10"/>
      <c r="AC8" s="10"/>
      <c r="AD8" s="11"/>
      <c r="AE8" s="120"/>
    </row>
    <row r="9" customFormat="false" ht="3" hidden="false" customHeight="true" outlineLevel="0" collapsed="false">
      <c r="A9" s="27"/>
      <c r="B9" s="28"/>
      <c r="C9" s="29"/>
      <c r="D9" s="27"/>
      <c r="E9" s="29"/>
      <c r="F9" s="27"/>
      <c r="G9" s="27"/>
      <c r="H9" s="121"/>
      <c r="I9" s="27"/>
      <c r="J9" s="27"/>
      <c r="K9" s="27"/>
      <c r="L9" s="27"/>
      <c r="M9" s="27"/>
      <c r="N9" s="27"/>
      <c r="O9" s="27" t="n">
        <v>0</v>
      </c>
      <c r="P9" s="27"/>
      <c r="Q9" s="27"/>
      <c r="R9" s="27" t="n">
        <v>0</v>
      </c>
      <c r="S9" s="27"/>
      <c r="T9" s="29"/>
      <c r="U9" s="27"/>
      <c r="V9" s="27"/>
      <c r="W9" s="29"/>
      <c r="X9" s="27"/>
      <c r="Y9" s="27"/>
      <c r="Z9" s="27"/>
      <c r="AA9" s="104"/>
      <c r="AB9" s="32"/>
      <c r="AC9" s="32"/>
      <c r="AD9" s="33"/>
      <c r="AE9" s="99"/>
    </row>
    <row r="10" customFormat="false" ht="11.1" hidden="false" customHeight="true" outlineLevel="0" collapsed="false">
      <c r="A10" s="11" t="n">
        <v>1</v>
      </c>
      <c r="B10" s="25" t="n">
        <v>6920.77</v>
      </c>
      <c r="C10" s="6" t="n">
        <v>366916</v>
      </c>
      <c r="D10" s="10" t="n">
        <f aca="false">C10-C8</f>
        <v>2908</v>
      </c>
      <c r="E10" s="6" t="n">
        <f aca="false">C10-152000</f>
        <v>214916</v>
      </c>
      <c r="F10" s="5" t="n">
        <f aca="false">D10/$D$2</f>
        <v>1466.09528611041</v>
      </c>
      <c r="G10" s="5" t="n">
        <v>4387.9</v>
      </c>
      <c r="H10" s="26" t="n">
        <v>216.7</v>
      </c>
      <c r="I10" s="5" t="n">
        <f aca="false">G10+H10</f>
        <v>4604.6</v>
      </c>
      <c r="J10" s="105" t="n">
        <f aca="false">IF(L10&gt;0,L10,0)</f>
        <v>0</v>
      </c>
      <c r="K10" s="5" t="n">
        <f aca="false">I10+J10</f>
        <v>4604.6</v>
      </c>
      <c r="L10" s="5" t="n">
        <f aca="false">F10-(I10-X10)</f>
        <v>-152.904713889588</v>
      </c>
      <c r="M10" s="5" t="n">
        <v>200.4</v>
      </c>
      <c r="N10" s="5" t="n">
        <v>0</v>
      </c>
      <c r="O10" s="55" t="n">
        <v>0</v>
      </c>
      <c r="P10" s="5" t="n">
        <f aca="false">M10-(N10+O10)</f>
        <v>200.4</v>
      </c>
      <c r="Q10" s="5" t="n">
        <v>173.7</v>
      </c>
      <c r="R10" s="5" t="n">
        <v>82</v>
      </c>
      <c r="S10" s="5" t="n">
        <f aca="false">SUM(P10:R10)</f>
        <v>456.1</v>
      </c>
      <c r="T10" s="6" t="n">
        <v>0</v>
      </c>
      <c r="U10" s="5" t="n">
        <v>65.6</v>
      </c>
      <c r="V10" s="5" t="n">
        <v>2463.9</v>
      </c>
      <c r="W10" s="6" t="n">
        <f aca="false">W8</f>
        <v>10847</v>
      </c>
      <c r="X10" s="5" t="n">
        <f aca="false">N10+O10+S10+U10+V10</f>
        <v>2985.6</v>
      </c>
      <c r="Y10" s="5" t="n">
        <f aca="false">IF(L10&lt;0,L10*-1,0)</f>
        <v>152.904713889588</v>
      </c>
      <c r="Z10" s="5" t="n">
        <f aca="false">X10+Y10</f>
        <v>3138.50471388959</v>
      </c>
      <c r="AA10" s="38" t="n">
        <v>0</v>
      </c>
      <c r="AB10" s="10" t="n">
        <v>78</v>
      </c>
      <c r="AC10" s="10" t="n">
        <v>48</v>
      </c>
      <c r="AD10" s="11" t="n">
        <v>1</v>
      </c>
      <c r="AE10" s="10"/>
      <c r="AF10" s="122"/>
      <c r="AG10" s="5"/>
    </row>
    <row r="11" customFormat="false" ht="11.1" hidden="false" customHeight="true" outlineLevel="0" collapsed="false">
      <c r="A11" s="11" t="n">
        <f aca="false">A10+1</f>
        <v>2</v>
      </c>
      <c r="B11" s="25" t="n">
        <v>6921.18</v>
      </c>
      <c r="C11" s="6" t="n">
        <v>368703</v>
      </c>
      <c r="D11" s="10" t="n">
        <f aca="false">C11-C10</f>
        <v>1787</v>
      </c>
      <c r="E11" s="6" t="n">
        <f aca="false">C11-152000</f>
        <v>216703</v>
      </c>
      <c r="F11" s="5" t="n">
        <f aca="false">D11/$D$2</f>
        <v>900.932694731535</v>
      </c>
      <c r="G11" s="5" t="n">
        <v>3689.1</v>
      </c>
      <c r="H11" s="26" t="n">
        <v>188.8</v>
      </c>
      <c r="I11" s="5" t="n">
        <f aca="false">G11+H11</f>
        <v>3877.9</v>
      </c>
      <c r="J11" s="105" t="n">
        <f aca="false">IF(L11&gt;0,L11,0)</f>
        <v>0</v>
      </c>
      <c r="K11" s="5" t="n">
        <f aca="false">I11+J11</f>
        <v>3877.9</v>
      </c>
      <c r="L11" s="5" t="n">
        <f aca="false">F11-(I11-X11)</f>
        <v>-28.0673052684649</v>
      </c>
      <c r="M11" s="5" t="n">
        <v>210.9</v>
      </c>
      <c r="N11" s="5" t="n">
        <v>0</v>
      </c>
      <c r="O11" s="55" t="n">
        <v>0</v>
      </c>
      <c r="P11" s="5" t="n">
        <f aca="false">M11-(N11+O11)</f>
        <v>210.9</v>
      </c>
      <c r="Q11" s="5" t="n">
        <v>173.6</v>
      </c>
      <c r="R11" s="5" t="n">
        <v>89.5</v>
      </c>
      <c r="S11" s="5" t="n">
        <f aca="false">SUM(P11:R11)</f>
        <v>474</v>
      </c>
      <c r="T11" s="6" t="n">
        <v>0</v>
      </c>
      <c r="U11" s="5" t="n">
        <v>65.6</v>
      </c>
      <c r="V11" s="5" t="n">
        <v>2409.3</v>
      </c>
      <c r="W11" s="6" t="n">
        <f aca="false">W10</f>
        <v>10847</v>
      </c>
      <c r="X11" s="5" t="n">
        <f aca="false">N11+O11+S11+U11+V11</f>
        <v>2948.9</v>
      </c>
      <c r="Y11" s="5" t="n">
        <f aca="false">IF(L11&lt;0,L11*-1,0)</f>
        <v>28.0673052684649</v>
      </c>
      <c r="Z11" s="5" t="n">
        <f aca="false">X11+Y11</f>
        <v>2976.96730526846</v>
      </c>
      <c r="AA11" s="38" t="n">
        <v>0</v>
      </c>
      <c r="AB11" s="10" t="n">
        <v>72</v>
      </c>
      <c r="AC11" s="10" t="n">
        <v>46</v>
      </c>
      <c r="AD11" s="11" t="n">
        <f aca="false">AD10+1</f>
        <v>2</v>
      </c>
      <c r="AE11" s="10"/>
      <c r="AG11" s="5"/>
    </row>
    <row r="12" customFormat="false" ht="11.1" hidden="false" customHeight="true" outlineLevel="0" collapsed="false">
      <c r="A12" s="11" t="n">
        <f aca="false">A11+1</f>
        <v>3</v>
      </c>
      <c r="B12" s="25" t="n">
        <v>6921.48</v>
      </c>
      <c r="C12" s="6" t="n">
        <v>370017</v>
      </c>
      <c r="D12" s="10" t="n">
        <f aca="false">C12-C11</f>
        <v>1314</v>
      </c>
      <c r="E12" s="6" t="n">
        <f aca="false">C12-152000</f>
        <v>218017</v>
      </c>
      <c r="F12" s="5" t="n">
        <f aca="false">D12/$D$2</f>
        <v>662.465339047139</v>
      </c>
      <c r="G12" s="5" t="n">
        <v>3154.1</v>
      </c>
      <c r="H12" s="26" t="n">
        <v>158.9</v>
      </c>
      <c r="I12" s="5" t="n">
        <f aca="false">G12+H12</f>
        <v>3313</v>
      </c>
      <c r="J12" s="105" t="n">
        <f aca="false">IF(L12&gt;0,L12,0)</f>
        <v>112.965339047139</v>
      </c>
      <c r="K12" s="5" t="n">
        <f aca="false">I12+J12</f>
        <v>3425.96533904714</v>
      </c>
      <c r="L12" s="5" t="n">
        <f aca="false">F12-(I12-X12)</f>
        <v>112.965339047139</v>
      </c>
      <c r="M12" s="5" t="n">
        <v>212.7</v>
      </c>
      <c r="N12" s="5" t="n">
        <v>0</v>
      </c>
      <c r="O12" s="55" t="n">
        <v>0</v>
      </c>
      <c r="P12" s="5" t="n">
        <f aca="false">M12-(N12+O12)</f>
        <v>212.7</v>
      </c>
      <c r="Q12" s="5" t="n">
        <v>173.4</v>
      </c>
      <c r="R12" s="5" t="n">
        <v>89.9</v>
      </c>
      <c r="S12" s="5" t="n">
        <f aca="false">SUM(P12:R12)</f>
        <v>476</v>
      </c>
      <c r="T12" s="6" t="n">
        <v>0</v>
      </c>
      <c r="U12" s="5" t="n">
        <v>57.5</v>
      </c>
      <c r="V12" s="5" t="n">
        <v>2230</v>
      </c>
      <c r="W12" s="6" t="n">
        <f aca="false">W11</f>
        <v>10847</v>
      </c>
      <c r="X12" s="5" t="n">
        <f aca="false">N12+O12+S12+U12+V12</f>
        <v>2763.5</v>
      </c>
      <c r="Y12" s="5" t="n">
        <f aca="false">IF(L12&lt;0,L12*-1,0)</f>
        <v>0</v>
      </c>
      <c r="Z12" s="5" t="n">
        <f aca="false">X12+Y12</f>
        <v>2763.5</v>
      </c>
      <c r="AA12" s="38" t="n">
        <v>0</v>
      </c>
      <c r="AB12" s="10" t="n">
        <v>73</v>
      </c>
      <c r="AC12" s="10" t="n">
        <v>38</v>
      </c>
      <c r="AD12" s="11" t="n">
        <f aca="false">AD11+1</f>
        <v>3</v>
      </c>
      <c r="AE12" s="10"/>
      <c r="AG12" s="5"/>
    </row>
    <row r="13" customFormat="false" ht="11.1" hidden="false" customHeight="true" outlineLevel="0" collapsed="false">
      <c r="A13" s="11" t="n">
        <f aca="false">A12+1</f>
        <v>4</v>
      </c>
      <c r="B13" s="25" t="n">
        <v>6921.69</v>
      </c>
      <c r="C13" s="6" t="n">
        <v>370936</v>
      </c>
      <c r="D13" s="10" t="n">
        <f aca="false">C13-C12</f>
        <v>919</v>
      </c>
      <c r="E13" s="6" t="n">
        <f aca="false">C13-152000</f>
        <v>218936</v>
      </c>
      <c r="F13" s="5" t="n">
        <f aca="false">D13/$D$2</f>
        <v>463.322409881523</v>
      </c>
      <c r="G13" s="5" t="n">
        <v>2518.5</v>
      </c>
      <c r="H13" s="26" t="n">
        <v>121.1</v>
      </c>
      <c r="I13" s="5" t="n">
        <f aca="false">G13+H13</f>
        <v>2639.6</v>
      </c>
      <c r="J13" s="105" t="n">
        <f aca="false">IF(L13&gt;0,L13,0)</f>
        <v>149.222409881523</v>
      </c>
      <c r="K13" s="5" t="n">
        <f aca="false">I13+J13</f>
        <v>2788.82240988152</v>
      </c>
      <c r="L13" s="5" t="n">
        <f aca="false">F13-(I13-X13)</f>
        <v>149.222409881523</v>
      </c>
      <c r="M13" s="5" t="n">
        <v>218.7</v>
      </c>
      <c r="N13" s="5" t="n">
        <v>0</v>
      </c>
      <c r="O13" s="55" t="n">
        <v>0</v>
      </c>
      <c r="P13" s="5" t="n">
        <f aca="false">M13-(N13+O13)</f>
        <v>218.7</v>
      </c>
      <c r="Q13" s="5" t="n">
        <v>172.4</v>
      </c>
      <c r="R13" s="5" t="n">
        <v>90.9</v>
      </c>
      <c r="S13" s="5" t="n">
        <f aca="false">SUM(P13:R13)</f>
        <v>482</v>
      </c>
      <c r="T13" s="6" t="n">
        <v>0</v>
      </c>
      <c r="U13" s="5" t="n">
        <v>53.5</v>
      </c>
      <c r="V13" s="5" t="n">
        <v>1790</v>
      </c>
      <c r="W13" s="6" t="n">
        <f aca="false">W12</f>
        <v>10847</v>
      </c>
      <c r="X13" s="5" t="n">
        <f aca="false">N13+O13+S13+U13+V13</f>
        <v>2325.5</v>
      </c>
      <c r="Y13" s="5" t="n">
        <f aca="false">IF(L13&lt;0,L13*-1,0)</f>
        <v>0</v>
      </c>
      <c r="Z13" s="5" t="n">
        <f aca="false">X13+Y13</f>
        <v>2325.5</v>
      </c>
      <c r="AA13" s="38" t="n">
        <v>0</v>
      </c>
      <c r="AB13" s="10" t="n">
        <v>69</v>
      </c>
      <c r="AC13" s="10" t="n">
        <v>42</v>
      </c>
      <c r="AD13" s="11" t="n">
        <f aca="false">AD12+1</f>
        <v>4</v>
      </c>
      <c r="AE13" s="10"/>
      <c r="AG13" s="5"/>
    </row>
    <row r="14" customFormat="false" ht="11.1" hidden="false" customHeight="true" outlineLevel="0" collapsed="false">
      <c r="A14" s="11" t="n">
        <f aca="false">A13+1</f>
        <v>5</v>
      </c>
      <c r="B14" s="25" t="n">
        <v>6921.87</v>
      </c>
      <c r="C14" s="6" t="n">
        <v>371724</v>
      </c>
      <c r="D14" s="10" t="n">
        <f aca="false">C14-C13</f>
        <v>788</v>
      </c>
      <c r="E14" s="6" t="n">
        <f aca="false">C14-152000</f>
        <v>219724</v>
      </c>
      <c r="F14" s="5" t="n">
        <f aca="false">D14/$D$2</f>
        <v>397.277539702546</v>
      </c>
      <c r="G14" s="5" t="n">
        <v>2080.7</v>
      </c>
      <c r="H14" s="26" t="n">
        <v>100.7</v>
      </c>
      <c r="I14" s="5" t="n">
        <f aca="false">G14+H14</f>
        <v>2181.4</v>
      </c>
      <c r="J14" s="105" t="n">
        <f aca="false">IF(L14&gt;0,L14,0)</f>
        <v>152.277539702546</v>
      </c>
      <c r="K14" s="5" t="n">
        <f aca="false">I14+J14</f>
        <v>2333.67753970255</v>
      </c>
      <c r="L14" s="5" t="n">
        <f aca="false">F14-(I14-X14)</f>
        <v>152.277539702546</v>
      </c>
      <c r="M14" s="5" t="n">
        <v>225.6</v>
      </c>
      <c r="N14" s="5" t="n">
        <v>0</v>
      </c>
      <c r="O14" s="55" t="n">
        <v>0</v>
      </c>
      <c r="P14" s="5" t="n">
        <f aca="false">M14-(N14+O14)</f>
        <v>225.6</v>
      </c>
      <c r="Q14" s="5" t="n">
        <v>173.8</v>
      </c>
      <c r="R14" s="5" t="n">
        <v>91.6</v>
      </c>
      <c r="S14" s="5" t="n">
        <f aca="false">SUM(P14:R14)</f>
        <v>491</v>
      </c>
      <c r="T14" s="6" t="n">
        <v>0</v>
      </c>
      <c r="U14" s="5" t="n">
        <v>49.9</v>
      </c>
      <c r="V14" s="5" t="n">
        <v>1395.5</v>
      </c>
      <c r="W14" s="6" t="n">
        <f aca="false">W13</f>
        <v>10847</v>
      </c>
      <c r="X14" s="5" t="n">
        <f aca="false">N14+O14+S14+U14+V14</f>
        <v>1936.4</v>
      </c>
      <c r="Y14" s="5" t="n">
        <f aca="false">IF(L14&lt;0,L14*-1,0)</f>
        <v>0</v>
      </c>
      <c r="Z14" s="5" t="n">
        <f aca="false">X14+Y14</f>
        <v>1936.4</v>
      </c>
      <c r="AA14" s="38" t="n">
        <v>0</v>
      </c>
      <c r="AB14" s="10" t="n">
        <v>72</v>
      </c>
      <c r="AC14" s="10" t="n">
        <v>51</v>
      </c>
      <c r="AD14" s="11" t="n">
        <v>5</v>
      </c>
      <c r="AE14" s="10"/>
      <c r="AG14" s="5"/>
    </row>
    <row r="15" customFormat="false" ht="11.1" hidden="false" customHeight="true" outlineLevel="0" collapsed="false">
      <c r="A15" s="11" t="n">
        <f aca="false">A14+1</f>
        <v>6</v>
      </c>
      <c r="B15" s="25" t="n">
        <v>6922.03</v>
      </c>
      <c r="C15" s="6" t="n">
        <v>372382</v>
      </c>
      <c r="D15" s="10" t="n">
        <f aca="false">C15-C14</f>
        <v>658</v>
      </c>
      <c r="E15" s="6" t="n">
        <f aca="false">C15-152000</f>
        <v>220382</v>
      </c>
      <c r="F15" s="5" t="n">
        <f aca="false">D15/$D$2</f>
        <v>331.736828837913</v>
      </c>
      <c r="G15" s="5" t="n">
        <v>2088.9</v>
      </c>
      <c r="H15" s="26" t="n">
        <v>93.2</v>
      </c>
      <c r="I15" s="5" t="n">
        <f aca="false">G15+H15</f>
        <v>2182.1</v>
      </c>
      <c r="J15" s="105" t="n">
        <f aca="false">IF(L15&gt;0,L15,0)</f>
        <v>1.03682883791294</v>
      </c>
      <c r="K15" s="5" t="n">
        <f aca="false">I15+J15</f>
        <v>2183.13682883791</v>
      </c>
      <c r="L15" s="5" t="n">
        <f aca="false">F15-(I15-X15)</f>
        <v>1.03682883791294</v>
      </c>
      <c r="M15" s="5" t="n">
        <v>233.9</v>
      </c>
      <c r="N15" s="5" t="n">
        <v>0</v>
      </c>
      <c r="O15" s="55" t="n">
        <v>0</v>
      </c>
      <c r="P15" s="5" t="n">
        <f aca="false">M15-(N15+O15)</f>
        <v>233.9</v>
      </c>
      <c r="Q15" s="5" t="n">
        <v>172.4</v>
      </c>
      <c r="R15" s="5" t="n">
        <v>90.7</v>
      </c>
      <c r="S15" s="5" t="n">
        <f aca="false">SUM(P15:R15)</f>
        <v>497</v>
      </c>
      <c r="T15" s="6" t="n">
        <v>0</v>
      </c>
      <c r="U15" s="5" t="n">
        <v>41.9</v>
      </c>
      <c r="V15" s="5" t="n">
        <v>1312.5</v>
      </c>
      <c r="W15" s="6" t="n">
        <f aca="false">W14</f>
        <v>10847</v>
      </c>
      <c r="X15" s="5" t="n">
        <f aca="false">N15+O15+S15+U15+V15</f>
        <v>1851.4</v>
      </c>
      <c r="Y15" s="5" t="n">
        <f aca="false">IF(L15&lt;0,L15*-1,0)</f>
        <v>0</v>
      </c>
      <c r="Z15" s="5" t="n">
        <f aca="false">X15+Y15</f>
        <v>1851.4</v>
      </c>
      <c r="AA15" s="38" t="n">
        <v>0.17</v>
      </c>
      <c r="AB15" s="10" t="n">
        <v>62</v>
      </c>
      <c r="AC15" s="10" t="n">
        <v>53</v>
      </c>
      <c r="AD15" s="11" t="n">
        <f aca="false">AD14+1</f>
        <v>6</v>
      </c>
      <c r="AE15" s="10"/>
      <c r="AG15" s="5"/>
    </row>
    <row r="16" customFormat="false" ht="11.1" hidden="false" customHeight="true" outlineLevel="0" collapsed="false">
      <c r="A16" s="11" t="n">
        <f aca="false">A15+1</f>
        <v>7</v>
      </c>
      <c r="B16" s="25" t="n">
        <v>6922.12</v>
      </c>
      <c r="C16" s="6" t="n">
        <v>372823</v>
      </c>
      <c r="D16" s="10" t="n">
        <f aca="false">C16-C15</f>
        <v>441</v>
      </c>
      <c r="E16" s="6" t="n">
        <f aca="false">C16-152000</f>
        <v>220823</v>
      </c>
      <c r="F16" s="5" t="n">
        <f aca="false">D16/$D$2</f>
        <v>222.33425762541</v>
      </c>
      <c r="G16" s="5" t="n">
        <v>1875.3</v>
      </c>
      <c r="H16" s="26" t="n">
        <v>85.5</v>
      </c>
      <c r="I16" s="5" t="n">
        <f aca="false">G16+H16</f>
        <v>1960.8</v>
      </c>
      <c r="J16" s="105" t="n">
        <f aca="false">IF(L16&gt;0,L16,0)</f>
        <v>87.9342576254095</v>
      </c>
      <c r="K16" s="5" t="n">
        <f aca="false">I16+J16</f>
        <v>2048.73425762541</v>
      </c>
      <c r="L16" s="5" t="n">
        <f aca="false">F16-(I16-X16)</f>
        <v>87.9342576254095</v>
      </c>
      <c r="M16" s="5" t="n">
        <v>212.7</v>
      </c>
      <c r="N16" s="5" t="n">
        <v>0</v>
      </c>
      <c r="O16" s="55" t="n">
        <v>0</v>
      </c>
      <c r="P16" s="5" t="n">
        <f aca="false">M16-(N16+O16)</f>
        <v>212.7</v>
      </c>
      <c r="Q16" s="5" t="n">
        <v>171.9</v>
      </c>
      <c r="R16" s="5" t="n">
        <v>90.4</v>
      </c>
      <c r="S16" s="5" t="n">
        <f aca="false">SUM(P16:R16)</f>
        <v>475</v>
      </c>
      <c r="T16" s="6" t="n">
        <v>0</v>
      </c>
      <c r="U16" s="5" t="n">
        <v>35.3</v>
      </c>
      <c r="V16" s="5" t="n">
        <v>1316.1</v>
      </c>
      <c r="W16" s="6" t="n">
        <f aca="false">W15</f>
        <v>10847</v>
      </c>
      <c r="X16" s="5" t="n">
        <f aca="false">N16+O16+S16+U16+V16</f>
        <v>1826.4</v>
      </c>
      <c r="Y16" s="5" t="n">
        <f aca="false">IF(L16&lt;0,L16*-1,0)</f>
        <v>0</v>
      </c>
      <c r="Z16" s="5" t="n">
        <f aca="false">X16+Y16</f>
        <v>1826.4</v>
      </c>
      <c r="AA16" s="38" t="n">
        <v>0</v>
      </c>
      <c r="AB16" s="10" t="n">
        <v>64</v>
      </c>
      <c r="AC16" s="10" t="n">
        <v>28</v>
      </c>
      <c r="AD16" s="11" t="n">
        <f aca="false">AD15+1</f>
        <v>7</v>
      </c>
      <c r="AE16" s="10"/>
      <c r="AG16" s="5"/>
    </row>
    <row r="17" customFormat="false" ht="11.1" hidden="false" customHeight="true" outlineLevel="0" collapsed="false">
      <c r="A17" s="11" t="n">
        <f aca="false">A16+1</f>
        <v>8</v>
      </c>
      <c r="B17" s="25" t="n">
        <v>6922.2</v>
      </c>
      <c r="C17" s="6" t="n">
        <v>373177</v>
      </c>
      <c r="D17" s="10" t="n">
        <f aca="false">C17-C16</f>
        <v>354</v>
      </c>
      <c r="E17" s="6" t="n">
        <f aca="false">C17-152000</f>
        <v>221177</v>
      </c>
      <c r="F17" s="5" t="n">
        <f aca="false">D17/$D$2</f>
        <v>178.47239727754</v>
      </c>
      <c r="G17" s="5" t="n">
        <v>1648.6</v>
      </c>
      <c r="H17" s="26" t="n">
        <v>75.5</v>
      </c>
      <c r="I17" s="5" t="n">
        <f aca="false">G17+H17</f>
        <v>1724.1</v>
      </c>
      <c r="J17" s="105" t="n">
        <f aca="false">IF(L17&gt;0,L17,0)</f>
        <v>284.57239727754</v>
      </c>
      <c r="K17" s="5" t="n">
        <f aca="false">I17+J17</f>
        <v>2008.67239727754</v>
      </c>
      <c r="L17" s="5" t="n">
        <f aca="false">F17-(I17-X17)</f>
        <v>284.57239727754</v>
      </c>
      <c r="M17" s="5" t="n">
        <v>200</v>
      </c>
      <c r="N17" s="5" t="n">
        <v>0</v>
      </c>
      <c r="O17" s="55" t="n">
        <v>0</v>
      </c>
      <c r="P17" s="5" t="n">
        <f aca="false">M17-(N17+O17)</f>
        <v>200</v>
      </c>
      <c r="Q17" s="5" t="n">
        <v>172.9</v>
      </c>
      <c r="R17" s="5" t="n">
        <v>89.1</v>
      </c>
      <c r="S17" s="5" t="n">
        <f aca="false">SUM(P17:R17)</f>
        <v>462</v>
      </c>
      <c r="T17" s="6" t="n">
        <v>0</v>
      </c>
      <c r="U17" s="5" t="n">
        <v>48.4</v>
      </c>
      <c r="V17" s="5" t="n">
        <v>1319.8</v>
      </c>
      <c r="W17" s="6" t="n">
        <f aca="false">W16</f>
        <v>10847</v>
      </c>
      <c r="X17" s="5" t="n">
        <f aca="false">N17+O17+S17+U17+V17</f>
        <v>1830.2</v>
      </c>
      <c r="Y17" s="5" t="n">
        <f aca="false">IF(L17&lt;0,L17*-1,0)</f>
        <v>0</v>
      </c>
      <c r="Z17" s="5" t="n">
        <f aca="false">X17+Y17</f>
        <v>1830.2</v>
      </c>
      <c r="AA17" s="38" t="n">
        <v>0</v>
      </c>
      <c r="AB17" s="10" t="n">
        <v>66</v>
      </c>
      <c r="AC17" s="10" t="n">
        <v>32</v>
      </c>
      <c r="AD17" s="11" t="n">
        <f aca="false">AD16+1</f>
        <v>8</v>
      </c>
      <c r="AE17" s="10"/>
      <c r="AG17" s="5"/>
    </row>
    <row r="18" customFormat="false" ht="11.1" hidden="false" customHeight="true" outlineLevel="0" collapsed="false">
      <c r="A18" s="11" t="n">
        <f aca="false">A17+1</f>
        <v>9</v>
      </c>
      <c r="B18" s="25" t="n">
        <v>6922.2</v>
      </c>
      <c r="C18" s="6" t="n">
        <v>373177</v>
      </c>
      <c r="D18" s="10" t="n">
        <f aca="false">C18-C17</f>
        <v>0</v>
      </c>
      <c r="E18" s="6" t="n">
        <f aca="false">C18-152000</f>
        <v>221177</v>
      </c>
      <c r="F18" s="5" t="n">
        <f aca="false">D18/$D$2</f>
        <v>0</v>
      </c>
      <c r="G18" s="5" t="n">
        <v>1484.4</v>
      </c>
      <c r="H18" s="26" t="n">
        <v>67.8</v>
      </c>
      <c r="I18" s="5" t="n">
        <f aca="false">G18+H18</f>
        <v>1552.2</v>
      </c>
      <c r="J18" s="105" t="n">
        <f aca="false">IF(L18&gt;0,L18,0)</f>
        <v>0</v>
      </c>
      <c r="K18" s="5" t="n">
        <f aca="false">I18+J18</f>
        <v>1552.2</v>
      </c>
      <c r="L18" s="5" t="n">
        <f aca="false">F18-(I18-X18)</f>
        <v>-1.89999999999986</v>
      </c>
      <c r="M18" s="5" t="n">
        <v>206.1</v>
      </c>
      <c r="N18" s="5" t="n">
        <v>0</v>
      </c>
      <c r="O18" s="55" t="n">
        <v>0</v>
      </c>
      <c r="P18" s="5" t="n">
        <f aca="false">M18-(N18+O18)</f>
        <v>206.1</v>
      </c>
      <c r="Q18" s="5" t="n">
        <v>172.5</v>
      </c>
      <c r="R18" s="5" t="n">
        <v>88.4</v>
      </c>
      <c r="S18" s="5" t="n">
        <f aca="false">SUM(P18:R18)</f>
        <v>467</v>
      </c>
      <c r="T18" s="6" t="n">
        <v>0</v>
      </c>
      <c r="U18" s="5" t="n">
        <v>46.9</v>
      </c>
      <c r="V18" s="5" t="n">
        <v>1036.4</v>
      </c>
      <c r="W18" s="6" t="n">
        <f aca="false">W17</f>
        <v>10847</v>
      </c>
      <c r="X18" s="5" t="n">
        <f aca="false">N18+O18+S18+U18+V18</f>
        <v>1550.3</v>
      </c>
      <c r="Y18" s="5" t="n">
        <f aca="false">IF(L18&lt;0,L18*-1,0)</f>
        <v>1.89999999999986</v>
      </c>
      <c r="Z18" s="5" t="n">
        <f aca="false">X18+Y18</f>
        <v>1552.2</v>
      </c>
      <c r="AA18" s="38" t="n">
        <v>0.13</v>
      </c>
      <c r="AB18" s="10" t="n">
        <v>65</v>
      </c>
      <c r="AC18" s="10" t="n">
        <v>36</v>
      </c>
      <c r="AD18" s="11" t="n">
        <f aca="false">AD17+1</f>
        <v>9</v>
      </c>
      <c r="AE18" s="10"/>
      <c r="AG18" s="5"/>
    </row>
    <row r="19" customFormat="false" ht="11.1" hidden="false" customHeight="true" outlineLevel="0" collapsed="false">
      <c r="A19" s="11" t="n">
        <f aca="false">A18+1</f>
        <v>10</v>
      </c>
      <c r="B19" s="25" t="n">
        <v>6922.07</v>
      </c>
      <c r="C19" s="6" t="n">
        <v>372603</v>
      </c>
      <c r="D19" s="10" t="n">
        <f aca="false">C19-C18</f>
        <v>-574</v>
      </c>
      <c r="E19" s="6" t="n">
        <f aca="false">C19-152000</f>
        <v>220603</v>
      </c>
      <c r="F19" s="5" t="n">
        <f aca="false">D19/$D$2</f>
        <v>-289.387446433073</v>
      </c>
      <c r="G19" s="5" t="n">
        <v>1345.4</v>
      </c>
      <c r="H19" s="26" t="n">
        <v>63.9</v>
      </c>
      <c r="I19" s="5" t="n">
        <f aca="false">G19+H19</f>
        <v>1409.3</v>
      </c>
      <c r="J19" s="105" t="n">
        <f aca="false">IF(L19&gt;0,L19,0)</f>
        <v>0</v>
      </c>
      <c r="K19" s="5" t="n">
        <f aca="false">I19+J19</f>
        <v>1409.3</v>
      </c>
      <c r="L19" s="5" t="n">
        <f aca="false">F19-(I19-X19)</f>
        <v>-102.787446433073</v>
      </c>
      <c r="M19" s="5" t="n">
        <v>253.7</v>
      </c>
      <c r="N19" s="5" t="n">
        <v>0</v>
      </c>
      <c r="O19" s="55" t="n">
        <v>0</v>
      </c>
      <c r="P19" s="5" t="n">
        <f aca="false">M19-(N19+O19)</f>
        <v>253.7</v>
      </c>
      <c r="Q19" s="5" t="n">
        <v>361.8</v>
      </c>
      <c r="R19" s="5" t="n">
        <v>84.5</v>
      </c>
      <c r="S19" s="5" t="n">
        <f aca="false">SUM(P19:R19)</f>
        <v>700</v>
      </c>
      <c r="T19" s="6" t="n">
        <v>0</v>
      </c>
      <c r="U19" s="5" t="n">
        <v>35.8</v>
      </c>
      <c r="V19" s="5" t="n">
        <v>860.1</v>
      </c>
      <c r="W19" s="6" t="n">
        <f aca="false">W18</f>
        <v>10847</v>
      </c>
      <c r="X19" s="5" t="n">
        <f aca="false">N19+O19+S19+U19+V19</f>
        <v>1595.9</v>
      </c>
      <c r="Y19" s="5" t="n">
        <f aca="false">IF(L19&lt;0,L19*-1,0)</f>
        <v>102.787446433073</v>
      </c>
      <c r="Z19" s="5" t="n">
        <f aca="false">X19+Y19</f>
        <v>1698.68744643307</v>
      </c>
      <c r="AA19" s="38" t="n">
        <v>0</v>
      </c>
      <c r="AB19" s="10" t="n">
        <v>73</v>
      </c>
      <c r="AC19" s="10" t="n">
        <v>36</v>
      </c>
      <c r="AD19" s="11" t="n">
        <f aca="false">AD18+1</f>
        <v>10</v>
      </c>
      <c r="AE19" s="10"/>
      <c r="AG19" s="5"/>
    </row>
    <row r="20" customFormat="false" ht="11.1" hidden="false" customHeight="true" outlineLevel="0" collapsed="false">
      <c r="A20" s="11" t="n">
        <f aca="false">A19+1</f>
        <v>11</v>
      </c>
      <c r="B20" s="25" t="n">
        <v>6922.23</v>
      </c>
      <c r="C20" s="6" t="n">
        <v>373309</v>
      </c>
      <c r="D20" s="10" t="n">
        <f aca="false">C20-C19</f>
        <v>706</v>
      </c>
      <c r="E20" s="6" t="n">
        <f aca="false">C20-152000</f>
        <v>221309</v>
      </c>
      <c r="F20" s="5" t="n">
        <f aca="false">D20/$D$2</f>
        <v>355.936475926393</v>
      </c>
      <c r="G20" s="5" t="n">
        <v>1441.4</v>
      </c>
      <c r="H20" s="26" t="n">
        <v>55.5</v>
      </c>
      <c r="I20" s="5" t="n">
        <f aca="false">G20+H20</f>
        <v>1496.9</v>
      </c>
      <c r="J20" s="105" t="n">
        <f aca="false">IF(L20&gt;0,L20,0)</f>
        <v>272.236475926392</v>
      </c>
      <c r="K20" s="5" t="n">
        <f aca="false">I20+J20</f>
        <v>1769.13647592639</v>
      </c>
      <c r="L20" s="5" t="n">
        <f aca="false">F20-(I20-X20)</f>
        <v>272.236475926392</v>
      </c>
      <c r="M20" s="5" t="n">
        <v>222.2</v>
      </c>
      <c r="N20" s="5" t="n">
        <v>0</v>
      </c>
      <c r="O20" s="55" t="n">
        <v>0</v>
      </c>
      <c r="P20" s="5" t="n">
        <f aca="false">M20-(N20+O20)</f>
        <v>222.2</v>
      </c>
      <c r="Q20" s="5" t="n">
        <v>238.4</v>
      </c>
      <c r="R20" s="5" t="n">
        <v>83.4</v>
      </c>
      <c r="S20" s="5" t="n">
        <f aca="false">SUM(P20:R20)</f>
        <v>544</v>
      </c>
      <c r="T20" s="6" t="n">
        <v>0</v>
      </c>
      <c r="U20" s="5" t="n">
        <v>37.3</v>
      </c>
      <c r="V20" s="5" t="n">
        <v>831.9</v>
      </c>
      <c r="W20" s="6" t="n">
        <f aca="false">W19</f>
        <v>10847</v>
      </c>
      <c r="X20" s="5" t="n">
        <f aca="false">N20+O20+S20+U20+V20</f>
        <v>1413.2</v>
      </c>
      <c r="Y20" s="5" t="n">
        <f aca="false">IF(L20&lt;0,L20*-1,0)</f>
        <v>0</v>
      </c>
      <c r="Z20" s="5" t="n">
        <f aca="false">X20+Y20</f>
        <v>1413.2</v>
      </c>
      <c r="AA20" s="38" t="n">
        <v>0</v>
      </c>
      <c r="AB20" s="10" t="n">
        <v>77</v>
      </c>
      <c r="AC20" s="10" t="n">
        <v>44</v>
      </c>
      <c r="AD20" s="11" t="n">
        <f aca="false">AD19+1</f>
        <v>11</v>
      </c>
      <c r="AE20" s="10"/>
      <c r="AG20" s="5"/>
    </row>
    <row r="21" customFormat="false" ht="11.1" hidden="false" customHeight="true" outlineLevel="0" collapsed="false">
      <c r="A21" s="11" t="n">
        <f aca="false">A20+1</f>
        <v>12</v>
      </c>
      <c r="B21" s="25" t="n">
        <v>6922.57</v>
      </c>
      <c r="C21" s="6" t="n">
        <v>374810</v>
      </c>
      <c r="D21" s="10" t="n">
        <f aca="false">C21-C20</f>
        <v>1501</v>
      </c>
      <c r="E21" s="6" t="n">
        <f aca="false">C21-152000</f>
        <v>222810</v>
      </c>
      <c r="F21" s="5" t="n">
        <f aca="false">D21/$D$2</f>
        <v>756.743130829342</v>
      </c>
      <c r="G21" s="5" t="n">
        <v>1778.5</v>
      </c>
      <c r="H21" s="26" t="n">
        <v>49.2</v>
      </c>
      <c r="I21" s="5" t="n">
        <f aca="false">G21+H21</f>
        <v>1827.7</v>
      </c>
      <c r="J21" s="105" t="n">
        <f aca="false">IF(L21&gt;0,L21,0)</f>
        <v>267.843130829342</v>
      </c>
      <c r="K21" s="5" t="n">
        <f aca="false">I21+J21</f>
        <v>2095.54313082934</v>
      </c>
      <c r="L21" s="5" t="n">
        <f aca="false">F21-(I21-X21)</f>
        <v>267.843130829342</v>
      </c>
      <c r="M21" s="5" t="n">
        <v>208</v>
      </c>
      <c r="N21" s="5" t="n">
        <v>0</v>
      </c>
      <c r="O21" s="55" t="n">
        <v>0</v>
      </c>
      <c r="P21" s="5" t="n">
        <f aca="false">M21-(N21+O21)</f>
        <v>208</v>
      </c>
      <c r="Q21" s="5" t="n">
        <v>155.8</v>
      </c>
      <c r="R21" s="5" t="n">
        <v>85.2</v>
      </c>
      <c r="S21" s="5" t="n">
        <f aca="false">SUM(P21:R21)</f>
        <v>449</v>
      </c>
      <c r="T21" s="6" t="n">
        <v>0</v>
      </c>
      <c r="U21" s="5" t="n">
        <v>52.4</v>
      </c>
      <c r="V21" s="5" t="n">
        <v>837.4</v>
      </c>
      <c r="W21" s="6" t="n">
        <f aca="false">W20</f>
        <v>10847</v>
      </c>
      <c r="X21" s="5" t="n">
        <f aca="false">N21+O21+S21+U21+V21</f>
        <v>1338.8</v>
      </c>
      <c r="Y21" s="5" t="n">
        <f aca="false">IF(L21&lt;0,L21*-1,0)</f>
        <v>0</v>
      </c>
      <c r="Z21" s="5" t="n">
        <f aca="false">X21+Y21</f>
        <v>1338.8</v>
      </c>
      <c r="AA21" s="38" t="n">
        <v>0</v>
      </c>
      <c r="AB21" s="10" t="n">
        <v>82</v>
      </c>
      <c r="AC21" s="10" t="n">
        <v>44</v>
      </c>
      <c r="AD21" s="11" t="n">
        <f aca="false">AD20+1</f>
        <v>12</v>
      </c>
      <c r="AE21" s="10"/>
      <c r="AG21" s="5"/>
    </row>
    <row r="22" customFormat="false" ht="11.1" hidden="false" customHeight="true" outlineLevel="0" collapsed="false">
      <c r="A22" s="11" t="n">
        <f aca="false">A21+1</f>
        <v>13</v>
      </c>
      <c r="B22" s="25" t="n">
        <v>6923.15</v>
      </c>
      <c r="C22" s="6" t="n">
        <v>377376</v>
      </c>
      <c r="D22" s="10" t="n">
        <f aca="false">C22-C21</f>
        <v>2566</v>
      </c>
      <c r="E22" s="6" t="n">
        <f aca="false">C22-152000</f>
        <v>225376</v>
      </c>
      <c r="F22" s="5" t="n">
        <f aca="false">D22/$D$2</f>
        <v>1293.67280060499</v>
      </c>
      <c r="G22" s="5" t="n">
        <v>2327.3</v>
      </c>
      <c r="H22" s="26" t="n">
        <v>51.4</v>
      </c>
      <c r="I22" s="5" t="n">
        <f aca="false">G22+H22</f>
        <v>2378.7</v>
      </c>
      <c r="J22" s="105" t="n">
        <f aca="false">IF(L22&gt;0,L22,0)</f>
        <v>242.672800604991</v>
      </c>
      <c r="K22" s="5" t="n">
        <f aca="false">I22+J22</f>
        <v>2621.37280060499</v>
      </c>
      <c r="L22" s="5" t="n">
        <f aca="false">F22-(I22-X22)</f>
        <v>242.672800604991</v>
      </c>
      <c r="M22" s="5" t="n">
        <v>201.6</v>
      </c>
      <c r="N22" s="5" t="n">
        <v>0</v>
      </c>
      <c r="O22" s="55" t="n">
        <v>0</v>
      </c>
      <c r="P22" s="5" t="n">
        <f aca="false">M22-(N22+O22)</f>
        <v>201.6</v>
      </c>
      <c r="Q22" s="5" t="n">
        <v>155.4</v>
      </c>
      <c r="R22" s="5" t="n">
        <v>84</v>
      </c>
      <c r="S22" s="5" t="n">
        <f aca="false">SUM(P22:R22)</f>
        <v>441</v>
      </c>
      <c r="T22" s="6" t="n">
        <v>0</v>
      </c>
      <c r="U22" s="5" t="n">
        <v>44.9</v>
      </c>
      <c r="V22" s="5" t="n">
        <v>841.8</v>
      </c>
      <c r="W22" s="6" t="n">
        <f aca="false">W21</f>
        <v>10847</v>
      </c>
      <c r="X22" s="5" t="n">
        <f aca="false">N22+O22+S22+U22+V22</f>
        <v>1327.7</v>
      </c>
      <c r="Y22" s="5" t="n">
        <f aca="false">IF(L22&lt;0,L22*-1,0)</f>
        <v>0</v>
      </c>
      <c r="Z22" s="5" t="n">
        <f aca="false">X22+Y22</f>
        <v>1327.7</v>
      </c>
      <c r="AA22" s="38" t="n">
        <v>0</v>
      </c>
      <c r="AB22" s="10" t="n">
        <v>84</v>
      </c>
      <c r="AC22" s="10" t="n">
        <v>46</v>
      </c>
      <c r="AD22" s="11" t="n">
        <f aca="false">AD21+1</f>
        <v>13</v>
      </c>
      <c r="AE22" s="10"/>
      <c r="AG22" s="5"/>
    </row>
    <row r="23" customFormat="false" ht="11.1" hidden="false" customHeight="true" outlineLevel="0" collapsed="false">
      <c r="A23" s="11" t="n">
        <f aca="false">A22+1</f>
        <v>14</v>
      </c>
      <c r="B23" s="25" t="n">
        <v>6923.56</v>
      </c>
      <c r="C23" s="6" t="n">
        <v>379201</v>
      </c>
      <c r="D23" s="10" t="n">
        <f aca="false">C23-C22</f>
        <v>1825</v>
      </c>
      <c r="E23" s="6" t="n">
        <f aca="false">C23-152000</f>
        <v>227201</v>
      </c>
      <c r="F23" s="5" t="n">
        <f aca="false">D23/$D$2</f>
        <v>920.090748676582</v>
      </c>
      <c r="G23" s="5" t="n">
        <v>2768.7</v>
      </c>
      <c r="H23" s="26" t="n">
        <v>48.8</v>
      </c>
      <c r="I23" s="5" t="n">
        <f aca="false">G23+H23</f>
        <v>2817.5</v>
      </c>
      <c r="J23" s="105" t="n">
        <f aca="false">IF(L23&gt;0,L23,0)</f>
        <v>0</v>
      </c>
      <c r="K23" s="5" t="n">
        <f aca="false">I23+J23</f>
        <v>2817.5</v>
      </c>
      <c r="L23" s="5" t="n">
        <f aca="false">F23-(I23-X23)</f>
        <v>-119.409251323418</v>
      </c>
      <c r="M23" s="5" t="n">
        <v>201.4</v>
      </c>
      <c r="N23" s="5" t="n">
        <v>0</v>
      </c>
      <c r="O23" s="55" t="n">
        <v>0</v>
      </c>
      <c r="P23" s="5" t="n">
        <f aca="false">M23-(N23+O23)</f>
        <v>201.4</v>
      </c>
      <c r="Q23" s="5" t="n">
        <v>155.9</v>
      </c>
      <c r="R23" s="5" t="n">
        <v>84.7</v>
      </c>
      <c r="S23" s="5" t="n">
        <f aca="false">SUM(P23:R23)</f>
        <v>442</v>
      </c>
      <c r="T23" s="6" t="n">
        <v>0</v>
      </c>
      <c r="U23" s="5" t="n">
        <v>48.9</v>
      </c>
      <c r="V23" s="5" t="n">
        <v>1287.1</v>
      </c>
      <c r="W23" s="6" t="n">
        <f aca="false">W22</f>
        <v>10847</v>
      </c>
      <c r="X23" s="5" t="n">
        <f aca="false">N23+O23+S23+U23+V23</f>
        <v>1778</v>
      </c>
      <c r="Y23" s="5" t="n">
        <f aca="false">IF(L23&lt;0,L23*-1,0)</f>
        <v>119.409251323418</v>
      </c>
      <c r="Z23" s="5" t="n">
        <f aca="false">X23+Y23</f>
        <v>1897.40925132342</v>
      </c>
      <c r="AA23" s="38" t="n">
        <v>0</v>
      </c>
      <c r="AB23" s="10" t="n">
        <v>86</v>
      </c>
      <c r="AC23" s="10" t="n">
        <v>46</v>
      </c>
      <c r="AD23" s="11" t="n">
        <f aca="false">AD22+1</f>
        <v>14</v>
      </c>
      <c r="AE23" s="10"/>
      <c r="AG23" s="5"/>
    </row>
    <row r="24" customFormat="false" ht="11.1" hidden="false" customHeight="true" outlineLevel="0" collapsed="false">
      <c r="A24" s="11" t="n">
        <f aca="false">A23+1</f>
        <v>15</v>
      </c>
      <c r="B24" s="25" t="n">
        <v>6923.65</v>
      </c>
      <c r="C24" s="6" t="n">
        <v>379602</v>
      </c>
      <c r="D24" s="10" t="n">
        <f aca="false">C24-C23</f>
        <v>401</v>
      </c>
      <c r="E24" s="6" t="n">
        <f aca="false">C24-152000</f>
        <v>227602</v>
      </c>
      <c r="F24" s="5" t="n">
        <f aca="false">D24/$D$2</f>
        <v>202.167885051676</v>
      </c>
      <c r="G24" s="5" t="n">
        <v>2944.5</v>
      </c>
      <c r="H24" s="26" t="n">
        <v>11.4</v>
      </c>
      <c r="I24" s="5" t="n">
        <f aca="false">G24+H24</f>
        <v>2955.9</v>
      </c>
      <c r="J24" s="105" t="n">
        <f aca="false">IF(L24&gt;0,L24,0)</f>
        <v>0</v>
      </c>
      <c r="K24" s="5" t="n">
        <f aca="false">I24+J24</f>
        <v>2955.9</v>
      </c>
      <c r="L24" s="5" t="n">
        <f aca="false">F24-(I24-X24)</f>
        <v>-59.7321149483238</v>
      </c>
      <c r="M24" s="5" t="n">
        <v>220.1</v>
      </c>
      <c r="N24" s="5" t="n">
        <v>0</v>
      </c>
      <c r="O24" s="55" t="n">
        <v>0</v>
      </c>
      <c r="P24" s="5" t="n">
        <f aca="false">M24-(N24+O24)</f>
        <v>220.1</v>
      </c>
      <c r="Q24" s="5" t="n">
        <v>156.6</v>
      </c>
      <c r="R24" s="5" t="n">
        <v>84.3</v>
      </c>
      <c r="S24" s="5" t="n">
        <f aca="false">SUM(P24:R24)</f>
        <v>461</v>
      </c>
      <c r="T24" s="6" t="n">
        <v>0</v>
      </c>
      <c r="U24" s="5" t="n">
        <v>57</v>
      </c>
      <c r="V24" s="5" t="n">
        <v>2176</v>
      </c>
      <c r="W24" s="6" t="n">
        <f aca="false">W23</f>
        <v>10847</v>
      </c>
      <c r="X24" s="5" t="n">
        <f aca="false">N24+O24+S24+U24+V24</f>
        <v>2694</v>
      </c>
      <c r="Y24" s="5" t="n">
        <f aca="false">IF(L24&lt;0,L24*-1,0)</f>
        <v>59.7321149483238</v>
      </c>
      <c r="Z24" s="5" t="n">
        <f aca="false">X24+Y24</f>
        <v>2753.73211494832</v>
      </c>
      <c r="AA24" s="38" t="n">
        <v>0</v>
      </c>
      <c r="AB24" s="10" t="n">
        <v>84</v>
      </c>
      <c r="AC24" s="10" t="n">
        <v>44</v>
      </c>
      <c r="AD24" s="11" t="n">
        <f aca="false">AD23+1</f>
        <v>15</v>
      </c>
      <c r="AE24" s="10"/>
      <c r="AG24" s="5"/>
    </row>
    <row r="25" customFormat="false" ht="11.1" hidden="false" customHeight="true" outlineLevel="0" collapsed="false">
      <c r="A25" s="11" t="n">
        <f aca="false">A24+1</f>
        <v>16</v>
      </c>
      <c r="B25" s="25" t="n">
        <v>6923.73</v>
      </c>
      <c r="C25" s="6" t="n">
        <v>379958</v>
      </c>
      <c r="D25" s="10" t="n">
        <f aca="false">C25-C24</f>
        <v>356</v>
      </c>
      <c r="E25" s="6" t="n">
        <f aca="false">C25-152000</f>
        <v>227958</v>
      </c>
      <c r="F25" s="5" t="n">
        <f aca="false">D25/$D$2</f>
        <v>179.480715906226</v>
      </c>
      <c r="G25" s="5" t="n">
        <v>3058.6</v>
      </c>
      <c r="H25" s="26" t="n">
        <v>7.3</v>
      </c>
      <c r="I25" s="5" t="n">
        <f aca="false">G25+H25</f>
        <v>3065.9</v>
      </c>
      <c r="J25" s="105" t="n">
        <f aca="false">IF(L25&gt;0,L25,0)</f>
        <v>151.480715906226</v>
      </c>
      <c r="K25" s="5" t="n">
        <f aca="false">I25+J25</f>
        <v>3217.38071590623</v>
      </c>
      <c r="L25" s="5" t="n">
        <f aca="false">F25-(I25-X25)</f>
        <v>151.480715906226</v>
      </c>
      <c r="M25" s="5" t="n">
        <v>204.5</v>
      </c>
      <c r="N25" s="5" t="n">
        <v>0</v>
      </c>
      <c r="O25" s="55" t="n">
        <v>0</v>
      </c>
      <c r="P25" s="5" t="n">
        <f aca="false">M25-(N25+O25)</f>
        <v>204.5</v>
      </c>
      <c r="Q25" s="5" t="n">
        <v>156.7</v>
      </c>
      <c r="R25" s="5" t="n">
        <v>82.8</v>
      </c>
      <c r="S25" s="5" t="n">
        <f aca="false">SUM(P25:R25)</f>
        <v>444</v>
      </c>
      <c r="T25" s="6" t="n">
        <v>0</v>
      </c>
      <c r="U25" s="5" t="n">
        <v>64</v>
      </c>
      <c r="V25" s="5" t="n">
        <v>2529.9</v>
      </c>
      <c r="W25" s="6" t="n">
        <f aca="false">W24</f>
        <v>10847</v>
      </c>
      <c r="X25" s="5" t="n">
        <f aca="false">N25+O25+S25+U25+V25</f>
        <v>3037.9</v>
      </c>
      <c r="Y25" s="5" t="n">
        <f aca="false">IF(L25&lt;0,L25*-1,0)</f>
        <v>0</v>
      </c>
      <c r="Z25" s="5" t="n">
        <f aca="false">X25+Y25</f>
        <v>3037.9</v>
      </c>
      <c r="AA25" s="38" t="n">
        <v>0.04</v>
      </c>
      <c r="AB25" s="10" t="n">
        <v>82</v>
      </c>
      <c r="AC25" s="10" t="n">
        <v>52</v>
      </c>
      <c r="AD25" s="11" t="n">
        <f aca="false">AD24+1</f>
        <v>16</v>
      </c>
      <c r="AE25" s="10"/>
      <c r="AG25" s="5"/>
    </row>
    <row r="26" customFormat="false" ht="11.1" hidden="false" customHeight="true" outlineLevel="0" collapsed="false">
      <c r="A26" s="11" t="n">
        <f aca="false">A25+1</f>
        <v>17</v>
      </c>
      <c r="B26" s="25" t="n">
        <v>6923.65</v>
      </c>
      <c r="C26" s="6" t="n">
        <v>379602</v>
      </c>
      <c r="D26" s="10" t="n">
        <f aca="false">C26-C25</f>
        <v>-356</v>
      </c>
      <c r="E26" s="6" t="n">
        <f aca="false">C26-152000</f>
        <v>227602</v>
      </c>
      <c r="F26" s="5" t="n">
        <f aca="false">D26/$D$2</f>
        <v>-179.480715906226</v>
      </c>
      <c r="G26" s="5" t="n">
        <v>2843.8</v>
      </c>
      <c r="H26" s="26" t="n">
        <v>6.5</v>
      </c>
      <c r="I26" s="5" t="n">
        <f aca="false">G26+H26</f>
        <v>2850.3</v>
      </c>
      <c r="J26" s="105" t="n">
        <f aca="false">IF(L26&gt;0,L26,0)</f>
        <v>0</v>
      </c>
      <c r="K26" s="5" t="n">
        <f aca="false">I26+J26</f>
        <v>2850.3</v>
      </c>
      <c r="L26" s="5" t="n">
        <f aca="false">F26-(I26-X26)</f>
        <v>-18.7807159062265</v>
      </c>
      <c r="M26" s="5" t="n">
        <v>207.8</v>
      </c>
      <c r="N26" s="5" t="n">
        <v>0</v>
      </c>
      <c r="O26" s="55" t="n">
        <v>0</v>
      </c>
      <c r="P26" s="5" t="n">
        <f aca="false">M26-(N26+O26)</f>
        <v>207.8</v>
      </c>
      <c r="Q26" s="5" t="n">
        <v>156.7</v>
      </c>
      <c r="R26" s="5" t="n">
        <v>78.5</v>
      </c>
      <c r="S26" s="5" t="n">
        <f aca="false">SUM(P26:R26)</f>
        <v>443</v>
      </c>
      <c r="T26" s="6" t="n">
        <v>0</v>
      </c>
      <c r="U26" s="5" t="n">
        <v>59</v>
      </c>
      <c r="V26" s="5" t="n">
        <v>2509</v>
      </c>
      <c r="W26" s="6" t="n">
        <f aca="false">W25</f>
        <v>10847</v>
      </c>
      <c r="X26" s="5" t="n">
        <f aca="false">N26+O26+S26+U26+V26</f>
        <v>3011</v>
      </c>
      <c r="Y26" s="5" t="n">
        <f aca="false">IF(L26&lt;0,L26*-1,0)</f>
        <v>18.7807159062265</v>
      </c>
      <c r="Z26" s="5" t="n">
        <f aca="false">X26+Y26</f>
        <v>3029.78071590623</v>
      </c>
      <c r="AA26" s="38" t="n">
        <v>0</v>
      </c>
      <c r="AB26" s="10" t="n">
        <v>76</v>
      </c>
      <c r="AC26" s="10" t="n">
        <v>49</v>
      </c>
      <c r="AD26" s="11" t="n">
        <f aca="false">AD25+1</f>
        <v>17</v>
      </c>
      <c r="AE26" s="10"/>
      <c r="AG26" s="5"/>
    </row>
    <row r="27" customFormat="false" ht="11.1" hidden="false" customHeight="true" outlineLevel="0" collapsed="false">
      <c r="A27" s="11" t="n">
        <f aca="false">A26+1</f>
        <v>18</v>
      </c>
      <c r="B27" s="25" t="n">
        <v>6923.48</v>
      </c>
      <c r="C27" s="6" t="n">
        <v>378845</v>
      </c>
      <c r="D27" s="10" t="n">
        <f aca="false">C27-C26</f>
        <v>-757</v>
      </c>
      <c r="E27" s="6" t="n">
        <f aca="false">C27-152000</f>
        <v>226845</v>
      </c>
      <c r="F27" s="5" t="n">
        <f aca="false">D27/$D$2</f>
        <v>-381.648600957903</v>
      </c>
      <c r="G27" s="5" t="n">
        <v>2170.8</v>
      </c>
      <c r="H27" s="26" t="n">
        <v>5.9</v>
      </c>
      <c r="I27" s="5" t="n">
        <f aca="false">G27+H27</f>
        <v>2176.7</v>
      </c>
      <c r="J27" s="105" t="n">
        <f aca="false">IF(L27&gt;0,L27,0)</f>
        <v>484.851399042097</v>
      </c>
      <c r="K27" s="5" t="n">
        <f aca="false">I27+J27</f>
        <v>2661.5513990421</v>
      </c>
      <c r="L27" s="5" t="n">
        <f aca="false">F27-(I27-X27)</f>
        <v>484.851399042097</v>
      </c>
      <c r="M27" s="5" t="n">
        <v>208.8</v>
      </c>
      <c r="N27" s="5" t="n">
        <v>0</v>
      </c>
      <c r="O27" s="55" t="n">
        <v>0</v>
      </c>
      <c r="P27" s="5" t="n">
        <f aca="false">M27-(N27+O27)</f>
        <v>208.8</v>
      </c>
      <c r="Q27" s="5" t="n">
        <v>156.2</v>
      </c>
      <c r="R27" s="5" t="n">
        <v>79</v>
      </c>
      <c r="S27" s="5" t="n">
        <f aca="false">SUM(P27:R27)</f>
        <v>444</v>
      </c>
      <c r="T27" s="6" t="n">
        <v>0</v>
      </c>
      <c r="U27" s="5" t="n">
        <v>64</v>
      </c>
      <c r="V27" s="5" t="n">
        <v>2535.2</v>
      </c>
      <c r="W27" s="6" t="n">
        <f aca="false">W26</f>
        <v>10847</v>
      </c>
      <c r="X27" s="5" t="n">
        <f aca="false">N27+O27+S27+U27+V27</f>
        <v>3043.2</v>
      </c>
      <c r="Y27" s="5" t="n">
        <f aca="false">IF(L27&lt;0,L27*-1,0)</f>
        <v>0</v>
      </c>
      <c r="Z27" s="5" t="n">
        <f aca="false">X27+Y27</f>
        <v>3043.2</v>
      </c>
      <c r="AA27" s="38" t="n">
        <v>0</v>
      </c>
      <c r="AB27" s="10" t="n">
        <v>72</v>
      </c>
      <c r="AC27" s="10" t="n">
        <v>39</v>
      </c>
      <c r="AD27" s="11" t="n">
        <f aca="false">AD26+1</f>
        <v>18</v>
      </c>
      <c r="AE27" s="10"/>
      <c r="AG27" s="5"/>
    </row>
    <row r="28" customFormat="false" ht="11.1" hidden="false" customHeight="true" outlineLevel="0" collapsed="false">
      <c r="A28" s="11" t="n">
        <f aca="false">A27+1</f>
        <v>19</v>
      </c>
      <c r="B28" s="25" t="n">
        <v>6923.38</v>
      </c>
      <c r="C28" s="6" t="n">
        <v>378400</v>
      </c>
      <c r="D28" s="10" t="n">
        <f aca="false">C28-C27</f>
        <v>-445</v>
      </c>
      <c r="E28" s="6" t="n">
        <f aca="false">C28-152000</f>
        <v>226400</v>
      </c>
      <c r="F28" s="5" t="n">
        <f aca="false">D28/$D$2</f>
        <v>-224.350894882783</v>
      </c>
      <c r="G28" s="5" t="n">
        <v>1857.5</v>
      </c>
      <c r="H28" s="26" t="n">
        <v>5.3</v>
      </c>
      <c r="I28" s="5" t="n">
        <f aca="false">G28+H28</f>
        <v>1862.8</v>
      </c>
      <c r="J28" s="105" t="n">
        <f aca="false">IF(L28&gt;0,L28,0)</f>
        <v>203.849105117217</v>
      </c>
      <c r="K28" s="5" t="n">
        <f aca="false">I28+J28</f>
        <v>2066.64910511722</v>
      </c>
      <c r="L28" s="5" t="n">
        <f aca="false">F28-(I28-X28)</f>
        <v>203.849105117217</v>
      </c>
      <c r="M28" s="5" t="n">
        <v>208.1</v>
      </c>
      <c r="N28" s="5" t="n">
        <v>0</v>
      </c>
      <c r="O28" s="55" t="n">
        <v>0</v>
      </c>
      <c r="P28" s="5" t="n">
        <f aca="false">M28-(N28+O28)</f>
        <v>208.1</v>
      </c>
      <c r="Q28" s="5" t="n">
        <v>156.1</v>
      </c>
      <c r="R28" s="5" t="n">
        <v>70.8</v>
      </c>
      <c r="S28" s="5" t="n">
        <f aca="false">SUM(P28:R28)</f>
        <v>435</v>
      </c>
      <c r="T28" s="6" t="n">
        <v>0</v>
      </c>
      <c r="U28" s="5" t="n">
        <v>71.1</v>
      </c>
      <c r="V28" s="5" t="n">
        <v>1784.9</v>
      </c>
      <c r="W28" s="6" t="n">
        <f aca="false">W27</f>
        <v>10847</v>
      </c>
      <c r="X28" s="5" t="n">
        <f aca="false">N28+O28+S28+U28+V28</f>
        <v>2291</v>
      </c>
      <c r="Y28" s="5" t="n">
        <f aca="false">IF(L28&lt;0,L28*-1,0)</f>
        <v>0</v>
      </c>
      <c r="Z28" s="5" t="n">
        <f aca="false">X28+Y28</f>
        <v>2291</v>
      </c>
      <c r="AA28" s="38" t="n">
        <v>0</v>
      </c>
      <c r="AB28" s="10" t="n">
        <v>80</v>
      </c>
      <c r="AC28" s="10" t="n">
        <v>40</v>
      </c>
      <c r="AD28" s="11" t="n">
        <f aca="false">AD27+1</f>
        <v>19</v>
      </c>
      <c r="AE28" s="10"/>
      <c r="AG28" s="5"/>
    </row>
    <row r="29" customFormat="false" ht="11.1" hidden="false" customHeight="true" outlineLevel="0" collapsed="false">
      <c r="A29" s="11" t="n">
        <f aca="false">A28+1</f>
        <v>20</v>
      </c>
      <c r="B29" s="25" t="n">
        <v>6923.38</v>
      </c>
      <c r="C29" s="6" t="n">
        <v>378400</v>
      </c>
      <c r="D29" s="10" t="n">
        <f aca="false">C29-C28</f>
        <v>0</v>
      </c>
      <c r="E29" s="6" t="n">
        <f aca="false">C29-152000</f>
        <v>226400</v>
      </c>
      <c r="F29" s="5" t="n">
        <f aca="false">D29/$D$2</f>
        <v>0</v>
      </c>
      <c r="G29" s="5" t="n">
        <v>2018.2</v>
      </c>
      <c r="H29" s="26" t="n">
        <v>4.6</v>
      </c>
      <c r="I29" s="5" t="n">
        <f aca="false">G29+H29</f>
        <v>2022.8</v>
      </c>
      <c r="J29" s="105" t="n">
        <f aca="false">IF(L29&gt;0,L29,0)</f>
        <v>127</v>
      </c>
      <c r="K29" s="5" t="n">
        <f aca="false">I29+J29</f>
        <v>2149.8</v>
      </c>
      <c r="L29" s="5" t="n">
        <f aca="false">F29-(I29-X29)</f>
        <v>127</v>
      </c>
      <c r="M29" s="5" t="n">
        <v>212.4</v>
      </c>
      <c r="N29" s="5" t="n">
        <v>0</v>
      </c>
      <c r="O29" s="55" t="n">
        <v>0</v>
      </c>
      <c r="P29" s="5" t="n">
        <f aca="false">M29-(N29+O29)</f>
        <v>212.4</v>
      </c>
      <c r="Q29" s="5" t="n">
        <v>155.9</v>
      </c>
      <c r="R29" s="5" t="n">
        <v>70.8</v>
      </c>
      <c r="S29" s="5" t="n">
        <f aca="false">SUM(P29:R29)</f>
        <v>439.1</v>
      </c>
      <c r="T29" s="6" t="n">
        <v>0</v>
      </c>
      <c r="U29" s="5" t="n">
        <v>89.8</v>
      </c>
      <c r="V29" s="5" t="n">
        <v>1620.9</v>
      </c>
      <c r="W29" s="6" t="n">
        <f aca="false">W28</f>
        <v>10847</v>
      </c>
      <c r="X29" s="5" t="n">
        <f aca="false">N29+O29+S29+U29+V29</f>
        <v>2149.8</v>
      </c>
      <c r="Y29" s="5" t="n">
        <f aca="false">IF(L29&lt;0,L29*-1,0)</f>
        <v>0</v>
      </c>
      <c r="Z29" s="5" t="n">
        <f aca="false">X29+Y29</f>
        <v>2149.8</v>
      </c>
      <c r="AA29" s="38" t="n">
        <v>0</v>
      </c>
      <c r="AB29" s="10" t="n">
        <v>82</v>
      </c>
      <c r="AC29" s="10" t="n">
        <v>44</v>
      </c>
      <c r="AD29" s="11" t="n">
        <f aca="false">AD28+1</f>
        <v>20</v>
      </c>
      <c r="AE29" s="10"/>
      <c r="AG29" s="5"/>
    </row>
    <row r="30" customFormat="false" ht="11.1" hidden="false" customHeight="true" outlineLevel="0" collapsed="false">
      <c r="A30" s="11" t="n">
        <f aca="false">A29+1</f>
        <v>21</v>
      </c>
      <c r="B30" s="25" t="n">
        <v>6923.38</v>
      </c>
      <c r="C30" s="6" t="n">
        <v>378400</v>
      </c>
      <c r="D30" s="10" t="n">
        <f aca="false">C30-C29</f>
        <v>0</v>
      </c>
      <c r="E30" s="6" t="n">
        <f aca="false">C30-152000</f>
        <v>226400</v>
      </c>
      <c r="F30" s="5" t="n">
        <f aca="false">D30/$D$2</f>
        <v>0</v>
      </c>
      <c r="G30" s="5" t="n">
        <v>2223.2</v>
      </c>
      <c r="H30" s="26" t="n">
        <v>4.1</v>
      </c>
      <c r="I30" s="5" t="n">
        <f aca="false">G30+H30</f>
        <v>2227.3</v>
      </c>
      <c r="J30" s="105" t="n">
        <f aca="false">IF(L30&gt;0,L30,0)</f>
        <v>32.3000000000006</v>
      </c>
      <c r="K30" s="5" t="n">
        <f aca="false">I30+J30</f>
        <v>2259.6</v>
      </c>
      <c r="L30" s="5" t="n">
        <f aca="false">F30-(I30-X30)</f>
        <v>32.3000000000006</v>
      </c>
      <c r="M30" s="5" t="n">
        <v>212.7</v>
      </c>
      <c r="N30" s="5" t="n">
        <v>0</v>
      </c>
      <c r="O30" s="55" t="n">
        <v>0</v>
      </c>
      <c r="P30" s="5" t="n">
        <f aca="false">M30-(N30+O30)</f>
        <v>212.7</v>
      </c>
      <c r="Q30" s="5" t="n">
        <v>155.8</v>
      </c>
      <c r="R30" s="5" t="n">
        <v>71.5</v>
      </c>
      <c r="S30" s="5" t="n">
        <f aca="false">SUM(P30:R30)</f>
        <v>440</v>
      </c>
      <c r="T30" s="6" t="n">
        <v>0</v>
      </c>
      <c r="U30" s="5" t="n">
        <v>81.2</v>
      </c>
      <c r="V30" s="5" t="n">
        <v>1738.4</v>
      </c>
      <c r="W30" s="6" t="n">
        <f aca="false">W29</f>
        <v>10847</v>
      </c>
      <c r="X30" s="5" t="n">
        <f aca="false">N30+O30+S30+U30+V30</f>
        <v>2259.6</v>
      </c>
      <c r="Y30" s="5" t="n">
        <f aca="false">IF(L30&lt;0,L30*-1,0)</f>
        <v>0</v>
      </c>
      <c r="Z30" s="5" t="n">
        <f aca="false">X30+Y30</f>
        <v>2259.6</v>
      </c>
      <c r="AA30" s="38" t="n">
        <v>0</v>
      </c>
      <c r="AB30" s="10" t="n">
        <v>81</v>
      </c>
      <c r="AC30" s="10" t="n">
        <v>46</v>
      </c>
      <c r="AD30" s="11" t="n">
        <f aca="false">AD29+1</f>
        <v>21</v>
      </c>
      <c r="AE30" s="10"/>
      <c r="AG30" s="5"/>
    </row>
    <row r="31" customFormat="false" ht="11.1" hidden="false" customHeight="true" outlineLevel="0" collapsed="false">
      <c r="A31" s="11" t="n">
        <f aca="false">A30+1</f>
        <v>22</v>
      </c>
      <c r="B31" s="25" t="n">
        <v>6923.38</v>
      </c>
      <c r="C31" s="6" t="n">
        <v>378400</v>
      </c>
      <c r="D31" s="10" t="n">
        <f aca="false">C31-C30</f>
        <v>0</v>
      </c>
      <c r="E31" s="6" t="n">
        <f aca="false">C31-152000</f>
        <v>226400</v>
      </c>
      <c r="F31" s="5" t="n">
        <f aca="false">D31/$D$2</f>
        <v>0</v>
      </c>
      <c r="G31" s="5" t="n">
        <v>2194.4</v>
      </c>
      <c r="H31" s="26" t="n">
        <v>3.9</v>
      </c>
      <c r="I31" s="5" t="n">
        <f aca="false">G31+H31</f>
        <v>2198.3</v>
      </c>
      <c r="J31" s="105" t="n">
        <f aca="false">IF(L31&gt;0,L31,0)</f>
        <v>0</v>
      </c>
      <c r="K31" s="5" t="n">
        <f aca="false">I31+J31</f>
        <v>2198.3</v>
      </c>
      <c r="L31" s="5" t="n">
        <f aca="false">F31-(I31-X31)</f>
        <v>-32.1000000000004</v>
      </c>
      <c r="M31" s="5" t="n">
        <v>210.5</v>
      </c>
      <c r="N31" s="5" t="n">
        <v>0</v>
      </c>
      <c r="O31" s="55" t="n">
        <v>0</v>
      </c>
      <c r="P31" s="5" t="n">
        <f aca="false">M31-(N31+O31)</f>
        <v>210.5</v>
      </c>
      <c r="Q31" s="5" t="n">
        <v>156.1</v>
      </c>
      <c r="R31" s="5" t="n">
        <v>72.4</v>
      </c>
      <c r="S31" s="5" t="n">
        <f aca="false">SUM(P31:R31)</f>
        <v>439</v>
      </c>
      <c r="T31" s="6" t="n">
        <v>0</v>
      </c>
      <c r="U31" s="5" t="n">
        <v>114.5</v>
      </c>
      <c r="V31" s="5" t="n">
        <v>1612.7</v>
      </c>
      <c r="W31" s="6" t="n">
        <f aca="false">W30</f>
        <v>10847</v>
      </c>
      <c r="X31" s="5" t="n">
        <f aca="false">N31+O31+S31+U31+V31</f>
        <v>2166.2</v>
      </c>
      <c r="Y31" s="5" t="n">
        <f aca="false">IF(L31&lt;0,L31*-1,0)</f>
        <v>32.1000000000004</v>
      </c>
      <c r="Z31" s="5" t="n">
        <f aca="false">X31+Y31</f>
        <v>2198.3</v>
      </c>
      <c r="AA31" s="38" t="n">
        <v>0</v>
      </c>
      <c r="AB31" s="10" t="n">
        <v>81</v>
      </c>
      <c r="AC31" s="10" t="n">
        <v>44</v>
      </c>
      <c r="AD31" s="11" t="n">
        <f aca="false">AD30+1</f>
        <v>22</v>
      </c>
      <c r="AE31" s="10"/>
      <c r="AG31" s="5"/>
    </row>
    <row r="32" customFormat="false" ht="11.1" hidden="false" customHeight="true" outlineLevel="0" collapsed="false">
      <c r="A32" s="11" t="n">
        <f aca="false">A31+1</f>
        <v>23</v>
      </c>
      <c r="B32" s="25" t="n">
        <v>6923.47</v>
      </c>
      <c r="C32" s="6" t="n">
        <v>378801</v>
      </c>
      <c r="D32" s="10" t="n">
        <f aca="false">C32-C31</f>
        <v>401</v>
      </c>
      <c r="E32" s="6" t="n">
        <f aca="false">C32-152000</f>
        <v>226801</v>
      </c>
      <c r="F32" s="5" t="n">
        <f aca="false">D32/$D$2</f>
        <v>202.167885051676</v>
      </c>
      <c r="G32" s="5" t="n">
        <v>2010.2</v>
      </c>
      <c r="H32" s="26" t="n">
        <v>3.6</v>
      </c>
      <c r="I32" s="5" t="n">
        <f aca="false">G32+H32</f>
        <v>2013.8</v>
      </c>
      <c r="J32" s="105" t="n">
        <f aca="false">IF(L32&gt;0,L32,0)</f>
        <v>218.467885051676</v>
      </c>
      <c r="K32" s="5" t="n">
        <f aca="false">I32+J32</f>
        <v>2232.26788505168</v>
      </c>
      <c r="L32" s="5" t="n">
        <f aca="false">F32-(I32-X32)</f>
        <v>218.467885051676</v>
      </c>
      <c r="M32" s="5" t="n">
        <v>217.7</v>
      </c>
      <c r="N32" s="5" t="n">
        <v>0</v>
      </c>
      <c r="O32" s="55" t="n">
        <v>0</v>
      </c>
      <c r="P32" s="5" t="n">
        <f aca="false">M32-(N32+O32)</f>
        <v>217.7</v>
      </c>
      <c r="Q32" s="5" t="n">
        <v>155.7</v>
      </c>
      <c r="R32" s="5" t="n">
        <v>72.6</v>
      </c>
      <c r="S32" s="5" t="n">
        <f aca="false">SUM(P32:R32)</f>
        <v>446</v>
      </c>
      <c r="T32" s="6" t="n">
        <v>0</v>
      </c>
      <c r="U32" s="5" t="n">
        <v>123.6</v>
      </c>
      <c r="V32" s="5" t="n">
        <v>1460.5</v>
      </c>
      <c r="W32" s="6" t="n">
        <f aca="false">W31</f>
        <v>10847</v>
      </c>
      <c r="X32" s="5" t="n">
        <f aca="false">N32+O32+S32+U32+V32</f>
        <v>2030.1</v>
      </c>
      <c r="Y32" s="5" t="n">
        <f aca="false">IF(L32&lt;0,L32*-1,0)</f>
        <v>0</v>
      </c>
      <c r="Z32" s="5" t="n">
        <f aca="false">X32+Y32</f>
        <v>2030.1</v>
      </c>
      <c r="AA32" s="38" t="n">
        <v>0</v>
      </c>
      <c r="AB32" s="10" t="n">
        <v>78</v>
      </c>
      <c r="AC32" s="10" t="n">
        <v>45</v>
      </c>
      <c r="AD32" s="11" t="n">
        <f aca="false">AD31+1</f>
        <v>23</v>
      </c>
      <c r="AE32" s="10"/>
      <c r="AG32" s="5"/>
    </row>
    <row r="33" customFormat="false" ht="11.1" hidden="false" customHeight="true" outlineLevel="0" collapsed="false">
      <c r="A33" s="11" t="n">
        <f aca="false">A32+1</f>
        <v>24</v>
      </c>
      <c r="B33" s="25" t="n">
        <v>6923.6</v>
      </c>
      <c r="C33" s="6" t="n">
        <v>379379</v>
      </c>
      <c r="D33" s="10" t="n">
        <f aca="false">C33-C32</f>
        <v>578</v>
      </c>
      <c r="E33" s="6" t="n">
        <f aca="false">C33-152000</f>
        <v>227379</v>
      </c>
      <c r="F33" s="5" t="n">
        <f aca="false">D33/$D$2</f>
        <v>291.404083690446</v>
      </c>
      <c r="G33" s="5" t="n">
        <v>1946</v>
      </c>
      <c r="H33" s="26" t="n">
        <v>3.1</v>
      </c>
      <c r="I33" s="5" t="n">
        <f aca="false">G33+H33</f>
        <v>1949.1</v>
      </c>
      <c r="J33" s="105" t="n">
        <f aca="false">IF(L33&gt;0,L33,0)</f>
        <v>55.8940836904462</v>
      </c>
      <c r="K33" s="5" t="n">
        <f aca="false">I33+J33</f>
        <v>2004.99408369045</v>
      </c>
      <c r="L33" s="5" t="n">
        <f aca="false">F33-(I33-X33)</f>
        <v>55.8940836904462</v>
      </c>
      <c r="M33" s="5" t="n">
        <v>223.1</v>
      </c>
      <c r="N33" s="5" t="n">
        <v>0</v>
      </c>
      <c r="O33" s="55" t="n">
        <v>0</v>
      </c>
      <c r="P33" s="5" t="n">
        <f aca="false">M33-(N33+O33)</f>
        <v>223.1</v>
      </c>
      <c r="Q33" s="5" t="n">
        <v>156</v>
      </c>
      <c r="R33" s="5" t="n">
        <v>73.89</v>
      </c>
      <c r="S33" s="5" t="n">
        <f aca="false">SUM(P33:R33)</f>
        <v>452.99</v>
      </c>
      <c r="T33" s="6" t="n">
        <v>0</v>
      </c>
      <c r="U33" s="5" t="n">
        <v>122.5</v>
      </c>
      <c r="V33" s="5" t="n">
        <v>1138.1</v>
      </c>
      <c r="W33" s="6" t="n">
        <f aca="false">W32</f>
        <v>10847</v>
      </c>
      <c r="X33" s="5" t="n">
        <f aca="false">N33+O33+S33+U33+V33</f>
        <v>1713.59</v>
      </c>
      <c r="Y33" s="5" t="n">
        <f aca="false">IF(L33&lt;0,L33*-1,0)</f>
        <v>0</v>
      </c>
      <c r="Z33" s="5" t="n">
        <f aca="false">X33+Y33</f>
        <v>1713.59</v>
      </c>
      <c r="AA33" s="38" t="n">
        <v>0</v>
      </c>
      <c r="AB33" s="10" t="n">
        <v>75</v>
      </c>
      <c r="AC33" s="10" t="n">
        <v>48</v>
      </c>
      <c r="AD33" s="11" t="n">
        <f aca="false">AD32+1</f>
        <v>24</v>
      </c>
      <c r="AE33" s="10"/>
      <c r="AG33" s="5"/>
    </row>
    <row r="34" customFormat="false" ht="11.1" hidden="false" customHeight="true" outlineLevel="0" collapsed="false">
      <c r="A34" s="11" t="n">
        <f aca="false">A33+1</f>
        <v>25</v>
      </c>
      <c r="B34" s="25" t="n">
        <v>6923.61</v>
      </c>
      <c r="C34" s="6" t="n">
        <v>379424</v>
      </c>
      <c r="D34" s="10" t="n">
        <f aca="false">C34-C33</f>
        <v>45</v>
      </c>
      <c r="E34" s="6" t="n">
        <f aca="false">C34-152000</f>
        <v>227424</v>
      </c>
      <c r="F34" s="5" t="n">
        <f aca="false">D34/$D$2</f>
        <v>22.68716914545</v>
      </c>
      <c r="G34" s="5" t="n">
        <v>1735.8</v>
      </c>
      <c r="H34" s="26" t="n">
        <v>2.6</v>
      </c>
      <c r="I34" s="5" t="n">
        <f aca="false">G34+H34</f>
        <v>1738.4</v>
      </c>
      <c r="J34" s="105" t="n">
        <f aca="false">IF(L34&gt;0,L34,0)</f>
        <v>0</v>
      </c>
      <c r="K34" s="5" t="n">
        <f aca="false">I34+J34</f>
        <v>1738.4</v>
      </c>
      <c r="L34" s="5" t="n">
        <f aca="false">F34-(I34-X34)</f>
        <v>-47.3128308545498</v>
      </c>
      <c r="M34" s="5" t="n">
        <v>219.1</v>
      </c>
      <c r="N34" s="5" t="n">
        <v>0</v>
      </c>
      <c r="O34" s="55" t="n">
        <v>0</v>
      </c>
      <c r="P34" s="5" t="n">
        <f aca="false">M34-(N34+O34)</f>
        <v>219.1</v>
      </c>
      <c r="Q34" s="5" t="n">
        <v>156.7</v>
      </c>
      <c r="R34" s="5" t="n">
        <v>74.2</v>
      </c>
      <c r="S34" s="5" t="n">
        <f aca="false">SUM(P34:R34)</f>
        <v>450</v>
      </c>
      <c r="T34" s="6" t="n">
        <v>0</v>
      </c>
      <c r="U34" s="5" t="n">
        <v>133.1</v>
      </c>
      <c r="V34" s="5" t="n">
        <v>1085.3</v>
      </c>
      <c r="W34" s="6" t="n">
        <f aca="false">W33</f>
        <v>10847</v>
      </c>
      <c r="X34" s="5" t="n">
        <f aca="false">N34+O34+S34+U34+V34</f>
        <v>1668.4</v>
      </c>
      <c r="Y34" s="5" t="n">
        <f aca="false">IF(L34&lt;0,L34*-1,0)</f>
        <v>47.3128308545498</v>
      </c>
      <c r="Z34" s="5" t="n">
        <f aca="false">X34+Y34</f>
        <v>1715.71283085455</v>
      </c>
      <c r="AA34" s="38" t="n">
        <v>0</v>
      </c>
      <c r="AB34" s="10" t="n">
        <v>84</v>
      </c>
      <c r="AC34" s="10" t="n">
        <v>45</v>
      </c>
      <c r="AD34" s="11" t="n">
        <f aca="false">AD33+1</f>
        <v>25</v>
      </c>
      <c r="AE34" s="10"/>
      <c r="AG34" s="5"/>
    </row>
    <row r="35" customFormat="false" ht="11.1" hidden="false" customHeight="true" outlineLevel="0" collapsed="false">
      <c r="A35" s="11" t="n">
        <f aca="false">A34+1</f>
        <v>26</v>
      </c>
      <c r="B35" s="25" t="n">
        <v>6923.71</v>
      </c>
      <c r="C35" s="6" t="n">
        <v>379824</v>
      </c>
      <c r="D35" s="10" t="n">
        <f aca="false">C35-C34</f>
        <v>400</v>
      </c>
      <c r="E35" s="6" t="n">
        <f aca="false">C35-152000</f>
        <v>227824</v>
      </c>
      <c r="F35" s="5" t="n">
        <f aca="false">D35/$D$2</f>
        <v>201.663725737333</v>
      </c>
      <c r="G35" s="5" t="n">
        <v>1684</v>
      </c>
      <c r="H35" s="26" t="n">
        <v>2.4</v>
      </c>
      <c r="I35" s="5" t="n">
        <f aca="false">G35+H35</f>
        <v>1686.4</v>
      </c>
      <c r="J35" s="105" t="n">
        <f aca="false">IF(L35&gt;0,L35,0)</f>
        <v>39.663725737333</v>
      </c>
      <c r="K35" s="5" t="n">
        <f aca="false">I35+J35</f>
        <v>1726.06372573733</v>
      </c>
      <c r="L35" s="5" t="n">
        <f aca="false">F35-(I35-X35)</f>
        <v>39.663725737333</v>
      </c>
      <c r="M35" s="5" t="n">
        <v>229.3</v>
      </c>
      <c r="N35" s="5" t="n">
        <v>0</v>
      </c>
      <c r="O35" s="55" t="n">
        <v>0</v>
      </c>
      <c r="P35" s="5" t="n">
        <f aca="false">M35-(N35+O35)</f>
        <v>229.3</v>
      </c>
      <c r="Q35" s="5" t="n">
        <v>157.2</v>
      </c>
      <c r="R35" s="5" t="n">
        <v>76.5</v>
      </c>
      <c r="S35" s="5" t="n">
        <f aca="false">SUM(P35:R35)</f>
        <v>463</v>
      </c>
      <c r="T35" s="6" t="n">
        <v>0</v>
      </c>
      <c r="U35" s="123" t="n">
        <v>139.2</v>
      </c>
      <c r="V35" s="5" t="n">
        <v>922.2</v>
      </c>
      <c r="W35" s="6" t="n">
        <f aca="false">W34</f>
        <v>10847</v>
      </c>
      <c r="X35" s="5" t="n">
        <f aca="false">N35+O35+S35+U35+V35</f>
        <v>1524.4</v>
      </c>
      <c r="Y35" s="5" t="n">
        <f aca="false">IF(L35&lt;0,L35*-1,0)</f>
        <v>0</v>
      </c>
      <c r="Z35" s="5" t="n">
        <f aca="false">X35+Y35</f>
        <v>1524.4</v>
      </c>
      <c r="AA35" s="38" t="n">
        <v>0</v>
      </c>
      <c r="AB35" s="10" t="n">
        <v>85</v>
      </c>
      <c r="AC35" s="10" t="n">
        <v>43</v>
      </c>
      <c r="AD35" s="11" t="n">
        <f aca="false">AD34+1</f>
        <v>26</v>
      </c>
      <c r="AE35" s="10"/>
      <c r="AG35" s="3"/>
    </row>
    <row r="36" customFormat="false" ht="11.1" hidden="false" customHeight="true" outlineLevel="0" collapsed="false">
      <c r="A36" s="11" t="n">
        <f aca="false">A35+1</f>
        <v>27</v>
      </c>
      <c r="B36" s="25" t="n">
        <v>6923.78</v>
      </c>
      <c r="C36" s="6" t="n">
        <v>380180</v>
      </c>
      <c r="D36" s="10" t="n">
        <f aca="false">C36-C35</f>
        <v>356</v>
      </c>
      <c r="E36" s="6" t="n">
        <f aca="false">C36-152000</f>
        <v>228180</v>
      </c>
      <c r="F36" s="5" t="n">
        <f aca="false">D36/$D$2</f>
        <v>179.480715906226</v>
      </c>
      <c r="G36" s="5" t="n">
        <v>1641.3</v>
      </c>
      <c r="H36" s="26" t="n">
        <v>2.1</v>
      </c>
      <c r="I36" s="5" t="n">
        <f aca="false">G36+H36</f>
        <v>1643.4</v>
      </c>
      <c r="J36" s="105" t="n">
        <f aca="false">IF(L36&gt;0,L36,0)</f>
        <v>4.1807159062264</v>
      </c>
      <c r="K36" s="5" t="n">
        <f aca="false">I36+J36</f>
        <v>1647.58071590623</v>
      </c>
      <c r="L36" s="5" t="n">
        <f aca="false">F36-(I36-X36)</f>
        <v>4.1807159062264</v>
      </c>
      <c r="M36" s="5" t="n">
        <v>225.7</v>
      </c>
      <c r="N36" s="5" t="n">
        <v>0</v>
      </c>
      <c r="O36" s="55" t="n">
        <v>0</v>
      </c>
      <c r="P36" s="5" t="n">
        <f aca="false">M36-(N36+O36)</f>
        <v>225.7</v>
      </c>
      <c r="Q36" s="5" t="n">
        <v>156.7</v>
      </c>
      <c r="R36" s="5" t="n">
        <v>78.6</v>
      </c>
      <c r="S36" s="5" t="n">
        <f aca="false">SUM(P36:R36)</f>
        <v>461</v>
      </c>
      <c r="T36" s="6" t="n">
        <v>0</v>
      </c>
      <c r="U36" s="5" t="n">
        <v>153.3</v>
      </c>
      <c r="V36" s="5" t="n">
        <v>853.8</v>
      </c>
      <c r="W36" s="6" t="n">
        <f aca="false">W35</f>
        <v>10847</v>
      </c>
      <c r="X36" s="5" t="n">
        <f aca="false">N36+O36+S36+U36+V36</f>
        <v>1468.1</v>
      </c>
      <c r="Y36" s="5" t="n">
        <f aca="false">IF(L36&lt;0,L36*-1,0)</f>
        <v>0</v>
      </c>
      <c r="Z36" s="5" t="n">
        <f aca="false">X36+Y36</f>
        <v>1468.1</v>
      </c>
      <c r="AA36" s="38" t="n">
        <v>0</v>
      </c>
      <c r="AB36" s="10" t="n">
        <v>86</v>
      </c>
      <c r="AC36" s="10" t="n">
        <v>47</v>
      </c>
      <c r="AD36" s="11" t="n">
        <f aca="false">AD35+1</f>
        <v>27</v>
      </c>
      <c r="AE36" s="10"/>
      <c r="AG36" s="5"/>
    </row>
    <row r="37" customFormat="false" ht="11.1" hidden="false" customHeight="true" outlineLevel="0" collapsed="false">
      <c r="A37" s="11" t="n">
        <f aca="false">A36+1</f>
        <v>28</v>
      </c>
      <c r="B37" s="25" t="n">
        <v>6923.9</v>
      </c>
      <c r="C37" s="6" t="n">
        <v>380715</v>
      </c>
      <c r="D37" s="10" t="n">
        <f aca="false">C37-C36</f>
        <v>535</v>
      </c>
      <c r="E37" s="6" t="n">
        <f aca="false">C37-152000</f>
        <v>228715</v>
      </c>
      <c r="F37" s="5" t="n">
        <f aca="false">D37/$D$2</f>
        <v>269.725233173683</v>
      </c>
      <c r="G37" s="5" t="n">
        <v>1605.8</v>
      </c>
      <c r="H37" s="26" t="n">
        <v>2</v>
      </c>
      <c r="I37" s="5" t="n">
        <f aca="false">G37+H37</f>
        <v>1607.8</v>
      </c>
      <c r="J37" s="105" t="n">
        <f aca="false">IF(L37&gt;0,L37,0)</f>
        <v>30.325233173683</v>
      </c>
      <c r="K37" s="5" t="n">
        <f aca="false">I37+J37</f>
        <v>1638.12523317368</v>
      </c>
      <c r="L37" s="5" t="n">
        <f aca="false">F37-(I37-X37)</f>
        <v>30.325233173683</v>
      </c>
      <c r="M37" s="5" t="n">
        <v>227.6</v>
      </c>
      <c r="N37" s="5" t="n">
        <v>0</v>
      </c>
      <c r="O37" s="55" t="n">
        <v>0</v>
      </c>
      <c r="P37" s="5" t="n">
        <f aca="false">M37-(N37+O37)</f>
        <v>227.6</v>
      </c>
      <c r="Q37" s="5" t="n">
        <v>151.6</v>
      </c>
      <c r="R37" s="5" t="n">
        <v>76.9</v>
      </c>
      <c r="S37" s="5" t="n">
        <f aca="false">SUM(P37:R37)</f>
        <v>456.1</v>
      </c>
      <c r="T37" s="6" t="n">
        <v>0</v>
      </c>
      <c r="U37" s="5" t="n">
        <v>159.9</v>
      </c>
      <c r="V37" s="5" t="n">
        <v>752.4</v>
      </c>
      <c r="W37" s="6" t="n">
        <f aca="false">W36</f>
        <v>10847</v>
      </c>
      <c r="X37" s="5" t="n">
        <f aca="false">N37+O37+S37+U37+V37</f>
        <v>1368.4</v>
      </c>
      <c r="Y37" s="5" t="n">
        <f aca="false">IF(L37&lt;0,L37*-1,0)</f>
        <v>0</v>
      </c>
      <c r="Z37" s="5" t="n">
        <f aca="false">X37+Y37</f>
        <v>1368.4</v>
      </c>
      <c r="AA37" s="38" t="n">
        <v>0</v>
      </c>
      <c r="AB37" s="10" t="n">
        <v>84</v>
      </c>
      <c r="AC37" s="10" t="n">
        <v>46</v>
      </c>
      <c r="AD37" s="11" t="n">
        <f aca="false">AD36+1</f>
        <v>28</v>
      </c>
      <c r="AE37" s="10"/>
      <c r="AG37" s="5"/>
    </row>
    <row r="38" customFormat="false" ht="11.1" hidden="false" customHeight="true" outlineLevel="0" collapsed="false">
      <c r="A38" s="11" t="n">
        <f aca="false">A37+1</f>
        <v>29</v>
      </c>
      <c r="B38" s="25" t="n">
        <v>6924.01</v>
      </c>
      <c r="C38" s="6" t="n">
        <v>381160</v>
      </c>
      <c r="D38" s="10" t="n">
        <f aca="false">C38-C37</f>
        <v>445</v>
      </c>
      <c r="E38" s="6" t="n">
        <f aca="false">C38-152000</f>
        <v>229160</v>
      </c>
      <c r="F38" s="5" t="n">
        <f aca="false">D38/$D$2</f>
        <v>224.350894882783</v>
      </c>
      <c r="G38" s="5" t="n">
        <v>1513.1</v>
      </c>
      <c r="H38" s="26" t="n">
        <v>1.9</v>
      </c>
      <c r="I38" s="5" t="n">
        <f aca="false">G38+H38</f>
        <v>1515</v>
      </c>
      <c r="J38" s="105" t="n">
        <f aca="false">IF(L38&gt;0,L38,0)</f>
        <v>0</v>
      </c>
      <c r="K38" s="5" t="n">
        <f aca="false">I38+J38</f>
        <v>1515</v>
      </c>
      <c r="L38" s="5" t="n">
        <f aca="false">F38-(I38-X38)</f>
        <v>-24.3491051172168</v>
      </c>
      <c r="M38" s="5" t="n">
        <v>224.2</v>
      </c>
      <c r="N38" s="5" t="n">
        <v>0</v>
      </c>
      <c r="O38" s="55" t="n">
        <v>0</v>
      </c>
      <c r="P38" s="5" t="n">
        <f aca="false">M38-(N38+O38)</f>
        <v>224.2</v>
      </c>
      <c r="Q38" s="5" t="n">
        <v>145.8</v>
      </c>
      <c r="R38" s="5" t="n">
        <v>77.1</v>
      </c>
      <c r="S38" s="5" t="n">
        <f aca="false">SUM(P38:R38)</f>
        <v>447.1</v>
      </c>
      <c r="T38" s="6" t="n">
        <v>0</v>
      </c>
      <c r="U38" s="5" t="n">
        <v>177</v>
      </c>
      <c r="V38" s="5" t="n">
        <v>642.2</v>
      </c>
      <c r="W38" s="6" t="n">
        <f aca="false">W37</f>
        <v>10847</v>
      </c>
      <c r="X38" s="5" t="n">
        <f aca="false">N38+O38+S38+U38+V38</f>
        <v>1266.3</v>
      </c>
      <c r="Y38" s="5" t="n">
        <f aca="false">IF(L38&lt;0,L38*-1,0)</f>
        <v>24.3491051172168</v>
      </c>
      <c r="Z38" s="5" t="n">
        <f aca="false">X38+Y38</f>
        <v>1290.64910511722</v>
      </c>
      <c r="AA38" s="38" t="n">
        <v>0</v>
      </c>
      <c r="AB38" s="10" t="n">
        <v>86</v>
      </c>
      <c r="AC38" s="10" t="n">
        <v>48</v>
      </c>
      <c r="AD38" s="11" t="n">
        <f aca="false">AD37+1</f>
        <v>29</v>
      </c>
      <c r="AE38" s="10"/>
      <c r="AG38" s="5"/>
    </row>
    <row r="39" customFormat="false" ht="11.1" hidden="false" customHeight="true" outlineLevel="0" collapsed="false">
      <c r="A39" s="11" t="n">
        <f aca="false">A38+1</f>
        <v>30</v>
      </c>
      <c r="B39" s="25" t="n">
        <v>6924.06</v>
      </c>
      <c r="C39" s="6" t="n">
        <v>381429</v>
      </c>
      <c r="D39" s="10" t="n">
        <f aca="false">C39-C38</f>
        <v>269</v>
      </c>
      <c r="E39" s="6" t="n">
        <f aca="false">C39-152000</f>
        <v>229429</v>
      </c>
      <c r="F39" s="5" t="n">
        <f aca="false">D39/$D$2</f>
        <v>135.618855558356</v>
      </c>
      <c r="G39" s="5" t="n">
        <v>1514.5</v>
      </c>
      <c r="H39" s="26" t="n">
        <v>1.7</v>
      </c>
      <c r="I39" s="5" t="n">
        <f aca="false">G39+H39</f>
        <v>1516.2</v>
      </c>
      <c r="J39" s="105" t="n">
        <f aca="false">IF(L39&gt;0,L39,0)</f>
        <v>0</v>
      </c>
      <c r="K39" s="5" t="n">
        <f aca="false">I39+J39</f>
        <v>1516.2</v>
      </c>
      <c r="L39" s="5" t="n">
        <f aca="false">F39-(I39-X39)</f>
        <v>-100.881144441644</v>
      </c>
      <c r="M39" s="5" t="n">
        <v>237.3</v>
      </c>
      <c r="N39" s="5" t="n">
        <v>0</v>
      </c>
      <c r="O39" s="55" t="n">
        <v>0</v>
      </c>
      <c r="P39" s="5" t="n">
        <f aca="false">M39-(N39+O39)</f>
        <v>237.3</v>
      </c>
      <c r="Q39" s="5" t="n">
        <v>145.1</v>
      </c>
      <c r="R39" s="5" t="n">
        <v>76.7</v>
      </c>
      <c r="S39" s="5" t="n">
        <f aca="false">SUM(P39:R39)</f>
        <v>459.1</v>
      </c>
      <c r="T39" s="6" t="n">
        <v>0</v>
      </c>
      <c r="U39" s="5" t="n">
        <v>177.5</v>
      </c>
      <c r="V39" s="5" t="n">
        <v>643.1</v>
      </c>
      <c r="W39" s="6" t="n">
        <f aca="false">W38</f>
        <v>10847</v>
      </c>
      <c r="X39" s="5" t="n">
        <f aca="false">N39+O39+S39+U39+V39</f>
        <v>1279.7</v>
      </c>
      <c r="Y39" s="5" t="n">
        <f aca="false">IF(L39&lt;0,L39*-1,0)</f>
        <v>100.881144441644</v>
      </c>
      <c r="Z39" s="5" t="n">
        <f aca="false">X39+Y39</f>
        <v>1380.58114444164</v>
      </c>
      <c r="AA39" s="38" t="n">
        <v>0</v>
      </c>
      <c r="AB39" s="10" t="n">
        <v>86</v>
      </c>
      <c r="AC39" s="10" t="n">
        <v>44</v>
      </c>
      <c r="AD39" s="11" t="n">
        <v>30</v>
      </c>
      <c r="AE39" s="10"/>
      <c r="AG39" s="5"/>
    </row>
    <row r="40" customFormat="false" ht="3" hidden="false" customHeight="true" outlineLevel="0" collapsed="false">
      <c r="A40" s="27"/>
      <c r="B40" s="27"/>
      <c r="C40" s="29"/>
      <c r="D40" s="27"/>
      <c r="E40" s="29"/>
      <c r="F40" s="27"/>
      <c r="G40" s="27"/>
      <c r="H40" s="121" t="n">
        <v>0.29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9"/>
      <c r="U40" s="27"/>
      <c r="V40" s="27"/>
      <c r="W40" s="27"/>
      <c r="X40" s="27"/>
      <c r="Y40" s="27"/>
      <c r="Z40" s="27"/>
      <c r="AA40" s="104"/>
      <c r="AB40" s="32"/>
      <c r="AC40" s="32"/>
      <c r="AD40" s="33"/>
      <c r="AE40" s="99"/>
    </row>
    <row r="41" customFormat="false" ht="11.1" hidden="false" customHeight="true" outlineLevel="0" collapsed="false">
      <c r="A41" s="5" t="s">
        <v>43</v>
      </c>
      <c r="B41" s="5"/>
      <c r="C41" s="6"/>
      <c r="D41" s="6"/>
      <c r="E41" s="6"/>
      <c r="F41" s="6" t="n">
        <f aca="false">SUM(F10:F39)</f>
        <v>8782.9594151752</v>
      </c>
      <c r="G41" s="6" t="n">
        <f aca="false">SUM(G10:G39)</f>
        <v>65550.5</v>
      </c>
      <c r="H41" s="26" t="n">
        <f aca="false">SUM(H10:H39)</f>
        <v>1445.4</v>
      </c>
      <c r="I41" s="6" t="n">
        <f aca="false">SUM(I10:I39)</f>
        <v>66995.9</v>
      </c>
      <c r="J41" s="6" t="n">
        <f aca="false">SUM(J10:J39)</f>
        <v>2918.7740433577</v>
      </c>
      <c r="K41" s="6" t="n">
        <f aca="false">SUM(K10:K39)</f>
        <v>69914.6740433577</v>
      </c>
      <c r="L41" s="6" t="n">
        <f aca="false">SUM(L10:L39)</f>
        <v>2230.5494151752</v>
      </c>
      <c r="M41" s="6" t="n">
        <f aca="false">SUM(M10:M39)</f>
        <v>6496.8</v>
      </c>
      <c r="N41" s="6" t="n">
        <f aca="false">SUM(N10:N39)</f>
        <v>0</v>
      </c>
      <c r="O41" s="6" t="n">
        <f aca="false">SUM(O10:O39)</f>
        <v>0</v>
      </c>
      <c r="P41" s="6" t="n">
        <f aca="false">SUM(P10:P39)</f>
        <v>6496.8</v>
      </c>
      <c r="Q41" s="6" t="n">
        <f aca="false">SUM(Q10:Q39)</f>
        <v>5098.8</v>
      </c>
      <c r="R41" s="6" t="n">
        <f aca="false">SUM(R10:R39)</f>
        <v>2440.89</v>
      </c>
      <c r="S41" s="6" t="n">
        <f aca="false">SUM(S10:S39)</f>
        <v>14036.49</v>
      </c>
      <c r="T41" s="6"/>
      <c r="U41" s="6" t="n">
        <f aca="false">SUM(U10:U39)</f>
        <v>2470.6</v>
      </c>
      <c r="V41" s="6" t="n">
        <f aca="false">SUM(V10:V39)</f>
        <v>43936.4</v>
      </c>
      <c r="W41" s="6"/>
      <c r="X41" s="6" t="n">
        <f aca="false">SUM(X10:X39)</f>
        <v>60443.49</v>
      </c>
      <c r="Y41" s="6" t="n">
        <f aca="false">SUM(Y10:Y39)</f>
        <v>688.224628182505</v>
      </c>
      <c r="Z41" s="6" t="n">
        <f aca="false">SUM(Z10:Z39)</f>
        <v>61131.7146281825</v>
      </c>
      <c r="AA41" s="38" t="n">
        <f aca="false">SUM(AA10:AA39)</f>
        <v>0.34</v>
      </c>
      <c r="AB41" s="10" t="n">
        <f aca="false">AVERAGE(AB10:AB39)</f>
        <v>77.5</v>
      </c>
      <c r="AC41" s="10" t="n">
        <f aca="false">AVERAGE(AC10:AC39)</f>
        <v>43.8</v>
      </c>
      <c r="AD41" s="11" t="s">
        <v>74</v>
      </c>
      <c r="AE41" s="99"/>
    </row>
    <row r="42" customFormat="false" ht="11.1" hidden="false" customHeight="true" outlineLevel="0" collapsed="false">
      <c r="A42" s="5" t="s">
        <v>44</v>
      </c>
      <c r="B42" s="5"/>
      <c r="C42" s="6"/>
      <c r="D42" s="6" t="n">
        <f aca="false">SUM(D10:D39)</f>
        <v>17421</v>
      </c>
      <c r="E42" s="6"/>
      <c r="F42" s="6" t="n">
        <f aca="false">F41*$D$2</f>
        <v>17421</v>
      </c>
      <c r="G42" s="6" t="n">
        <f aca="false">G41*$D$2</f>
        <v>130019.41675</v>
      </c>
      <c r="H42" s="26" t="n">
        <f aca="false">H41*$D$2</f>
        <v>2866.9509</v>
      </c>
      <c r="I42" s="6" t="n">
        <f aca="false">I41*$D$2</f>
        <v>132886.36765</v>
      </c>
      <c r="J42" s="6" t="n">
        <f aca="false">J41*$D$2</f>
        <v>5789.388315</v>
      </c>
      <c r="K42" s="6" t="n">
        <f aca="false">K41*$D$2</f>
        <v>138675.755965</v>
      </c>
      <c r="L42" s="6" t="n">
        <f aca="false">L41*$D$2</f>
        <v>4424.294765</v>
      </c>
      <c r="M42" s="6" t="n">
        <f aca="false">M41*$D$2</f>
        <v>12886.4028</v>
      </c>
      <c r="N42" s="6" t="n">
        <f aca="false">N41*$D$2</f>
        <v>0</v>
      </c>
      <c r="O42" s="6" t="n">
        <f aca="false">O41*$D$2</f>
        <v>0</v>
      </c>
      <c r="P42" s="6" t="n">
        <f aca="false">P41*$D$2</f>
        <v>12886.4028</v>
      </c>
      <c r="Q42" s="6" t="n">
        <f aca="false">Q41*$D$2</f>
        <v>10113.4698</v>
      </c>
      <c r="R42" s="6" t="n">
        <f aca="false">R41*$D$2</f>
        <v>4841.505315</v>
      </c>
      <c r="S42" s="6" t="n">
        <f aca="false">S41*$D$2</f>
        <v>27841.377915</v>
      </c>
      <c r="T42" s="6"/>
      <c r="U42" s="6" t="n">
        <f aca="false">U41*$D$2</f>
        <v>4900.4351</v>
      </c>
      <c r="V42" s="6" t="n">
        <f aca="false">V41*$D$2</f>
        <v>87147.8494</v>
      </c>
      <c r="W42" s="6"/>
      <c r="X42" s="6" t="n">
        <f aca="false">X41*$D$2</f>
        <v>119889.662415</v>
      </c>
      <c r="Y42" s="6" t="n">
        <f aca="false">Y41*$D$2</f>
        <v>1365.09355</v>
      </c>
      <c r="Z42" s="6" t="n">
        <f aca="false">Z41*$D$2</f>
        <v>121254.755965</v>
      </c>
      <c r="AA42" s="38"/>
      <c r="AB42" s="10" t="n">
        <f aca="false">MAX(AB10:AB39)</f>
        <v>86</v>
      </c>
      <c r="AC42" s="10" t="n">
        <f aca="false">MAX(AC10:AC39)</f>
        <v>53</v>
      </c>
      <c r="AD42" s="11" t="s">
        <v>45</v>
      </c>
      <c r="AE42" s="99"/>
    </row>
    <row r="43" customFormat="false" ht="3" hidden="false" customHeight="true" outlineLevel="0" collapsed="false">
      <c r="A43" s="27"/>
      <c r="B43" s="27"/>
      <c r="C43" s="29"/>
      <c r="D43" s="29"/>
      <c r="E43" s="29"/>
      <c r="F43" s="29"/>
      <c r="G43" s="29"/>
      <c r="H43" s="121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7"/>
      <c r="X43" s="29"/>
      <c r="Y43" s="29"/>
      <c r="Z43" s="29"/>
      <c r="AA43" s="38"/>
      <c r="AB43" s="10"/>
      <c r="AC43" s="10"/>
      <c r="AD43" s="11"/>
      <c r="AE43" s="99"/>
    </row>
    <row r="44" customFormat="false" ht="11.1" hidden="false" customHeight="true" outlineLevel="0" collapsed="false">
      <c r="A44" s="5" t="s">
        <v>46</v>
      </c>
      <c r="B44" s="5"/>
      <c r="C44" s="6"/>
      <c r="D44" s="6"/>
      <c r="E44" s="6"/>
      <c r="F44" s="6" t="n">
        <f aca="false">F7+F41</f>
        <v>26865.1373834132</v>
      </c>
      <c r="G44" s="6" t="n">
        <f aca="false">G7+G41</f>
        <v>185549.1</v>
      </c>
      <c r="H44" s="26" t="n">
        <f aca="false">H7+H41</f>
        <v>17392</v>
      </c>
      <c r="I44" s="6" t="n">
        <f aca="false">I7+I41</f>
        <v>202941.1</v>
      </c>
      <c r="J44" s="6" t="n">
        <f aca="false">J7+J41</f>
        <v>44289.3009654651</v>
      </c>
      <c r="K44" s="6" t="n">
        <f aca="false">K7+K41</f>
        <v>247230.400965465</v>
      </c>
      <c r="L44" s="6" t="n">
        <f aca="false">L7+L41</f>
        <v>42504.3873834132</v>
      </c>
      <c r="M44" s="6" t="n">
        <f aca="false">M7+M41</f>
        <v>12184.76</v>
      </c>
      <c r="N44" s="6" t="n">
        <f aca="false">N7+N41</f>
        <v>0</v>
      </c>
      <c r="O44" s="6" t="n">
        <f aca="false">O7+O41</f>
        <v>0</v>
      </c>
      <c r="P44" s="6" t="n">
        <f aca="false">P7+P41</f>
        <v>12184.76</v>
      </c>
      <c r="Q44" s="6" t="n">
        <f aca="false">Q7+Q41</f>
        <v>8544.6</v>
      </c>
      <c r="R44" s="6" t="n">
        <f aca="false">R7+R41</f>
        <v>4346.39</v>
      </c>
      <c r="S44" s="6" t="n">
        <f aca="false">S7+S41</f>
        <v>25075.75</v>
      </c>
      <c r="T44" s="124" t="n">
        <v>0</v>
      </c>
      <c r="U44" s="6" t="n">
        <f aca="false">U7+U41</f>
        <v>3650.7</v>
      </c>
      <c r="V44" s="6" t="n">
        <f aca="false">V7+V41</f>
        <v>189853.9</v>
      </c>
      <c r="W44" s="124" t="n">
        <f aca="false">W39</f>
        <v>10847</v>
      </c>
      <c r="X44" s="6" t="n">
        <f aca="false">X7+X41</f>
        <v>218580.35</v>
      </c>
      <c r="Y44" s="6" t="n">
        <f aca="false">Y7+Y41</f>
        <v>1784.91358205193</v>
      </c>
      <c r="Z44" s="6" t="n">
        <f aca="false">Z7+Z41</f>
        <v>220365.263582052</v>
      </c>
      <c r="AA44" s="38"/>
      <c r="AB44" s="10" t="n">
        <f aca="false">MIN(AB10:AB39)</f>
        <v>62</v>
      </c>
      <c r="AC44" s="10" t="n">
        <f aca="false">MIN(AC10:AC39)</f>
        <v>28</v>
      </c>
      <c r="AD44" s="11" t="s">
        <v>47</v>
      </c>
      <c r="AE44" s="99"/>
    </row>
    <row r="45" customFormat="false" ht="11.1" hidden="false" customHeight="true" outlineLevel="0" collapsed="false">
      <c r="A45" s="5" t="s">
        <v>48</v>
      </c>
      <c r="B45" s="5"/>
      <c r="C45" s="6"/>
      <c r="D45" s="6"/>
      <c r="E45" s="6"/>
      <c r="F45" s="6" t="n">
        <f aca="false">F44*$D$2</f>
        <v>53287</v>
      </c>
      <c r="G45" s="6" t="n">
        <f aca="false">G44*$D$2</f>
        <v>368036.63985</v>
      </c>
      <c r="H45" s="26" t="n">
        <f aca="false">H44*$D$2</f>
        <v>34497.032</v>
      </c>
      <c r="I45" s="6" t="n">
        <f aca="false">I44*$D$2</f>
        <v>402533.67185</v>
      </c>
      <c r="J45" s="6" t="n">
        <f aca="false">J44*$D$2</f>
        <v>87847.828465</v>
      </c>
      <c r="K45" s="6" t="n">
        <f aca="false">K44*$D$2</f>
        <v>490381.500315</v>
      </c>
      <c r="L45" s="6" t="n">
        <f aca="false">L44*$D$2</f>
        <v>84307.452375</v>
      </c>
      <c r="M45" s="6" t="n">
        <f aca="false">M44*$D$2</f>
        <v>24168.47146</v>
      </c>
      <c r="N45" s="6" t="n">
        <f aca="false">N44*$D$2</f>
        <v>0</v>
      </c>
      <c r="O45" s="6" t="n">
        <f aca="false">O44*$D$2</f>
        <v>0</v>
      </c>
      <c r="P45" s="6" t="n">
        <f aca="false">P44*$D$2</f>
        <v>24168.47146</v>
      </c>
      <c r="Q45" s="6" t="n">
        <f aca="false">Q44*$D$2</f>
        <v>16948.2141</v>
      </c>
      <c r="R45" s="6" t="n">
        <f aca="false">R44*$D$2</f>
        <v>8621.064565</v>
      </c>
      <c r="S45" s="6" t="n">
        <f aca="false">S44*$D$2</f>
        <v>49737.750125</v>
      </c>
      <c r="T45" s="6" t="n">
        <f aca="false">T44*$D$2</f>
        <v>0</v>
      </c>
      <c r="U45" s="6" t="n">
        <f aca="false">U44*$D$2</f>
        <v>7241.16345</v>
      </c>
      <c r="V45" s="6" t="n">
        <f aca="false">V44*$D$2</f>
        <v>376575.21065</v>
      </c>
      <c r="W45" s="6" t="n">
        <f aca="false">W44*$D$2</f>
        <v>21515.0245</v>
      </c>
      <c r="X45" s="6" t="n">
        <f aca="false">X44*$D$2</f>
        <v>433554.124225</v>
      </c>
      <c r="Y45" s="6" t="n">
        <f aca="false">Y44*$D$2</f>
        <v>3540.37609</v>
      </c>
      <c r="Z45" s="6" t="n">
        <f aca="false">Z44*$D$2</f>
        <v>437094.500315</v>
      </c>
      <c r="AA45" s="38"/>
      <c r="AB45" s="10"/>
      <c r="AC45" s="10"/>
      <c r="AD45" s="11"/>
      <c r="AE45" s="99"/>
    </row>
    <row r="46" customFormat="false" ht="3" hidden="false" customHeight="true" outlineLevel="0" collapsed="false">
      <c r="A46" s="27"/>
      <c r="B46" s="27"/>
      <c r="C46" s="29"/>
      <c r="D46" s="29"/>
      <c r="E46" s="29"/>
      <c r="F46" s="29"/>
      <c r="G46" s="29"/>
      <c r="H46" s="121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104"/>
      <c r="AB46" s="10"/>
      <c r="AC46" s="10"/>
      <c r="AD46" s="11"/>
      <c r="AE46" s="99"/>
    </row>
    <row r="47" customFormat="false" ht="11.1" hidden="false" customHeight="true" outlineLevel="0" collapsed="false">
      <c r="A47" s="5" t="s">
        <v>49</v>
      </c>
      <c r="B47" s="5"/>
      <c r="C47" s="6"/>
      <c r="D47" s="6"/>
      <c r="E47" s="6"/>
      <c r="F47" s="6" t="n">
        <f aca="false">F8+F41</f>
        <v>39048.1472145198</v>
      </c>
      <c r="G47" s="6" t="n">
        <f aca="false">G8+G41</f>
        <v>203155.7</v>
      </c>
      <c r="H47" s="26" t="n">
        <f aca="false">H8+H41</f>
        <v>20571.6</v>
      </c>
      <c r="I47" s="6" t="n">
        <f aca="false">I8+I41</f>
        <v>223727.3</v>
      </c>
      <c r="J47" s="6" t="n">
        <f aca="false">J8+J41</f>
        <v>51830.1398109403</v>
      </c>
      <c r="K47" s="6" t="n">
        <f aca="false">K8+K41</f>
        <v>275557.43981094</v>
      </c>
      <c r="L47" s="6" t="n">
        <f aca="false">L8+L41</f>
        <v>49040.2972145198</v>
      </c>
      <c r="M47" s="6" t="n">
        <f aca="false">M8+M41</f>
        <v>13273.06</v>
      </c>
      <c r="N47" s="6" t="n">
        <f aca="false">N8+N41</f>
        <v>0.08</v>
      </c>
      <c r="O47" s="6" t="n">
        <f aca="false">O8+O41</f>
        <v>0</v>
      </c>
      <c r="P47" s="6" t="n">
        <f aca="false">P8+P41</f>
        <v>12601.28</v>
      </c>
      <c r="Q47" s="6" t="n">
        <f aca="false">Q8+Q41</f>
        <v>8544.6</v>
      </c>
      <c r="R47" s="6" t="n">
        <f aca="false">R8+R41</f>
        <v>4525.09</v>
      </c>
      <c r="S47" s="6" t="n">
        <f aca="false">S8+S41</f>
        <v>26342.67</v>
      </c>
      <c r="T47" s="6" t="n">
        <v>14460</v>
      </c>
      <c r="U47" s="6" t="n">
        <f aca="false">U8+U41</f>
        <v>3650.7</v>
      </c>
      <c r="V47" s="6" t="n">
        <f aca="false">V8+V41</f>
        <v>203726</v>
      </c>
      <c r="X47" s="6" t="n">
        <f aca="false">X8+X41</f>
        <v>233719.45</v>
      </c>
      <c r="Y47" s="6" t="n">
        <f aca="false">Y8+Y41</f>
        <v>2789.84259642047</v>
      </c>
      <c r="Z47" s="6" t="n">
        <f aca="false">Z8+Z41</f>
        <v>236509.29259642</v>
      </c>
      <c r="AA47" s="38" t="n">
        <f aca="false">AA8+AA41</f>
        <v>14.01</v>
      </c>
      <c r="AB47" s="10"/>
      <c r="AC47" s="10"/>
      <c r="AD47" s="11"/>
      <c r="AE47" s="99"/>
    </row>
    <row r="48" customFormat="false" ht="11.1" hidden="false" customHeight="true" outlineLevel="0" collapsed="false">
      <c r="A48" s="5" t="s">
        <v>50</v>
      </c>
      <c r="B48" s="5"/>
      <c r="C48" s="6"/>
      <c r="D48" s="6" t="n">
        <f aca="false">D8+D42</f>
        <v>77452</v>
      </c>
      <c r="E48" s="6" t="n">
        <f aca="false">E39</f>
        <v>229429</v>
      </c>
      <c r="F48" s="6" t="n">
        <f aca="false">F47*$D$2</f>
        <v>77452</v>
      </c>
      <c r="G48" s="6" t="n">
        <f aca="false">G47*$D$2</f>
        <v>402959.33095</v>
      </c>
      <c r="H48" s="26" t="n">
        <f aca="false">H47*$D$2</f>
        <v>40803.7686</v>
      </c>
      <c r="I48" s="6" t="n">
        <f aca="false">I47*$D$2</f>
        <v>443763.09955</v>
      </c>
      <c r="J48" s="6" t="n">
        <f aca="false">J47*$D$2</f>
        <v>102805.082315</v>
      </c>
      <c r="K48" s="6" t="n">
        <f aca="false">K47*$D$2</f>
        <v>546568.181865</v>
      </c>
      <c r="L48" s="6" t="n">
        <f aca="false">L47*$D$2</f>
        <v>97271.429525</v>
      </c>
      <c r="M48" s="6" t="n">
        <f aca="false">M47*$D$2</f>
        <v>26327.11451</v>
      </c>
      <c r="N48" s="6" t="n">
        <f aca="false">N47*$D$2</f>
        <v>0.15868</v>
      </c>
      <c r="O48" s="6" t="n">
        <f aca="false">O47*$D$2</f>
        <v>0</v>
      </c>
      <c r="P48" s="6" t="n">
        <f aca="false">P47*$D$2</f>
        <v>24994.63888</v>
      </c>
      <c r="Q48" s="6" t="n">
        <f aca="false">Q47*$D$2</f>
        <v>16948.2141</v>
      </c>
      <c r="R48" s="6" t="n">
        <f aca="false">R47*$D$2</f>
        <v>8975.516015</v>
      </c>
      <c r="S48" s="6" t="n">
        <f aca="false">S47*$D$2</f>
        <v>52250.685945</v>
      </c>
      <c r="T48" s="6" t="n">
        <f aca="false">T47*$D$2</f>
        <v>28681.41</v>
      </c>
      <c r="U48" s="6" t="n">
        <f aca="false">U47*$D$2</f>
        <v>7241.16345</v>
      </c>
      <c r="V48" s="6" t="n">
        <f aca="false">V47*$D$2</f>
        <v>404090.521</v>
      </c>
      <c r="X48" s="6" t="n">
        <f aca="false">X47*$D$2</f>
        <v>463582.529075</v>
      </c>
      <c r="Y48" s="6" t="n">
        <f aca="false">Y47*$D$2</f>
        <v>5533.65279</v>
      </c>
      <c r="Z48" s="6" t="n">
        <f aca="false">Z47*$D$2</f>
        <v>469116.181865</v>
      </c>
      <c r="AA48" s="38"/>
      <c r="AB48" s="10"/>
      <c r="AC48" s="10"/>
      <c r="AD48" s="11"/>
      <c r="AE48" s="99"/>
    </row>
    <row r="49" customFormat="false" ht="3" hidden="false" customHeight="true" outlineLevel="0" collapsed="false">
      <c r="A49" s="27"/>
      <c r="B49" s="27"/>
      <c r="C49" s="29"/>
      <c r="D49" s="27"/>
      <c r="E49" s="29"/>
      <c r="F49" s="27"/>
      <c r="G49" s="27"/>
      <c r="H49" s="121"/>
      <c r="I49" s="27"/>
      <c r="J49" s="27"/>
      <c r="K49" s="125"/>
      <c r="L49" s="27"/>
      <c r="M49" s="27"/>
      <c r="N49" s="27"/>
      <c r="O49" s="27"/>
      <c r="P49" s="27"/>
      <c r="Q49" s="27"/>
      <c r="R49" s="27"/>
      <c r="S49" s="27"/>
      <c r="T49" s="29"/>
      <c r="U49" s="27"/>
      <c r="V49" s="27"/>
      <c r="W49" s="29"/>
      <c r="X49" s="27"/>
      <c r="Y49" s="27"/>
      <c r="Z49" s="27"/>
      <c r="AA49" s="38"/>
      <c r="AB49" s="10"/>
      <c r="AC49" s="10"/>
      <c r="AD49" s="11"/>
      <c r="AE49" s="99"/>
    </row>
    <row r="50" customFormat="false" ht="11.1" hidden="false" customHeight="true" outlineLevel="0" collapsed="false">
      <c r="A50" s="35"/>
      <c r="B50" s="62"/>
      <c r="C50" s="57"/>
      <c r="D50" s="57"/>
      <c r="E50" s="126"/>
      <c r="F50" s="127"/>
      <c r="G50" s="54"/>
      <c r="H50" s="26"/>
      <c r="I50" s="35"/>
      <c r="J50" s="35"/>
      <c r="K50" s="39"/>
      <c r="L50" s="35"/>
      <c r="M50" s="26"/>
      <c r="N50" s="26"/>
      <c r="O50" s="26"/>
      <c r="P50" s="35"/>
      <c r="Q50" s="35"/>
      <c r="R50" s="35"/>
      <c r="S50" s="6"/>
      <c r="T50" s="6"/>
      <c r="U50" s="35"/>
      <c r="V50" s="6"/>
      <c r="W50" s="35"/>
      <c r="X50" s="35"/>
      <c r="Y50" s="35"/>
      <c r="Z50" s="9"/>
      <c r="AA50" s="38"/>
      <c r="AB50" s="10"/>
      <c r="AC50" s="11"/>
      <c r="AD50" s="128"/>
    </row>
    <row r="51" customFormat="false" ht="11.1" hidden="false" customHeight="true" outlineLevel="0" collapsed="false">
      <c r="R51" s="35"/>
      <c r="S51" s="6"/>
    </row>
    <row r="52" customFormat="false" ht="11.1" hidden="false" customHeight="true" outlineLevel="0" collapsed="false">
      <c r="B52" s="37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I26" activePane="bottomRight" state="frozen"/>
      <selection pane="topLeft" activeCell="A1" activeCellId="0" sqref="A1"/>
      <selection pane="topRight" activeCell="I1" activeCellId="0" sqref="I1"/>
      <selection pane="bottomLeft" activeCell="A26" activeCellId="0" sqref="A26"/>
      <selection pane="bottomRight" activeCell="I56" activeCellId="0" sqref="I56"/>
    </sheetView>
  </sheetViews>
  <sheetFormatPr defaultColWidth="9.328125" defaultRowHeight="11.1" zeroHeight="false" outlineLevelRow="0" outlineLevelCol="0"/>
  <cols>
    <col collapsed="false" customWidth="true" hidden="false" outlineLevel="0" max="1" min="1" style="41" width="5.66"/>
    <col collapsed="false" customWidth="true" hidden="false" outlineLevel="0" max="2" min="2" style="41" width="7.82"/>
    <col collapsed="false" customWidth="true" hidden="false" outlineLevel="0" max="3" min="3" style="42" width="7.66"/>
    <col collapsed="false" customWidth="true" hidden="false" outlineLevel="0" max="4" min="4" style="41" width="6.99"/>
    <col collapsed="false" customWidth="true" hidden="false" outlineLevel="0" max="5" min="5" style="42" width="7.66"/>
    <col collapsed="false" customWidth="true" hidden="false" outlineLevel="0" max="6" min="6" style="41" width="7.66"/>
    <col collapsed="false" customWidth="true" hidden="false" outlineLevel="0" max="7" min="7" style="41" width="7.16"/>
    <col collapsed="false" customWidth="true" hidden="false" outlineLevel="0" max="8" min="8" style="44" width="6.82"/>
    <col collapsed="false" customWidth="true" hidden="false" outlineLevel="0" max="9" min="9" style="41" width="7.99"/>
    <col collapsed="false" customWidth="true" hidden="false" outlineLevel="0" max="10" min="10" style="41" width="6.66"/>
    <col collapsed="false" customWidth="true" hidden="false" outlineLevel="0" max="12" min="11" style="41" width="7.16"/>
    <col collapsed="false" customWidth="true" hidden="false" outlineLevel="0" max="13" min="13" style="44" width="6.16"/>
    <col collapsed="false" customWidth="true" hidden="true" outlineLevel="0" max="14" min="14" style="44" width="7.32"/>
    <col collapsed="false" customWidth="true" hidden="false" outlineLevel="0" max="15" min="15" style="44" width="6.49"/>
    <col collapsed="false" customWidth="true" hidden="false" outlineLevel="0" max="16" min="16" style="41" width="7.16"/>
    <col collapsed="false" customWidth="true" hidden="false" outlineLevel="0" max="17" min="17" style="41" width="6.32"/>
    <col collapsed="false" customWidth="true" hidden="false" outlineLevel="0" max="18" min="18" style="41" width="5.82"/>
    <col collapsed="false" customWidth="true" hidden="false" outlineLevel="0" max="19" min="19" style="42" width="6.82"/>
    <col collapsed="false" customWidth="true" hidden="false" outlineLevel="0" max="20" min="20" style="41" width="6.32"/>
    <col collapsed="false" customWidth="true" hidden="false" outlineLevel="0" max="21" min="21" style="41" width="5.99"/>
    <col collapsed="false" customWidth="true" hidden="false" outlineLevel="0" max="22" min="22" style="42" width="6.66"/>
    <col collapsed="false" customWidth="true" hidden="false" outlineLevel="0" max="23" min="23" style="41" width="6.82"/>
    <col collapsed="false" customWidth="true" hidden="false" outlineLevel="0" max="25" min="24" style="41" width="7.82"/>
    <col collapsed="false" customWidth="true" hidden="false" outlineLevel="0" max="26" min="26" style="45" width="8.16"/>
    <col collapsed="false" customWidth="true" hidden="false" outlineLevel="0" max="28" min="27" style="46" width="4.66"/>
    <col collapsed="false" customWidth="true" hidden="false" outlineLevel="0" max="29" min="29" style="47" width="4.66"/>
    <col collapsed="false" customWidth="true" hidden="false" outlineLevel="0" max="30" min="30" style="41" width="5.66"/>
    <col collapsed="false" customWidth="false" hidden="false" outlineLevel="0" max="257" min="31" style="41" width="9.32"/>
  </cols>
  <sheetData>
    <row r="1" customFormat="false" ht="14.1" hidden="false" customHeight="true" outlineLevel="0" collapsed="false">
      <c r="A1" s="55"/>
      <c r="B1" s="55"/>
      <c r="C1" s="57"/>
      <c r="D1" s="55"/>
      <c r="E1" s="57"/>
      <c r="F1" s="55"/>
      <c r="G1" s="55"/>
      <c r="H1" s="61"/>
      <c r="I1" s="55"/>
      <c r="J1" s="55"/>
      <c r="K1" s="65" t="s">
        <v>0</v>
      </c>
      <c r="L1" s="55"/>
      <c r="M1" s="55"/>
      <c r="N1" s="55"/>
      <c r="O1" s="55"/>
      <c r="P1" s="55"/>
      <c r="Q1" s="55"/>
      <c r="R1" s="55"/>
      <c r="S1" s="57"/>
      <c r="T1" s="55"/>
      <c r="U1" s="55"/>
      <c r="V1" s="57"/>
      <c r="W1" s="55"/>
      <c r="X1" s="55"/>
      <c r="Y1" s="55"/>
      <c r="Z1" s="62"/>
      <c r="AA1" s="51"/>
      <c r="AB1" s="51"/>
      <c r="AC1" s="48"/>
      <c r="AD1" s="67"/>
    </row>
    <row r="2" customFormat="false" ht="14.1" hidden="false" customHeight="true" outlineLevel="0" collapsed="false">
      <c r="A2" s="55" t="s">
        <v>1</v>
      </c>
      <c r="B2" s="55"/>
      <c r="C2" s="57"/>
      <c r="D2" s="68" t="n">
        <v>1.9835</v>
      </c>
      <c r="E2" s="57"/>
      <c r="F2" s="55"/>
      <c r="G2" s="55"/>
      <c r="H2" s="61"/>
      <c r="I2" s="55"/>
      <c r="J2" s="55"/>
      <c r="K2" s="69" t="s">
        <v>77</v>
      </c>
      <c r="L2" s="69"/>
      <c r="M2" s="69"/>
      <c r="N2" s="69"/>
      <c r="O2" s="69"/>
      <c r="P2" s="69"/>
      <c r="Q2" s="69"/>
      <c r="R2" s="69"/>
      <c r="S2" s="69"/>
      <c r="T2" s="69"/>
      <c r="U2" s="55"/>
      <c r="V2" s="57"/>
      <c r="W2" s="55"/>
      <c r="X2" s="55"/>
      <c r="Y2" s="55"/>
      <c r="Z2" s="62"/>
      <c r="AA2" s="51"/>
      <c r="AB2" s="51"/>
      <c r="AC2" s="48"/>
      <c r="AD2" s="67"/>
    </row>
    <row r="3" customFormat="false" ht="11.1" hidden="false" customHeight="true" outlineLevel="0" collapsed="false">
      <c r="A3" s="55"/>
      <c r="B3" s="55"/>
      <c r="C3" s="57"/>
      <c r="D3" s="70"/>
      <c r="E3" s="57"/>
      <c r="F3" s="55"/>
      <c r="G3" s="55"/>
      <c r="H3" s="61"/>
      <c r="I3" s="55"/>
      <c r="J3" s="55"/>
      <c r="K3" s="55"/>
      <c r="L3" s="55"/>
      <c r="M3" s="55"/>
      <c r="N3" s="55"/>
      <c r="O3" s="55"/>
      <c r="P3" s="55"/>
      <c r="Q3" s="55"/>
      <c r="R3" s="55"/>
      <c r="S3" s="57"/>
      <c r="T3" s="55"/>
      <c r="U3" s="55"/>
      <c r="V3" s="57"/>
      <c r="W3" s="55"/>
      <c r="X3" s="55"/>
      <c r="Y3" s="55"/>
      <c r="Z3" s="62"/>
      <c r="AA3" s="51"/>
      <c r="AB3" s="51"/>
      <c r="AC3" s="48"/>
      <c r="AD3" s="67"/>
    </row>
    <row r="4" customFormat="false" ht="11.1" hidden="false" customHeight="true" outlineLevel="0" collapsed="false">
      <c r="A4" s="71" t="s">
        <v>3</v>
      </c>
      <c r="B4" s="71" t="s">
        <v>4</v>
      </c>
      <c r="C4" s="72" t="s">
        <v>4</v>
      </c>
      <c r="D4" s="71" t="s">
        <v>5</v>
      </c>
      <c r="E4" s="72" t="s">
        <v>6</v>
      </c>
      <c r="F4" s="71" t="s">
        <v>7</v>
      </c>
      <c r="G4" s="71" t="s">
        <v>8</v>
      </c>
      <c r="H4" s="106" t="s">
        <v>9</v>
      </c>
      <c r="I4" s="71" t="s">
        <v>10</v>
      </c>
      <c r="J4" s="71" t="s">
        <v>11</v>
      </c>
      <c r="K4" s="71" t="s">
        <v>12</v>
      </c>
      <c r="L4" s="71" t="s">
        <v>11</v>
      </c>
      <c r="M4" s="71" t="s">
        <v>54</v>
      </c>
      <c r="N4" s="71"/>
      <c r="O4" s="71"/>
      <c r="P4" s="71"/>
      <c r="Q4" s="71" t="s">
        <v>55</v>
      </c>
      <c r="R4" s="71" t="s">
        <v>14</v>
      </c>
      <c r="S4" s="71" t="s">
        <v>12</v>
      </c>
      <c r="T4" s="72" t="s">
        <v>13</v>
      </c>
      <c r="U4" s="71" t="s">
        <v>15</v>
      </c>
      <c r="V4" s="71" t="s">
        <v>17</v>
      </c>
      <c r="W4" s="72" t="s">
        <v>18</v>
      </c>
      <c r="X4" s="71" t="s">
        <v>10</v>
      </c>
      <c r="Y4" s="71" t="s">
        <v>11</v>
      </c>
      <c r="Z4" s="71" t="s">
        <v>12</v>
      </c>
      <c r="AA4" s="129" t="s">
        <v>19</v>
      </c>
      <c r="AB4" s="49" t="s">
        <v>20</v>
      </c>
      <c r="AC4" s="49" t="s">
        <v>21</v>
      </c>
      <c r="AD4" s="49" t="s">
        <v>3</v>
      </c>
      <c r="AE4" s="67"/>
    </row>
    <row r="5" customFormat="false" ht="11.1" hidden="false" customHeight="true" outlineLevel="0" collapsed="false">
      <c r="A5" s="75" t="s">
        <v>78</v>
      </c>
      <c r="B5" s="71" t="s">
        <v>23</v>
      </c>
      <c r="C5" s="72" t="s">
        <v>5</v>
      </c>
      <c r="D5" s="71" t="s">
        <v>24</v>
      </c>
      <c r="E5" s="72" t="s">
        <v>25</v>
      </c>
      <c r="F5" s="71" t="s">
        <v>26</v>
      </c>
      <c r="G5" s="71" t="s">
        <v>27</v>
      </c>
      <c r="H5" s="106" t="s">
        <v>28</v>
      </c>
      <c r="I5" s="71" t="s">
        <v>29</v>
      </c>
      <c r="J5" s="71" t="s">
        <v>29</v>
      </c>
      <c r="K5" s="71" t="s">
        <v>29</v>
      </c>
      <c r="L5" s="71" t="s">
        <v>30</v>
      </c>
      <c r="M5" s="71" t="s">
        <v>57</v>
      </c>
      <c r="N5" s="71" t="s">
        <v>58</v>
      </c>
      <c r="O5" s="71" t="s">
        <v>59</v>
      </c>
      <c r="P5" s="71" t="s">
        <v>60</v>
      </c>
      <c r="Q5" s="71" t="s">
        <v>61</v>
      </c>
      <c r="R5" s="71" t="s">
        <v>62</v>
      </c>
      <c r="S5" s="71" t="s">
        <v>13</v>
      </c>
      <c r="T5" s="72" t="s">
        <v>34</v>
      </c>
      <c r="U5" s="71" t="s">
        <v>35</v>
      </c>
      <c r="V5" s="71" t="s">
        <v>37</v>
      </c>
      <c r="W5" s="72" t="s">
        <v>38</v>
      </c>
      <c r="X5" s="71" t="s">
        <v>39</v>
      </c>
      <c r="Y5" s="71" t="s">
        <v>39</v>
      </c>
      <c r="Z5" s="71" t="s">
        <v>39</v>
      </c>
      <c r="AA5" s="130"/>
      <c r="AB5" s="49" t="s">
        <v>40</v>
      </c>
      <c r="AC5" s="49" t="s">
        <v>40</v>
      </c>
      <c r="AD5" s="50" t="s">
        <v>78</v>
      </c>
      <c r="AE5" s="67"/>
    </row>
    <row r="6" customFormat="false" ht="11.1" hidden="false" customHeight="true" outlineLevel="0" collapsed="false">
      <c r="A6" s="77"/>
      <c r="B6" s="77"/>
      <c r="C6" s="78"/>
      <c r="D6" s="77"/>
      <c r="E6" s="78"/>
      <c r="F6" s="77"/>
      <c r="G6" s="77"/>
      <c r="H6" s="107"/>
      <c r="I6" s="77"/>
      <c r="J6" s="77"/>
      <c r="K6" s="77"/>
      <c r="L6" s="77"/>
      <c r="M6" s="77"/>
      <c r="N6" s="77"/>
      <c r="O6" s="77"/>
      <c r="P6" s="77"/>
      <c r="Q6" s="77"/>
      <c r="R6" s="131"/>
      <c r="S6" s="77"/>
      <c r="T6" s="108"/>
      <c r="U6" s="77"/>
      <c r="V6" s="77"/>
      <c r="W6" s="78"/>
      <c r="X6" s="77"/>
      <c r="Y6" s="77"/>
      <c r="Z6" s="77"/>
      <c r="AA6" s="62"/>
      <c r="AB6" s="48"/>
      <c r="AC6" s="48"/>
      <c r="AD6" s="48"/>
      <c r="AE6" s="81"/>
      <c r="AF6" s="82"/>
    </row>
    <row r="7" customFormat="false" ht="11.1" hidden="false" customHeight="true" outlineLevel="0" collapsed="false">
      <c r="A7" s="55" t="s">
        <v>41</v>
      </c>
      <c r="B7" s="55"/>
      <c r="C7" s="57"/>
      <c r="D7" s="57"/>
      <c r="E7" s="57"/>
      <c r="F7" s="57" t="n">
        <f aca="false">JUN!F44</f>
        <v>26865.1373834132</v>
      </c>
      <c r="G7" s="57" t="n">
        <f aca="false">JUN!G44</f>
        <v>185549.1</v>
      </c>
      <c r="H7" s="61" t="n">
        <f aca="false">JUN!H44</f>
        <v>17392</v>
      </c>
      <c r="I7" s="57" t="n">
        <f aca="false">JUN!I44</f>
        <v>202941.1</v>
      </c>
      <c r="J7" s="57" t="n">
        <f aca="false">JUN!J44</f>
        <v>44289.3009654651</v>
      </c>
      <c r="K7" s="57" t="n">
        <f aca="false">JUN!K44</f>
        <v>247230.400965465</v>
      </c>
      <c r="L7" s="57" t="n">
        <f aca="false">JUN!L44</f>
        <v>42504.3873834132</v>
      </c>
      <c r="M7" s="57" t="n">
        <f aca="false">JUN!M44</f>
        <v>12184.76</v>
      </c>
      <c r="N7" s="57" t="n">
        <f aca="false">JUN!N44</f>
        <v>0</v>
      </c>
      <c r="O7" s="57" t="n">
        <f aca="false">JUN!O44</f>
        <v>0</v>
      </c>
      <c r="P7" s="57" t="n">
        <f aca="false">JUN!P44</f>
        <v>12184.76</v>
      </c>
      <c r="Q7" s="57" t="n">
        <f aca="false">JUN!Q44</f>
        <v>8544.6</v>
      </c>
      <c r="R7" s="57" t="n">
        <f aca="false">JUN!R44</f>
        <v>4346.39</v>
      </c>
      <c r="S7" s="57" t="n">
        <f aca="false">JUN!S44</f>
        <v>25075.75</v>
      </c>
      <c r="T7" s="57" t="n">
        <f aca="false">JUN!T44</f>
        <v>0</v>
      </c>
      <c r="U7" s="57" t="n">
        <f aca="false">JUN!U44</f>
        <v>3650.7</v>
      </c>
      <c r="V7" s="57" t="n">
        <f aca="false">JUN!V44</f>
        <v>189853.9</v>
      </c>
      <c r="W7" s="57"/>
      <c r="X7" s="57" t="n">
        <f aca="false">JUN!X44</f>
        <v>218580.35</v>
      </c>
      <c r="Y7" s="57" t="n">
        <f aca="false">JUN!Y44</f>
        <v>1784.91358205193</v>
      </c>
      <c r="Z7" s="57" t="n">
        <f aca="false">JUN!Z44</f>
        <v>220365.263582052</v>
      </c>
      <c r="AA7" s="62"/>
      <c r="AB7" s="51"/>
      <c r="AC7" s="51"/>
      <c r="AD7" s="48"/>
      <c r="AE7" s="82"/>
      <c r="AF7" s="82"/>
    </row>
    <row r="8" s="42" customFormat="true" ht="11.1" hidden="false" customHeight="true" outlineLevel="0" collapsed="false">
      <c r="A8" s="57" t="s">
        <v>42</v>
      </c>
      <c r="B8" s="59" t="n">
        <f aca="false">JUN!B39</f>
        <v>6924.06</v>
      </c>
      <c r="C8" s="57" t="n">
        <f aca="false">JUN!C39</f>
        <v>381429</v>
      </c>
      <c r="D8" s="57" t="n">
        <f aca="false">JUN!D48</f>
        <v>77452</v>
      </c>
      <c r="E8" s="57" t="n">
        <f aca="false">JUN!E48</f>
        <v>229429</v>
      </c>
      <c r="F8" s="57" t="n">
        <f aca="false">JUN!F47</f>
        <v>39048.1472145198</v>
      </c>
      <c r="G8" s="57" t="n">
        <f aca="false">JUN!G47</f>
        <v>203155.7</v>
      </c>
      <c r="H8" s="61" t="n">
        <f aca="false">JUN!H47</f>
        <v>20571.6</v>
      </c>
      <c r="I8" s="57" t="n">
        <f aca="false">JUN!I47</f>
        <v>223727.3</v>
      </c>
      <c r="J8" s="57" t="n">
        <f aca="false">JUN!J47</f>
        <v>51830.1398109403</v>
      </c>
      <c r="K8" s="57" t="n">
        <f aca="false">JUN!K47</f>
        <v>275557.43981094</v>
      </c>
      <c r="L8" s="57" t="n">
        <f aca="false">JUN!L47</f>
        <v>49040.2972145198</v>
      </c>
      <c r="M8" s="57" t="n">
        <f aca="false">JUN!M47</f>
        <v>13273.06</v>
      </c>
      <c r="N8" s="57" t="n">
        <f aca="false">JUN!N47</f>
        <v>0.08</v>
      </c>
      <c r="O8" s="57" t="n">
        <f aca="false">JUN!O47</f>
        <v>0</v>
      </c>
      <c r="P8" s="57" t="n">
        <f aca="false">JUN!P47</f>
        <v>12601.28</v>
      </c>
      <c r="Q8" s="57" t="n">
        <f aca="false">JUN!Q47</f>
        <v>8544.6</v>
      </c>
      <c r="R8" s="57" t="n">
        <f aca="false">JUN!R47</f>
        <v>4525.09</v>
      </c>
      <c r="S8" s="57" t="n">
        <f aca="false">JUN!S47</f>
        <v>26342.67</v>
      </c>
      <c r="T8" s="57" t="n">
        <f aca="false">JUN!T47</f>
        <v>14460</v>
      </c>
      <c r="U8" s="57" t="n">
        <f aca="false">JUN!U47</f>
        <v>3650.7</v>
      </c>
      <c r="V8" s="57" t="n">
        <f aca="false">JUN!V47</f>
        <v>203726</v>
      </c>
      <c r="W8" s="57" t="n">
        <f aca="false">JUN!W44</f>
        <v>10847</v>
      </c>
      <c r="X8" s="57" t="n">
        <f aca="false">JUN!X47</f>
        <v>233719.45</v>
      </c>
      <c r="Y8" s="57" t="n">
        <f aca="false">JUN!Y47</f>
        <v>2789.84259642047</v>
      </c>
      <c r="Z8" s="57" t="n">
        <f aca="false">JUN!Z47</f>
        <v>236509.29259642</v>
      </c>
      <c r="AA8" s="61" t="n">
        <f aca="false">JUN!AA47</f>
        <v>14.01</v>
      </c>
      <c r="AB8" s="51"/>
      <c r="AC8" s="51"/>
      <c r="AD8" s="48"/>
      <c r="AE8" s="81"/>
      <c r="AF8" s="83"/>
    </row>
    <row r="9" customFormat="false" ht="3" hidden="false" customHeight="true" outlineLevel="0" collapsed="false">
      <c r="A9" s="84"/>
      <c r="B9" s="85"/>
      <c r="C9" s="86"/>
      <c r="D9" s="84"/>
      <c r="E9" s="86"/>
      <c r="F9" s="84"/>
      <c r="G9" s="84"/>
      <c r="H9" s="109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6"/>
      <c r="U9" s="84"/>
      <c r="V9" s="84"/>
      <c r="W9" s="86"/>
      <c r="X9" s="84"/>
      <c r="Y9" s="84"/>
      <c r="Z9" s="84"/>
      <c r="AA9" s="132"/>
      <c r="AB9" s="52"/>
      <c r="AC9" s="52"/>
      <c r="AD9" s="53"/>
      <c r="AE9" s="81"/>
      <c r="AF9" s="82"/>
    </row>
    <row r="10" customFormat="false" ht="11.1" hidden="false" customHeight="true" outlineLevel="0" collapsed="false">
      <c r="A10" s="48" t="n">
        <v>1</v>
      </c>
      <c r="B10" s="59" t="n">
        <v>6924.03</v>
      </c>
      <c r="C10" s="57" t="n">
        <v>381294</v>
      </c>
      <c r="D10" s="51" t="n">
        <f aca="false">C10-C8</f>
        <v>-135</v>
      </c>
      <c r="E10" s="57" t="n">
        <f aca="false">C10-152000</f>
        <v>229294</v>
      </c>
      <c r="F10" s="55" t="n">
        <f aca="false">D10/$D$2</f>
        <v>-68.0615074363499</v>
      </c>
      <c r="G10" s="55" t="n">
        <v>1317</v>
      </c>
      <c r="H10" s="61" t="n">
        <v>1.6</v>
      </c>
      <c r="I10" s="55" t="n">
        <f aca="false">G10+H10</f>
        <v>1318.6</v>
      </c>
      <c r="J10" s="61" t="n">
        <f aca="false">IF(L10&gt;0,L10,0)</f>
        <v>0</v>
      </c>
      <c r="K10" s="55" t="n">
        <f aca="false">I10+J10</f>
        <v>1318.6</v>
      </c>
      <c r="L10" s="55" t="n">
        <f aca="false">F10-(I10-X10)</f>
        <v>-101.56150743635</v>
      </c>
      <c r="M10" s="55" t="n">
        <v>241.7</v>
      </c>
      <c r="N10" s="55" t="n">
        <v>0</v>
      </c>
      <c r="O10" s="55" t="n">
        <v>0</v>
      </c>
      <c r="P10" s="5" t="n">
        <f aca="false">M10-(N10+O10)</f>
        <v>241.7</v>
      </c>
      <c r="Q10" s="55" t="n">
        <v>146.1</v>
      </c>
      <c r="R10" s="55" t="n">
        <v>76.7</v>
      </c>
      <c r="S10" s="55" t="n">
        <f aca="false">SUM(P10:R10)</f>
        <v>464.5</v>
      </c>
      <c r="T10" s="57" t="n">
        <v>0</v>
      </c>
      <c r="U10" s="55" t="n">
        <v>177.5</v>
      </c>
      <c r="V10" s="55" t="n">
        <v>643.1</v>
      </c>
      <c r="W10" s="57" t="n">
        <f aca="false">W8</f>
        <v>10847</v>
      </c>
      <c r="X10" s="5" t="n">
        <f aca="false">N10+O10+S10+U10+V10</f>
        <v>1285.1</v>
      </c>
      <c r="Y10" s="55" t="n">
        <f aca="false">IF(L10&lt;0,L10*-1,0)</f>
        <v>101.56150743635</v>
      </c>
      <c r="Z10" s="55" t="n">
        <f aca="false">X10+Y10</f>
        <v>1386.66150743635</v>
      </c>
      <c r="AA10" s="62" t="n">
        <v>0</v>
      </c>
      <c r="AB10" s="133" t="n">
        <v>85</v>
      </c>
      <c r="AC10" s="133" t="n">
        <v>46</v>
      </c>
      <c r="AD10" s="48" t="n">
        <v>1</v>
      </c>
      <c r="AE10" s="10"/>
      <c r="AF10" s="122"/>
      <c r="AG10" s="5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48" t="n">
        <f aca="false">A10+1</f>
        <v>2</v>
      </c>
      <c r="B11" s="59" t="n">
        <v>6924.11</v>
      </c>
      <c r="C11" s="57" t="n">
        <v>381653</v>
      </c>
      <c r="D11" s="51" t="n">
        <f aca="false">C11-C10</f>
        <v>359</v>
      </c>
      <c r="E11" s="57" t="n">
        <f aca="false">C11-152000</f>
        <v>229653</v>
      </c>
      <c r="F11" s="55" t="n">
        <f aca="false">D11/$D$2</f>
        <v>180.993193849256</v>
      </c>
      <c r="G11" s="55" t="n">
        <v>1217.7</v>
      </c>
      <c r="H11" s="61" t="n">
        <v>1.5</v>
      </c>
      <c r="I11" s="55" t="n">
        <f aca="false">G11+H11</f>
        <v>1219.2</v>
      </c>
      <c r="J11" s="61" t="n">
        <f aca="false">IF(L11&gt;0,L11,0)</f>
        <v>0.693193849256403</v>
      </c>
      <c r="K11" s="55" t="n">
        <f aca="false">I11+J11</f>
        <v>1219.89319384926</v>
      </c>
      <c r="L11" s="55" t="n">
        <f aca="false">F11-(I11-X11)</f>
        <v>0.693193849256403</v>
      </c>
      <c r="M11" s="55" t="n">
        <v>235</v>
      </c>
      <c r="N11" s="55" t="n">
        <v>0</v>
      </c>
      <c r="O11" s="55" t="n">
        <v>0</v>
      </c>
      <c r="P11" s="5" t="n">
        <f aca="false">M11-(N11+O11)</f>
        <v>235</v>
      </c>
      <c r="Q11" s="55" t="n">
        <v>146.8</v>
      </c>
      <c r="R11" s="55" t="n">
        <v>77.2</v>
      </c>
      <c r="S11" s="55" t="n">
        <f aca="false">SUM(P11:R11)</f>
        <v>459</v>
      </c>
      <c r="T11" s="57" t="n">
        <v>0</v>
      </c>
      <c r="U11" s="55" t="n">
        <v>148.8</v>
      </c>
      <c r="V11" s="55" t="n">
        <v>431.1</v>
      </c>
      <c r="W11" s="57" t="n">
        <f aca="false">W10</f>
        <v>10847</v>
      </c>
      <c r="X11" s="5" t="n">
        <f aca="false">N11+O11+S11+U11+V11</f>
        <v>1038.9</v>
      </c>
      <c r="Y11" s="55" t="n">
        <f aca="false">IF(L11&lt;0,L11*-1,0)</f>
        <v>0</v>
      </c>
      <c r="Z11" s="55" t="n">
        <f aca="false">X11+Y11</f>
        <v>1038.9</v>
      </c>
      <c r="AA11" s="62" t="n">
        <v>0</v>
      </c>
      <c r="AB11" s="51" t="n">
        <v>86</v>
      </c>
      <c r="AC11" s="51" t="n">
        <v>49</v>
      </c>
      <c r="AD11" s="48" t="n">
        <f aca="false">AD10+1</f>
        <v>2</v>
      </c>
      <c r="AE11" s="10"/>
      <c r="AF11" s="0"/>
      <c r="AG11" s="5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48" t="n">
        <f aca="false">A11+1</f>
        <v>3</v>
      </c>
      <c r="B12" s="59" t="n">
        <v>6924.16</v>
      </c>
      <c r="C12" s="57" t="n">
        <v>381878</v>
      </c>
      <c r="D12" s="51" t="n">
        <f aca="false">C12-C11</f>
        <v>225</v>
      </c>
      <c r="E12" s="57" t="n">
        <f aca="false">C12-152000</f>
        <v>229878</v>
      </c>
      <c r="F12" s="55" t="n">
        <f aca="false">D12/$D$2</f>
        <v>113.43584572725</v>
      </c>
      <c r="G12" s="55" t="n">
        <v>1164.2</v>
      </c>
      <c r="H12" s="61" t="n">
        <v>1.4</v>
      </c>
      <c r="I12" s="55" t="n">
        <f aca="false">G12+H12</f>
        <v>1165.6</v>
      </c>
      <c r="J12" s="61" t="n">
        <f aca="false">IF(L12&gt;0,L12,0)</f>
        <v>0</v>
      </c>
      <c r="K12" s="55" t="n">
        <f aca="false">I12+J12</f>
        <v>1165.6</v>
      </c>
      <c r="L12" s="55" t="n">
        <f aca="false">F12-(I12-X12)</f>
        <v>-109.96415427275</v>
      </c>
      <c r="M12" s="55" t="n">
        <v>242.8</v>
      </c>
      <c r="N12" s="55" t="n">
        <v>0</v>
      </c>
      <c r="O12" s="55" t="n">
        <v>0</v>
      </c>
      <c r="P12" s="5" t="n">
        <f aca="false">M12-(N12+O12)</f>
        <v>242.8</v>
      </c>
      <c r="Q12" s="55" t="n">
        <v>147.1</v>
      </c>
      <c r="R12" s="55" t="n">
        <v>77.7</v>
      </c>
      <c r="S12" s="55" t="n">
        <f aca="false">SUM(P12:R12)</f>
        <v>467.6</v>
      </c>
      <c r="T12" s="57" t="n">
        <v>0</v>
      </c>
      <c r="U12" s="55" t="n">
        <v>193.1</v>
      </c>
      <c r="V12" s="55" t="n">
        <v>281.5</v>
      </c>
      <c r="W12" s="57" t="n">
        <f aca="false">W11</f>
        <v>10847</v>
      </c>
      <c r="X12" s="5" t="n">
        <f aca="false">N12+O12+S12+U12+V12</f>
        <v>942.2</v>
      </c>
      <c r="Y12" s="55" t="n">
        <f aca="false">IF(L12&lt;0,L12*-1,0)</f>
        <v>109.96415427275</v>
      </c>
      <c r="Z12" s="55" t="n">
        <f aca="false">X12+Y12</f>
        <v>1052.16415427275</v>
      </c>
      <c r="AA12" s="62" t="n">
        <v>0</v>
      </c>
      <c r="AB12" s="51" t="n">
        <v>78</v>
      </c>
      <c r="AC12" s="51" t="n">
        <v>58</v>
      </c>
      <c r="AD12" s="48" t="n">
        <f aca="false">AD11+1</f>
        <v>3</v>
      </c>
      <c r="AE12" s="10"/>
      <c r="AF12" s="0"/>
      <c r="AG12" s="5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48" t="n">
        <f aca="false">A12+1</f>
        <v>4</v>
      </c>
      <c r="B13" s="59" t="n">
        <v>6924.2</v>
      </c>
      <c r="C13" s="57" t="n">
        <v>382057</v>
      </c>
      <c r="D13" s="51" t="n">
        <f aca="false">C13-C12</f>
        <v>179</v>
      </c>
      <c r="E13" s="57" t="n">
        <f aca="false">C13-152000</f>
        <v>230057</v>
      </c>
      <c r="F13" s="55" t="n">
        <f aca="false">D13/$D$2</f>
        <v>90.2445172674565</v>
      </c>
      <c r="G13" s="55" t="n">
        <v>1039.5</v>
      </c>
      <c r="H13" s="61" t="n">
        <v>1.3</v>
      </c>
      <c r="I13" s="55" t="n">
        <f aca="false">G13+H13</f>
        <v>1040.8</v>
      </c>
      <c r="J13" s="61" t="n">
        <f aca="false">IF(L13&gt;0,L13,0)</f>
        <v>0</v>
      </c>
      <c r="K13" s="55" t="n">
        <f aca="false">I13+J13</f>
        <v>1040.8</v>
      </c>
      <c r="L13" s="55" t="n">
        <f aca="false">F13-(I13-X13)</f>
        <v>-87.5554827325434</v>
      </c>
      <c r="M13" s="55" t="n">
        <v>253.8</v>
      </c>
      <c r="N13" s="55" t="n">
        <v>0</v>
      </c>
      <c r="O13" s="55" t="n">
        <v>0</v>
      </c>
      <c r="P13" s="5" t="n">
        <f aca="false">M13-(N13+O13)</f>
        <v>253.8</v>
      </c>
      <c r="Q13" s="55" t="n">
        <v>146.9</v>
      </c>
      <c r="R13" s="55" t="n">
        <v>75.7</v>
      </c>
      <c r="S13" s="55" t="n">
        <f aca="false">SUM(P13:R13)</f>
        <v>476.4</v>
      </c>
      <c r="T13" s="57" t="n">
        <v>0</v>
      </c>
      <c r="U13" s="55" t="n">
        <v>159.4</v>
      </c>
      <c r="V13" s="55" t="n">
        <v>227.2</v>
      </c>
      <c r="W13" s="57" t="n">
        <f aca="false">W12</f>
        <v>10847</v>
      </c>
      <c r="X13" s="5" t="n">
        <f aca="false">N13+O13+S13+U13+V13</f>
        <v>863</v>
      </c>
      <c r="Y13" s="55" t="n">
        <f aca="false">IF(L13&lt;0,L13*-1,0)</f>
        <v>87.5554827325434</v>
      </c>
      <c r="Z13" s="55" t="n">
        <f aca="false">X13+Y13</f>
        <v>950.555482732543</v>
      </c>
      <c r="AA13" s="62" t="n">
        <v>0</v>
      </c>
      <c r="AB13" s="51" t="n">
        <v>76</v>
      </c>
      <c r="AC13" s="51" t="n">
        <v>44</v>
      </c>
      <c r="AD13" s="48" t="n">
        <f aca="false">AD12+1</f>
        <v>4</v>
      </c>
      <c r="AE13" s="10"/>
      <c r="AF13" s="0"/>
      <c r="AG13" s="5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48" t="n">
        <f aca="false">A13+1</f>
        <v>5</v>
      </c>
      <c r="B14" s="59" t="n">
        <v>6924.15</v>
      </c>
      <c r="C14" s="57" t="n">
        <v>381833</v>
      </c>
      <c r="D14" s="51" t="n">
        <f aca="false">C14-C13</f>
        <v>-224</v>
      </c>
      <c r="E14" s="57" t="n">
        <f aca="false">C14-152000</f>
        <v>229833</v>
      </c>
      <c r="F14" s="55" t="n">
        <f aca="false">D14/$D$2</f>
        <v>-112.931686412906</v>
      </c>
      <c r="G14" s="55" t="n">
        <v>825.4</v>
      </c>
      <c r="H14" s="61" t="n">
        <v>1.2</v>
      </c>
      <c r="I14" s="55" t="n">
        <f aca="false">G14+H14</f>
        <v>826.6</v>
      </c>
      <c r="J14" s="61" t="n">
        <f aca="false">IF(L14&gt;0,L14,0)</f>
        <v>0</v>
      </c>
      <c r="K14" s="55" t="n">
        <f aca="false">I14+J14</f>
        <v>826.6</v>
      </c>
      <c r="L14" s="55" t="n">
        <f aca="false">F14-(I14-X14)</f>
        <v>-124.731686412907</v>
      </c>
      <c r="M14" s="55" t="n">
        <v>227.3</v>
      </c>
      <c r="N14" s="55" t="n">
        <v>0</v>
      </c>
      <c r="O14" s="55" t="n">
        <v>0</v>
      </c>
      <c r="P14" s="5" t="n">
        <f aca="false">M14-(N14+O14)</f>
        <v>227.3</v>
      </c>
      <c r="Q14" s="55" t="n">
        <v>147.1</v>
      </c>
      <c r="R14" s="55" t="n">
        <v>77.2</v>
      </c>
      <c r="S14" s="55" t="n">
        <f aca="false">SUM(P14:R14)</f>
        <v>451.6</v>
      </c>
      <c r="T14" s="57" t="n">
        <v>0</v>
      </c>
      <c r="U14" s="55" t="n">
        <v>178.5</v>
      </c>
      <c r="V14" s="55" t="n">
        <v>184.7</v>
      </c>
      <c r="W14" s="57" t="n">
        <f aca="false">W13</f>
        <v>10847</v>
      </c>
      <c r="X14" s="5" t="n">
        <f aca="false">N14+O14+S14+U14+V14</f>
        <v>814.8</v>
      </c>
      <c r="Y14" s="55" t="n">
        <f aca="false">IF(L14&lt;0,L14*-1,0)</f>
        <v>124.731686412907</v>
      </c>
      <c r="Z14" s="55" t="n">
        <f aca="false">X14+Y14</f>
        <v>939.531686412906</v>
      </c>
      <c r="AA14" s="62" t="n">
        <v>0</v>
      </c>
      <c r="AB14" s="51" t="n">
        <v>78</v>
      </c>
      <c r="AC14" s="51" t="n">
        <v>44</v>
      </c>
      <c r="AD14" s="48" t="n">
        <f aca="false">AD13+1</f>
        <v>5</v>
      </c>
      <c r="AE14" s="10"/>
      <c r="AF14" s="0"/>
      <c r="AG14" s="5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48" t="n">
        <f aca="false">A14+1</f>
        <v>6</v>
      </c>
      <c r="B15" s="59" t="n">
        <v>6923.96</v>
      </c>
      <c r="C15" s="57" t="n">
        <v>380982</v>
      </c>
      <c r="D15" s="51" t="n">
        <f aca="false">C15-C14</f>
        <v>-851</v>
      </c>
      <c r="E15" s="57" t="n">
        <f aca="false">C15-152000</f>
        <v>228982</v>
      </c>
      <c r="F15" s="55" t="n">
        <f aca="false">D15/$D$2</f>
        <v>-429.039576506176</v>
      </c>
      <c r="G15" s="55" t="n">
        <v>753.4</v>
      </c>
      <c r="H15" s="61" t="n">
        <v>1.2</v>
      </c>
      <c r="I15" s="55" t="n">
        <f aca="false">G15+H15</f>
        <v>754.6</v>
      </c>
      <c r="J15" s="61" t="n">
        <f aca="false">IF(L15&gt;0,L15,0)</f>
        <v>0</v>
      </c>
      <c r="K15" s="55" t="n">
        <f aca="false">I15+J15</f>
        <v>754.6</v>
      </c>
      <c r="L15" s="55" t="n">
        <f aca="false">F15-(I15-X15)</f>
        <v>-131.739576506176</v>
      </c>
      <c r="M15" s="55" t="n">
        <v>237.3</v>
      </c>
      <c r="N15" s="55" t="n">
        <v>0</v>
      </c>
      <c r="O15" s="55" t="n">
        <v>0</v>
      </c>
      <c r="P15" s="5" t="n">
        <f aca="false">M15-(N15+O15)</f>
        <v>237.3</v>
      </c>
      <c r="Q15" s="55" t="n">
        <v>146.5</v>
      </c>
      <c r="R15" s="55" t="n">
        <v>77.2</v>
      </c>
      <c r="S15" s="55" t="n">
        <f aca="false">SUM(P15:R15)</f>
        <v>461</v>
      </c>
      <c r="T15" s="57" t="n">
        <v>0</v>
      </c>
      <c r="U15" s="55" t="n">
        <v>188.1</v>
      </c>
      <c r="V15" s="55" t="n">
        <v>402.8</v>
      </c>
      <c r="W15" s="57" t="n">
        <f aca="false">W14-109</f>
        <v>10738</v>
      </c>
      <c r="X15" s="5" t="n">
        <f aca="false">N15+O15+S15+U15+V15</f>
        <v>1051.9</v>
      </c>
      <c r="Y15" s="55" t="n">
        <f aca="false">IF(L15&lt;0,L15*-1,0)</f>
        <v>131.739576506176</v>
      </c>
      <c r="Z15" s="55" t="n">
        <f aca="false">X15+Y15</f>
        <v>1183.63957650618</v>
      </c>
      <c r="AA15" s="62" t="n">
        <v>0</v>
      </c>
      <c r="AB15" s="51" t="n">
        <v>82</v>
      </c>
      <c r="AC15" s="51" t="n">
        <v>44</v>
      </c>
      <c r="AD15" s="48" t="n">
        <f aca="false">AD14+1</f>
        <v>6</v>
      </c>
      <c r="AE15" s="10"/>
      <c r="AF15" s="0"/>
      <c r="AG15" s="5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48" t="n">
        <f aca="false">A15+1</f>
        <v>7</v>
      </c>
      <c r="B16" s="59" t="n">
        <v>6923.71</v>
      </c>
      <c r="C16" s="57" t="n">
        <v>379869</v>
      </c>
      <c r="D16" s="51" t="n">
        <f aca="false">C16-C15</f>
        <v>-1113</v>
      </c>
      <c r="E16" s="57" t="n">
        <f aca="false">C16-152000</f>
        <v>227869</v>
      </c>
      <c r="F16" s="55" t="n">
        <f aca="false">D16/$D$2</f>
        <v>-561.129316864129</v>
      </c>
      <c r="G16" s="55" t="n">
        <v>729</v>
      </c>
      <c r="H16" s="61" t="n">
        <v>0</v>
      </c>
      <c r="I16" s="55" t="n">
        <f aca="false">G16+H16</f>
        <v>729</v>
      </c>
      <c r="J16" s="61" t="n">
        <f aca="false">IF(L16&gt;0,L16,0)</f>
        <v>0</v>
      </c>
      <c r="K16" s="55" t="n">
        <f aca="false">I16+J16</f>
        <v>729</v>
      </c>
      <c r="L16" s="55" t="n">
        <f aca="false">F16-(I16-X16)</f>
        <v>-129.029316864129</v>
      </c>
      <c r="M16" s="55" t="n">
        <v>252.7</v>
      </c>
      <c r="N16" s="55" t="n">
        <v>0</v>
      </c>
      <c r="O16" s="55" t="n">
        <v>0</v>
      </c>
      <c r="P16" s="5" t="n">
        <f aca="false">M16-(N16+O16)</f>
        <v>252.7</v>
      </c>
      <c r="Q16" s="55" t="n">
        <v>146.2</v>
      </c>
      <c r="R16" s="55" t="n">
        <v>76.7</v>
      </c>
      <c r="S16" s="55" t="n">
        <f aca="false">SUM(P16:R16)</f>
        <v>475.6</v>
      </c>
      <c r="T16" s="57" t="n">
        <v>0</v>
      </c>
      <c r="U16" s="55" t="n">
        <v>184.6</v>
      </c>
      <c r="V16" s="55" t="n">
        <v>500.9</v>
      </c>
      <c r="W16" s="57" t="n">
        <f aca="false">W15-V16</f>
        <v>10237.1</v>
      </c>
      <c r="X16" s="5" t="n">
        <f aca="false">N16+O16+S16+U16+V16</f>
        <v>1161.1</v>
      </c>
      <c r="Y16" s="55" t="n">
        <f aca="false">IF(L16&lt;0,L16*-1,0)</f>
        <v>129.029316864129</v>
      </c>
      <c r="Z16" s="55" t="n">
        <f aca="false">X16+Y16</f>
        <v>1290.12931686413</v>
      </c>
      <c r="AA16" s="62" t="n">
        <v>0</v>
      </c>
      <c r="AB16" s="133" t="n">
        <v>85</v>
      </c>
      <c r="AC16" s="133" t="n">
        <v>46</v>
      </c>
      <c r="AD16" s="48" t="n">
        <f aca="false">AD15+1</f>
        <v>7</v>
      </c>
      <c r="AE16" s="10"/>
      <c r="AF16" s="0"/>
      <c r="AG16" s="5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48" t="n">
        <f aca="false">A16+1</f>
        <v>8</v>
      </c>
      <c r="B17" s="59" t="n">
        <v>6923.55</v>
      </c>
      <c r="C17" s="57" t="n">
        <v>379157</v>
      </c>
      <c r="D17" s="51" t="n">
        <f aca="false">C17-C16</f>
        <v>-712</v>
      </c>
      <c r="E17" s="57" t="n">
        <f aca="false">C17-152000</f>
        <v>227157</v>
      </c>
      <c r="F17" s="55" t="n">
        <f aca="false">D17/$D$2</f>
        <v>-358.961431812453</v>
      </c>
      <c r="G17" s="55" t="n">
        <v>717.8</v>
      </c>
      <c r="H17" s="61" t="n">
        <v>0</v>
      </c>
      <c r="I17" s="55" t="n">
        <f aca="false">G17+H17</f>
        <v>717.8</v>
      </c>
      <c r="J17" s="61" t="n">
        <f aca="false">IF(L17&gt;0,L17,0)</f>
        <v>82.4385681875474</v>
      </c>
      <c r="K17" s="55" t="n">
        <f aca="false">I17+J17</f>
        <v>800.238568187547</v>
      </c>
      <c r="L17" s="55" t="n">
        <f aca="false">F17-(I17-X17)</f>
        <v>82.4385681875474</v>
      </c>
      <c r="M17" s="55" t="n">
        <v>250.7</v>
      </c>
      <c r="N17" s="55" t="n">
        <v>0</v>
      </c>
      <c r="O17" s="55" t="n">
        <v>0</v>
      </c>
      <c r="P17" s="5" t="n">
        <f aca="false">M17-(N17+O17)</f>
        <v>250.7</v>
      </c>
      <c r="Q17" s="55" t="n">
        <v>147.6</v>
      </c>
      <c r="R17" s="55" t="n">
        <v>79.2</v>
      </c>
      <c r="S17" s="55" t="n">
        <f aca="false">SUM(P17:R17)</f>
        <v>477.5</v>
      </c>
      <c r="T17" s="57" t="n">
        <v>0</v>
      </c>
      <c r="U17" s="55" t="n">
        <v>182.6</v>
      </c>
      <c r="V17" s="55" t="n">
        <v>499.1</v>
      </c>
      <c r="W17" s="57" t="n">
        <f aca="false">W16-V17</f>
        <v>9738</v>
      </c>
      <c r="X17" s="5" t="n">
        <f aca="false">N17+O17+S17+U17+V17</f>
        <v>1159.2</v>
      </c>
      <c r="Y17" s="55" t="n">
        <f aca="false">IF(L17&lt;0,L17*-1,0)</f>
        <v>0</v>
      </c>
      <c r="Z17" s="55" t="n">
        <f aca="false">X17+Y17</f>
        <v>1159.2</v>
      </c>
      <c r="AA17" s="62" t="n">
        <v>0</v>
      </c>
      <c r="AB17" s="51" t="n">
        <v>84</v>
      </c>
      <c r="AC17" s="51" t="n">
        <v>50</v>
      </c>
      <c r="AD17" s="48" t="n">
        <f aca="false">AD16+1</f>
        <v>8</v>
      </c>
      <c r="AE17" s="10"/>
      <c r="AF17" s="0"/>
      <c r="AG17" s="5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48" t="n">
        <f aca="false">A17+1</f>
        <v>9</v>
      </c>
      <c r="B18" s="59" t="n">
        <v>6923.41</v>
      </c>
      <c r="C18" s="57" t="n">
        <v>378534</v>
      </c>
      <c r="D18" s="51" t="n">
        <f aca="false">C18-C17</f>
        <v>-623</v>
      </c>
      <c r="E18" s="57" t="n">
        <f aca="false">C18-152000</f>
        <v>226534</v>
      </c>
      <c r="F18" s="55" t="n">
        <f aca="false">D18/$D$2</f>
        <v>-314.091252835896</v>
      </c>
      <c r="G18" s="55" t="n">
        <v>668.2</v>
      </c>
      <c r="H18" s="61" t="n">
        <v>0</v>
      </c>
      <c r="I18" s="55" t="n">
        <f aca="false">G18+H18</f>
        <v>668.2</v>
      </c>
      <c r="J18" s="61" t="n">
        <f aca="false">IF(L18&gt;0,L18,0)</f>
        <v>0</v>
      </c>
      <c r="K18" s="55" t="n">
        <f aca="false">I18+J18</f>
        <v>668.2</v>
      </c>
      <c r="L18" s="55" t="n">
        <f aca="false">F18-(I18-X18)</f>
        <v>-119.691252835896</v>
      </c>
      <c r="M18" s="55" t="n">
        <v>256.5</v>
      </c>
      <c r="N18" s="55" t="n">
        <v>0</v>
      </c>
      <c r="O18" s="55" t="n">
        <v>0</v>
      </c>
      <c r="P18" s="5" t="n">
        <f aca="false">M18-(N18+O18)</f>
        <v>256.5</v>
      </c>
      <c r="Q18" s="55" t="n">
        <v>147.5</v>
      </c>
      <c r="R18" s="55" t="n">
        <v>79.2</v>
      </c>
      <c r="S18" s="55" t="n">
        <f aca="false">SUM(P18:R18)</f>
        <v>483.2</v>
      </c>
      <c r="T18" s="57" t="n">
        <v>0</v>
      </c>
      <c r="U18" s="55" t="n">
        <v>190.1</v>
      </c>
      <c r="V18" s="55" t="n">
        <v>189.3</v>
      </c>
      <c r="W18" s="57" t="n">
        <f aca="false">W17-V18</f>
        <v>9548.7</v>
      </c>
      <c r="X18" s="5" t="n">
        <f aca="false">N18+O18+S18+U18+V18</f>
        <v>862.6</v>
      </c>
      <c r="Y18" s="55" t="n">
        <f aca="false">IF(L18&lt;0,L18*-1,0)</f>
        <v>119.691252835896</v>
      </c>
      <c r="Z18" s="55" t="n">
        <f aca="false">X18+Y18</f>
        <v>982.291252835896</v>
      </c>
      <c r="AA18" s="62" t="n">
        <v>0</v>
      </c>
      <c r="AB18" s="54" t="n">
        <v>87</v>
      </c>
      <c r="AC18" s="51" t="n">
        <v>57</v>
      </c>
      <c r="AD18" s="48" t="n">
        <f aca="false">AD17+1</f>
        <v>9</v>
      </c>
      <c r="AE18" s="10"/>
      <c r="AF18" s="0"/>
      <c r="AG18" s="5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48" t="n">
        <f aca="false">A18+1</f>
        <v>10</v>
      </c>
      <c r="B19" s="59" t="n">
        <v>6923.26</v>
      </c>
      <c r="C19" s="57" t="n">
        <v>377866</v>
      </c>
      <c r="D19" s="51" t="n">
        <f aca="false">C19-C18</f>
        <v>-668</v>
      </c>
      <c r="E19" s="57" t="n">
        <f aca="false">C19-152000</f>
        <v>225866</v>
      </c>
      <c r="F19" s="55" t="n">
        <f aca="false">D19/$D$2</f>
        <v>-336.778421981346</v>
      </c>
      <c r="G19" s="55" t="n">
        <v>608.9</v>
      </c>
      <c r="H19" s="61" t="n">
        <v>0</v>
      </c>
      <c r="I19" s="55" t="n">
        <f aca="false">G19+H19</f>
        <v>608.9</v>
      </c>
      <c r="J19" s="61" t="n">
        <f aca="false">IF(L19&gt;0,L19,0)</f>
        <v>0</v>
      </c>
      <c r="K19" s="55" t="n">
        <f aca="false">I19+J19</f>
        <v>608.9</v>
      </c>
      <c r="L19" s="55" t="n">
        <f aca="false">F19-(I19-X19)</f>
        <v>-70.578421981346</v>
      </c>
      <c r="M19" s="55" t="n">
        <v>262.7</v>
      </c>
      <c r="N19" s="55" t="n">
        <v>0</v>
      </c>
      <c r="O19" s="55" t="n">
        <v>0</v>
      </c>
      <c r="P19" s="5" t="n">
        <f aca="false">M19-(N19+O19)</f>
        <v>262.7</v>
      </c>
      <c r="Q19" s="55" t="n">
        <v>147</v>
      </c>
      <c r="R19" s="55" t="n">
        <v>78.7</v>
      </c>
      <c r="S19" s="55" t="n">
        <f aca="false">SUM(P19:R19)</f>
        <v>488.4</v>
      </c>
      <c r="T19" s="57" t="n">
        <v>0</v>
      </c>
      <c r="U19" s="55" t="n">
        <v>188.1</v>
      </c>
      <c r="V19" s="55" t="n">
        <v>198.6</v>
      </c>
      <c r="W19" s="57" t="n">
        <f aca="false">W18-V19</f>
        <v>9350.1</v>
      </c>
      <c r="X19" s="5" t="n">
        <f aca="false">N19+O19+S19+U19+V19</f>
        <v>875.1</v>
      </c>
      <c r="Y19" s="55" t="n">
        <f aca="false">IF(L19&lt;0,L19*-1,0)</f>
        <v>70.578421981346</v>
      </c>
      <c r="Z19" s="55" t="n">
        <f aca="false">X19+Y19</f>
        <v>945.678421981346</v>
      </c>
      <c r="AA19" s="62" t="n">
        <v>0</v>
      </c>
      <c r="AB19" s="51" t="n">
        <v>84</v>
      </c>
      <c r="AC19" s="51" t="n">
        <v>54</v>
      </c>
      <c r="AD19" s="48" t="n">
        <f aca="false">AD18+1</f>
        <v>10</v>
      </c>
      <c r="AE19" s="10"/>
      <c r="AF19" s="0"/>
      <c r="AG19" s="5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48" t="n">
        <f aca="false">A19+1</f>
        <v>11</v>
      </c>
      <c r="B20" s="59" t="n">
        <v>6923.12</v>
      </c>
      <c r="C20" s="57" t="n">
        <v>377154</v>
      </c>
      <c r="D20" s="51" t="n">
        <f aca="false">C20-C19</f>
        <v>-712</v>
      </c>
      <c r="E20" s="57" t="n">
        <f aca="false">C20-152000</f>
        <v>225154</v>
      </c>
      <c r="F20" s="55" t="n">
        <f aca="false">D20/$D$2</f>
        <v>-358.961431812453</v>
      </c>
      <c r="G20" s="55" t="n">
        <v>577.1</v>
      </c>
      <c r="H20" s="61" t="n">
        <v>0</v>
      </c>
      <c r="I20" s="55" t="n">
        <f aca="false">G20+H20</f>
        <v>577.1</v>
      </c>
      <c r="J20" s="61" t="n">
        <f aca="false">IF(L20&gt;0,L20,0)</f>
        <v>0</v>
      </c>
      <c r="K20" s="55" t="n">
        <f aca="false">I20+J20</f>
        <v>577.1</v>
      </c>
      <c r="L20" s="55" t="n">
        <f aca="false">F20-(I20-X20)</f>
        <v>-64.3614318124527</v>
      </c>
      <c r="M20" s="55" t="n">
        <v>252.6</v>
      </c>
      <c r="N20" s="55" t="n">
        <v>0</v>
      </c>
      <c r="O20" s="55" t="n">
        <v>0</v>
      </c>
      <c r="P20" s="5" t="n">
        <f aca="false">M20-(N20+O20)</f>
        <v>252.6</v>
      </c>
      <c r="Q20" s="55" t="n">
        <v>146.5</v>
      </c>
      <c r="R20" s="55" t="n">
        <v>79.2</v>
      </c>
      <c r="S20" s="55" t="n">
        <f aca="false">SUM(P20:R20)</f>
        <v>478.3</v>
      </c>
      <c r="T20" s="57" t="n">
        <v>0</v>
      </c>
      <c r="U20" s="55" t="n">
        <v>193.6</v>
      </c>
      <c r="V20" s="55" t="n">
        <v>199.8</v>
      </c>
      <c r="W20" s="57" t="n">
        <f aca="false">W19-V20</f>
        <v>9150.3</v>
      </c>
      <c r="X20" s="5" t="n">
        <f aca="false">N20+O20+S20+U20+V20</f>
        <v>871.7</v>
      </c>
      <c r="Y20" s="55" t="n">
        <f aca="false">IF(L20&lt;0,L20*-1,0)</f>
        <v>64.3614318124527</v>
      </c>
      <c r="Z20" s="55" t="n">
        <f aca="false">X20+Y20</f>
        <v>936.061431812453</v>
      </c>
      <c r="AA20" s="62" t="n">
        <v>0</v>
      </c>
      <c r="AB20" s="51" t="n">
        <v>86</v>
      </c>
      <c r="AC20" s="51" t="n">
        <v>52</v>
      </c>
      <c r="AD20" s="48" t="n">
        <f aca="false">AD19+1</f>
        <v>11</v>
      </c>
      <c r="AE20" s="10"/>
      <c r="AF20" s="0"/>
      <c r="AG20" s="5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48" t="n">
        <f aca="false">A20+1</f>
        <v>12</v>
      </c>
      <c r="B21" s="59" t="n">
        <v>6922.93</v>
      </c>
      <c r="C21" s="57" t="n">
        <v>376400</v>
      </c>
      <c r="D21" s="51" t="n">
        <f aca="false">C21-C20</f>
        <v>-754</v>
      </c>
      <c r="E21" s="57" t="n">
        <f aca="false">C21-152000</f>
        <v>224400</v>
      </c>
      <c r="F21" s="55" t="n">
        <f aca="false">D21/$D$2</f>
        <v>-380.136123014873</v>
      </c>
      <c r="G21" s="55" t="n">
        <v>577.6</v>
      </c>
      <c r="H21" s="61" t="n">
        <v>0</v>
      </c>
      <c r="I21" s="55" t="n">
        <f aca="false">G21+H21</f>
        <v>577.6</v>
      </c>
      <c r="J21" s="61" t="n">
        <f aca="false">IF(L21&gt;0,L21,0)</f>
        <v>0</v>
      </c>
      <c r="K21" s="55" t="n">
        <f aca="false">I21+J21</f>
        <v>577.6</v>
      </c>
      <c r="L21" s="55" t="n">
        <f aca="false">F21-(I21-X21)</f>
        <v>-85.2361230148727</v>
      </c>
      <c r="M21" s="55" t="n">
        <v>252.9</v>
      </c>
      <c r="N21" s="55" t="n">
        <v>0</v>
      </c>
      <c r="O21" s="55" t="n">
        <v>0</v>
      </c>
      <c r="P21" s="5" t="n">
        <f aca="false">M21-(N21+O21)</f>
        <v>252.9</v>
      </c>
      <c r="Q21" s="55" t="n">
        <v>146.3</v>
      </c>
      <c r="R21" s="55" t="n">
        <v>79.2</v>
      </c>
      <c r="S21" s="55" t="n">
        <f aca="false">SUM(P21:R21)</f>
        <v>478.4</v>
      </c>
      <c r="T21" s="57" t="n">
        <v>0</v>
      </c>
      <c r="U21" s="55" t="n">
        <v>198.7</v>
      </c>
      <c r="V21" s="55" t="n">
        <v>195.4</v>
      </c>
      <c r="W21" s="57" t="n">
        <f aca="false">W20-V21</f>
        <v>8954.9</v>
      </c>
      <c r="X21" s="5" t="n">
        <f aca="false">N21+O21+S21+U21+V21</f>
        <v>872.5</v>
      </c>
      <c r="Y21" s="55" t="n">
        <f aca="false">IF(L21&lt;0,L21*-1,0)</f>
        <v>85.2361230148727</v>
      </c>
      <c r="Z21" s="55" t="n">
        <f aca="false">X21+Y21</f>
        <v>957.736123014873</v>
      </c>
      <c r="AA21" s="62" t="n">
        <v>0</v>
      </c>
      <c r="AB21" s="51" t="n">
        <v>82</v>
      </c>
      <c r="AC21" s="51" t="n">
        <v>54</v>
      </c>
      <c r="AD21" s="48" t="n">
        <f aca="false">AD20+1</f>
        <v>12</v>
      </c>
      <c r="AE21" s="10"/>
      <c r="AF21" s="0"/>
      <c r="AG21" s="5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48" t="n">
        <f aca="false">A21+1</f>
        <v>13</v>
      </c>
      <c r="B22" s="59" t="n">
        <v>6922.75</v>
      </c>
      <c r="C22" s="57" t="n">
        <v>375605</v>
      </c>
      <c r="D22" s="51" t="n">
        <f aca="false">C22-C21</f>
        <v>-795</v>
      </c>
      <c r="E22" s="57" t="n">
        <f aca="false">C22-152000</f>
        <v>223605</v>
      </c>
      <c r="F22" s="55" t="n">
        <f aca="false">D22/$D$2</f>
        <v>-400.806654902949</v>
      </c>
      <c r="G22" s="55" t="n">
        <v>537.3</v>
      </c>
      <c r="H22" s="61" t="n">
        <v>0</v>
      </c>
      <c r="I22" s="55" t="n">
        <f aca="false">G22+H22</f>
        <v>537.3</v>
      </c>
      <c r="J22" s="61" t="n">
        <f aca="false">IF(L22&gt;0,L22,0)</f>
        <v>0</v>
      </c>
      <c r="K22" s="55" t="n">
        <f aca="false">I22+J22</f>
        <v>537.3</v>
      </c>
      <c r="L22" s="55" t="n">
        <f aca="false">F22-(I22-X22)</f>
        <v>-89.9066549029492</v>
      </c>
      <c r="M22" s="55" t="n">
        <v>246</v>
      </c>
      <c r="N22" s="55" t="n">
        <v>0</v>
      </c>
      <c r="O22" s="55" t="n">
        <v>0</v>
      </c>
      <c r="P22" s="5" t="n">
        <f aca="false">M22-(N22+O22)</f>
        <v>246</v>
      </c>
      <c r="Q22" s="55" t="n">
        <v>147.1</v>
      </c>
      <c r="R22" s="55" t="n">
        <v>82.2</v>
      </c>
      <c r="S22" s="55" t="n">
        <f aca="false">SUM(P22:R22)</f>
        <v>475.3</v>
      </c>
      <c r="T22" s="57" t="n">
        <v>0</v>
      </c>
      <c r="U22" s="55" t="n">
        <v>207.3</v>
      </c>
      <c r="V22" s="55" t="n">
        <v>165.6</v>
      </c>
      <c r="W22" s="57" t="n">
        <f aca="false">W21-V22</f>
        <v>8789.3</v>
      </c>
      <c r="X22" s="5" t="n">
        <f aca="false">N22+O22+S22+U22+V22</f>
        <v>848.2</v>
      </c>
      <c r="Y22" s="55" t="n">
        <f aca="false">IF(L22&lt;0,L22*-1,0)</f>
        <v>89.9066549029492</v>
      </c>
      <c r="Z22" s="55" t="n">
        <f aca="false">X22+Y22</f>
        <v>938.106654902949</v>
      </c>
      <c r="AA22" s="62" t="n">
        <v>0</v>
      </c>
      <c r="AB22" s="51" t="n">
        <v>82</v>
      </c>
      <c r="AC22" s="51" t="n">
        <v>50</v>
      </c>
      <c r="AD22" s="48" t="n">
        <f aca="false">AD21+1</f>
        <v>13</v>
      </c>
      <c r="AE22" s="10"/>
      <c r="AF22" s="0"/>
      <c r="AG22" s="5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48" t="n">
        <f aca="false">A22+1</f>
        <v>14</v>
      </c>
      <c r="B23" s="59" t="n">
        <v>6922.55</v>
      </c>
      <c r="C23" s="57" t="n">
        <v>374722</v>
      </c>
      <c r="D23" s="51" t="n">
        <f aca="false">C23-C22</f>
        <v>-883</v>
      </c>
      <c r="E23" s="57" t="n">
        <f aca="false">C23-152000</f>
        <v>222722</v>
      </c>
      <c r="F23" s="55" t="n">
        <f aca="false">D23/$D$2</f>
        <v>-445.172674565163</v>
      </c>
      <c r="G23" s="55" t="n">
        <v>489.3</v>
      </c>
      <c r="H23" s="61" t="n">
        <v>0</v>
      </c>
      <c r="I23" s="55" t="n">
        <f aca="false">G23+H23</f>
        <v>489.3</v>
      </c>
      <c r="J23" s="61" t="n">
        <f aca="false">IF(L23&gt;0,L23,0)</f>
        <v>0</v>
      </c>
      <c r="K23" s="55" t="n">
        <f aca="false">I23+J23</f>
        <v>489.3</v>
      </c>
      <c r="L23" s="55" t="n">
        <f aca="false">F23-(I23-X23)</f>
        <v>-86.5726745651626</v>
      </c>
      <c r="M23" s="55" t="n">
        <v>269.7</v>
      </c>
      <c r="N23" s="55" t="n">
        <v>0</v>
      </c>
      <c r="O23" s="55" t="n">
        <v>0</v>
      </c>
      <c r="P23" s="5" t="n">
        <f aca="false">M23-(N23+O23)</f>
        <v>269.7</v>
      </c>
      <c r="Q23" s="55" t="n">
        <v>147.5</v>
      </c>
      <c r="R23" s="55" t="n">
        <v>81.7</v>
      </c>
      <c r="S23" s="55" t="n">
        <f aca="false">SUM(P23:R23)</f>
        <v>498.9</v>
      </c>
      <c r="T23" s="57" t="n">
        <f aca="false">T8-(S23-I23)</f>
        <v>14450.4</v>
      </c>
      <c r="U23" s="55" t="n">
        <v>193.6</v>
      </c>
      <c r="V23" s="55" t="n">
        <v>155.4</v>
      </c>
      <c r="W23" s="57" t="n">
        <f aca="false">W22-V23</f>
        <v>8633.9</v>
      </c>
      <c r="X23" s="5" t="n">
        <f aca="false">N23+O23+S23+U23+V23</f>
        <v>847.9</v>
      </c>
      <c r="Y23" s="55" t="n">
        <f aca="false">IF(L23&lt;0,L23*-1,0)</f>
        <v>86.5726745651626</v>
      </c>
      <c r="Z23" s="55" t="n">
        <f aca="false">X23+Y23</f>
        <v>934.472674565163</v>
      </c>
      <c r="AA23" s="62" t="n">
        <v>0</v>
      </c>
      <c r="AB23" s="51" t="n">
        <v>83</v>
      </c>
      <c r="AC23" s="51" t="n">
        <v>52</v>
      </c>
      <c r="AD23" s="48" t="n">
        <f aca="false">AD22+1</f>
        <v>14</v>
      </c>
      <c r="AE23" s="10"/>
      <c r="AF23" s="0"/>
      <c r="AG23" s="5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48" t="n">
        <f aca="false">A23+1</f>
        <v>15</v>
      </c>
      <c r="B24" s="59" t="n">
        <v>6922.35</v>
      </c>
      <c r="C24" s="57" t="n">
        <v>373839</v>
      </c>
      <c r="D24" s="51" t="n">
        <f aca="false">C24-C23</f>
        <v>-883</v>
      </c>
      <c r="E24" s="57" t="n">
        <f aca="false">C24-152000</f>
        <v>221839</v>
      </c>
      <c r="F24" s="55" t="n">
        <f aca="false">D24/$D$2</f>
        <v>-445.172674565163</v>
      </c>
      <c r="G24" s="55" t="n">
        <v>461.3</v>
      </c>
      <c r="H24" s="61" t="n">
        <v>0</v>
      </c>
      <c r="I24" s="55" t="n">
        <f aca="false">G24+H24</f>
        <v>461.3</v>
      </c>
      <c r="J24" s="61" t="n">
        <f aca="false">IF(L24&gt;0,L24,0)</f>
        <v>0</v>
      </c>
      <c r="K24" s="55" t="n">
        <f aca="false">I24+J24</f>
        <v>461.3</v>
      </c>
      <c r="L24" s="55" t="n">
        <f aca="false">F24-(I24-X24)</f>
        <v>-68.1726745651627</v>
      </c>
      <c r="M24" s="55" t="n">
        <v>261.7</v>
      </c>
      <c r="N24" s="55" t="n">
        <v>0</v>
      </c>
      <c r="O24" s="55" t="n">
        <v>0</v>
      </c>
      <c r="P24" s="5" t="n">
        <f aca="false">M24-(N24+O24)</f>
        <v>261.7</v>
      </c>
      <c r="Q24" s="55" t="n">
        <v>147.3</v>
      </c>
      <c r="R24" s="55" t="n">
        <v>81.2</v>
      </c>
      <c r="S24" s="55" t="n">
        <f aca="false">SUM(P24:R24)</f>
        <v>490.2</v>
      </c>
      <c r="T24" s="57" t="n">
        <f aca="false">T23-(S24-I24)</f>
        <v>14421.5</v>
      </c>
      <c r="U24" s="55" t="n">
        <v>195.2</v>
      </c>
      <c r="V24" s="55" t="n">
        <v>152.9</v>
      </c>
      <c r="W24" s="57" t="n">
        <f aca="false">W23-V24</f>
        <v>8481</v>
      </c>
      <c r="X24" s="5" t="n">
        <f aca="false">N24+O24+S24+U24+V24</f>
        <v>838.3</v>
      </c>
      <c r="Y24" s="55" t="n">
        <f aca="false">IF(L24&lt;0,L24*-1,0)</f>
        <v>68.1726745651627</v>
      </c>
      <c r="Z24" s="55" t="n">
        <f aca="false">X24+Y24</f>
        <v>906.472674565163</v>
      </c>
      <c r="AA24" s="62" t="n">
        <v>0</v>
      </c>
      <c r="AB24" s="54" t="n">
        <v>85</v>
      </c>
      <c r="AC24" s="51" t="n">
        <v>53</v>
      </c>
      <c r="AD24" s="48" t="n">
        <f aca="false">AD23+1</f>
        <v>15</v>
      </c>
      <c r="AE24" s="10"/>
      <c r="AF24" s="0"/>
      <c r="AG24" s="5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48" t="n">
        <f aca="false">A24+1</f>
        <v>16</v>
      </c>
      <c r="B25" s="59" t="n">
        <v>6922.12</v>
      </c>
      <c r="C25" s="57" t="n">
        <v>372823</v>
      </c>
      <c r="D25" s="51" t="n">
        <f aca="false">C25-C24</f>
        <v>-1016</v>
      </c>
      <c r="E25" s="57" t="n">
        <f aca="false">C25-152000</f>
        <v>220823</v>
      </c>
      <c r="F25" s="55" t="n">
        <f aca="false">D25/$D$2</f>
        <v>-512.225863372826</v>
      </c>
      <c r="G25" s="55" t="n">
        <v>432.8</v>
      </c>
      <c r="H25" s="61" t="n">
        <v>0</v>
      </c>
      <c r="I25" s="55" t="n">
        <f aca="false">G25+H25</f>
        <v>432.8</v>
      </c>
      <c r="J25" s="61" t="n">
        <f aca="false">IF(L25&gt;0,L25,0)</f>
        <v>0</v>
      </c>
      <c r="K25" s="55" t="n">
        <f aca="false">I25+J25</f>
        <v>432.8</v>
      </c>
      <c r="L25" s="55" t="n">
        <f aca="false">F25-(I25-X25)</f>
        <v>-152.125863372826</v>
      </c>
      <c r="M25" s="55" t="n">
        <v>252.2</v>
      </c>
      <c r="N25" s="55" t="n">
        <v>0</v>
      </c>
      <c r="O25" s="55" t="n">
        <v>0</v>
      </c>
      <c r="P25" s="5" t="n">
        <f aca="false">M25-(N25+O25)</f>
        <v>252.2</v>
      </c>
      <c r="Q25" s="55" t="n">
        <v>147.1</v>
      </c>
      <c r="R25" s="55" t="n">
        <v>85.7</v>
      </c>
      <c r="S25" s="55" t="n">
        <f aca="false">SUM(P25:R25)</f>
        <v>485</v>
      </c>
      <c r="T25" s="57" t="n">
        <f aca="false">T24-(S25-I25)</f>
        <v>14369.3</v>
      </c>
      <c r="U25" s="55" t="n">
        <v>190.1</v>
      </c>
      <c r="V25" s="55" t="n">
        <v>117.8</v>
      </c>
      <c r="W25" s="57" t="n">
        <f aca="false">W24-V25</f>
        <v>8363.2</v>
      </c>
      <c r="X25" s="5" t="n">
        <f aca="false">N25+O25+S25+U25+V25</f>
        <v>792.9</v>
      </c>
      <c r="Y25" s="55" t="n">
        <f aca="false">IF(L25&lt;0,L25*-1,0)</f>
        <v>152.125863372826</v>
      </c>
      <c r="Z25" s="55" t="n">
        <f aca="false">X25+Y25</f>
        <v>945.025863372826</v>
      </c>
      <c r="AA25" s="62" t="n">
        <v>0</v>
      </c>
      <c r="AB25" s="54" t="n">
        <v>80</v>
      </c>
      <c r="AC25" s="51" t="n">
        <v>50</v>
      </c>
      <c r="AD25" s="48" t="n">
        <f aca="false">AD24+1</f>
        <v>16</v>
      </c>
      <c r="AE25" s="10"/>
      <c r="AF25" s="0"/>
      <c r="AG25" s="5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48" t="n">
        <f aca="false">A25+1</f>
        <v>17</v>
      </c>
      <c r="B26" s="59" t="n">
        <v>6921.95</v>
      </c>
      <c r="C26" s="57" t="n">
        <v>372075</v>
      </c>
      <c r="D26" s="51" t="n">
        <f aca="false">C26-C25</f>
        <v>-748</v>
      </c>
      <c r="E26" s="57" t="n">
        <f aca="false">C26-152000</f>
        <v>220075</v>
      </c>
      <c r="F26" s="55" t="n">
        <f aca="false">D26/$D$2</f>
        <v>-377.111167128813</v>
      </c>
      <c r="G26" s="55" t="n">
        <v>397.3</v>
      </c>
      <c r="H26" s="61" t="n">
        <v>0</v>
      </c>
      <c r="I26" s="55" t="n">
        <f aca="false">G26+H26</f>
        <v>397.3</v>
      </c>
      <c r="J26" s="61" t="n">
        <f aca="false">IF(L26&gt;0,L26,0)</f>
        <v>0</v>
      </c>
      <c r="K26" s="55" t="n">
        <f aca="false">I26+J26</f>
        <v>397.3</v>
      </c>
      <c r="L26" s="55" t="n">
        <f aca="false">F26-(I26-X26)</f>
        <v>-9.7111671288128</v>
      </c>
      <c r="M26" s="55" t="n">
        <v>244.2</v>
      </c>
      <c r="N26" s="55" t="n">
        <v>0</v>
      </c>
      <c r="O26" s="55" t="n">
        <v>0</v>
      </c>
      <c r="P26" s="5" t="n">
        <f aca="false">M26-(N26+O26)</f>
        <v>244.2</v>
      </c>
      <c r="Q26" s="55" t="n">
        <v>146.9</v>
      </c>
      <c r="R26" s="55" t="n">
        <v>86.2</v>
      </c>
      <c r="S26" s="55" t="n">
        <f aca="false">SUM(P26:R26)</f>
        <v>477.3</v>
      </c>
      <c r="T26" s="57" t="n">
        <f aca="false">T25-(S26-I26)</f>
        <v>14289.3</v>
      </c>
      <c r="U26" s="55" t="n">
        <v>183.6</v>
      </c>
      <c r="V26" s="55" t="n">
        <v>103.8</v>
      </c>
      <c r="W26" s="57" t="n">
        <f aca="false">W25-V26</f>
        <v>8259.4</v>
      </c>
      <c r="X26" s="5" t="n">
        <f aca="false">N26+O26+S26+U26+V26</f>
        <v>764.7</v>
      </c>
      <c r="Y26" s="55" t="n">
        <f aca="false">IF(L26&lt;0,L26*-1,0)</f>
        <v>9.7111671288128</v>
      </c>
      <c r="Z26" s="55" t="n">
        <f aca="false">X26+Y26</f>
        <v>774.411167128813</v>
      </c>
      <c r="AA26" s="62" t="n">
        <v>0</v>
      </c>
      <c r="AB26" s="54" t="n">
        <v>78</v>
      </c>
      <c r="AC26" s="51" t="n">
        <v>48</v>
      </c>
      <c r="AD26" s="48" t="n">
        <f aca="false">AD25+1</f>
        <v>17</v>
      </c>
      <c r="AE26" s="10"/>
      <c r="AF26" s="0"/>
      <c r="AG26" s="5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48" t="n">
        <f aca="false">A26+1</f>
        <v>18</v>
      </c>
      <c r="B27" s="59" t="n">
        <v>6921.7</v>
      </c>
      <c r="C27" s="57" t="n">
        <v>370980</v>
      </c>
      <c r="D27" s="51" t="n">
        <f aca="false">C27-C26</f>
        <v>-1095</v>
      </c>
      <c r="E27" s="57" t="n">
        <f aca="false">C27-152000</f>
        <v>218980</v>
      </c>
      <c r="F27" s="55" t="n">
        <f aca="false">D27/$D$2</f>
        <v>-552.054449205949</v>
      </c>
      <c r="G27" s="55" t="n">
        <v>381.9</v>
      </c>
      <c r="H27" s="61" t="n">
        <v>0</v>
      </c>
      <c r="I27" s="55" t="n">
        <f aca="false">G27+H27</f>
        <v>381.9</v>
      </c>
      <c r="J27" s="61" t="n">
        <f aca="false">IF(L27&gt;0,L27,0)</f>
        <v>0</v>
      </c>
      <c r="K27" s="55" t="n">
        <f aca="false">I27+J27</f>
        <v>381.9</v>
      </c>
      <c r="L27" s="55" t="n">
        <f aca="false">F27-(I27-X27)</f>
        <v>-173.454449205949</v>
      </c>
      <c r="M27" s="55" t="n">
        <v>246.3</v>
      </c>
      <c r="N27" s="55" t="n">
        <v>0</v>
      </c>
      <c r="O27" s="55" t="n">
        <v>0</v>
      </c>
      <c r="P27" s="5" t="n">
        <f aca="false">M27-(N27+O27)</f>
        <v>246.3</v>
      </c>
      <c r="Q27" s="55" t="n">
        <v>146.6</v>
      </c>
      <c r="R27" s="55" t="n">
        <v>87.2</v>
      </c>
      <c r="S27" s="55" t="n">
        <f aca="false">SUM(P27:R27)</f>
        <v>480.1</v>
      </c>
      <c r="T27" s="57" t="n">
        <f aca="false">T26-(S27-I27)</f>
        <v>14191.1</v>
      </c>
      <c r="U27" s="55" t="n">
        <v>175.5</v>
      </c>
      <c r="V27" s="55" t="n">
        <v>104.9</v>
      </c>
      <c r="W27" s="57" t="n">
        <f aca="false">W26-V27</f>
        <v>8154.5</v>
      </c>
      <c r="X27" s="5" t="n">
        <f aca="false">N27+O27+S27+U27+V27</f>
        <v>760.5</v>
      </c>
      <c r="Y27" s="55" t="n">
        <f aca="false">IF(L27&lt;0,L27*-1,0)</f>
        <v>173.454449205949</v>
      </c>
      <c r="Z27" s="55" t="n">
        <f aca="false">X27+Y27</f>
        <v>933.954449205949</v>
      </c>
      <c r="AA27" s="62" t="n">
        <v>0</v>
      </c>
      <c r="AB27" s="54" t="n">
        <v>82</v>
      </c>
      <c r="AC27" s="51" t="n">
        <v>46</v>
      </c>
      <c r="AD27" s="48" t="n">
        <f aca="false">AD26+1</f>
        <v>18</v>
      </c>
      <c r="AE27" s="10"/>
      <c r="AF27" s="0"/>
      <c r="AG27" s="5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48" t="n">
        <f aca="false">A27+1</f>
        <v>19</v>
      </c>
      <c r="B28" s="59" t="n">
        <v>6921.48</v>
      </c>
      <c r="C28" s="57" t="n">
        <v>370017</v>
      </c>
      <c r="D28" s="51" t="n">
        <f aca="false">C28-C27</f>
        <v>-963</v>
      </c>
      <c r="E28" s="57" t="n">
        <f aca="false">C28-152000</f>
        <v>218017</v>
      </c>
      <c r="F28" s="55" t="n">
        <f aca="false">D28/$D$2</f>
        <v>-485.505419712629</v>
      </c>
      <c r="G28" s="55" t="n">
        <v>357</v>
      </c>
      <c r="H28" s="61" t="n">
        <v>0</v>
      </c>
      <c r="I28" s="55" t="n">
        <f aca="false">G28+H28</f>
        <v>357</v>
      </c>
      <c r="J28" s="61" t="n">
        <f aca="false">IF(L28&gt;0,L28,0)</f>
        <v>0</v>
      </c>
      <c r="K28" s="55" t="n">
        <f aca="false">I28+J28</f>
        <v>357</v>
      </c>
      <c r="L28" s="55" t="n">
        <f aca="false">F28-(I28-X28)</f>
        <v>-65.7054197126292</v>
      </c>
      <c r="M28" s="55" t="n">
        <v>259.2</v>
      </c>
      <c r="N28" s="55" t="n">
        <v>0</v>
      </c>
      <c r="O28" s="55" t="n">
        <v>0</v>
      </c>
      <c r="P28" s="5" t="n">
        <f aca="false">M28-(N28+O28)</f>
        <v>259.2</v>
      </c>
      <c r="Q28" s="55" t="n">
        <v>148.4</v>
      </c>
      <c r="R28" s="55" t="n">
        <v>87.7</v>
      </c>
      <c r="S28" s="55" t="n">
        <f aca="false">SUM(P28:R28)</f>
        <v>495.3</v>
      </c>
      <c r="T28" s="57" t="n">
        <f aca="false">T27-(S28-I28)</f>
        <v>14052.8</v>
      </c>
      <c r="U28" s="55" t="n">
        <v>176.5</v>
      </c>
      <c r="V28" s="55" t="n">
        <v>105</v>
      </c>
      <c r="W28" s="57" t="n">
        <f aca="false">W27-V28</f>
        <v>8049.5</v>
      </c>
      <c r="X28" s="5" t="n">
        <f aca="false">N28+O28+S28+U28+V28</f>
        <v>776.8</v>
      </c>
      <c r="Y28" s="55" t="n">
        <f aca="false">IF(L28&lt;0,L28*-1,0)</f>
        <v>65.7054197126292</v>
      </c>
      <c r="Z28" s="55" t="n">
        <f aca="false">X28+Y28</f>
        <v>842.505419712629</v>
      </c>
      <c r="AA28" s="62" t="n">
        <v>0</v>
      </c>
      <c r="AB28" s="54" t="n">
        <v>84</v>
      </c>
      <c r="AC28" s="51" t="n">
        <v>48</v>
      </c>
      <c r="AD28" s="48" t="n">
        <f aca="false">AD27+1</f>
        <v>19</v>
      </c>
      <c r="AE28" s="10"/>
      <c r="AF28" s="0"/>
      <c r="AG28" s="5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48" t="n">
        <f aca="false">A28+1</f>
        <v>20</v>
      </c>
      <c r="B29" s="59" t="n">
        <v>6921.22</v>
      </c>
      <c r="C29" s="57" t="n">
        <v>368878</v>
      </c>
      <c r="D29" s="51" t="n">
        <f aca="false">C29-C28</f>
        <v>-1139</v>
      </c>
      <c r="E29" s="57" t="n">
        <f aca="false">C29-152000</f>
        <v>216878</v>
      </c>
      <c r="F29" s="55" t="n">
        <f aca="false">D29/$D$2</f>
        <v>-574.237459037056</v>
      </c>
      <c r="G29" s="55" t="n">
        <v>330.3</v>
      </c>
      <c r="H29" s="61" t="n">
        <v>0</v>
      </c>
      <c r="I29" s="55" t="n">
        <f aca="false">G29+H29</f>
        <v>330.3</v>
      </c>
      <c r="J29" s="61" t="n">
        <f aca="false">IF(L29&gt;0,L29,0)</f>
        <v>0</v>
      </c>
      <c r="K29" s="55" t="n">
        <f aca="false">I29+J29</f>
        <v>330.3</v>
      </c>
      <c r="L29" s="55" t="n">
        <f aca="false">F29-(I29-X29)</f>
        <v>-133.237459037056</v>
      </c>
      <c r="M29" s="55" t="n">
        <v>256.3</v>
      </c>
      <c r="N29" s="55" t="n">
        <v>0</v>
      </c>
      <c r="O29" s="55" t="n">
        <v>0</v>
      </c>
      <c r="P29" s="5" t="n">
        <f aca="false">M29-(N29+O29)</f>
        <v>256.3</v>
      </c>
      <c r="Q29" s="55" t="n">
        <v>148.3</v>
      </c>
      <c r="R29" s="55" t="n">
        <v>86.7</v>
      </c>
      <c r="S29" s="55" t="n">
        <f aca="false">SUM(P29:R29)</f>
        <v>491.3</v>
      </c>
      <c r="T29" s="57" t="n">
        <f aca="false">T28-(S29-I29)</f>
        <v>13891.8</v>
      </c>
      <c r="U29" s="55" t="n">
        <v>175</v>
      </c>
      <c r="V29" s="55" t="n">
        <v>105</v>
      </c>
      <c r="W29" s="57" t="n">
        <f aca="false">W28-V29</f>
        <v>7944.5</v>
      </c>
      <c r="X29" s="5" t="n">
        <f aca="false">N29+O29+S29+U29+V29</f>
        <v>771.3</v>
      </c>
      <c r="Y29" s="55" t="n">
        <f aca="false">IF(L29&lt;0,L29*-1,0)</f>
        <v>133.237459037056</v>
      </c>
      <c r="Z29" s="55" t="n">
        <f aca="false">X29+Y29</f>
        <v>904.537459037056</v>
      </c>
      <c r="AA29" s="62" t="n">
        <v>0</v>
      </c>
      <c r="AB29" s="54" t="n">
        <v>84</v>
      </c>
      <c r="AC29" s="51" t="n">
        <v>52</v>
      </c>
      <c r="AD29" s="48" t="n">
        <f aca="false">AD28+1</f>
        <v>20</v>
      </c>
      <c r="AE29" s="10"/>
      <c r="AF29" s="0"/>
      <c r="AG29" s="5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48" t="n">
        <f aca="false">A29+1</f>
        <v>21</v>
      </c>
      <c r="B30" s="59" t="n">
        <v>6920.94</v>
      </c>
      <c r="C30" s="57" t="n">
        <v>367654</v>
      </c>
      <c r="D30" s="51" t="n">
        <f aca="false">C30-C29</f>
        <v>-1224</v>
      </c>
      <c r="E30" s="57" t="n">
        <f aca="false">C30-152000</f>
        <v>215654</v>
      </c>
      <c r="F30" s="55" t="n">
        <f aca="false">D30/$D$2</f>
        <v>-617.091000756239</v>
      </c>
      <c r="G30" s="55" t="n">
        <v>313.7</v>
      </c>
      <c r="H30" s="61" t="n">
        <v>0</v>
      </c>
      <c r="I30" s="55" t="n">
        <f aca="false">G30+H30</f>
        <v>313.7</v>
      </c>
      <c r="J30" s="61" t="n">
        <f aca="false">IF(L30&gt;0,L30,0)</f>
        <v>0</v>
      </c>
      <c r="K30" s="55" t="n">
        <f aca="false">I30+J30</f>
        <v>313.7</v>
      </c>
      <c r="L30" s="55" t="n">
        <f aca="false">F30-(I30-X30)</f>
        <v>-146.391000756239</v>
      </c>
      <c r="M30" s="55" t="n">
        <v>261.8</v>
      </c>
      <c r="N30" s="55" t="n">
        <v>0</v>
      </c>
      <c r="O30" s="55" t="n">
        <v>11.6</v>
      </c>
      <c r="P30" s="5" t="n">
        <f aca="false">M30-(N30+O30)</f>
        <v>250.2</v>
      </c>
      <c r="Q30" s="55" t="n">
        <v>147.3</v>
      </c>
      <c r="R30" s="55" t="n">
        <v>89.3</v>
      </c>
      <c r="S30" s="55" t="n">
        <f aca="false">SUM(P30:R30)</f>
        <v>486.8</v>
      </c>
      <c r="T30" s="57" t="n">
        <f aca="false">T29-(S30-I30)</f>
        <v>13718.7</v>
      </c>
      <c r="U30" s="55" t="n">
        <v>180</v>
      </c>
      <c r="V30" s="55" t="n">
        <v>106</v>
      </c>
      <c r="W30" s="57" t="n">
        <f aca="false">W29-V30</f>
        <v>7838.5</v>
      </c>
      <c r="X30" s="5" t="n">
        <f aca="false">N30+O30+S30+U30+V30</f>
        <v>784.4</v>
      </c>
      <c r="Y30" s="55" t="n">
        <f aca="false">IF(L30&lt;0,L30*-1,0)</f>
        <v>146.391000756239</v>
      </c>
      <c r="Z30" s="55" t="n">
        <f aca="false">X30+Y30</f>
        <v>930.791000756239</v>
      </c>
      <c r="AA30" s="62" t="n">
        <v>0</v>
      </c>
      <c r="AB30" s="51" t="n">
        <v>83</v>
      </c>
      <c r="AC30" s="51" t="n">
        <v>54</v>
      </c>
      <c r="AD30" s="48" t="n">
        <f aca="false">AD29+1</f>
        <v>21</v>
      </c>
      <c r="AE30" s="10"/>
      <c r="AF30" s="0"/>
      <c r="AG30" s="5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48" t="n">
        <f aca="false">A30+1</f>
        <v>22</v>
      </c>
      <c r="B31" s="59" t="n">
        <v>6920.74</v>
      </c>
      <c r="C31" s="57" t="n">
        <v>366786</v>
      </c>
      <c r="D31" s="51" t="n">
        <f aca="false">C31-C30</f>
        <v>-868</v>
      </c>
      <c r="E31" s="57" t="n">
        <f aca="false">C31-152000</f>
        <v>214786</v>
      </c>
      <c r="F31" s="55" t="n">
        <f aca="false">D31/$D$2</f>
        <v>-437.610284850013</v>
      </c>
      <c r="G31" s="55" t="n">
        <v>302.3</v>
      </c>
      <c r="H31" s="61" t="n">
        <v>0</v>
      </c>
      <c r="I31" s="55" t="n">
        <f aca="false">G31+H31</f>
        <v>302.3</v>
      </c>
      <c r="J31" s="61" t="n">
        <f aca="false">IF(L31&gt;0,L31,0)</f>
        <v>16.2897151499874</v>
      </c>
      <c r="K31" s="55" t="n">
        <f aca="false">I31+J31</f>
        <v>318.589715149987</v>
      </c>
      <c r="L31" s="55" t="n">
        <f aca="false">F31-(I31-X31)</f>
        <v>16.2897151499874</v>
      </c>
      <c r="M31" s="55" t="n">
        <v>249.6</v>
      </c>
      <c r="N31" s="55" t="n">
        <v>0</v>
      </c>
      <c r="O31" s="55" t="n">
        <v>0</v>
      </c>
      <c r="P31" s="5" t="n">
        <f aca="false">M31-(N31+O31)</f>
        <v>249.6</v>
      </c>
      <c r="Q31" s="55" t="n">
        <v>146.9</v>
      </c>
      <c r="R31" s="55" t="n">
        <v>86.2</v>
      </c>
      <c r="S31" s="55" t="n">
        <f aca="false">SUM(P31:R31)</f>
        <v>482.7</v>
      </c>
      <c r="T31" s="57" t="n">
        <f aca="false">T30-(S31-I31)</f>
        <v>13538.3</v>
      </c>
      <c r="U31" s="55" t="n">
        <v>167.9</v>
      </c>
      <c r="V31" s="55" t="n">
        <v>105.6</v>
      </c>
      <c r="W31" s="57" t="n">
        <f aca="false">W30-V31</f>
        <v>7732.9</v>
      </c>
      <c r="X31" s="5" t="n">
        <f aca="false">N31+O31+S31+U31+V31</f>
        <v>756.2</v>
      </c>
      <c r="Y31" s="55" t="n">
        <f aca="false">IF(L31&lt;0,L31*-1,0)</f>
        <v>0</v>
      </c>
      <c r="Z31" s="55" t="n">
        <f aca="false">X31+Y31</f>
        <v>756.2</v>
      </c>
      <c r="AA31" s="62" t="n">
        <v>0</v>
      </c>
      <c r="AB31" s="51" t="n">
        <v>79</v>
      </c>
      <c r="AC31" s="51" t="n">
        <v>48</v>
      </c>
      <c r="AD31" s="48" t="n">
        <f aca="false">AD30+1</f>
        <v>22</v>
      </c>
      <c r="AE31" s="10"/>
      <c r="AF31" s="0"/>
      <c r="AG31" s="5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48" t="n">
        <f aca="false">A31+1</f>
        <v>23</v>
      </c>
      <c r="B32" s="59" t="n">
        <v>6920.47</v>
      </c>
      <c r="C32" s="57" t="n">
        <v>365614</v>
      </c>
      <c r="D32" s="51" t="n">
        <f aca="false">C32-C31</f>
        <v>-1172</v>
      </c>
      <c r="E32" s="57" t="n">
        <f aca="false">C32-152000</f>
        <v>213614</v>
      </c>
      <c r="F32" s="55" t="n">
        <f aca="false">D32/$D$2</f>
        <v>-590.874716410386</v>
      </c>
      <c r="G32" s="55" t="n">
        <v>288.6</v>
      </c>
      <c r="H32" s="61" t="n">
        <v>0</v>
      </c>
      <c r="I32" s="55" t="n">
        <f aca="false">G32+H32</f>
        <v>288.6</v>
      </c>
      <c r="J32" s="61" t="n">
        <f aca="false">IF(L32&gt;0,L32,0)</f>
        <v>0</v>
      </c>
      <c r="K32" s="55" t="n">
        <f aca="false">I32+J32</f>
        <v>288.6</v>
      </c>
      <c r="L32" s="55" t="n">
        <f aca="false">F32-(I32-X32)</f>
        <v>-127.874716410386</v>
      </c>
      <c r="M32" s="55" t="n">
        <v>243.9</v>
      </c>
      <c r="N32" s="55" t="n">
        <v>0</v>
      </c>
      <c r="O32" s="55" t="n">
        <v>0</v>
      </c>
      <c r="P32" s="5" t="n">
        <f aca="false">M32-(N32+O32)</f>
        <v>243.9</v>
      </c>
      <c r="Q32" s="55" t="n">
        <v>146.3</v>
      </c>
      <c r="R32" s="55" t="n">
        <v>86.2</v>
      </c>
      <c r="S32" s="55" t="n">
        <f aca="false">SUM(P32:R32)</f>
        <v>476.4</v>
      </c>
      <c r="T32" s="57" t="n">
        <f aca="false">T31-(S32-I32)</f>
        <v>13350.5</v>
      </c>
      <c r="U32" s="55" t="n">
        <v>173.5</v>
      </c>
      <c r="V32" s="55" t="n">
        <v>101.7</v>
      </c>
      <c r="W32" s="57" t="n">
        <f aca="false">W31-V32</f>
        <v>7631.2</v>
      </c>
      <c r="X32" s="5" t="n">
        <f aca="false">N32+O32+S32+U32+V32</f>
        <v>751.6</v>
      </c>
      <c r="Y32" s="55" t="n">
        <f aca="false">IF(L32&lt;0,L32*-1,0)</f>
        <v>127.874716410386</v>
      </c>
      <c r="Z32" s="55" t="n">
        <f aca="false">X32+Y32</f>
        <v>879.474716410386</v>
      </c>
      <c r="AA32" s="62" t="n">
        <v>0</v>
      </c>
      <c r="AB32" s="51" t="n">
        <v>80</v>
      </c>
      <c r="AC32" s="54" t="n">
        <v>47</v>
      </c>
      <c r="AD32" s="48" t="n">
        <f aca="false">AD31+1</f>
        <v>23</v>
      </c>
      <c r="AE32" s="10"/>
      <c r="AF32" s="0"/>
      <c r="AG32" s="5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48" t="n">
        <f aca="false">A32+1</f>
        <v>24</v>
      </c>
      <c r="B33" s="59" t="n">
        <v>6920.24</v>
      </c>
      <c r="C33" s="57" t="n">
        <v>364615</v>
      </c>
      <c r="D33" s="51" t="n">
        <f aca="false">C33-C32</f>
        <v>-999</v>
      </c>
      <c r="E33" s="57" t="n">
        <f aca="false">C33-152000</f>
        <v>212615</v>
      </c>
      <c r="F33" s="55" t="n">
        <f aca="false">D33/$D$2</f>
        <v>-503.655155028989</v>
      </c>
      <c r="G33" s="55" t="n">
        <v>316.7</v>
      </c>
      <c r="H33" s="61" t="n">
        <v>0</v>
      </c>
      <c r="I33" s="55" t="n">
        <f aca="false">G33+H33</f>
        <v>316.7</v>
      </c>
      <c r="J33" s="61" t="n">
        <f aca="false">IF(L33&gt;0,L33,0)</f>
        <v>0</v>
      </c>
      <c r="K33" s="55" t="n">
        <f aca="false">I33+J33</f>
        <v>316.7</v>
      </c>
      <c r="L33" s="55" t="n">
        <f aca="false">F33-(I33-X33)</f>
        <v>-86.1551550289892</v>
      </c>
      <c r="M33" s="55" t="n">
        <v>243.2</v>
      </c>
      <c r="N33" s="55" t="n">
        <v>0</v>
      </c>
      <c r="O33" s="55" t="n">
        <v>0</v>
      </c>
      <c r="P33" s="5" t="n">
        <f aca="false">M33-(N33+O33)</f>
        <v>243.2</v>
      </c>
      <c r="Q33" s="55" t="n">
        <v>146.6</v>
      </c>
      <c r="R33" s="55" t="n">
        <v>85.2</v>
      </c>
      <c r="S33" s="55" t="n">
        <f aca="false">SUM(P33:R33)</f>
        <v>475</v>
      </c>
      <c r="T33" s="57" t="n">
        <f aca="false">T32-(S33-I33)</f>
        <v>13192.2</v>
      </c>
      <c r="U33" s="55" t="n">
        <v>157.8</v>
      </c>
      <c r="V33" s="55" t="n">
        <v>101.4</v>
      </c>
      <c r="W33" s="57" t="n">
        <f aca="false">W32-V33</f>
        <v>7529.8</v>
      </c>
      <c r="X33" s="5" t="n">
        <f aca="false">N33+O33+S33+U33+V33</f>
        <v>734.2</v>
      </c>
      <c r="Y33" s="55" t="n">
        <f aca="false">IF(L33&lt;0,L33*-1,0)</f>
        <v>86.1551550289892</v>
      </c>
      <c r="Z33" s="55" t="n">
        <f aca="false">X33+Y33</f>
        <v>820.355155028989</v>
      </c>
      <c r="AA33" s="62" t="n">
        <v>0</v>
      </c>
      <c r="AB33" s="51" t="n">
        <v>78</v>
      </c>
      <c r="AC33" s="54" t="n">
        <v>50</v>
      </c>
      <c r="AD33" s="48" t="n">
        <f aca="false">AD32+1</f>
        <v>24</v>
      </c>
      <c r="AE33" s="10"/>
      <c r="AF33" s="0"/>
      <c r="AG33" s="5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48" t="n">
        <f aca="false">A33+1</f>
        <v>25</v>
      </c>
      <c r="B34" s="59" t="n">
        <v>6920</v>
      </c>
      <c r="C34" s="57" t="n">
        <v>363573</v>
      </c>
      <c r="D34" s="51" t="n">
        <f aca="false">C34-C33</f>
        <v>-1042</v>
      </c>
      <c r="E34" s="57" t="n">
        <f aca="false">C34-152000</f>
        <v>211573</v>
      </c>
      <c r="F34" s="55" t="n">
        <f aca="false">D34/$D$2</f>
        <v>-525.334005545752</v>
      </c>
      <c r="G34" s="55" t="n">
        <v>311.3</v>
      </c>
      <c r="H34" s="61" t="n">
        <v>0</v>
      </c>
      <c r="I34" s="55" t="n">
        <f aca="false">G34+H34</f>
        <v>311.3</v>
      </c>
      <c r="J34" s="61" t="n">
        <f aca="false">IF(L34&gt;0,L34,0)</f>
        <v>0</v>
      </c>
      <c r="K34" s="55" t="n">
        <f aca="false">I34+J34</f>
        <v>311.3</v>
      </c>
      <c r="L34" s="55" t="n">
        <f aca="false">F34-(I34-X34)</f>
        <v>-94.5340055457524</v>
      </c>
      <c r="M34" s="55" t="n">
        <v>242.1</v>
      </c>
      <c r="N34" s="55" t="n">
        <v>0</v>
      </c>
      <c r="O34" s="55" t="n">
        <v>0</v>
      </c>
      <c r="P34" s="5" t="n">
        <f aca="false">M34-(N34+O34)</f>
        <v>242.1</v>
      </c>
      <c r="Q34" s="55" t="n">
        <v>149</v>
      </c>
      <c r="R34" s="55" t="n">
        <v>84.2</v>
      </c>
      <c r="S34" s="55" t="n">
        <f aca="false">SUM(P34:R34)</f>
        <v>475.3</v>
      </c>
      <c r="T34" s="57" t="n">
        <f aca="false">T33-(S34-I34)</f>
        <v>13028.2</v>
      </c>
      <c r="U34" s="55" t="n">
        <v>165.4</v>
      </c>
      <c r="V34" s="55" t="n">
        <v>101.4</v>
      </c>
      <c r="W34" s="57" t="n">
        <f aca="false">W33-V34</f>
        <v>7428.4</v>
      </c>
      <c r="X34" s="5" t="n">
        <f aca="false">N34+O34+S34+U34+V34</f>
        <v>742.1</v>
      </c>
      <c r="Y34" s="55" t="n">
        <f aca="false">IF(L34&lt;0,L34*-1,0)</f>
        <v>94.5340055457524</v>
      </c>
      <c r="Z34" s="55" t="n">
        <f aca="false">X34+Y34</f>
        <v>836.634005545752</v>
      </c>
      <c r="AA34" s="62" t="n">
        <v>0</v>
      </c>
      <c r="AB34" s="51" t="n">
        <v>82</v>
      </c>
      <c r="AC34" s="54" t="n">
        <v>54</v>
      </c>
      <c r="AD34" s="48" t="n">
        <f aca="false">AD33+1</f>
        <v>25</v>
      </c>
      <c r="AE34" s="10"/>
      <c r="AF34" s="0"/>
      <c r="AG34" s="5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48" t="n">
        <f aca="false">A34+1</f>
        <v>26</v>
      </c>
      <c r="B35" s="59" t="n">
        <v>6919.75</v>
      </c>
      <c r="C35" s="57" t="n">
        <v>362497</v>
      </c>
      <c r="D35" s="51" t="n">
        <f aca="false">C35-C34</f>
        <v>-1076</v>
      </c>
      <c r="E35" s="57" t="n">
        <f aca="false">C35-152000</f>
        <v>210497</v>
      </c>
      <c r="F35" s="55" t="n">
        <f aca="false">D35/$D$2</f>
        <v>-542.475422233426</v>
      </c>
      <c r="G35" s="55" t="n">
        <v>303.3</v>
      </c>
      <c r="H35" s="61" t="n">
        <v>0</v>
      </c>
      <c r="I35" s="55" t="n">
        <f aca="false">G35+H35</f>
        <v>303.3</v>
      </c>
      <c r="J35" s="61" t="n">
        <f aca="false">IF(L35&gt;0,L35,0)</f>
        <v>0</v>
      </c>
      <c r="K35" s="55" t="n">
        <f aca="false">I35+J35</f>
        <v>303.3</v>
      </c>
      <c r="L35" s="55" t="n">
        <f aca="false">F35-(I35-X35)</f>
        <v>-99.7754222334259</v>
      </c>
      <c r="M35" s="55" t="n">
        <v>244.7</v>
      </c>
      <c r="N35" s="55" t="n">
        <v>0</v>
      </c>
      <c r="O35" s="55" t="n">
        <v>0</v>
      </c>
      <c r="P35" s="5" t="n">
        <f aca="false">M35-(N35+O35)</f>
        <v>244.7</v>
      </c>
      <c r="Q35" s="55" t="n">
        <v>149.7</v>
      </c>
      <c r="R35" s="55" t="n">
        <v>84.7</v>
      </c>
      <c r="S35" s="55" t="n">
        <f aca="false">SUM(P35:R35)</f>
        <v>479.1</v>
      </c>
      <c r="T35" s="57" t="n">
        <f aca="false">T34-(S35-I35)</f>
        <v>12852.4</v>
      </c>
      <c r="U35" s="55" t="n">
        <v>177</v>
      </c>
      <c r="V35" s="55" t="n">
        <v>89.9</v>
      </c>
      <c r="W35" s="57" t="n">
        <f aca="false">W34-V35</f>
        <v>7338.5</v>
      </c>
      <c r="X35" s="5" t="n">
        <f aca="false">N35+O35+S35+U35+V35</f>
        <v>746</v>
      </c>
      <c r="Y35" s="55" t="n">
        <f aca="false">IF(L35&lt;0,L35*-1,0)</f>
        <v>99.7754222334259</v>
      </c>
      <c r="Z35" s="55" t="n">
        <f aca="false">X35+Y35</f>
        <v>845.775422233426</v>
      </c>
      <c r="AA35" s="62" t="n">
        <v>0</v>
      </c>
      <c r="AB35" s="51" t="n">
        <v>82</v>
      </c>
      <c r="AC35" s="51" t="n">
        <v>48</v>
      </c>
      <c r="AD35" s="48" t="n">
        <f aca="false">AD34+1</f>
        <v>26</v>
      </c>
      <c r="AE35" s="10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48" t="n">
        <f aca="false">A35+1</f>
        <v>27</v>
      </c>
      <c r="B36" s="59" t="n">
        <v>6919.47</v>
      </c>
      <c r="C36" s="57" t="n">
        <v>361291</v>
      </c>
      <c r="D36" s="51" t="n">
        <f aca="false">C36-C35</f>
        <v>-1206</v>
      </c>
      <c r="E36" s="57" t="n">
        <f aca="false">C36-152000</f>
        <v>209291</v>
      </c>
      <c r="F36" s="55" t="n">
        <f aca="false">D36/$D$2</f>
        <v>-608.016133098059</v>
      </c>
      <c r="G36" s="55" t="n">
        <v>312.6</v>
      </c>
      <c r="H36" s="61" t="n">
        <v>0</v>
      </c>
      <c r="I36" s="55" t="n">
        <f aca="false">G36+H36</f>
        <v>312.6</v>
      </c>
      <c r="J36" s="61" t="n">
        <f aca="false">IF(L36&gt;0,L36,0)</f>
        <v>0</v>
      </c>
      <c r="K36" s="55" t="n">
        <f aca="false">I36+J36</f>
        <v>312.6</v>
      </c>
      <c r="L36" s="55" t="n">
        <f aca="false">F36-(I36-X36)</f>
        <v>-157.916133098059</v>
      </c>
      <c r="M36" s="55" t="n">
        <v>252.4</v>
      </c>
      <c r="N36" s="55" t="n">
        <v>0</v>
      </c>
      <c r="O36" s="55" t="n">
        <v>0</v>
      </c>
      <c r="P36" s="5" t="n">
        <f aca="false">M36-(N36+O36)</f>
        <v>252.4</v>
      </c>
      <c r="Q36" s="55" t="n">
        <v>149.9</v>
      </c>
      <c r="R36" s="55" t="n">
        <v>83.7</v>
      </c>
      <c r="S36" s="55" t="n">
        <f aca="false">SUM(P36:R36)</f>
        <v>486</v>
      </c>
      <c r="T36" s="57" t="n">
        <f aca="false">T35-(S36-I36)</f>
        <v>12679</v>
      </c>
      <c r="U36" s="55" t="n">
        <v>181</v>
      </c>
      <c r="V36" s="55" t="n">
        <v>95.7</v>
      </c>
      <c r="W36" s="57" t="n">
        <f aca="false">W35-V36</f>
        <v>7242.8</v>
      </c>
      <c r="X36" s="5" t="n">
        <f aca="false">N36+O36+S36+U36+V36</f>
        <v>762.7</v>
      </c>
      <c r="Y36" s="55" t="n">
        <f aca="false">IF(L36&lt;0,L36*-1,0)</f>
        <v>157.916133098059</v>
      </c>
      <c r="Z36" s="55" t="n">
        <f aca="false">X36+Y36</f>
        <v>920.616133098059</v>
      </c>
      <c r="AA36" s="62" t="n">
        <v>0</v>
      </c>
      <c r="AB36" s="51" t="n">
        <v>84</v>
      </c>
      <c r="AC36" s="51" t="n">
        <v>52</v>
      </c>
      <c r="AD36" s="48" t="n">
        <f aca="false">AD35+1</f>
        <v>27</v>
      </c>
      <c r="AE36" s="10"/>
      <c r="AF36" s="0"/>
      <c r="AG36" s="5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48" t="n">
        <f aca="false">A36+1</f>
        <v>28</v>
      </c>
      <c r="B37" s="59" t="n">
        <v>6919.19</v>
      </c>
      <c r="C37" s="57" t="n">
        <v>360065</v>
      </c>
      <c r="D37" s="51" t="n">
        <f aca="false">C37-C36</f>
        <v>-1226</v>
      </c>
      <c r="E37" s="57" t="n">
        <f aca="false">C37-152000</f>
        <v>208065</v>
      </c>
      <c r="F37" s="55" t="n">
        <f aca="false">D37/$D$2</f>
        <v>-618.099319384926</v>
      </c>
      <c r="G37" s="55" t="n">
        <v>287.5</v>
      </c>
      <c r="H37" s="61" t="n">
        <v>0</v>
      </c>
      <c r="I37" s="55" t="n">
        <f aca="false">G37+H37</f>
        <v>287.5</v>
      </c>
      <c r="J37" s="61" t="n">
        <f aca="false">IF(L37&gt;0,L37,0)</f>
        <v>0</v>
      </c>
      <c r="K37" s="55" t="n">
        <f aca="false">I37+J37</f>
        <v>287.5</v>
      </c>
      <c r="L37" s="55" t="n">
        <f aca="false">F37-(I37-X37)</f>
        <v>-134.499319384926</v>
      </c>
      <c r="M37" s="55" t="n">
        <v>254.1</v>
      </c>
      <c r="N37" s="55" t="n">
        <v>0</v>
      </c>
      <c r="O37" s="55" t="n">
        <v>0</v>
      </c>
      <c r="P37" s="5" t="n">
        <f aca="false">M37-(N37+O37)</f>
        <v>254.1</v>
      </c>
      <c r="Q37" s="55" t="n">
        <v>149.9</v>
      </c>
      <c r="R37" s="55" t="n">
        <v>82.7</v>
      </c>
      <c r="S37" s="55" t="n">
        <f aca="false">SUM(P37:R37)</f>
        <v>486.7</v>
      </c>
      <c r="T37" s="57" t="n">
        <f aca="false">T36-(S37-I37)</f>
        <v>12479.8</v>
      </c>
      <c r="U37" s="55" t="n">
        <v>186.6</v>
      </c>
      <c r="V37" s="55" t="n">
        <v>97.8</v>
      </c>
      <c r="W37" s="57" t="n">
        <f aca="false">W36-V37</f>
        <v>7145.00000000001</v>
      </c>
      <c r="X37" s="5" t="n">
        <f aca="false">N37+O37+S37+U37+V37</f>
        <v>771.1</v>
      </c>
      <c r="Y37" s="55" t="n">
        <f aca="false">IF(L37&lt;0,L37*-1,0)</f>
        <v>134.499319384926</v>
      </c>
      <c r="Z37" s="55" t="n">
        <f aca="false">X37+Y37</f>
        <v>905.599319384926</v>
      </c>
      <c r="AA37" s="62" t="n">
        <v>0</v>
      </c>
      <c r="AB37" s="51" t="n">
        <v>91</v>
      </c>
      <c r="AC37" s="51" t="n">
        <v>52</v>
      </c>
      <c r="AD37" s="48" t="n">
        <f aca="false">AD36+1</f>
        <v>28</v>
      </c>
      <c r="AE37" s="10"/>
      <c r="AF37" s="0"/>
      <c r="AG37" s="5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48" t="n">
        <f aca="false">A37+1</f>
        <v>29</v>
      </c>
      <c r="B38" s="59" t="n">
        <v>6918.95</v>
      </c>
      <c r="C38" s="57" t="n">
        <v>359053</v>
      </c>
      <c r="D38" s="51" t="n">
        <f aca="false">C38-C37</f>
        <v>-1012</v>
      </c>
      <c r="E38" s="57" t="n">
        <f aca="false">C38-152000</f>
        <v>207053</v>
      </c>
      <c r="F38" s="55" t="n">
        <f aca="false">D38/$D$2</f>
        <v>-510.209226115452</v>
      </c>
      <c r="G38" s="55" t="n">
        <v>281.2</v>
      </c>
      <c r="H38" s="61" t="n">
        <v>0</v>
      </c>
      <c r="I38" s="55" t="n">
        <f aca="false">G38+H38</f>
        <v>281.2</v>
      </c>
      <c r="J38" s="61" t="n">
        <f aca="false">IF(L38&gt;0,L38,0)</f>
        <v>0</v>
      </c>
      <c r="K38" s="55" t="n">
        <f aca="false">I38+J38</f>
        <v>281.2</v>
      </c>
      <c r="L38" s="55" t="n">
        <f aca="false">F38-(I38-X38)</f>
        <v>-37.7092261154525</v>
      </c>
      <c r="M38" s="55" t="n">
        <v>256.5</v>
      </c>
      <c r="N38" s="55" t="n">
        <v>0</v>
      </c>
      <c r="O38" s="55" t="n">
        <v>0</v>
      </c>
      <c r="P38" s="5" t="n">
        <f aca="false">M38-(N38+O38)</f>
        <v>256.5</v>
      </c>
      <c r="Q38" s="55" t="n">
        <v>150.3</v>
      </c>
      <c r="R38" s="55" t="n">
        <v>82.2</v>
      </c>
      <c r="S38" s="55" t="n">
        <f aca="false">SUM(P38:R38)</f>
        <v>489</v>
      </c>
      <c r="T38" s="57" t="n">
        <f aca="false">T37-(S38-I38)</f>
        <v>12272</v>
      </c>
      <c r="U38" s="55" t="n">
        <v>167.9</v>
      </c>
      <c r="V38" s="55" t="n">
        <v>96.8</v>
      </c>
      <c r="W38" s="57" t="n">
        <f aca="false">W37-V38</f>
        <v>7048.2</v>
      </c>
      <c r="X38" s="5" t="n">
        <f aca="false">N38+O38+S38+U38+V38</f>
        <v>753.7</v>
      </c>
      <c r="Y38" s="55" t="n">
        <f aca="false">IF(L38&lt;0,L38*-1,0)</f>
        <v>37.7092261154525</v>
      </c>
      <c r="Z38" s="55" t="n">
        <f aca="false">X38+Y38</f>
        <v>791.409226115452</v>
      </c>
      <c r="AA38" s="62" t="n">
        <v>0</v>
      </c>
      <c r="AB38" s="54" t="n">
        <v>87</v>
      </c>
      <c r="AC38" s="51" t="n">
        <v>54</v>
      </c>
      <c r="AD38" s="48" t="n">
        <f aca="false">AD37+1</f>
        <v>29</v>
      </c>
      <c r="AE38" s="10"/>
      <c r="AF38" s="0"/>
      <c r="AG38" s="5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48" t="n">
        <v>30</v>
      </c>
      <c r="B39" s="59" t="n">
        <v>6918.69</v>
      </c>
      <c r="C39" s="57" t="n">
        <v>357942</v>
      </c>
      <c r="D39" s="51" t="n">
        <f aca="false">C39-C38</f>
        <v>-1111</v>
      </c>
      <c r="E39" s="57" t="n">
        <f aca="false">C39-152000</f>
        <v>205942</v>
      </c>
      <c r="F39" s="55" t="n">
        <f aca="false">D39/$D$2</f>
        <v>-560.120998235442</v>
      </c>
      <c r="G39" s="55" t="n">
        <v>288</v>
      </c>
      <c r="H39" s="61" t="n">
        <v>0</v>
      </c>
      <c r="I39" s="55" t="n">
        <f aca="false">G39+H39</f>
        <v>288</v>
      </c>
      <c r="J39" s="61" t="n">
        <f aca="false">IF(L39&gt;0,L39,0)</f>
        <v>0</v>
      </c>
      <c r="K39" s="55" t="n">
        <f aca="false">I39+J39</f>
        <v>288</v>
      </c>
      <c r="L39" s="55" t="n">
        <f aca="false">F39-(I39-X39)</f>
        <v>-101.220998235442</v>
      </c>
      <c r="M39" s="55" t="n">
        <v>248.5</v>
      </c>
      <c r="N39" s="55" t="n">
        <v>0</v>
      </c>
      <c r="O39" s="55" t="n">
        <v>0</v>
      </c>
      <c r="P39" s="5" t="n">
        <f aca="false">M39-(N39+O39)</f>
        <v>248.5</v>
      </c>
      <c r="Q39" s="55" t="n">
        <v>150</v>
      </c>
      <c r="R39" s="55" t="n">
        <v>82.7</v>
      </c>
      <c r="S39" s="55" t="n">
        <f aca="false">SUM(P39:R39)</f>
        <v>481.2</v>
      </c>
      <c r="T39" s="57" t="n">
        <f aca="false">T38-(S39-I39)</f>
        <v>12078.8</v>
      </c>
      <c r="U39" s="55" t="n">
        <v>166.4</v>
      </c>
      <c r="V39" s="55" t="n">
        <v>99.3</v>
      </c>
      <c r="W39" s="57" t="n">
        <f aca="false">W38-V39</f>
        <v>6948.9</v>
      </c>
      <c r="X39" s="5" t="n">
        <f aca="false">N39+O39+S39+U39+V39</f>
        <v>746.9</v>
      </c>
      <c r="Y39" s="55" t="n">
        <f aca="false">IF(L39&lt;0,L39*-1,0)</f>
        <v>101.220998235442</v>
      </c>
      <c r="Z39" s="55" t="n">
        <f aca="false">X39+Y39</f>
        <v>848.120998235442</v>
      </c>
      <c r="AA39" s="62" t="n">
        <v>0</v>
      </c>
      <c r="AB39" s="54" t="n">
        <v>86</v>
      </c>
      <c r="AC39" s="51" t="n">
        <v>57</v>
      </c>
      <c r="AD39" s="48" t="n">
        <v>30</v>
      </c>
      <c r="AE39" s="10"/>
      <c r="AF39" s="0"/>
      <c r="AG39" s="5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48" t="n">
        <v>31</v>
      </c>
      <c r="B40" s="59" t="n">
        <v>6918.41</v>
      </c>
      <c r="C40" s="57" t="n">
        <v>356746</v>
      </c>
      <c r="D40" s="51" t="n">
        <f aca="false">C40-C39</f>
        <v>-1196</v>
      </c>
      <c r="E40" s="57" t="n">
        <f aca="false">C40-152000</f>
        <v>204746</v>
      </c>
      <c r="F40" s="55" t="n">
        <f aca="false">D40/$D$2</f>
        <v>-602.974539954626</v>
      </c>
      <c r="G40" s="55" t="n">
        <v>278.7</v>
      </c>
      <c r="H40" s="61" t="n">
        <v>0</v>
      </c>
      <c r="I40" s="55" t="n">
        <f aca="false">G40+H40</f>
        <v>278.7</v>
      </c>
      <c r="J40" s="61" t="n">
        <f aca="false">IF(L40&gt;0,L40,0)</f>
        <v>0</v>
      </c>
      <c r="K40" s="55" t="n">
        <f aca="false">I40+J40</f>
        <v>278.7</v>
      </c>
      <c r="L40" s="55" t="n">
        <f aca="false">F40-(I40-X40)</f>
        <v>-141.674539954626</v>
      </c>
      <c r="M40" s="55" t="n">
        <v>243.7</v>
      </c>
      <c r="N40" s="55" t="n">
        <v>0</v>
      </c>
      <c r="O40" s="55" t="n">
        <v>0</v>
      </c>
      <c r="P40" s="5" t="n">
        <f aca="false">M40-(N40+O40)</f>
        <v>243.7</v>
      </c>
      <c r="Q40" s="55" t="n">
        <v>150</v>
      </c>
      <c r="R40" s="55" t="n">
        <v>81.7</v>
      </c>
      <c r="S40" s="55" t="n">
        <f aca="false">SUM(P40:R40)</f>
        <v>475.4</v>
      </c>
      <c r="T40" s="57" t="n">
        <f aca="false">T39-(S40-I40)</f>
        <v>11882.1</v>
      </c>
      <c r="U40" s="55" t="n">
        <v>164.4</v>
      </c>
      <c r="V40" s="55" t="n">
        <v>100.2</v>
      </c>
      <c r="W40" s="57" t="n">
        <f aca="false">W39-V40</f>
        <v>6848.7</v>
      </c>
      <c r="X40" s="5" t="n">
        <f aca="false">N40+O40+S40+U40+V40</f>
        <v>740</v>
      </c>
      <c r="Y40" s="55" t="n">
        <f aca="false">IF(L40&lt;0,L40*-1,0)</f>
        <v>141.674539954626</v>
      </c>
      <c r="Z40" s="55" t="n">
        <f aca="false">X40+Y40</f>
        <v>881.674539954626</v>
      </c>
      <c r="AA40" s="62" t="n">
        <v>0</v>
      </c>
      <c r="AB40" s="54" t="n">
        <v>89</v>
      </c>
      <c r="AC40" s="51" t="n">
        <v>56</v>
      </c>
      <c r="AD40" s="48" t="n">
        <v>31</v>
      </c>
      <c r="AE40" s="99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84"/>
      <c r="B41" s="84"/>
      <c r="C41" s="86"/>
      <c r="D41" s="84"/>
      <c r="E41" s="86"/>
      <c r="F41" s="84"/>
      <c r="G41" s="84"/>
      <c r="H41" s="109"/>
      <c r="I41" s="84"/>
      <c r="J41" s="84"/>
      <c r="K41" s="84"/>
      <c r="L41" s="84"/>
      <c r="M41" s="84"/>
      <c r="N41" s="84"/>
      <c r="O41" s="84" t="n">
        <v>0</v>
      </c>
      <c r="P41" s="84"/>
      <c r="Q41" s="84"/>
      <c r="R41" s="84"/>
      <c r="S41" s="84"/>
      <c r="T41" s="86"/>
      <c r="U41" s="84"/>
      <c r="V41" s="84"/>
      <c r="W41" s="84"/>
      <c r="X41" s="84"/>
      <c r="Y41" s="84"/>
      <c r="Z41" s="84"/>
      <c r="AA41" s="132" t="n">
        <v>0</v>
      </c>
      <c r="AB41" s="52"/>
      <c r="AC41" s="52"/>
      <c r="AD41" s="53"/>
      <c r="AE41" s="81"/>
      <c r="AF41" s="82"/>
    </row>
    <row r="42" customFormat="false" ht="11.1" hidden="false" customHeight="true" outlineLevel="0" collapsed="false">
      <c r="A42" s="55" t="s">
        <v>43</v>
      </c>
      <c r="B42" s="55"/>
      <c r="C42" s="57"/>
      <c r="D42" s="57"/>
      <c r="E42" s="57"/>
      <c r="F42" s="57" t="n">
        <f aca="false">SUM(F10:F40)</f>
        <v>-12444.1643559365</v>
      </c>
      <c r="G42" s="57" t="n">
        <f aca="false">SUM(G10:G40)</f>
        <v>16866.9</v>
      </c>
      <c r="H42" s="61" t="n">
        <f aca="false">SUM(H10:H40)</f>
        <v>8.2</v>
      </c>
      <c r="I42" s="57" t="n">
        <f aca="false">SUM(I10:I40)</f>
        <v>16875.1</v>
      </c>
      <c r="J42" s="57" t="n">
        <f aca="false">SUM(J10:J40)</f>
        <v>99.4214771867912</v>
      </c>
      <c r="K42" s="57" t="n">
        <f aca="false">SUM(K10:K40)</f>
        <v>16974.5214771868</v>
      </c>
      <c r="L42" s="57" t="n">
        <f aca="false">SUM(L10:L40)</f>
        <v>-2831.66435593648</v>
      </c>
      <c r="M42" s="57" t="n">
        <f aca="false">SUM(M10:M40)</f>
        <v>7742.1</v>
      </c>
      <c r="N42" s="57" t="n">
        <f aca="false">SUM(N10:N40)</f>
        <v>0</v>
      </c>
      <c r="O42" s="57" t="n">
        <f aca="false">SUM(O10:O40)</f>
        <v>11.6</v>
      </c>
      <c r="P42" s="57" t="n">
        <f aca="false">SUM(P10:P40)</f>
        <v>7730.5</v>
      </c>
      <c r="Q42" s="57" t="n">
        <f aca="false">SUM(Q10:Q40)</f>
        <v>4576.7</v>
      </c>
      <c r="R42" s="57" t="n">
        <f aca="false">SUM(R10:R40)</f>
        <v>2541.3</v>
      </c>
      <c r="S42" s="57" t="n">
        <f aca="false">SUM(S10:S40)</f>
        <v>14848.5</v>
      </c>
      <c r="T42" s="57"/>
      <c r="U42" s="57" t="n">
        <f aca="false">SUM(U10:U40)</f>
        <v>5567.8</v>
      </c>
      <c r="V42" s="57" t="n">
        <f aca="false">SUM(V10:V40)</f>
        <v>6059.7</v>
      </c>
      <c r="W42" s="57" t="n">
        <f aca="false">W40</f>
        <v>6848.7</v>
      </c>
      <c r="X42" s="57" t="n">
        <f aca="false">SUM(X10:X40)</f>
        <v>26487.6</v>
      </c>
      <c r="Y42" s="57" t="n">
        <f aca="false">SUM(Y10:Y40)</f>
        <v>2931.08583312327</v>
      </c>
      <c r="Z42" s="57" t="n">
        <f aca="false">SUM(Z10:Z40)</f>
        <v>29418.6858331233</v>
      </c>
      <c r="AA42" s="62" t="n">
        <f aca="false">SUM(AA10:AA40)</f>
        <v>0</v>
      </c>
      <c r="AB42" s="51" t="n">
        <f aca="false">AVERAGE(AB10:AB40)</f>
        <v>82.9677419354839</v>
      </c>
      <c r="AC42" s="51" t="n">
        <f aca="false">AVERAGE(AC10:AC40)</f>
        <v>50.6129032258064</v>
      </c>
      <c r="AD42" s="48" t="s">
        <v>74</v>
      </c>
      <c r="AE42" s="81"/>
      <c r="AF42" s="82"/>
    </row>
    <row r="43" customFormat="false" ht="11.1" hidden="false" customHeight="true" outlineLevel="0" collapsed="false">
      <c r="A43" s="55" t="s">
        <v>44</v>
      </c>
      <c r="B43" s="55"/>
      <c r="C43" s="57"/>
      <c r="D43" s="57" t="n">
        <f aca="false">SUM(D10:D40)</f>
        <v>-24683</v>
      </c>
      <c r="E43" s="57"/>
      <c r="F43" s="57" t="n">
        <f aca="false">F42*$D$2</f>
        <v>-24683</v>
      </c>
      <c r="G43" s="57" t="n">
        <f aca="false">G42*$D$2</f>
        <v>33455.49615</v>
      </c>
      <c r="H43" s="61" t="n">
        <f aca="false">H42*$D$2</f>
        <v>16.2647</v>
      </c>
      <c r="I43" s="57" t="n">
        <f aca="false">I42*$D$2</f>
        <v>33471.76085</v>
      </c>
      <c r="J43" s="57" t="n">
        <f aca="false">J42*$D$2</f>
        <v>197.2025</v>
      </c>
      <c r="K43" s="57" t="n">
        <f aca="false">K42*$D$2</f>
        <v>33668.96335</v>
      </c>
      <c r="L43" s="57" t="n">
        <f aca="false">L42*$D$2</f>
        <v>-5616.60625</v>
      </c>
      <c r="M43" s="57" t="n">
        <f aca="false">M42*$D$2</f>
        <v>15356.45535</v>
      </c>
      <c r="N43" s="57" t="n">
        <f aca="false">N42*$D$2</f>
        <v>0</v>
      </c>
      <c r="O43" s="57" t="n">
        <f aca="false">O42*$D$2</f>
        <v>23.0086</v>
      </c>
      <c r="P43" s="57" t="n">
        <f aca="false">P42*$D$2</f>
        <v>15333.44675</v>
      </c>
      <c r="Q43" s="57" t="n">
        <f aca="false">Q42*$D$2</f>
        <v>9077.88445</v>
      </c>
      <c r="R43" s="57" t="n">
        <f aca="false">R42*$D$2</f>
        <v>5040.66855</v>
      </c>
      <c r="S43" s="57" t="n">
        <f aca="false">S42*$D$2</f>
        <v>29451.99975</v>
      </c>
      <c r="T43" s="57"/>
      <c r="U43" s="57" t="n">
        <f aca="false">U42*$D$2</f>
        <v>11043.7313</v>
      </c>
      <c r="V43" s="57" t="n">
        <f aca="false">V42*$D$2</f>
        <v>12019.41495</v>
      </c>
      <c r="W43" s="57" t="n">
        <f aca="false">W42*$D$2</f>
        <v>13584.39645</v>
      </c>
      <c r="X43" s="57" t="n">
        <f aca="false">X42*$D$2</f>
        <v>52538.1546</v>
      </c>
      <c r="Y43" s="57" t="n">
        <f aca="false">Y42*$D$2</f>
        <v>5813.80875</v>
      </c>
      <c r="Z43" s="57" t="n">
        <f aca="false">Z42*$D$2</f>
        <v>58351.96335</v>
      </c>
      <c r="AA43" s="62"/>
      <c r="AB43" s="51" t="n">
        <f aca="false">MAX(AB10:AB40)</f>
        <v>91</v>
      </c>
      <c r="AC43" s="51" t="n">
        <f aca="false">MAX(AC10:AC40)</f>
        <v>58</v>
      </c>
      <c r="AD43" s="48" t="s">
        <v>45</v>
      </c>
      <c r="AE43" s="81"/>
      <c r="AF43" s="82"/>
    </row>
    <row r="44" customFormat="false" ht="3" hidden="false" customHeight="true" outlineLevel="0" collapsed="false">
      <c r="A44" s="84"/>
      <c r="B44" s="84"/>
      <c r="C44" s="86"/>
      <c r="D44" s="86"/>
      <c r="E44" s="86"/>
      <c r="F44" s="86"/>
      <c r="G44" s="86"/>
      <c r="H44" s="109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4"/>
      <c r="X44" s="86"/>
      <c r="Y44" s="86"/>
      <c r="Z44" s="86"/>
      <c r="AA44" s="62"/>
      <c r="AB44" s="51"/>
      <c r="AC44" s="51"/>
      <c r="AD44" s="48"/>
      <c r="AE44" s="81"/>
      <c r="AF44" s="82"/>
    </row>
    <row r="45" customFormat="false" ht="11.1" hidden="false" customHeight="true" outlineLevel="0" collapsed="false">
      <c r="A45" s="55" t="s">
        <v>46</v>
      </c>
      <c r="B45" s="55"/>
      <c r="C45" s="57"/>
      <c r="D45" s="57"/>
      <c r="E45" s="57"/>
      <c r="F45" s="57" t="n">
        <f aca="false">F7+F42</f>
        <v>14420.9730274767</v>
      </c>
      <c r="G45" s="57" t="n">
        <f aca="false">G7+G42</f>
        <v>202416</v>
      </c>
      <c r="H45" s="61" t="n">
        <f aca="false">H7+H42</f>
        <v>17400.2</v>
      </c>
      <c r="I45" s="57" t="n">
        <f aca="false">I7+I42</f>
        <v>219816.2</v>
      </c>
      <c r="J45" s="57" t="n">
        <f aca="false">J7+J42</f>
        <v>44388.7224426519</v>
      </c>
      <c r="K45" s="57" t="n">
        <f aca="false">K7+K42</f>
        <v>264204.922442652</v>
      </c>
      <c r="L45" s="57" t="n">
        <f aca="false">L7+L42</f>
        <v>39672.7230274767</v>
      </c>
      <c r="M45" s="57" t="n">
        <f aca="false">M7+M42</f>
        <v>19926.86</v>
      </c>
      <c r="N45" s="57" t="n">
        <f aca="false">N7+N42</f>
        <v>0</v>
      </c>
      <c r="O45" s="57" t="n">
        <f aca="false">O7+O42</f>
        <v>11.6</v>
      </c>
      <c r="P45" s="57" t="n">
        <f aca="false">P7+P42</f>
        <v>19915.26</v>
      </c>
      <c r="Q45" s="57" t="n">
        <f aca="false">Q7+Q42</f>
        <v>13121.3</v>
      </c>
      <c r="R45" s="57" t="n">
        <f aca="false">R7+R42</f>
        <v>6887.69</v>
      </c>
      <c r="S45" s="57" t="n">
        <f aca="false">S7+S42</f>
        <v>39924.25</v>
      </c>
      <c r="T45" s="134" t="n">
        <f aca="false">T40</f>
        <v>11882.1</v>
      </c>
      <c r="U45" s="57" t="n">
        <f aca="false">U7+U42</f>
        <v>9218.5</v>
      </c>
      <c r="V45" s="57" t="n">
        <f aca="false">V7+V42</f>
        <v>195913.6</v>
      </c>
      <c r="W45" s="134"/>
      <c r="X45" s="57" t="n">
        <f aca="false">X7+X42</f>
        <v>245067.95</v>
      </c>
      <c r="Y45" s="57" t="n">
        <f aca="false">Y7+Y42</f>
        <v>4715.9994151752</v>
      </c>
      <c r="Z45" s="57" t="n">
        <f aca="false">Z7+Z42</f>
        <v>249783.949415175</v>
      </c>
      <c r="AA45" s="62"/>
      <c r="AB45" s="51" t="n">
        <f aca="false">MIN(AB10:AB40)</f>
        <v>76</v>
      </c>
      <c r="AC45" s="51" t="n">
        <f aca="false">MIN(AC10:AC40)</f>
        <v>44</v>
      </c>
      <c r="AD45" s="48" t="s">
        <v>47</v>
      </c>
      <c r="AE45" s="81"/>
      <c r="AF45" s="82"/>
    </row>
    <row r="46" customFormat="false" ht="11.1" hidden="false" customHeight="true" outlineLevel="0" collapsed="false">
      <c r="A46" s="55" t="s">
        <v>48</v>
      </c>
      <c r="B46" s="55"/>
      <c r="C46" s="57"/>
      <c r="D46" s="57"/>
      <c r="E46" s="57"/>
      <c r="F46" s="57" t="n">
        <f aca="false">F45*$D$2</f>
        <v>28604</v>
      </c>
      <c r="G46" s="57" t="n">
        <f aca="false">G45*$D$2</f>
        <v>401492.136</v>
      </c>
      <c r="H46" s="61" t="n">
        <f aca="false">H45*$D$2</f>
        <v>34513.2967</v>
      </c>
      <c r="I46" s="57" t="n">
        <f aca="false">I45*$D$2</f>
        <v>436005.4327</v>
      </c>
      <c r="J46" s="57" t="n">
        <f aca="false">J45*$D$2</f>
        <v>88045.030965</v>
      </c>
      <c r="K46" s="57" t="n">
        <f aca="false">K45*$D$2</f>
        <v>524050.463665</v>
      </c>
      <c r="L46" s="57" t="n">
        <f aca="false">L45*$D$2</f>
        <v>78690.846125</v>
      </c>
      <c r="M46" s="57" t="n">
        <f aca="false">M45*$D$2</f>
        <v>39524.92681</v>
      </c>
      <c r="N46" s="57" t="n">
        <f aca="false">N45*$D$2</f>
        <v>0</v>
      </c>
      <c r="O46" s="57" t="n">
        <f aca="false">O45*$D$2</f>
        <v>23.0086</v>
      </c>
      <c r="P46" s="57" t="n">
        <f aca="false">P45*$D$2</f>
        <v>39501.91821</v>
      </c>
      <c r="Q46" s="57" t="n">
        <f aca="false">Q45*$D$2</f>
        <v>26026.09855</v>
      </c>
      <c r="R46" s="57" t="n">
        <f aca="false">R45*$D$2</f>
        <v>13661.733115</v>
      </c>
      <c r="S46" s="57" t="n">
        <f aca="false">S45*$D$2</f>
        <v>79189.749875</v>
      </c>
      <c r="T46" s="57" t="n">
        <f aca="false">T45*$D$2</f>
        <v>23568.14535</v>
      </c>
      <c r="U46" s="57" t="n">
        <f aca="false">U45*$D$2</f>
        <v>18284.89475</v>
      </c>
      <c r="V46" s="57" t="n">
        <f aca="false">V45*$D$2</f>
        <v>388594.6256</v>
      </c>
      <c r="W46" s="57"/>
      <c r="X46" s="57" t="n">
        <f aca="false">X45*$D$2</f>
        <v>486092.278825</v>
      </c>
      <c r="Y46" s="57" t="n">
        <f aca="false">Y45*$D$2</f>
        <v>9354.18484</v>
      </c>
      <c r="Z46" s="57" t="n">
        <f aca="false">Z45*$D$2</f>
        <v>495446.463665</v>
      </c>
      <c r="AA46" s="62"/>
      <c r="AB46" s="51"/>
      <c r="AC46" s="51"/>
      <c r="AD46" s="48"/>
      <c r="AE46" s="81"/>
      <c r="AF46" s="82"/>
    </row>
    <row r="47" customFormat="false" ht="3" hidden="false" customHeight="true" outlineLevel="0" collapsed="false">
      <c r="A47" s="84"/>
      <c r="B47" s="84"/>
      <c r="C47" s="86"/>
      <c r="D47" s="86"/>
      <c r="E47" s="86"/>
      <c r="F47" s="86"/>
      <c r="G47" s="86"/>
      <c r="H47" s="109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132"/>
      <c r="AB47" s="51"/>
      <c r="AC47" s="51"/>
      <c r="AD47" s="48"/>
      <c r="AE47" s="81"/>
      <c r="AF47" s="82"/>
    </row>
    <row r="48" customFormat="false" ht="11.1" hidden="false" customHeight="true" outlineLevel="0" collapsed="false">
      <c r="A48" s="55" t="s">
        <v>49</v>
      </c>
      <c r="B48" s="55"/>
      <c r="C48" s="57"/>
      <c r="D48" s="57"/>
      <c r="E48" s="57"/>
      <c r="F48" s="57" t="n">
        <f aca="false">F8+F42</f>
        <v>26603.9828585833</v>
      </c>
      <c r="G48" s="57" t="n">
        <f aca="false">G8+G42</f>
        <v>220022.6</v>
      </c>
      <c r="H48" s="61" t="n">
        <f aca="false">H8+H42</f>
        <v>20579.8</v>
      </c>
      <c r="I48" s="57" t="n">
        <f aca="false">I8+I42</f>
        <v>240602.4</v>
      </c>
      <c r="J48" s="57" t="n">
        <f aca="false">J8+J42</f>
        <v>51929.561288127</v>
      </c>
      <c r="K48" s="57" t="n">
        <f aca="false">K8+K42</f>
        <v>292531.961288127</v>
      </c>
      <c r="L48" s="57" t="n">
        <f aca="false">L8+L42</f>
        <v>46208.6328585833</v>
      </c>
      <c r="M48" s="57" t="n">
        <f aca="false">M8+M42</f>
        <v>21015.16</v>
      </c>
      <c r="N48" s="57" t="n">
        <f aca="false">N8+N42</f>
        <v>0.08</v>
      </c>
      <c r="O48" s="57" t="n">
        <f aca="false">O8+O42</f>
        <v>11.6</v>
      </c>
      <c r="P48" s="57" t="n">
        <f aca="false">P8+P42</f>
        <v>20331.78</v>
      </c>
      <c r="Q48" s="57" t="n">
        <f aca="false">Q8+Q42</f>
        <v>13121.3</v>
      </c>
      <c r="R48" s="57" t="n">
        <f aca="false">R8+R42</f>
        <v>7066.39</v>
      </c>
      <c r="S48" s="57" t="n">
        <f aca="false">S8+S42</f>
        <v>41191.17</v>
      </c>
      <c r="T48" s="57" t="n">
        <f aca="false">T45</f>
        <v>11882.1</v>
      </c>
      <c r="U48" s="57" t="n">
        <f aca="false">U8+U42</f>
        <v>9218.5</v>
      </c>
      <c r="V48" s="57" t="n">
        <f aca="false">V8+V42</f>
        <v>209785.7</v>
      </c>
      <c r="W48" s="57" t="n">
        <f aca="false">W40</f>
        <v>6848.7</v>
      </c>
      <c r="X48" s="57" t="n">
        <f aca="false">X8+X42</f>
        <v>260207.05</v>
      </c>
      <c r="Y48" s="57" t="n">
        <f aca="false">Y8+Y42</f>
        <v>5720.92842954374</v>
      </c>
      <c r="Z48" s="57" t="n">
        <f aca="false">Z8+Z42</f>
        <v>265927.978429544</v>
      </c>
      <c r="AA48" s="62" t="n">
        <f aca="false">AA8+AA42</f>
        <v>14.01</v>
      </c>
      <c r="AB48" s="51"/>
      <c r="AC48" s="51"/>
      <c r="AD48" s="48"/>
      <c r="AE48" s="81"/>
      <c r="AF48" s="82"/>
    </row>
    <row r="49" customFormat="false" ht="11.1" hidden="false" customHeight="true" outlineLevel="0" collapsed="false">
      <c r="A49" s="55" t="s">
        <v>50</v>
      </c>
      <c r="B49" s="55"/>
      <c r="C49" s="57"/>
      <c r="D49" s="57" t="n">
        <f aca="false">D8+D43</f>
        <v>52769</v>
      </c>
      <c r="E49" s="57" t="n">
        <f aca="false">E40</f>
        <v>204746</v>
      </c>
      <c r="F49" s="57" t="n">
        <f aca="false">F48*$D$2</f>
        <v>52769</v>
      </c>
      <c r="G49" s="57" t="n">
        <f aca="false">G48*$D$2</f>
        <v>436414.8271</v>
      </c>
      <c r="H49" s="61" t="n">
        <f aca="false">H48*$D$2</f>
        <v>40820.0333</v>
      </c>
      <c r="I49" s="57" t="n">
        <f aca="false">I48*$D$2</f>
        <v>477234.8604</v>
      </c>
      <c r="J49" s="57" t="n">
        <f aca="false">J48*$D$2</f>
        <v>103002.284815</v>
      </c>
      <c r="K49" s="57" t="n">
        <f aca="false">K48*$D$2</f>
        <v>580237.145215</v>
      </c>
      <c r="L49" s="57" t="n">
        <f aca="false">L48*$D$2</f>
        <v>91654.823275</v>
      </c>
      <c r="M49" s="57" t="n">
        <f aca="false">M48*$D$2</f>
        <v>41683.56986</v>
      </c>
      <c r="N49" s="57" t="n">
        <f aca="false">N48*$D$2</f>
        <v>0.15868</v>
      </c>
      <c r="O49" s="57" t="n">
        <f aca="false">O48*$D$2</f>
        <v>23.0086</v>
      </c>
      <c r="P49" s="57" t="n">
        <f aca="false">P48*$D$2</f>
        <v>40328.08563</v>
      </c>
      <c r="Q49" s="57" t="n">
        <f aca="false">Q48*$D$2</f>
        <v>26026.09855</v>
      </c>
      <c r="R49" s="57" t="n">
        <f aca="false">R48*$D$2</f>
        <v>14016.184565</v>
      </c>
      <c r="S49" s="57" t="n">
        <f aca="false">S48*$D$2</f>
        <v>81702.685695</v>
      </c>
      <c r="T49" s="57" t="n">
        <f aca="false">T48*$D$2</f>
        <v>23568.14535</v>
      </c>
      <c r="U49" s="57" t="n">
        <f aca="false">U48*$D$2</f>
        <v>18284.89475</v>
      </c>
      <c r="V49" s="57" t="n">
        <f aca="false">V48*$D$2</f>
        <v>416109.93595</v>
      </c>
      <c r="W49" s="57" t="n">
        <f aca="false">W40*$D$2</f>
        <v>13584.39645</v>
      </c>
      <c r="X49" s="57" t="n">
        <f aca="false">X48*$D$2</f>
        <v>516120.683675</v>
      </c>
      <c r="Y49" s="57" t="n">
        <f aca="false">Y48*$D$2</f>
        <v>11347.46154</v>
      </c>
      <c r="Z49" s="57" t="n">
        <f aca="false">Z48*$D$2</f>
        <v>527468.145215</v>
      </c>
      <c r="AA49" s="62"/>
      <c r="AB49" s="51"/>
      <c r="AC49" s="51"/>
      <c r="AD49" s="48"/>
      <c r="AE49" s="81"/>
      <c r="AF49" s="82"/>
    </row>
    <row r="50" customFormat="false" ht="3" hidden="false" customHeight="true" outlineLevel="0" collapsed="false">
      <c r="A50" s="84"/>
      <c r="B50" s="84"/>
      <c r="C50" s="86"/>
      <c r="D50" s="84"/>
      <c r="E50" s="86"/>
      <c r="F50" s="84"/>
      <c r="G50" s="84"/>
      <c r="H50" s="109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6"/>
      <c r="U50" s="84"/>
      <c r="V50" s="84"/>
      <c r="W50" s="86"/>
      <c r="X50" s="84"/>
      <c r="Y50" s="84"/>
      <c r="Z50" s="84"/>
      <c r="AA50" s="62"/>
      <c r="AB50" s="51"/>
      <c r="AC50" s="51"/>
      <c r="AD50" s="48"/>
      <c r="AE50" s="81"/>
      <c r="AF50" s="8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I21" activePane="bottomRight" state="frozen"/>
      <selection pane="topLeft" activeCell="A1" activeCellId="0" sqref="A1"/>
      <selection pane="topRight" activeCell="I1" activeCellId="0" sqref="I1"/>
      <selection pane="bottomLeft" activeCell="A21" activeCellId="0" sqref="A21"/>
      <selection pane="bottomRight" activeCell="S25" activeCellId="0" sqref="S25"/>
    </sheetView>
  </sheetViews>
  <sheetFormatPr defaultColWidth="9.328125" defaultRowHeight="11.1" zeroHeight="false" outlineLevelRow="0" outlineLevelCol="0"/>
  <cols>
    <col collapsed="false" customWidth="true" hidden="false" outlineLevel="0" max="1" min="1" style="41" width="5.66"/>
    <col collapsed="false" customWidth="true" hidden="false" outlineLevel="0" max="2" min="2" style="41" width="7.82"/>
    <col collapsed="false" customWidth="true" hidden="false" outlineLevel="0" max="3" min="3" style="42" width="7.66"/>
    <col collapsed="false" customWidth="true" hidden="false" outlineLevel="0" max="4" min="4" style="41" width="6.99"/>
    <col collapsed="false" customWidth="true" hidden="false" outlineLevel="0" max="5" min="5" style="42" width="7.66"/>
    <col collapsed="false" customWidth="true" hidden="false" outlineLevel="0" max="6" min="6" style="41" width="7.66"/>
    <col collapsed="false" customWidth="true" hidden="false" outlineLevel="0" max="7" min="7" style="41" width="7.16"/>
    <col collapsed="false" customWidth="true" hidden="false" outlineLevel="0" max="8" min="8" style="135" width="6.66"/>
    <col collapsed="false" customWidth="true" hidden="false" outlineLevel="0" max="9" min="9" style="41" width="7.99"/>
    <col collapsed="false" customWidth="true" hidden="false" outlineLevel="0" max="10" min="10" style="41" width="6.66"/>
    <col collapsed="false" customWidth="true" hidden="false" outlineLevel="0" max="12" min="11" style="41" width="7.16"/>
    <col collapsed="false" customWidth="true" hidden="false" outlineLevel="0" max="13" min="13" style="44" width="6.16"/>
    <col collapsed="false" customWidth="true" hidden="true" outlineLevel="0" max="14" min="14" style="44" width="7.32"/>
    <col collapsed="false" customWidth="true" hidden="false" outlineLevel="0" max="15" min="15" style="44" width="6.49"/>
    <col collapsed="false" customWidth="true" hidden="false" outlineLevel="0" max="16" min="16" style="41" width="7.16"/>
    <col collapsed="false" customWidth="true" hidden="false" outlineLevel="0" max="17" min="17" style="41" width="6.32"/>
    <col collapsed="false" customWidth="true" hidden="false" outlineLevel="0" max="18" min="18" style="41" width="5.82"/>
    <col collapsed="false" customWidth="true" hidden="false" outlineLevel="0" max="19" min="19" style="42" width="6.82"/>
    <col collapsed="false" customWidth="true" hidden="false" outlineLevel="0" max="20" min="20" style="41" width="7.66"/>
    <col collapsed="false" customWidth="true" hidden="false" outlineLevel="0" max="21" min="21" style="41" width="5.99"/>
    <col collapsed="false" customWidth="true" hidden="false" outlineLevel="0" max="22" min="22" style="42" width="6.66"/>
    <col collapsed="false" customWidth="true" hidden="false" outlineLevel="0" max="23" min="23" style="41" width="6.82"/>
    <col collapsed="false" customWidth="true" hidden="false" outlineLevel="0" max="25" min="24" style="41" width="7.82"/>
    <col collapsed="false" customWidth="true" hidden="false" outlineLevel="0" max="26" min="26" style="45" width="8.16"/>
    <col collapsed="false" customWidth="true" hidden="false" outlineLevel="0" max="27" min="27" style="43" width="5.16"/>
    <col collapsed="false" customWidth="true" hidden="false" outlineLevel="0" max="28" min="28" style="46" width="4.66"/>
    <col collapsed="false" customWidth="true" hidden="false" outlineLevel="0" max="29" min="29" style="47" width="4.66"/>
    <col collapsed="false" customWidth="true" hidden="false" outlineLevel="0" max="30" min="30" style="41" width="5.66"/>
    <col collapsed="false" customWidth="false" hidden="false" outlineLevel="0" max="257" min="31" style="41" width="9.32"/>
  </cols>
  <sheetData>
    <row r="1" customFormat="false" ht="14.1" hidden="false" customHeight="true" outlineLevel="0" collapsed="false">
      <c r="A1" s="55"/>
      <c r="B1" s="55"/>
      <c r="C1" s="57"/>
      <c r="D1" s="55"/>
      <c r="E1" s="57"/>
      <c r="F1" s="55"/>
      <c r="G1" s="55"/>
      <c r="H1" s="60"/>
      <c r="I1" s="55"/>
      <c r="J1" s="55"/>
      <c r="K1" s="65" t="s">
        <v>0</v>
      </c>
      <c r="L1" s="55"/>
      <c r="M1" s="55"/>
      <c r="N1" s="55"/>
      <c r="O1" s="55"/>
      <c r="P1" s="55"/>
      <c r="Q1" s="55"/>
      <c r="R1" s="55"/>
      <c r="S1" s="57"/>
      <c r="T1" s="55"/>
      <c r="U1" s="55"/>
      <c r="V1" s="57"/>
      <c r="W1" s="55"/>
      <c r="X1" s="55"/>
      <c r="Y1" s="55"/>
      <c r="Z1" s="62"/>
      <c r="AA1" s="58"/>
      <c r="AB1" s="51"/>
      <c r="AC1" s="48"/>
      <c r="AD1" s="67"/>
    </row>
    <row r="2" customFormat="false" ht="14.1" hidden="false" customHeight="true" outlineLevel="0" collapsed="false">
      <c r="A2" s="55" t="s">
        <v>1</v>
      </c>
      <c r="B2" s="55"/>
      <c r="C2" s="57"/>
      <c r="D2" s="68" t="n">
        <v>1.9835</v>
      </c>
      <c r="E2" s="57"/>
      <c r="F2" s="55"/>
      <c r="G2" s="55"/>
      <c r="H2" s="60"/>
      <c r="I2" s="55"/>
      <c r="J2" s="55"/>
      <c r="K2" s="69" t="s">
        <v>79</v>
      </c>
      <c r="L2" s="69"/>
      <c r="M2" s="69"/>
      <c r="N2" s="69"/>
      <c r="O2" s="69"/>
      <c r="P2" s="69"/>
      <c r="Q2" s="69"/>
      <c r="R2" s="69"/>
      <c r="S2" s="69"/>
      <c r="T2" s="69"/>
      <c r="U2" s="55"/>
      <c r="V2" s="57"/>
      <c r="W2" s="55"/>
      <c r="X2" s="55"/>
      <c r="Y2" s="55"/>
      <c r="Z2" s="62"/>
      <c r="AA2" s="58"/>
      <c r="AB2" s="51"/>
      <c r="AC2" s="48"/>
      <c r="AD2" s="67"/>
    </row>
    <row r="3" customFormat="false" ht="11.1" hidden="false" customHeight="true" outlineLevel="0" collapsed="false">
      <c r="A3" s="55"/>
      <c r="B3" s="55"/>
      <c r="C3" s="57"/>
      <c r="D3" s="70"/>
      <c r="E3" s="57"/>
      <c r="F3" s="55"/>
      <c r="G3" s="55"/>
      <c r="H3" s="60"/>
      <c r="I3" s="55"/>
      <c r="J3" s="55"/>
      <c r="K3" s="55"/>
      <c r="L3" s="55"/>
      <c r="M3" s="55"/>
      <c r="N3" s="55"/>
      <c r="O3" s="55"/>
      <c r="P3" s="55"/>
      <c r="Q3" s="55"/>
      <c r="R3" s="55"/>
      <c r="S3" s="57"/>
      <c r="T3" s="55"/>
      <c r="U3" s="55"/>
      <c r="V3" s="57"/>
      <c r="W3" s="55"/>
      <c r="X3" s="55"/>
      <c r="Y3" s="55"/>
      <c r="Z3" s="62"/>
      <c r="AA3" s="58"/>
      <c r="AB3" s="51"/>
      <c r="AC3" s="48"/>
      <c r="AD3" s="67"/>
    </row>
    <row r="4" customFormat="false" ht="11.1" hidden="false" customHeight="true" outlineLevel="0" collapsed="false">
      <c r="A4" s="71" t="s">
        <v>3</v>
      </c>
      <c r="B4" s="71" t="s">
        <v>4</v>
      </c>
      <c r="C4" s="72" t="s">
        <v>4</v>
      </c>
      <c r="D4" s="71" t="s">
        <v>5</v>
      </c>
      <c r="E4" s="72" t="s">
        <v>6</v>
      </c>
      <c r="F4" s="71" t="s">
        <v>7</v>
      </c>
      <c r="G4" s="71" t="s">
        <v>8</v>
      </c>
      <c r="H4" s="136" t="s">
        <v>9</v>
      </c>
      <c r="I4" s="71" t="s">
        <v>10</v>
      </c>
      <c r="J4" s="71" t="s">
        <v>11</v>
      </c>
      <c r="K4" s="71" t="s">
        <v>12</v>
      </c>
      <c r="L4" s="71" t="s">
        <v>11</v>
      </c>
      <c r="M4" s="71" t="s">
        <v>54</v>
      </c>
      <c r="N4" s="71"/>
      <c r="O4" s="71"/>
      <c r="P4" s="71"/>
      <c r="Q4" s="71" t="s">
        <v>55</v>
      </c>
      <c r="R4" s="71" t="s">
        <v>14</v>
      </c>
      <c r="S4" s="71" t="s">
        <v>12</v>
      </c>
      <c r="T4" s="72" t="s">
        <v>13</v>
      </c>
      <c r="U4" s="71" t="s">
        <v>15</v>
      </c>
      <c r="V4" s="71" t="s">
        <v>17</v>
      </c>
      <c r="W4" s="72" t="s">
        <v>18</v>
      </c>
      <c r="X4" s="71" t="s">
        <v>10</v>
      </c>
      <c r="Y4" s="71" t="s">
        <v>11</v>
      </c>
      <c r="Z4" s="71" t="s">
        <v>12</v>
      </c>
      <c r="AA4" s="73" t="s">
        <v>19</v>
      </c>
      <c r="AB4" s="49" t="s">
        <v>20</v>
      </c>
      <c r="AC4" s="49" t="s">
        <v>21</v>
      </c>
      <c r="AD4" s="49" t="s">
        <v>3</v>
      </c>
      <c r="AE4" s="67"/>
    </row>
    <row r="5" customFormat="false" ht="11.1" hidden="false" customHeight="true" outlineLevel="0" collapsed="false">
      <c r="A5" s="75" t="s">
        <v>80</v>
      </c>
      <c r="B5" s="71" t="s">
        <v>23</v>
      </c>
      <c r="C5" s="72" t="s">
        <v>5</v>
      </c>
      <c r="D5" s="71" t="s">
        <v>24</v>
      </c>
      <c r="E5" s="72" t="s">
        <v>25</v>
      </c>
      <c r="F5" s="71" t="s">
        <v>26</v>
      </c>
      <c r="G5" s="71" t="s">
        <v>27</v>
      </c>
      <c r="H5" s="136" t="s">
        <v>28</v>
      </c>
      <c r="I5" s="71" t="s">
        <v>29</v>
      </c>
      <c r="J5" s="71" t="s">
        <v>29</v>
      </c>
      <c r="K5" s="71" t="s">
        <v>29</v>
      </c>
      <c r="L5" s="71" t="s">
        <v>30</v>
      </c>
      <c r="M5" s="71" t="s">
        <v>57</v>
      </c>
      <c r="N5" s="71" t="s">
        <v>58</v>
      </c>
      <c r="O5" s="71" t="s">
        <v>59</v>
      </c>
      <c r="P5" s="71" t="s">
        <v>60</v>
      </c>
      <c r="Q5" s="71" t="s">
        <v>61</v>
      </c>
      <c r="R5" s="71" t="s">
        <v>62</v>
      </c>
      <c r="S5" s="71" t="s">
        <v>13</v>
      </c>
      <c r="T5" s="72" t="s">
        <v>34</v>
      </c>
      <c r="U5" s="71" t="s">
        <v>35</v>
      </c>
      <c r="V5" s="71" t="s">
        <v>37</v>
      </c>
      <c r="W5" s="72" t="s">
        <v>38</v>
      </c>
      <c r="X5" s="71" t="s">
        <v>39</v>
      </c>
      <c r="Y5" s="71" t="s">
        <v>39</v>
      </c>
      <c r="Z5" s="71" t="s">
        <v>39</v>
      </c>
      <c r="AA5" s="76"/>
      <c r="AB5" s="49" t="s">
        <v>40</v>
      </c>
      <c r="AC5" s="49" t="s">
        <v>40</v>
      </c>
      <c r="AD5" s="50" t="s">
        <v>80</v>
      </c>
      <c r="AE5" s="67"/>
      <c r="AG5" s="137"/>
      <c r="AH5" s="137"/>
    </row>
    <row r="6" customFormat="false" ht="11.1" hidden="false" customHeight="true" outlineLevel="0" collapsed="false">
      <c r="A6" s="77"/>
      <c r="B6" s="77"/>
      <c r="C6" s="78"/>
      <c r="D6" s="77"/>
      <c r="E6" s="78"/>
      <c r="F6" s="77"/>
      <c r="G6" s="77"/>
      <c r="H6" s="138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8"/>
      <c r="U6" s="77"/>
      <c r="V6" s="77"/>
      <c r="W6" s="78"/>
      <c r="X6" s="77"/>
      <c r="Y6" s="77"/>
      <c r="Z6" s="77"/>
      <c r="AA6" s="58"/>
      <c r="AB6" s="48"/>
      <c r="AC6" s="48"/>
      <c r="AD6" s="48"/>
      <c r="AE6" s="81"/>
      <c r="AF6" s="82"/>
      <c r="AG6" s="137"/>
      <c r="AH6" s="137"/>
    </row>
    <row r="7" customFormat="false" ht="11.1" hidden="false" customHeight="true" outlineLevel="0" collapsed="false">
      <c r="A7" s="55" t="s">
        <v>41</v>
      </c>
      <c r="B7" s="55"/>
      <c r="C7" s="57"/>
      <c r="D7" s="57"/>
      <c r="E7" s="57"/>
      <c r="F7" s="57" t="n">
        <f aca="false">JUL!F45</f>
        <v>14420.9730274767</v>
      </c>
      <c r="G7" s="57" t="n">
        <f aca="false">JUL!G45</f>
        <v>202416</v>
      </c>
      <c r="H7" s="57" t="n">
        <f aca="false">JUL!H45</f>
        <v>17400.2</v>
      </c>
      <c r="I7" s="57" t="n">
        <f aca="false">JUL!I45</f>
        <v>219816.2</v>
      </c>
      <c r="J7" s="57" t="n">
        <f aca="false">JUL!J45</f>
        <v>44388.7224426519</v>
      </c>
      <c r="K7" s="57" t="n">
        <f aca="false">JUL!K45</f>
        <v>264204.922442652</v>
      </c>
      <c r="L7" s="57" t="n">
        <f aca="false">JUL!L45</f>
        <v>39672.7230274767</v>
      </c>
      <c r="M7" s="57" t="n">
        <f aca="false">JUL!M45</f>
        <v>19926.86</v>
      </c>
      <c r="N7" s="57" t="n">
        <f aca="false">JUL!N45</f>
        <v>0</v>
      </c>
      <c r="O7" s="57" t="n">
        <f aca="false">JUL!O45</f>
        <v>11.6</v>
      </c>
      <c r="P7" s="57" t="n">
        <f aca="false">JUL!P45</f>
        <v>19915.26</v>
      </c>
      <c r="Q7" s="57" t="n">
        <f aca="false">JUL!Q45</f>
        <v>13121.3</v>
      </c>
      <c r="R7" s="57" t="n">
        <f aca="false">JUL!R45</f>
        <v>6887.69</v>
      </c>
      <c r="S7" s="57" t="n">
        <f aca="false">JUL!S45</f>
        <v>39924.25</v>
      </c>
      <c r="T7" s="57" t="n">
        <f aca="false">JUL!T45</f>
        <v>11882.1</v>
      </c>
      <c r="U7" s="57" t="n">
        <f aca="false">JUL!U45</f>
        <v>9218.5</v>
      </c>
      <c r="V7" s="57" t="n">
        <f aca="false">JUL!V45</f>
        <v>195913.6</v>
      </c>
      <c r="W7" s="57"/>
      <c r="X7" s="57" t="n">
        <f aca="false">JUL!X45</f>
        <v>245067.95</v>
      </c>
      <c r="Y7" s="57" t="n">
        <f aca="false">JUL!Y45</f>
        <v>4715.9994151752</v>
      </c>
      <c r="Z7" s="57" t="n">
        <f aca="false">JUL!Z45</f>
        <v>249783.949415175</v>
      </c>
      <c r="AA7" s="58"/>
      <c r="AB7" s="51"/>
      <c r="AC7" s="51"/>
      <c r="AD7" s="48"/>
      <c r="AE7" s="82"/>
      <c r="AF7" s="82"/>
    </row>
    <row r="8" s="42" customFormat="true" ht="11.1" hidden="false" customHeight="true" outlineLevel="0" collapsed="false">
      <c r="A8" s="57" t="s">
        <v>42</v>
      </c>
      <c r="B8" s="59" t="n">
        <f aca="false">JUL!B40</f>
        <v>6918.41</v>
      </c>
      <c r="C8" s="57" t="n">
        <f aca="false">JUL!C40</f>
        <v>356746</v>
      </c>
      <c r="D8" s="57" t="n">
        <f aca="false">JUL!D49</f>
        <v>52769</v>
      </c>
      <c r="E8" s="57" t="n">
        <f aca="false">JUL!E49</f>
        <v>204746</v>
      </c>
      <c r="F8" s="57" t="n">
        <f aca="false">JUL!F48</f>
        <v>26603.9828585833</v>
      </c>
      <c r="G8" s="57" t="n">
        <f aca="false">JUL!G48</f>
        <v>220022.6</v>
      </c>
      <c r="H8" s="51" t="n">
        <f aca="false">JUL!H48</f>
        <v>20579.8</v>
      </c>
      <c r="I8" s="57" t="n">
        <f aca="false">JUL!I48</f>
        <v>240602.4</v>
      </c>
      <c r="J8" s="57" t="n">
        <f aca="false">JUL!J48</f>
        <v>51929.561288127</v>
      </c>
      <c r="K8" s="57" t="n">
        <f aca="false">JUL!K48</f>
        <v>292531.961288127</v>
      </c>
      <c r="L8" s="57" t="n">
        <f aca="false">JUL!L48</f>
        <v>46208.6328585833</v>
      </c>
      <c r="M8" s="57" t="n">
        <f aca="false">JUL!M48</f>
        <v>21015.16</v>
      </c>
      <c r="N8" s="57" t="n">
        <f aca="false">JUL!N48</f>
        <v>0.08</v>
      </c>
      <c r="O8" s="57" t="n">
        <f aca="false">JUL!O48</f>
        <v>11.6</v>
      </c>
      <c r="P8" s="57" t="n">
        <f aca="false">JUL!P48</f>
        <v>20331.78</v>
      </c>
      <c r="Q8" s="57" t="n">
        <f aca="false">JUL!Q48</f>
        <v>13121.3</v>
      </c>
      <c r="R8" s="57" t="n">
        <f aca="false">JUL!R48</f>
        <v>7066.39</v>
      </c>
      <c r="S8" s="57" t="n">
        <f aca="false">JUL!S48</f>
        <v>41191.17</v>
      </c>
      <c r="T8" s="57" t="n">
        <f aca="false">JUL!T48</f>
        <v>11882.1</v>
      </c>
      <c r="U8" s="57" t="n">
        <f aca="false">JUL!U48</f>
        <v>9218.5</v>
      </c>
      <c r="V8" s="57" t="n">
        <f aca="false">JUL!V48</f>
        <v>209785.7</v>
      </c>
      <c r="W8" s="57" t="n">
        <f aca="false">JUL!W48</f>
        <v>6848.7</v>
      </c>
      <c r="X8" s="57" t="n">
        <f aca="false">JUL!X48</f>
        <v>260207.05</v>
      </c>
      <c r="Y8" s="57" t="n">
        <f aca="false">JUL!Y48</f>
        <v>5720.92842954374</v>
      </c>
      <c r="Z8" s="57" t="n">
        <f aca="false">JUL!Z48</f>
        <v>265927.978429544</v>
      </c>
      <c r="AA8" s="58" t="n">
        <f aca="false">JUL!AA48</f>
        <v>14.01</v>
      </c>
      <c r="AB8" s="51"/>
      <c r="AC8" s="51"/>
      <c r="AD8" s="48"/>
      <c r="AE8" s="81"/>
      <c r="AF8" s="83"/>
    </row>
    <row r="9" customFormat="false" ht="3" hidden="false" customHeight="true" outlineLevel="0" collapsed="false">
      <c r="A9" s="84"/>
      <c r="B9" s="85"/>
      <c r="C9" s="86"/>
      <c r="D9" s="84"/>
      <c r="E9" s="86"/>
      <c r="F9" s="84"/>
      <c r="G9" s="84"/>
      <c r="H9" s="139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6"/>
      <c r="U9" s="84"/>
      <c r="V9" s="84"/>
      <c r="W9" s="86"/>
      <c r="X9" s="84"/>
      <c r="Y9" s="84"/>
      <c r="Z9" s="84"/>
      <c r="AA9" s="87"/>
      <c r="AB9" s="52"/>
      <c r="AC9" s="52"/>
      <c r="AD9" s="53"/>
      <c r="AE9" s="81"/>
      <c r="AF9" s="82"/>
    </row>
    <row r="10" customFormat="false" ht="11.1" hidden="false" customHeight="true" outlineLevel="0" collapsed="false">
      <c r="A10" s="48" t="n">
        <v>1</v>
      </c>
      <c r="B10" s="59" t="n">
        <v>6918.14</v>
      </c>
      <c r="C10" s="57" t="n">
        <v>355592</v>
      </c>
      <c r="D10" s="51" t="n">
        <f aca="false">C10-C8</f>
        <v>-1154</v>
      </c>
      <c r="E10" s="57" t="n">
        <f aca="false">C10-152000</f>
        <v>203592</v>
      </c>
      <c r="F10" s="55" t="n">
        <f aca="false">D10/$D$2</f>
        <v>-581.799848752206</v>
      </c>
      <c r="G10" s="55" t="n">
        <v>265.2</v>
      </c>
      <c r="H10" s="60" t="n">
        <v>0</v>
      </c>
      <c r="I10" s="55" t="n">
        <f aca="false">G10+H10</f>
        <v>265.2</v>
      </c>
      <c r="J10" s="61" t="n">
        <f aca="false">IF(L10&gt;0,L10,0)</f>
        <v>0</v>
      </c>
      <c r="K10" s="55" t="n">
        <f aca="false">I10+J10</f>
        <v>265.2</v>
      </c>
      <c r="L10" s="55" t="n">
        <f aca="false">F10-(I10-X10)</f>
        <v>-95.8998487522057</v>
      </c>
      <c r="M10" s="55" t="n">
        <v>243.7</v>
      </c>
      <c r="N10" s="66" t="n">
        <v>0</v>
      </c>
      <c r="O10" s="55" t="n">
        <v>0</v>
      </c>
      <c r="P10" s="5" t="n">
        <f aca="false">M10-(N10+O10)</f>
        <v>243.7</v>
      </c>
      <c r="Q10" s="55" t="n">
        <v>150.2</v>
      </c>
      <c r="R10" s="55" t="n">
        <v>82.2</v>
      </c>
      <c r="S10" s="55" t="n">
        <f aca="false">SUM(P10:R10)</f>
        <v>476.1</v>
      </c>
      <c r="T10" s="57" t="n">
        <f aca="false">(I10-S10)+T7</f>
        <v>11671.2</v>
      </c>
      <c r="U10" s="55" t="n">
        <v>174.5</v>
      </c>
      <c r="V10" s="55" t="n">
        <v>100.5</v>
      </c>
      <c r="W10" s="57" t="n">
        <f aca="false">W8-V10</f>
        <v>6748.2</v>
      </c>
      <c r="X10" s="5" t="n">
        <f aca="false">N10+O10+S10+U10+V10</f>
        <v>751.1</v>
      </c>
      <c r="Y10" s="55" t="n">
        <f aca="false">IF(L10&lt;0,L10*-1,0)</f>
        <v>95.8998487522057</v>
      </c>
      <c r="Z10" s="55" t="n">
        <f aca="false">X10+Y10</f>
        <v>846.999848752206</v>
      </c>
      <c r="AA10" s="58" t="n">
        <v>0</v>
      </c>
      <c r="AB10" s="51" t="n">
        <v>86</v>
      </c>
      <c r="AC10" s="51" t="n">
        <v>56</v>
      </c>
      <c r="AD10" s="48" t="n">
        <v>1</v>
      </c>
      <c r="AE10" s="10"/>
      <c r="AF10" s="122"/>
      <c r="AG10" s="5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48" t="n">
        <f aca="false">A10+1</f>
        <v>2</v>
      </c>
      <c r="B11" s="59" t="n">
        <v>6917.84</v>
      </c>
      <c r="C11" s="57" t="n">
        <v>354315</v>
      </c>
      <c r="D11" s="51" t="n">
        <f aca="false">C11-C10</f>
        <v>-1277</v>
      </c>
      <c r="E11" s="57" t="n">
        <f aca="false">C11-152000</f>
        <v>202315</v>
      </c>
      <c r="F11" s="55" t="n">
        <f aca="false">D11/$D$2</f>
        <v>-643.811444416436</v>
      </c>
      <c r="G11" s="55" t="n">
        <v>256.2</v>
      </c>
      <c r="H11" s="60" t="n">
        <v>0</v>
      </c>
      <c r="I11" s="55" t="n">
        <f aca="false">G11+H11</f>
        <v>256.2</v>
      </c>
      <c r="J11" s="61" t="n">
        <f aca="false">IF(L11&gt;0,L11,0)</f>
        <v>0</v>
      </c>
      <c r="K11" s="55" t="n">
        <f aca="false">I11+J11</f>
        <v>256.2</v>
      </c>
      <c r="L11" s="55" t="n">
        <f aca="false">F11-(I11-X11)</f>
        <v>-157.011444416436</v>
      </c>
      <c r="M11" s="55" t="n">
        <v>237.5</v>
      </c>
      <c r="N11" s="66" t="n">
        <v>0</v>
      </c>
      <c r="O11" s="55" t="n">
        <v>0</v>
      </c>
      <c r="P11" s="5" t="n">
        <f aca="false">M11-(N11+O11)</f>
        <v>237.5</v>
      </c>
      <c r="Q11" s="55" t="n">
        <v>149.5</v>
      </c>
      <c r="R11" s="55" t="n">
        <v>82.2</v>
      </c>
      <c r="S11" s="55" t="n">
        <f aca="false">SUM(P11:R11)</f>
        <v>469.2</v>
      </c>
      <c r="T11" s="57" t="n">
        <f aca="false">(I11-S11)+T10</f>
        <v>11458.2</v>
      </c>
      <c r="U11" s="55" t="n">
        <v>175</v>
      </c>
      <c r="V11" s="55" t="n">
        <v>98.8</v>
      </c>
      <c r="W11" s="57" t="n">
        <f aca="false">W10-V11</f>
        <v>6649.4</v>
      </c>
      <c r="X11" s="5" t="n">
        <f aca="false">N11+O11+S11+U11+V11</f>
        <v>743</v>
      </c>
      <c r="Y11" s="55" t="n">
        <f aca="false">IF(L11&lt;0,L11*-1,0)</f>
        <v>157.011444416436</v>
      </c>
      <c r="Z11" s="55" t="n">
        <f aca="false">X11+Y11</f>
        <v>900.011444416436</v>
      </c>
      <c r="AA11" s="58" t="n">
        <v>0</v>
      </c>
      <c r="AB11" s="51" t="n">
        <v>86</v>
      </c>
      <c r="AC11" s="51" t="n">
        <v>55</v>
      </c>
      <c r="AD11" s="48" t="n">
        <f aca="false">AD10+1</f>
        <v>2</v>
      </c>
      <c r="AE11" s="10"/>
      <c r="AF11" s="0"/>
      <c r="AG11" s="5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48" t="n">
        <f aca="false">A11+1</f>
        <v>3</v>
      </c>
      <c r="B12" s="59" t="n">
        <v>6917.57</v>
      </c>
      <c r="C12" s="57" t="n">
        <v>353171</v>
      </c>
      <c r="D12" s="51" t="n">
        <f aca="false">C12-C11</f>
        <v>-1144</v>
      </c>
      <c r="E12" s="57" t="n">
        <f aca="false">C12-152000</f>
        <v>201171</v>
      </c>
      <c r="F12" s="55" t="n">
        <f aca="false">D12/$D$2</f>
        <v>-576.758255608772</v>
      </c>
      <c r="G12" s="55" t="n">
        <v>246.2</v>
      </c>
      <c r="H12" s="60" t="n">
        <v>0</v>
      </c>
      <c r="I12" s="55" t="n">
        <f aca="false">G12+H12</f>
        <v>246.2</v>
      </c>
      <c r="J12" s="61" t="n">
        <f aca="false">IF(L12&gt;0,L12,0)</f>
        <v>0</v>
      </c>
      <c r="K12" s="55" t="n">
        <f aca="false">I12+J12</f>
        <v>246.2</v>
      </c>
      <c r="L12" s="55" t="n">
        <f aca="false">F12-(I12-X12)</f>
        <v>-82.3582556087724</v>
      </c>
      <c r="M12" s="55" t="n">
        <v>236.7</v>
      </c>
      <c r="N12" s="66" t="n">
        <v>0</v>
      </c>
      <c r="O12" s="55" t="n">
        <v>0</v>
      </c>
      <c r="P12" s="5" t="n">
        <f aca="false">M12-(N12+O12)</f>
        <v>236.7</v>
      </c>
      <c r="Q12" s="55" t="n">
        <v>148.6</v>
      </c>
      <c r="R12" s="55" t="n">
        <v>83.7</v>
      </c>
      <c r="S12" s="55" t="n">
        <f aca="false">SUM(P12:R12)</f>
        <v>469</v>
      </c>
      <c r="T12" s="57" t="n">
        <f aca="false">(I12-S12)+T11</f>
        <v>11235.4</v>
      </c>
      <c r="U12" s="55" t="n">
        <v>174.5</v>
      </c>
      <c r="V12" s="55" t="n">
        <v>97.1</v>
      </c>
      <c r="W12" s="57" t="n">
        <f aca="false">W11-V12</f>
        <v>6552.3</v>
      </c>
      <c r="X12" s="5" t="n">
        <f aca="false">N12+O12+S12+U12+V12</f>
        <v>740.6</v>
      </c>
      <c r="Y12" s="55" t="n">
        <f aca="false">IF(L12&lt;0,L12*-1,0)</f>
        <v>82.3582556087724</v>
      </c>
      <c r="Z12" s="55" t="n">
        <f aca="false">X12+Y12</f>
        <v>822.958255608772</v>
      </c>
      <c r="AA12" s="58" t="n">
        <v>0</v>
      </c>
      <c r="AB12" s="51" t="n">
        <v>84</v>
      </c>
      <c r="AC12" s="51" t="n">
        <v>52</v>
      </c>
      <c r="AD12" s="48" t="n">
        <f aca="false">AD11+1</f>
        <v>3</v>
      </c>
      <c r="AE12" s="10"/>
      <c r="AF12" s="0"/>
      <c r="AG12" s="5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48" t="n">
        <f aca="false">A12+1</f>
        <v>4</v>
      </c>
      <c r="B13" s="59" t="n">
        <v>6917.313</v>
      </c>
      <c r="C13" s="57" t="n">
        <v>352068</v>
      </c>
      <c r="D13" s="51" t="n">
        <f aca="false">C13-C12</f>
        <v>-1103</v>
      </c>
      <c r="E13" s="57" t="n">
        <f aca="false">C13-152000</f>
        <v>200068</v>
      </c>
      <c r="F13" s="55" t="n">
        <f aca="false">D13/$D$2</f>
        <v>-556.087723720696</v>
      </c>
      <c r="G13" s="55" t="n">
        <v>224.3</v>
      </c>
      <c r="H13" s="60" t="n">
        <v>0</v>
      </c>
      <c r="I13" s="55" t="n">
        <f aca="false">G13+H13</f>
        <v>224.3</v>
      </c>
      <c r="J13" s="61" t="n">
        <f aca="false">IF(L13&gt;0,L13,0)</f>
        <v>0</v>
      </c>
      <c r="K13" s="55" t="n">
        <f aca="false">I13+J13</f>
        <v>224.3</v>
      </c>
      <c r="L13" s="55" t="n">
        <f aca="false">F13-(I13-X13)</f>
        <v>-37.2877237206958</v>
      </c>
      <c r="M13" s="55" t="n">
        <v>240.2</v>
      </c>
      <c r="N13" s="66" t="n">
        <v>0</v>
      </c>
      <c r="O13" s="55" t="n">
        <v>0</v>
      </c>
      <c r="P13" s="5" t="n">
        <f aca="false">M13-(N13+O13)</f>
        <v>240.2</v>
      </c>
      <c r="Q13" s="55" t="n">
        <v>148.3</v>
      </c>
      <c r="R13" s="55" t="n">
        <v>82.2</v>
      </c>
      <c r="S13" s="55" t="n">
        <f aca="false">SUM(P13:R13)</f>
        <v>470.7</v>
      </c>
      <c r="T13" s="57" t="n">
        <f aca="false">(I13-S13)+T12</f>
        <v>10989</v>
      </c>
      <c r="U13" s="55" t="n">
        <v>174</v>
      </c>
      <c r="V13" s="55" t="n">
        <v>98.4</v>
      </c>
      <c r="W13" s="57" t="n">
        <f aca="false">W12-V13</f>
        <v>6453.9</v>
      </c>
      <c r="X13" s="5" t="n">
        <f aca="false">N13+O13+S13+U13+V13</f>
        <v>743.1</v>
      </c>
      <c r="Y13" s="55" t="n">
        <f aca="false">IF(L13&lt;0,L13*-1,0)</f>
        <v>37.2877237206958</v>
      </c>
      <c r="Z13" s="55" t="n">
        <f aca="false">X13+Y13</f>
        <v>780.387723720696</v>
      </c>
      <c r="AA13" s="58" t="n">
        <v>0.06</v>
      </c>
      <c r="AB13" s="51" t="n">
        <v>82</v>
      </c>
      <c r="AC13" s="51" t="n">
        <v>52</v>
      </c>
      <c r="AD13" s="48" t="n">
        <f aca="false">AD12+1</f>
        <v>4</v>
      </c>
      <c r="AE13" s="10"/>
      <c r="AF13" s="0"/>
      <c r="AG13" s="5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48" t="n">
        <f aca="false">A13+1</f>
        <v>5</v>
      </c>
      <c r="B14" s="59" t="n">
        <v>6916.99</v>
      </c>
      <c r="C14" s="57" t="n">
        <v>350712</v>
      </c>
      <c r="D14" s="51" t="n">
        <f aca="false">C14-C13</f>
        <v>-1356</v>
      </c>
      <c r="E14" s="57" t="n">
        <f aca="false">C14-152000</f>
        <v>198712</v>
      </c>
      <c r="F14" s="55" t="n">
        <f aca="false">D14/$D$2</f>
        <v>-683.640030249559</v>
      </c>
      <c r="G14" s="55" t="n">
        <v>175.6</v>
      </c>
      <c r="H14" s="60" t="n">
        <v>0</v>
      </c>
      <c r="I14" s="55" t="n">
        <f aca="false">G14+H14</f>
        <v>175.6</v>
      </c>
      <c r="J14" s="61" t="n">
        <f aca="false">IF(L14&gt;0,L14,0)</f>
        <v>0</v>
      </c>
      <c r="K14" s="55" t="n">
        <f aca="false">I14+J14</f>
        <v>175.6</v>
      </c>
      <c r="L14" s="55" t="n">
        <f aca="false">F14-(I14-X14)</f>
        <v>-109.240030249559</v>
      </c>
      <c r="M14" s="55" t="n">
        <v>237.9</v>
      </c>
      <c r="N14" s="66" t="n">
        <v>0</v>
      </c>
      <c r="O14" s="55" t="n">
        <v>0</v>
      </c>
      <c r="P14" s="5" t="n">
        <f aca="false">M14-(N14+O14)</f>
        <v>237.9</v>
      </c>
      <c r="Q14" s="55" t="n">
        <v>148.3</v>
      </c>
      <c r="R14" s="55" t="n">
        <v>81.2</v>
      </c>
      <c r="S14" s="55" t="n">
        <f aca="false">SUM(P14:R14)</f>
        <v>467.4</v>
      </c>
      <c r="T14" s="57" t="n">
        <f aca="false">(I14-S14)+T13</f>
        <v>10697.2</v>
      </c>
      <c r="U14" s="55" t="n">
        <v>183.6</v>
      </c>
      <c r="V14" s="55" t="n">
        <v>99</v>
      </c>
      <c r="W14" s="57" t="n">
        <f aca="false">W13-V14</f>
        <v>6354.9</v>
      </c>
      <c r="X14" s="5" t="n">
        <f aca="false">N14+O14+S14+U14+V14</f>
        <v>750</v>
      </c>
      <c r="Y14" s="55" t="n">
        <f aca="false">IF(L14&lt;0,L14*-1,0)</f>
        <v>109.240030249559</v>
      </c>
      <c r="Z14" s="55" t="n">
        <f aca="false">X14+Y14</f>
        <v>859.240030249559</v>
      </c>
      <c r="AA14" s="58" t="n">
        <v>0</v>
      </c>
      <c r="AB14" s="51" t="n">
        <v>83</v>
      </c>
      <c r="AC14" s="51" t="n">
        <v>53</v>
      </c>
      <c r="AD14" s="48" t="n">
        <f aca="false">AD13+1</f>
        <v>5</v>
      </c>
      <c r="AE14" s="10"/>
      <c r="AF14" s="0"/>
      <c r="AG14" s="5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48" t="n">
        <f aca="false">A14+1</f>
        <v>6</v>
      </c>
      <c r="B15" s="59" t="n">
        <v>6916.72</v>
      </c>
      <c r="C15" s="57" t="n">
        <v>349576</v>
      </c>
      <c r="D15" s="51" t="n">
        <f aca="false">C15-C14</f>
        <v>-1136</v>
      </c>
      <c r="E15" s="57" t="n">
        <f aca="false">C15-152000</f>
        <v>197576</v>
      </c>
      <c r="F15" s="55" t="n">
        <f aca="false">D15/$D$2</f>
        <v>-572.724981094026</v>
      </c>
      <c r="G15" s="55" t="n">
        <v>182.3</v>
      </c>
      <c r="H15" s="60" t="n">
        <v>0</v>
      </c>
      <c r="I15" s="55" t="n">
        <f aca="false">G15+H15</f>
        <v>182.3</v>
      </c>
      <c r="J15" s="61" t="n">
        <f aca="false">IF(L15&gt;0,L15,0)</f>
        <v>0</v>
      </c>
      <c r="K15" s="55" t="n">
        <f aca="false">I15+J15</f>
        <v>182.3</v>
      </c>
      <c r="L15" s="55" t="n">
        <f aca="false">F15-(I15-X15)</f>
        <v>-15.3249810940256</v>
      </c>
      <c r="M15" s="55" t="n">
        <v>231.9</v>
      </c>
      <c r="N15" s="66" t="n">
        <v>0</v>
      </c>
      <c r="O15" s="55" t="n">
        <v>0</v>
      </c>
      <c r="P15" s="5" t="n">
        <f aca="false">M15-(N15+O15)</f>
        <v>231.9</v>
      </c>
      <c r="Q15" s="55" t="n">
        <v>148.6</v>
      </c>
      <c r="R15" s="55" t="n">
        <v>82.7</v>
      </c>
      <c r="S15" s="55" t="n">
        <f aca="false">SUM(P15:R15)</f>
        <v>463.2</v>
      </c>
      <c r="T15" s="57" t="n">
        <f aca="false">(I15-S15)+T14</f>
        <v>10416.3</v>
      </c>
      <c r="U15" s="55" t="n">
        <v>177.5</v>
      </c>
      <c r="V15" s="55" t="n">
        <v>99</v>
      </c>
      <c r="W15" s="57" t="n">
        <f aca="false">W14-V15</f>
        <v>6255.9</v>
      </c>
      <c r="X15" s="5" t="n">
        <f aca="false">N15+O15+S15+U15+V15</f>
        <v>739.7</v>
      </c>
      <c r="Y15" s="55" t="n">
        <f aca="false">IF(L15&lt;0,L15*-1,0)</f>
        <v>15.3249810940256</v>
      </c>
      <c r="Z15" s="55" t="n">
        <f aca="false">X15+Y15</f>
        <v>755.024981094026</v>
      </c>
      <c r="AA15" s="58" t="n">
        <v>0</v>
      </c>
      <c r="AB15" s="51" t="n">
        <v>82</v>
      </c>
      <c r="AC15" s="51" t="n">
        <v>53</v>
      </c>
      <c r="AD15" s="48" t="n">
        <f aca="false">AD14+1</f>
        <v>6</v>
      </c>
      <c r="AE15" s="10"/>
      <c r="AF15" s="0"/>
      <c r="AG15" s="5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48" t="n">
        <f aca="false">A15+1</f>
        <v>7</v>
      </c>
      <c r="B16" s="59" t="n">
        <v>6916.43</v>
      </c>
      <c r="C16" s="57" t="n">
        <v>348356</v>
      </c>
      <c r="D16" s="51" t="n">
        <f aca="false">C16-C15</f>
        <v>-1220</v>
      </c>
      <c r="E16" s="57" t="n">
        <f aca="false">C16-152000</f>
        <v>196356</v>
      </c>
      <c r="F16" s="55" t="n">
        <f aca="false">D16/$D$2</f>
        <v>-615.074363498866</v>
      </c>
      <c r="G16" s="55" t="n">
        <v>174.9</v>
      </c>
      <c r="H16" s="60" t="n">
        <v>0</v>
      </c>
      <c r="I16" s="55" t="n">
        <f aca="false">G16+H16</f>
        <v>174.9</v>
      </c>
      <c r="J16" s="61" t="n">
        <f aca="false">IF(L16&gt;0,L16,0)</f>
        <v>0</v>
      </c>
      <c r="K16" s="55" t="n">
        <f aca="false">I16+J16</f>
        <v>174.9</v>
      </c>
      <c r="L16" s="55" t="n">
        <f aca="false">F16-(I16-X16)</f>
        <v>-49.3743634988656</v>
      </c>
      <c r="M16" s="55" t="n">
        <v>231.8</v>
      </c>
      <c r="N16" s="66" t="n">
        <v>0</v>
      </c>
      <c r="O16" s="55" t="n">
        <v>0</v>
      </c>
      <c r="P16" s="5" t="n">
        <f aca="false">M16-(N16+O16)</f>
        <v>231.8</v>
      </c>
      <c r="Q16" s="55" t="n">
        <v>148.2</v>
      </c>
      <c r="R16" s="55" t="n">
        <v>83.2</v>
      </c>
      <c r="S16" s="55" t="n">
        <f aca="false">SUM(P16:R16)</f>
        <v>463.2</v>
      </c>
      <c r="T16" s="57" t="n">
        <f aca="false">(I16-S16)+T15</f>
        <v>10128</v>
      </c>
      <c r="U16" s="55" t="n">
        <v>178.5</v>
      </c>
      <c r="V16" s="55" t="n">
        <v>98.9</v>
      </c>
      <c r="W16" s="57" t="n">
        <f aca="false">W15-V16</f>
        <v>6157</v>
      </c>
      <c r="X16" s="5" t="n">
        <f aca="false">N16+O16+S16+U16+V16</f>
        <v>740.6</v>
      </c>
      <c r="Y16" s="55" t="n">
        <f aca="false">IF(L16&lt;0,L16*-1,0)</f>
        <v>49.3743634988656</v>
      </c>
      <c r="Z16" s="55" t="n">
        <f aca="false">X16+Y16</f>
        <v>789.974363498866</v>
      </c>
      <c r="AA16" s="58" t="n">
        <v>0</v>
      </c>
      <c r="AB16" s="51" t="n">
        <v>80</v>
      </c>
      <c r="AC16" s="51" t="n">
        <v>53</v>
      </c>
      <c r="AD16" s="48" t="n">
        <f aca="false">AD15+1</f>
        <v>7</v>
      </c>
      <c r="AE16" s="10"/>
      <c r="AF16" s="0"/>
      <c r="AG16" s="5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48" t="n">
        <f aca="false">A16+1</f>
        <v>8</v>
      </c>
      <c r="B17" s="59" t="n">
        <v>6916.17</v>
      </c>
      <c r="C17" s="57" t="n">
        <v>347262</v>
      </c>
      <c r="D17" s="51" t="n">
        <f aca="false">C17-C16</f>
        <v>-1094</v>
      </c>
      <c r="E17" s="57" t="n">
        <f aca="false">C17-152000</f>
        <v>195262</v>
      </c>
      <c r="F17" s="55" t="n">
        <f aca="false">D17/$D$2</f>
        <v>-551.550289891606</v>
      </c>
      <c r="G17" s="55" t="n">
        <v>172.7</v>
      </c>
      <c r="H17" s="60" t="n">
        <v>0</v>
      </c>
      <c r="I17" s="55" t="n">
        <f aca="false">G17+H17</f>
        <v>172.7</v>
      </c>
      <c r="J17" s="61" t="n">
        <f aca="false">IF(L17&gt;0,L17,0)</f>
        <v>4.64971010839429</v>
      </c>
      <c r="K17" s="55" t="n">
        <f aca="false">I17+J17</f>
        <v>177.349710108394</v>
      </c>
      <c r="L17" s="55" t="n">
        <f aca="false">F17-(I17-X17)</f>
        <v>4.64971010839429</v>
      </c>
      <c r="M17" s="55" t="n">
        <v>221.9</v>
      </c>
      <c r="N17" s="66" t="n">
        <v>0</v>
      </c>
      <c r="O17" s="55" t="n">
        <v>0</v>
      </c>
      <c r="P17" s="5" t="n">
        <f aca="false">M17-(N17+O17)</f>
        <v>221.9</v>
      </c>
      <c r="Q17" s="55" t="n">
        <v>148.4</v>
      </c>
      <c r="R17" s="55" t="n">
        <v>84.2</v>
      </c>
      <c r="S17" s="55" t="n">
        <f aca="false">SUM(P17:R17)</f>
        <v>454.5</v>
      </c>
      <c r="T17" s="57" t="n">
        <f aca="false">(I17-S17)+T16</f>
        <v>9846.20000000001</v>
      </c>
      <c r="U17" s="55" t="n">
        <v>175.5</v>
      </c>
      <c r="V17" s="55" t="n">
        <v>98.9</v>
      </c>
      <c r="W17" s="57" t="n">
        <f aca="false">W16-V17</f>
        <v>6058.10000000001</v>
      </c>
      <c r="X17" s="5" t="n">
        <f aca="false">N17+O17+S17+U17+V17</f>
        <v>728.9</v>
      </c>
      <c r="Y17" s="55" t="n">
        <f aca="false">IF(L17&lt;0,L17*-1,0)</f>
        <v>0</v>
      </c>
      <c r="Z17" s="55" t="n">
        <f aca="false">X17+Y17</f>
        <v>728.9</v>
      </c>
      <c r="AA17" s="58" t="n">
        <v>0.06</v>
      </c>
      <c r="AB17" s="51" t="n">
        <v>80</v>
      </c>
      <c r="AC17" s="51" t="n">
        <v>48</v>
      </c>
      <c r="AD17" s="48" t="n">
        <f aca="false">AD16+1</f>
        <v>8</v>
      </c>
      <c r="AE17" s="10"/>
      <c r="AF17" s="0"/>
      <c r="AG17" s="5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48" t="n">
        <f aca="false">A17+1</f>
        <v>9</v>
      </c>
      <c r="B18" s="59" t="n">
        <v>6915.94</v>
      </c>
      <c r="C18" s="57" t="n">
        <v>346296</v>
      </c>
      <c r="D18" s="51" t="n">
        <f aca="false">C18-C17</f>
        <v>-966</v>
      </c>
      <c r="E18" s="57" t="n">
        <f aca="false">C18-152000</f>
        <v>194296</v>
      </c>
      <c r="F18" s="55" t="n">
        <f aca="false">D18/$D$2</f>
        <v>-487.017897655659</v>
      </c>
      <c r="G18" s="55" t="n">
        <v>185</v>
      </c>
      <c r="H18" s="60" t="n">
        <v>0</v>
      </c>
      <c r="I18" s="55" t="n">
        <f aca="false">G18+H18</f>
        <v>185</v>
      </c>
      <c r="J18" s="61" t="n">
        <f aca="false">IF(L18&gt;0,L18,0)</f>
        <v>30.2821023443409</v>
      </c>
      <c r="K18" s="55" t="n">
        <f aca="false">I18+J18</f>
        <v>215.282102344341</v>
      </c>
      <c r="L18" s="55" t="n">
        <f aca="false">F18-(I18-X18)</f>
        <v>30.2821023443409</v>
      </c>
      <c r="M18" s="55" t="n">
        <v>210.5</v>
      </c>
      <c r="N18" s="66" t="n">
        <v>0</v>
      </c>
      <c r="O18" s="55" t="n">
        <v>0</v>
      </c>
      <c r="P18" s="5" t="n">
        <f aca="false">M18-(N18+O18)</f>
        <v>210.5</v>
      </c>
      <c r="Q18" s="55" t="n">
        <v>148.5</v>
      </c>
      <c r="R18" s="55" t="n">
        <v>80.7</v>
      </c>
      <c r="S18" s="55" t="n">
        <f aca="false">SUM(P18:R18)</f>
        <v>439.7</v>
      </c>
      <c r="T18" s="57" t="n">
        <f aca="false">(I18-S18)+T17</f>
        <v>9591.5</v>
      </c>
      <c r="U18" s="55" t="n">
        <v>166.9</v>
      </c>
      <c r="V18" s="55" t="n">
        <v>95.7</v>
      </c>
      <c r="W18" s="57" t="n">
        <f aca="false">W17-V18</f>
        <v>5962.40000000001</v>
      </c>
      <c r="X18" s="5" t="n">
        <f aca="false">N18+O18+S18+U18+V18</f>
        <v>702.3</v>
      </c>
      <c r="Y18" s="55" t="n">
        <f aca="false">IF(L18&lt;0,L18*-1,0)</f>
        <v>0</v>
      </c>
      <c r="Z18" s="55" t="n">
        <f aca="false">X18+Y18</f>
        <v>702.3</v>
      </c>
      <c r="AA18" s="58" t="n">
        <v>0</v>
      </c>
      <c r="AB18" s="54" t="n">
        <v>82</v>
      </c>
      <c r="AC18" s="51" t="n">
        <v>50</v>
      </c>
      <c r="AD18" s="48" t="n">
        <f aca="false">AD17+1</f>
        <v>9</v>
      </c>
      <c r="AE18" s="10"/>
      <c r="AF18" s="0"/>
      <c r="AG18" s="5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48" t="n">
        <f aca="false">A18+1</f>
        <v>10</v>
      </c>
      <c r="B19" s="59" t="n">
        <v>6915.71</v>
      </c>
      <c r="C19" s="57" t="n">
        <v>345336</v>
      </c>
      <c r="D19" s="51" t="n">
        <f aca="false">C19-C18</f>
        <v>-960</v>
      </c>
      <c r="E19" s="57" t="n">
        <f aca="false">C19-152000</f>
        <v>193336</v>
      </c>
      <c r="F19" s="55" t="n">
        <f aca="false">D19/$D$2</f>
        <v>-483.992941769599</v>
      </c>
      <c r="G19" s="55" t="n">
        <v>196.8</v>
      </c>
      <c r="H19" s="60" t="n">
        <v>0</v>
      </c>
      <c r="I19" s="55" t="n">
        <f aca="false">G19+H19</f>
        <v>196.8</v>
      </c>
      <c r="J19" s="61" t="n">
        <v>0</v>
      </c>
      <c r="K19" s="55" t="n">
        <f aca="false">I19+J19</f>
        <v>196.8</v>
      </c>
      <c r="L19" s="55" t="n">
        <f aca="false">F19-(I19-X19)</f>
        <v>-6.79294176959917</v>
      </c>
      <c r="M19" s="55" t="n">
        <v>212.6</v>
      </c>
      <c r="N19" s="66" t="n">
        <v>0</v>
      </c>
      <c r="O19" s="55" t="n">
        <v>0</v>
      </c>
      <c r="P19" s="5" t="n">
        <f aca="false">M19-(N19+O19)</f>
        <v>212.6</v>
      </c>
      <c r="Q19" s="55" t="n">
        <v>148.4</v>
      </c>
      <c r="R19" s="55" t="n">
        <v>82.7</v>
      </c>
      <c r="S19" s="55" t="n">
        <f aca="false">SUM(P19:R19)</f>
        <v>443.7</v>
      </c>
      <c r="T19" s="57" t="n">
        <f aca="false">(I19-S19)+T18</f>
        <v>9344.6</v>
      </c>
      <c r="U19" s="55" t="n">
        <v>136.2</v>
      </c>
      <c r="V19" s="55" t="n">
        <v>94.1</v>
      </c>
      <c r="W19" s="57" t="n">
        <f aca="false">W18-V19</f>
        <v>5868.30000000001</v>
      </c>
      <c r="X19" s="5" t="n">
        <f aca="false">N19+O19+S19+U19+V19</f>
        <v>674</v>
      </c>
      <c r="Y19" s="55" t="n">
        <f aca="false">IF(L19&lt;0,L19*-1,0)</f>
        <v>6.79294176959917</v>
      </c>
      <c r="Z19" s="55" t="n">
        <f aca="false">X19+Y19</f>
        <v>680.792941769599</v>
      </c>
      <c r="AA19" s="58" t="n">
        <v>0.24</v>
      </c>
      <c r="AB19" s="51" t="n">
        <v>81</v>
      </c>
      <c r="AC19" s="51" t="n">
        <v>52</v>
      </c>
      <c r="AD19" s="48" t="n">
        <f aca="false">AD18+1</f>
        <v>10</v>
      </c>
      <c r="AE19" s="10"/>
      <c r="AF19" s="0"/>
      <c r="AG19" s="5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48" t="n">
        <v>11</v>
      </c>
      <c r="B20" s="59" t="n">
        <v>6915.51</v>
      </c>
      <c r="C20" s="57" t="n">
        <v>344501</v>
      </c>
      <c r="D20" s="51" t="n">
        <f aca="false">C20-C19</f>
        <v>-835</v>
      </c>
      <c r="E20" s="57" t="n">
        <f aca="false">C20-152000</f>
        <v>192501</v>
      </c>
      <c r="F20" s="55" t="n">
        <f aca="false">D20/$D$2</f>
        <v>-420.973027476683</v>
      </c>
      <c r="G20" s="55" t="n">
        <v>232.3</v>
      </c>
      <c r="H20" s="60" t="n">
        <v>0</v>
      </c>
      <c r="I20" s="55" t="n">
        <f aca="false">G20+H20</f>
        <v>232.3</v>
      </c>
      <c r="J20" s="61" t="n">
        <f aca="false">IF(L20&gt;0,L20,0)</f>
        <v>27.1269725233174</v>
      </c>
      <c r="K20" s="55" t="n">
        <f aca="false">I20+J20</f>
        <v>259.426972523317</v>
      </c>
      <c r="L20" s="55" t="n">
        <f aca="false">F20-(I20-X20)</f>
        <v>27.1269725233174</v>
      </c>
      <c r="M20" s="55" t="n">
        <v>217.5</v>
      </c>
      <c r="N20" s="66" t="n">
        <v>0</v>
      </c>
      <c r="O20" s="55" t="n">
        <v>4.6</v>
      </c>
      <c r="P20" s="5" t="n">
        <f aca="false">M20-(N20+O20)</f>
        <v>212.9</v>
      </c>
      <c r="Q20" s="55" t="n">
        <v>148.9</v>
      </c>
      <c r="R20" s="55" t="n">
        <v>79.7</v>
      </c>
      <c r="S20" s="55" t="n">
        <f aca="false">SUM(P20:R20)</f>
        <v>441.5</v>
      </c>
      <c r="T20" s="57" t="n">
        <f aca="false">(I20-S20)+T19</f>
        <v>9135.4</v>
      </c>
      <c r="U20" s="55" t="n">
        <v>136.7</v>
      </c>
      <c r="V20" s="55" t="n">
        <v>97.6</v>
      </c>
      <c r="W20" s="57" t="n">
        <f aca="false">W19-V20</f>
        <v>5770.7</v>
      </c>
      <c r="X20" s="5" t="n">
        <f aca="false">N20+O20+S20+U20+V20</f>
        <v>680.4</v>
      </c>
      <c r="Y20" s="55" t="n">
        <f aca="false">IF(L20&lt;0,L20*-1,0)</f>
        <v>0</v>
      </c>
      <c r="Z20" s="55" t="n">
        <f aca="false">X20+Y20</f>
        <v>680.4</v>
      </c>
      <c r="AA20" s="58" t="n">
        <v>0</v>
      </c>
      <c r="AB20" s="51" t="n">
        <v>81</v>
      </c>
      <c r="AC20" s="51" t="n">
        <v>48</v>
      </c>
      <c r="AD20" s="48" t="n">
        <v>11</v>
      </c>
      <c r="AE20" s="10"/>
      <c r="AF20" s="0"/>
      <c r="AG20" s="5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48" t="n">
        <v>12</v>
      </c>
      <c r="B21" s="59" t="n">
        <v>6915.21</v>
      </c>
      <c r="C21" s="57" t="n">
        <v>343249</v>
      </c>
      <c r="D21" s="51" t="n">
        <f aca="false">C21-C20</f>
        <v>-1252</v>
      </c>
      <c r="E21" s="57" t="n">
        <f aca="false">C21-152000</f>
        <v>191249</v>
      </c>
      <c r="F21" s="55" t="n">
        <f aca="false">D21/$D$2</f>
        <v>-631.207461557852</v>
      </c>
      <c r="G21" s="55" t="n">
        <v>208.3</v>
      </c>
      <c r="H21" s="60" t="n">
        <v>0</v>
      </c>
      <c r="I21" s="55" t="n">
        <f aca="false">G21+H21</f>
        <v>208.3</v>
      </c>
      <c r="J21" s="61" t="n">
        <f aca="false">IF(L21&gt;0,L21,0)</f>
        <v>0</v>
      </c>
      <c r="K21" s="55" t="n">
        <f aca="false">I21+J21</f>
        <v>208.3</v>
      </c>
      <c r="L21" s="55" t="n">
        <f aca="false">F21-(I21-X21)</f>
        <v>-133.107461557852</v>
      </c>
      <c r="M21" s="55" t="n">
        <v>213.9</v>
      </c>
      <c r="N21" s="66" t="n">
        <v>0</v>
      </c>
      <c r="O21" s="55" t="n">
        <v>10.4</v>
      </c>
      <c r="P21" s="5" t="n">
        <f aca="false">M21-(N21+O21)</f>
        <v>203.5</v>
      </c>
      <c r="Q21" s="55" t="n">
        <v>148.9</v>
      </c>
      <c r="R21" s="55" t="n">
        <v>79.2</v>
      </c>
      <c r="S21" s="55" t="n">
        <f aca="false">SUM(P21:R21)</f>
        <v>431.6</v>
      </c>
      <c r="T21" s="57" t="n">
        <f aca="false">(I21-S21)+T20</f>
        <v>8912.1</v>
      </c>
      <c r="U21" s="55" t="n">
        <v>163.9</v>
      </c>
      <c r="V21" s="55" t="n">
        <v>100.5</v>
      </c>
      <c r="W21" s="57" t="n">
        <f aca="false">W20-V21</f>
        <v>5670.20000000001</v>
      </c>
      <c r="X21" s="5" t="n">
        <f aca="false">N21+O21+S21+U21+V21</f>
        <v>706.4</v>
      </c>
      <c r="Y21" s="55" t="n">
        <f aca="false">IF(L21&lt;0,L21*-1,0)</f>
        <v>133.107461557852</v>
      </c>
      <c r="Z21" s="55" t="n">
        <f aca="false">X21+Y21</f>
        <v>839.507461557852</v>
      </c>
      <c r="AA21" s="58" t="n">
        <v>0</v>
      </c>
      <c r="AB21" s="51" t="n">
        <v>85</v>
      </c>
      <c r="AC21" s="51" t="n">
        <v>47</v>
      </c>
      <c r="AD21" s="48" t="n">
        <v>12</v>
      </c>
      <c r="AE21" s="10"/>
      <c r="AF21" s="0"/>
      <c r="AG21" s="5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48" t="n">
        <v>13</v>
      </c>
      <c r="B22" s="59" t="n">
        <v>6915.01</v>
      </c>
      <c r="C22" s="57" t="n">
        <v>342414</v>
      </c>
      <c r="D22" s="51" t="n">
        <f aca="false">C22-C21</f>
        <v>-835</v>
      </c>
      <c r="E22" s="57" t="n">
        <f aca="false">C22-152000</f>
        <v>190414</v>
      </c>
      <c r="F22" s="55" t="n">
        <f aca="false">D22/$D$2</f>
        <v>-420.973027476683</v>
      </c>
      <c r="G22" s="55" t="n">
        <v>188.8</v>
      </c>
      <c r="H22" s="60" t="n">
        <v>0</v>
      </c>
      <c r="I22" s="55" t="n">
        <f aca="false">G22+H22</f>
        <v>188.8</v>
      </c>
      <c r="J22" s="61" t="n">
        <f aca="false">IF(L22&gt;0,L22,0)</f>
        <v>108.126972523317</v>
      </c>
      <c r="K22" s="55" t="n">
        <f aca="false">I22+J22</f>
        <v>296.926972523317</v>
      </c>
      <c r="L22" s="55" t="n">
        <f aca="false">F22-(I22-X22)</f>
        <v>108.126972523317</v>
      </c>
      <c r="M22" s="55" t="n">
        <v>216.8</v>
      </c>
      <c r="N22" s="66" t="n">
        <v>0</v>
      </c>
      <c r="O22" s="55" t="n">
        <v>0</v>
      </c>
      <c r="P22" s="5" t="n">
        <f aca="false">M22-(N22+O22)</f>
        <v>216.8</v>
      </c>
      <c r="Q22" s="55" t="n">
        <v>148.3</v>
      </c>
      <c r="R22" s="55" t="n">
        <v>79.7</v>
      </c>
      <c r="S22" s="55" t="n">
        <f aca="false">SUM(P22:R22)</f>
        <v>444.8</v>
      </c>
      <c r="T22" s="57" t="n">
        <f aca="false">(I22-S22)+T21</f>
        <v>8656.1</v>
      </c>
      <c r="U22" s="55" t="n">
        <v>175</v>
      </c>
      <c r="V22" s="55" t="n">
        <v>98.1</v>
      </c>
      <c r="W22" s="57" t="n">
        <f aca="false">W21-V22</f>
        <v>5572.1</v>
      </c>
      <c r="X22" s="5" t="n">
        <f aca="false">N22+O22+S22+U22+V22</f>
        <v>717.9</v>
      </c>
      <c r="Y22" s="55" t="n">
        <f aca="false">IF(L22&lt;0,L22*-1,0)</f>
        <v>0</v>
      </c>
      <c r="Z22" s="55" t="n">
        <f aca="false">X22+Y22</f>
        <v>717.9</v>
      </c>
      <c r="AA22" s="58" t="n">
        <v>0.74</v>
      </c>
      <c r="AB22" s="51" t="n">
        <v>80</v>
      </c>
      <c r="AC22" s="51" t="n">
        <v>56</v>
      </c>
      <c r="AD22" s="48" t="n">
        <v>13</v>
      </c>
      <c r="AE22" s="10"/>
      <c r="AF22" s="0"/>
      <c r="AG22" s="5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48" t="n">
        <v>14</v>
      </c>
      <c r="B23" s="59" t="n">
        <v>6914.78</v>
      </c>
      <c r="C23" s="57" t="n">
        <v>341461</v>
      </c>
      <c r="D23" s="51" t="n">
        <f aca="false">C23-C22</f>
        <v>-953</v>
      </c>
      <c r="E23" s="57" t="n">
        <f aca="false">C23-152000</f>
        <v>189461</v>
      </c>
      <c r="F23" s="55" t="n">
        <f aca="false">D23/$D$2</f>
        <v>-480.463826569196</v>
      </c>
      <c r="G23" s="55" t="n">
        <v>194.7</v>
      </c>
      <c r="H23" s="60" t="n">
        <v>0</v>
      </c>
      <c r="I23" s="55" t="n">
        <f aca="false">G23+H23</f>
        <v>194.7</v>
      </c>
      <c r="J23" s="61" t="n">
        <f aca="false">IF(L23&gt;0,L23,0)</f>
        <v>71.7361734308042</v>
      </c>
      <c r="K23" s="55" t="n">
        <f aca="false">I23+J23</f>
        <v>266.436173430804</v>
      </c>
      <c r="L23" s="55" t="n">
        <f aca="false">F23-(I23-X23)</f>
        <v>71.7361734308042</v>
      </c>
      <c r="M23" s="55" t="n">
        <v>220.9</v>
      </c>
      <c r="N23" s="66" t="n">
        <v>0</v>
      </c>
      <c r="O23" s="55" t="n">
        <v>0</v>
      </c>
      <c r="P23" s="5" t="n">
        <f aca="false">M23-(N23+O23)</f>
        <v>220.9</v>
      </c>
      <c r="Q23" s="55" t="n">
        <v>180.9</v>
      </c>
      <c r="R23" s="55" t="n">
        <v>80.2</v>
      </c>
      <c r="S23" s="55" t="n">
        <f aca="false">SUM(P23:R23)</f>
        <v>482</v>
      </c>
      <c r="T23" s="57" t="n">
        <f aca="false">(I23-S23)+T22</f>
        <v>8368.80000000001</v>
      </c>
      <c r="U23" s="55" t="n">
        <v>163.4</v>
      </c>
      <c r="V23" s="55" t="n">
        <v>101.5</v>
      </c>
      <c r="W23" s="57" t="n">
        <f aca="false">W22-V23</f>
        <v>5470.6</v>
      </c>
      <c r="X23" s="5" t="n">
        <f aca="false">N23+O23+S23+U23+V23</f>
        <v>746.9</v>
      </c>
      <c r="Y23" s="55" t="n">
        <f aca="false">IF(L23&lt;0,L23*-1,0)</f>
        <v>0</v>
      </c>
      <c r="Z23" s="55" t="n">
        <f aca="false">X23+Y23</f>
        <v>746.9</v>
      </c>
      <c r="AA23" s="58" t="n">
        <v>0.26</v>
      </c>
      <c r="AB23" s="51" t="n">
        <v>72</v>
      </c>
      <c r="AC23" s="51" t="n">
        <v>56</v>
      </c>
      <c r="AD23" s="48" t="n">
        <v>14</v>
      </c>
      <c r="AE23" s="10"/>
      <c r="AF23" s="0"/>
      <c r="AG23" s="5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48" t="n">
        <v>15</v>
      </c>
      <c r="B24" s="59" t="n">
        <v>6914.49</v>
      </c>
      <c r="C24" s="57" t="n">
        <v>340260</v>
      </c>
      <c r="D24" s="51" t="n">
        <f aca="false">C24-C23</f>
        <v>-1201</v>
      </c>
      <c r="E24" s="57" t="n">
        <f aca="false">C24-152000</f>
        <v>188260</v>
      </c>
      <c r="F24" s="55" t="n">
        <f aca="false">D24/$D$2</f>
        <v>-605.495336526342</v>
      </c>
      <c r="G24" s="55" t="n">
        <v>203.7</v>
      </c>
      <c r="H24" s="60" t="n">
        <v>0</v>
      </c>
      <c r="I24" s="55" t="n">
        <f aca="false">G24+H24</f>
        <v>203.7</v>
      </c>
      <c r="J24" s="61" t="n">
        <f aca="false">IF(L24&gt;0,L24,0)</f>
        <v>0</v>
      </c>
      <c r="K24" s="55" t="n">
        <f aca="false">I24+J24</f>
        <v>203.7</v>
      </c>
      <c r="L24" s="55" t="n">
        <f aca="false">F24-(I24-X24)</f>
        <v>-53.1953365263423</v>
      </c>
      <c r="M24" s="55" t="n">
        <v>222.7</v>
      </c>
      <c r="N24" s="66" t="n">
        <v>0</v>
      </c>
      <c r="O24" s="55" t="n">
        <v>0</v>
      </c>
      <c r="P24" s="5" t="n">
        <f aca="false">M24-(N24+O24)</f>
        <v>222.7</v>
      </c>
      <c r="Q24" s="55" t="n">
        <v>191.8</v>
      </c>
      <c r="R24" s="55" t="n">
        <v>80.7</v>
      </c>
      <c r="S24" s="55" t="n">
        <f aca="false">SUM(P24:R24)</f>
        <v>495.2</v>
      </c>
      <c r="T24" s="57" t="n">
        <f aca="false">(I24-S24)+T23</f>
        <v>8077.3</v>
      </c>
      <c r="U24" s="55" t="n">
        <v>159.4</v>
      </c>
      <c r="V24" s="55" t="n">
        <v>101.4</v>
      </c>
      <c r="W24" s="57" t="n">
        <f aca="false">W23-V24</f>
        <v>5369.2</v>
      </c>
      <c r="X24" s="5" t="n">
        <f aca="false">N24+O24+S24+U24+V24</f>
        <v>756</v>
      </c>
      <c r="Y24" s="55" t="n">
        <f aca="false">IF(L24&lt;0,L24*-1,0)</f>
        <v>53.1953365263423</v>
      </c>
      <c r="Z24" s="55" t="n">
        <f aca="false">X24+Y24</f>
        <v>809.195336526342</v>
      </c>
      <c r="AA24" s="58" t="n">
        <v>0</v>
      </c>
      <c r="AB24" s="51" t="n">
        <v>78</v>
      </c>
      <c r="AC24" s="51" t="n">
        <v>46</v>
      </c>
      <c r="AD24" s="48" t="n">
        <v>15</v>
      </c>
      <c r="AE24" s="10"/>
      <c r="AF24" s="0"/>
      <c r="AG24" s="5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48" t="n">
        <v>16</v>
      </c>
      <c r="B25" s="59" t="n">
        <v>6914.21</v>
      </c>
      <c r="C25" s="57" t="n">
        <v>339100</v>
      </c>
      <c r="D25" s="51" t="n">
        <f aca="false">C25-C24</f>
        <v>-1160</v>
      </c>
      <c r="E25" s="57" t="n">
        <f aca="false">C25-152000</f>
        <v>187100</v>
      </c>
      <c r="F25" s="55" t="n">
        <f aca="false">D25/$D$2</f>
        <v>-584.824804638266</v>
      </c>
      <c r="G25" s="55" t="n">
        <v>180.7</v>
      </c>
      <c r="H25" s="60" t="n">
        <v>0</v>
      </c>
      <c r="I25" s="55" t="n">
        <f aca="false">G25+H25</f>
        <v>180.7</v>
      </c>
      <c r="J25" s="61" t="n">
        <f aca="false">IF(L25&gt;0,L25,0)</f>
        <v>0</v>
      </c>
      <c r="K25" s="55" t="n">
        <f aca="false">I25+J25</f>
        <v>180.7</v>
      </c>
      <c r="L25" s="55" t="n">
        <f aca="false">F25-(I25-X25)</f>
        <v>-48.5248046382658</v>
      </c>
      <c r="M25" s="55" t="n">
        <v>226.9</v>
      </c>
      <c r="N25" s="66" t="n">
        <v>0</v>
      </c>
      <c r="O25" s="55" t="n">
        <v>10.4</v>
      </c>
      <c r="P25" s="5" t="n">
        <f aca="false">M25-(N25+O25)</f>
        <v>216.5</v>
      </c>
      <c r="Q25" s="55" t="n">
        <v>147.1</v>
      </c>
      <c r="R25" s="55" t="n">
        <v>79.2</v>
      </c>
      <c r="S25" s="55" t="n">
        <f aca="false">SUM(P25:R25)</f>
        <v>442.8</v>
      </c>
      <c r="T25" s="57" t="n">
        <f aca="false">(I25-S25)+T24</f>
        <v>7815.2</v>
      </c>
      <c r="U25" s="55" t="n">
        <v>163.9</v>
      </c>
      <c r="V25" s="55" t="n">
        <v>99.9</v>
      </c>
      <c r="W25" s="57" t="n">
        <f aca="false">W24-V25</f>
        <v>5269.30000000001</v>
      </c>
      <c r="X25" s="5" t="n">
        <f aca="false">N25+O25+S25+U25+V25</f>
        <v>717</v>
      </c>
      <c r="Y25" s="55" t="n">
        <f aca="false">IF(L25&lt;0,L25*-1,0)</f>
        <v>48.5248046382658</v>
      </c>
      <c r="Z25" s="55" t="n">
        <f aca="false">X25+Y25</f>
        <v>765.524804638266</v>
      </c>
      <c r="AA25" s="58" t="n">
        <v>0</v>
      </c>
      <c r="AB25" s="51" t="n">
        <v>82</v>
      </c>
      <c r="AC25" s="51" t="n">
        <v>49</v>
      </c>
      <c r="AD25" s="48" t="n">
        <v>16</v>
      </c>
      <c r="AE25" s="10"/>
      <c r="AF25" s="0"/>
      <c r="AG25" s="5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48" t="n">
        <v>17</v>
      </c>
      <c r="B26" s="59" t="n">
        <v>6913.92</v>
      </c>
      <c r="C26" s="57" t="n">
        <v>337902</v>
      </c>
      <c r="D26" s="51" t="n">
        <f aca="false">C26-C25</f>
        <v>-1198</v>
      </c>
      <c r="E26" s="57" t="n">
        <f aca="false">C26-152000</f>
        <v>185902</v>
      </c>
      <c r="F26" s="55" t="n">
        <f aca="false">D26/$D$2</f>
        <v>-603.982858583312</v>
      </c>
      <c r="G26" s="55" t="n">
        <v>163.3</v>
      </c>
      <c r="H26" s="60" t="n">
        <v>0</v>
      </c>
      <c r="I26" s="55" t="n">
        <f aca="false">G26+H26</f>
        <v>163.3</v>
      </c>
      <c r="J26" s="61" t="n">
        <f aca="false">IF(L26&gt;0,L26,0)</f>
        <v>0</v>
      </c>
      <c r="K26" s="55" t="n">
        <f aca="false">I26+J26</f>
        <v>163.3</v>
      </c>
      <c r="L26" s="55" t="n">
        <f aca="false">F26-(I26-X26)</f>
        <v>-56.3828585833124</v>
      </c>
      <c r="M26" s="55" t="n">
        <v>221.5</v>
      </c>
      <c r="N26" s="66" t="n">
        <v>0</v>
      </c>
      <c r="O26" s="55" t="n">
        <v>10.4</v>
      </c>
      <c r="P26" s="5" t="n">
        <f aca="false">M26-(N26+O26)</f>
        <v>211.1</v>
      </c>
      <c r="Q26" s="55" t="n">
        <v>147.3</v>
      </c>
      <c r="R26" s="55" t="n">
        <v>81.2</v>
      </c>
      <c r="S26" s="55" t="n">
        <f aca="false">SUM(P26:R26)</f>
        <v>439.6</v>
      </c>
      <c r="T26" s="57" t="n">
        <f aca="false">(I26-S26)+T25</f>
        <v>7538.9</v>
      </c>
      <c r="U26" s="55" t="n">
        <v>161.9</v>
      </c>
      <c r="V26" s="55" t="n">
        <v>99</v>
      </c>
      <c r="W26" s="57" t="n">
        <f aca="false">W25-V26</f>
        <v>5170.3</v>
      </c>
      <c r="X26" s="5" t="n">
        <f aca="false">N26+O26+S26+U26+V26</f>
        <v>710.9</v>
      </c>
      <c r="Y26" s="55" t="n">
        <f aca="false">IF(L26&lt;0,L26*-1,0)</f>
        <v>56.3828585833124</v>
      </c>
      <c r="Z26" s="55" t="n">
        <f aca="false">X26+Y26</f>
        <v>767.282858583312</v>
      </c>
      <c r="AA26" s="58" t="n">
        <v>0</v>
      </c>
      <c r="AB26" s="51" t="n">
        <v>76</v>
      </c>
      <c r="AC26" s="51" t="n">
        <v>48</v>
      </c>
      <c r="AD26" s="48" t="n">
        <v>17</v>
      </c>
      <c r="AE26" s="10"/>
      <c r="AF26" s="0"/>
      <c r="AG26" s="5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48" t="n">
        <v>18</v>
      </c>
      <c r="B27" s="59" t="n">
        <v>6913.64</v>
      </c>
      <c r="C27" s="57" t="n">
        <v>336751</v>
      </c>
      <c r="D27" s="51" t="n">
        <f aca="false">C27-C26</f>
        <v>-1151</v>
      </c>
      <c r="E27" s="57" t="n">
        <f aca="false">C27-152000</f>
        <v>184751</v>
      </c>
      <c r="F27" s="55" t="n">
        <f aca="false">D27/$D$2</f>
        <v>-580.287370809176</v>
      </c>
      <c r="G27" s="55" t="n">
        <v>160</v>
      </c>
      <c r="H27" s="60" t="n">
        <v>0</v>
      </c>
      <c r="I27" s="55" t="n">
        <f aca="false">G27+H27</f>
        <v>160</v>
      </c>
      <c r="J27" s="61" t="n">
        <f aca="false">IF(L27&gt;0,L27,0)</f>
        <v>0</v>
      </c>
      <c r="K27" s="55" t="n">
        <f aca="false">I27+J27</f>
        <v>160</v>
      </c>
      <c r="L27" s="55" t="n">
        <f aca="false">F27-(I27-X27)</f>
        <v>-49.1873708091757</v>
      </c>
      <c r="M27" s="55" t="n">
        <v>215.6</v>
      </c>
      <c r="N27" s="66" t="n">
        <v>0</v>
      </c>
      <c r="O27" s="55" t="n">
        <v>0</v>
      </c>
      <c r="P27" s="5" t="n">
        <f aca="false">M27-(N27+O27)</f>
        <v>215.6</v>
      </c>
      <c r="Q27" s="55" t="n">
        <v>126.9</v>
      </c>
      <c r="R27" s="55" t="n">
        <v>79.2</v>
      </c>
      <c r="S27" s="55" t="n">
        <f aca="false">SUM(P27:R27)</f>
        <v>421.7</v>
      </c>
      <c r="T27" s="57" t="n">
        <f aca="false">(I27-S27)+T26</f>
        <v>7277.2</v>
      </c>
      <c r="U27" s="55" t="n">
        <v>170.4</v>
      </c>
      <c r="V27" s="55" t="n">
        <v>99</v>
      </c>
      <c r="W27" s="57" t="n">
        <f aca="false">W26-V27</f>
        <v>5071.3</v>
      </c>
      <c r="X27" s="5" t="n">
        <f aca="false">N27+O27+S27+U27+V27</f>
        <v>691.1</v>
      </c>
      <c r="Y27" s="55" t="n">
        <f aca="false">IF(L27&lt;0,L27*-1,0)</f>
        <v>49.1873708091757</v>
      </c>
      <c r="Z27" s="55" t="n">
        <f aca="false">X27+Y27</f>
        <v>740.287370809176</v>
      </c>
      <c r="AA27" s="58" t="n">
        <v>0</v>
      </c>
      <c r="AB27" s="51" t="n">
        <v>85</v>
      </c>
      <c r="AC27" s="51" t="n">
        <v>50</v>
      </c>
      <c r="AD27" s="48" t="n">
        <v>18</v>
      </c>
      <c r="AE27" s="10"/>
      <c r="AF27" s="0"/>
      <c r="AG27" s="5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48" t="n">
        <v>19</v>
      </c>
      <c r="B28" s="59" t="n">
        <v>6913.4</v>
      </c>
      <c r="C28" s="57" t="n">
        <v>335765</v>
      </c>
      <c r="D28" s="51" t="n">
        <f aca="false">C28-C27</f>
        <v>-986</v>
      </c>
      <c r="E28" s="57" t="n">
        <f aca="false">C28-152000</f>
        <v>183765</v>
      </c>
      <c r="F28" s="55" t="n">
        <f aca="false">D28/$D$2</f>
        <v>-497.101083942526</v>
      </c>
      <c r="G28" s="55" t="n">
        <v>151.1</v>
      </c>
      <c r="H28" s="60" t="n">
        <v>0</v>
      </c>
      <c r="I28" s="55" t="n">
        <f aca="false">G28+H28</f>
        <v>151.1</v>
      </c>
      <c r="J28" s="61" t="n">
        <f aca="false">IF(L28&gt;0,L28,0)</f>
        <v>29.8989160574742</v>
      </c>
      <c r="K28" s="55" t="n">
        <f aca="false">I28+J28</f>
        <v>180.998916057474</v>
      </c>
      <c r="L28" s="55" t="n">
        <f aca="false">F28-(I28-X28)</f>
        <v>29.8989160574742</v>
      </c>
      <c r="M28" s="55" t="n">
        <v>206.7</v>
      </c>
      <c r="N28" s="66" t="n">
        <v>0</v>
      </c>
      <c r="O28" s="55" t="n">
        <v>0</v>
      </c>
      <c r="P28" s="5" t="n">
        <f aca="false">M28-(N28+O28)</f>
        <v>206.7</v>
      </c>
      <c r="Q28" s="55" t="n">
        <v>118.1</v>
      </c>
      <c r="R28" s="95" t="n">
        <v>77.7</v>
      </c>
      <c r="S28" s="55" t="n">
        <f aca="false">SUM(P28:R28)</f>
        <v>402.5</v>
      </c>
      <c r="T28" s="57" t="n">
        <f aca="false">(I28-S28)+T27</f>
        <v>7025.80000000001</v>
      </c>
      <c r="U28" s="55" t="n">
        <v>176.5</v>
      </c>
      <c r="V28" s="55" t="n">
        <v>99.1</v>
      </c>
      <c r="W28" s="57" t="n">
        <f aca="false">W27-V28</f>
        <v>4972.2</v>
      </c>
      <c r="X28" s="5" t="n">
        <f aca="false">N28+O28+S28+U28+V28</f>
        <v>678.1</v>
      </c>
      <c r="Y28" s="55" t="n">
        <f aca="false">IF(L28&lt;0,L28*-1,0)</f>
        <v>0</v>
      </c>
      <c r="Z28" s="55" t="n">
        <f aca="false">X28+Y28</f>
        <v>678.1</v>
      </c>
      <c r="AA28" s="58" t="n">
        <v>0.21</v>
      </c>
      <c r="AB28" s="51" t="n">
        <v>79</v>
      </c>
      <c r="AC28" s="51" t="n">
        <v>53</v>
      </c>
      <c r="AD28" s="48" t="n">
        <v>19</v>
      </c>
      <c r="AE28" s="10"/>
      <c r="AF28" s="0"/>
      <c r="AG28" s="5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48" t="n">
        <v>20</v>
      </c>
      <c r="B29" s="59" t="n">
        <v>6913.2</v>
      </c>
      <c r="C29" s="57" t="n">
        <v>334943</v>
      </c>
      <c r="D29" s="51" t="n">
        <f aca="false">C29-C28</f>
        <v>-822</v>
      </c>
      <c r="E29" s="57" t="n">
        <f aca="false">C29-152000</f>
        <v>182943</v>
      </c>
      <c r="F29" s="55" t="n">
        <f aca="false">D29/$D$2</f>
        <v>-414.418956390219</v>
      </c>
      <c r="G29" s="55" t="n">
        <v>178.3</v>
      </c>
      <c r="H29" s="60" t="n">
        <v>0</v>
      </c>
      <c r="I29" s="55" t="n">
        <f aca="false">G29+H29</f>
        <v>178.3</v>
      </c>
      <c r="J29" s="61" t="n">
        <f aca="false">IF(L29&gt;0,L29,0)</f>
        <v>50.0810436097806</v>
      </c>
      <c r="K29" s="55" t="n">
        <f aca="false">I29+J29</f>
        <v>228.381043609781</v>
      </c>
      <c r="L29" s="55" t="n">
        <f aca="false">F29-(I29-X29)</f>
        <v>50.0810436097806</v>
      </c>
      <c r="M29" s="55" t="n">
        <v>199.6</v>
      </c>
      <c r="N29" s="66" t="n">
        <v>0</v>
      </c>
      <c r="O29" s="55" t="n">
        <v>0</v>
      </c>
      <c r="P29" s="5" t="n">
        <f aca="false">M29-(N29+O29)</f>
        <v>199.6</v>
      </c>
      <c r="Q29" s="55" t="n">
        <v>108.2</v>
      </c>
      <c r="R29" s="95" t="n">
        <v>76.1</v>
      </c>
      <c r="S29" s="55" t="n">
        <f aca="false">SUM(P29:R29)</f>
        <v>383.9</v>
      </c>
      <c r="T29" s="57" t="n">
        <f aca="false">(I29-S29)+T28</f>
        <v>6820.2</v>
      </c>
      <c r="U29" s="55" t="n">
        <v>159.9</v>
      </c>
      <c r="V29" s="55" t="n">
        <v>99</v>
      </c>
      <c r="W29" s="57" t="n">
        <f aca="false">W28-V29</f>
        <v>4873.2</v>
      </c>
      <c r="X29" s="5" t="n">
        <f aca="false">N29+O29+S29+U29+V29</f>
        <v>642.8</v>
      </c>
      <c r="Y29" s="55" t="n">
        <f aca="false">IF(L29&lt;0,L29*-1,0)</f>
        <v>0</v>
      </c>
      <c r="Z29" s="55" t="n">
        <f aca="false">X29+Y29</f>
        <v>642.8</v>
      </c>
      <c r="AA29" s="58" t="n">
        <v>0.06</v>
      </c>
      <c r="AB29" s="51" t="n">
        <v>69</v>
      </c>
      <c r="AC29" s="51" t="n">
        <v>52</v>
      </c>
      <c r="AD29" s="48" t="n">
        <v>20</v>
      </c>
      <c r="AE29" s="10"/>
      <c r="AF29" s="0"/>
      <c r="AG29" s="5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48" t="n">
        <v>21</v>
      </c>
      <c r="B30" s="59" t="n">
        <v>6912.96</v>
      </c>
      <c r="C30" s="57" t="n">
        <v>333978</v>
      </c>
      <c r="D30" s="51" t="n">
        <f aca="false">C30-C29</f>
        <v>-965</v>
      </c>
      <c r="E30" s="57" t="n">
        <f aca="false">C30-152000</f>
        <v>181978</v>
      </c>
      <c r="F30" s="55" t="n">
        <f aca="false">D30/$D$2</f>
        <v>-486.513738341316</v>
      </c>
      <c r="G30" s="55" t="n">
        <v>191.3</v>
      </c>
      <c r="H30" s="60" t="n">
        <v>0</v>
      </c>
      <c r="I30" s="55" t="n">
        <f aca="false">G30+H30</f>
        <v>191.3</v>
      </c>
      <c r="J30" s="61" t="n">
        <f aca="false">IF(L30&gt;0,L30,0)</f>
        <v>0</v>
      </c>
      <c r="K30" s="55" t="n">
        <f aca="false">I30+J30</f>
        <v>191.3</v>
      </c>
      <c r="L30" s="55" t="n">
        <f aca="false">F30-(I30-X30)</f>
        <v>-57.2137383413158</v>
      </c>
      <c r="M30" s="55" t="n">
        <v>184.9</v>
      </c>
      <c r="N30" s="66" t="n">
        <v>0</v>
      </c>
      <c r="O30" s="55" t="n">
        <v>11.6</v>
      </c>
      <c r="P30" s="5" t="n">
        <f aca="false">M30-(N30+O30)</f>
        <v>173.3</v>
      </c>
      <c r="Q30" s="55" t="n">
        <v>108.2</v>
      </c>
      <c r="R30" s="95" t="n">
        <v>74.6</v>
      </c>
      <c r="S30" s="55" t="n">
        <f aca="false">SUM(P30:R30)</f>
        <v>356.1</v>
      </c>
      <c r="T30" s="57" t="n">
        <f aca="false">(I30-S30)+T29</f>
        <v>6655.4</v>
      </c>
      <c r="U30" s="55" t="n">
        <v>153.8</v>
      </c>
      <c r="V30" s="55" t="n">
        <v>99.1</v>
      </c>
      <c r="W30" s="57" t="n">
        <f aca="false">W29-V30</f>
        <v>4774.1</v>
      </c>
      <c r="X30" s="5" t="n">
        <f aca="false">N30+O30+S30+U30+V30</f>
        <v>620.6</v>
      </c>
      <c r="Y30" s="55" t="n">
        <f aca="false">IF(L30&lt;0,L30*-1,0)</f>
        <v>57.2137383413158</v>
      </c>
      <c r="Z30" s="55" t="n">
        <f aca="false">X30+Y30</f>
        <v>677.813738341316</v>
      </c>
      <c r="AA30" s="58" t="n">
        <v>0.04</v>
      </c>
      <c r="AB30" s="51" t="n">
        <v>74</v>
      </c>
      <c r="AC30" s="51" t="n">
        <v>53</v>
      </c>
      <c r="AD30" s="48" t="n">
        <v>21</v>
      </c>
      <c r="AE30" s="10"/>
      <c r="AF30" s="0"/>
      <c r="AG30" s="5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48" t="n">
        <v>22</v>
      </c>
      <c r="B31" s="59" t="n">
        <v>6912.78</v>
      </c>
      <c r="C31" s="57" t="n">
        <v>333224</v>
      </c>
      <c r="D31" s="51" t="n">
        <f aca="false">C31-C30</f>
        <v>-754</v>
      </c>
      <c r="E31" s="57" t="n">
        <f aca="false">C31-152000</f>
        <v>181224</v>
      </c>
      <c r="F31" s="55" t="n">
        <f aca="false">D31/$D$2</f>
        <v>-380.136123014873</v>
      </c>
      <c r="G31" s="55" t="n">
        <v>203.2</v>
      </c>
      <c r="H31" s="60" t="n">
        <v>0</v>
      </c>
      <c r="I31" s="55" t="n">
        <f aca="false">G31+H31</f>
        <v>203.2</v>
      </c>
      <c r="J31" s="61" t="n">
        <f aca="false">IF(L31&gt;0,L31,0)</f>
        <v>6.66387698512733</v>
      </c>
      <c r="K31" s="55" t="n">
        <f aca="false">I31+J31</f>
        <v>209.863876985127</v>
      </c>
      <c r="L31" s="55" t="n">
        <f aca="false">F31-(I31-X31)</f>
        <v>6.66387698512733</v>
      </c>
      <c r="M31" s="55" t="n">
        <v>167.5</v>
      </c>
      <c r="N31" s="66" t="n">
        <v>0</v>
      </c>
      <c r="O31" s="55" t="n">
        <v>0</v>
      </c>
      <c r="P31" s="5" t="n">
        <f aca="false">M31-(N31+O31)</f>
        <v>167.5</v>
      </c>
      <c r="Q31" s="55" t="n">
        <v>107.8</v>
      </c>
      <c r="R31" s="55" t="n">
        <v>74.1</v>
      </c>
      <c r="S31" s="55" t="n">
        <f aca="false">SUM(P31:R31)</f>
        <v>349.4</v>
      </c>
      <c r="T31" s="57" t="n">
        <f aca="false">(I31-S31)+T30</f>
        <v>6509.2</v>
      </c>
      <c r="U31" s="55" t="n">
        <v>142.2</v>
      </c>
      <c r="V31" s="55" t="n">
        <v>98.4</v>
      </c>
      <c r="W31" s="57" t="n">
        <f aca="false">W30-V31</f>
        <v>4675.7</v>
      </c>
      <c r="X31" s="5" t="n">
        <f aca="false">N31+O31+S31+U31+V31</f>
        <v>590</v>
      </c>
      <c r="Y31" s="55" t="n">
        <f aca="false">IF(L31&lt;0,L31*-1,0)</f>
        <v>0</v>
      </c>
      <c r="Z31" s="55" t="n">
        <f aca="false">X31+Y31</f>
        <v>590</v>
      </c>
      <c r="AA31" s="58" t="n">
        <v>0</v>
      </c>
      <c r="AB31" s="51" t="n">
        <v>76</v>
      </c>
      <c r="AC31" s="51" t="n">
        <v>48</v>
      </c>
      <c r="AD31" s="48" t="n">
        <v>22</v>
      </c>
      <c r="AE31" s="10"/>
      <c r="AF31" s="0"/>
      <c r="AG31" s="5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48" t="n">
        <v>23</v>
      </c>
      <c r="B32" s="59" t="n">
        <v>6912.56</v>
      </c>
      <c r="C32" s="57" t="n">
        <v>332327</v>
      </c>
      <c r="D32" s="51" t="n">
        <f aca="false">C32-C31</f>
        <v>-897</v>
      </c>
      <c r="E32" s="57" t="n">
        <f aca="false">C32-152000</f>
        <v>180327</v>
      </c>
      <c r="F32" s="55" t="n">
        <f aca="false">D32/$D$2</f>
        <v>-452.230904965969</v>
      </c>
      <c r="G32" s="55" t="n">
        <v>184.7</v>
      </c>
      <c r="H32" s="60" t="n">
        <v>0</v>
      </c>
      <c r="I32" s="55" t="n">
        <f aca="false">G32+H32</f>
        <v>184.7</v>
      </c>
      <c r="J32" s="61" t="n">
        <f aca="false">IF(L32&gt;0,L32,0)</f>
        <v>0</v>
      </c>
      <c r="K32" s="55" t="n">
        <f aca="false">I32+J32</f>
        <v>184.7</v>
      </c>
      <c r="L32" s="55" t="n">
        <f aca="false">F32-(I32-X32)</f>
        <v>-17.9309049659692</v>
      </c>
      <c r="M32" s="55" t="n">
        <v>192.7</v>
      </c>
      <c r="N32" s="66" t="n">
        <v>0</v>
      </c>
      <c r="O32" s="55" t="n">
        <v>0</v>
      </c>
      <c r="P32" s="5" t="n">
        <f aca="false">M32-(N32+O32)</f>
        <v>192.7</v>
      </c>
      <c r="Q32" s="55" t="n">
        <v>108.2</v>
      </c>
      <c r="R32" s="55" t="n">
        <v>74.6</v>
      </c>
      <c r="S32" s="55" t="n">
        <f aca="false">SUM(P32:R32)</f>
        <v>375.5</v>
      </c>
      <c r="T32" s="57" t="n">
        <f aca="false">(I32-S32)+T31</f>
        <v>6318.4</v>
      </c>
      <c r="U32" s="55" t="n">
        <v>142.7</v>
      </c>
      <c r="V32" s="55" t="n">
        <v>100.8</v>
      </c>
      <c r="W32" s="57" t="n">
        <f aca="false">W31-V32</f>
        <v>4574.9</v>
      </c>
      <c r="X32" s="5" t="n">
        <f aca="false">N32+O32+S32+U32+V32</f>
        <v>619</v>
      </c>
      <c r="Y32" s="55" t="n">
        <f aca="false">IF(L32&lt;0,L32*-1,0)</f>
        <v>17.9309049659692</v>
      </c>
      <c r="Z32" s="55" t="n">
        <f aca="false">X32+Y32</f>
        <v>636.930904965969</v>
      </c>
      <c r="AA32" s="58" t="n">
        <v>0</v>
      </c>
      <c r="AB32" s="51" t="n">
        <v>82</v>
      </c>
      <c r="AC32" s="51" t="n">
        <v>46</v>
      </c>
      <c r="AD32" s="48" t="n">
        <v>23</v>
      </c>
      <c r="AE32" s="10"/>
      <c r="AF32" s="0"/>
      <c r="AG32" s="5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48" t="n">
        <v>24</v>
      </c>
      <c r="B33" s="59" t="n">
        <v>6912.32</v>
      </c>
      <c r="C33" s="57" t="n">
        <v>331349</v>
      </c>
      <c r="D33" s="51" t="n">
        <f aca="false">C33-C32</f>
        <v>-978</v>
      </c>
      <c r="E33" s="57" t="n">
        <f aca="false">C33-152000</f>
        <v>179349</v>
      </c>
      <c r="F33" s="55" t="n">
        <f aca="false">D33/$D$2</f>
        <v>-493.067809427779</v>
      </c>
      <c r="G33" s="55" t="n">
        <v>167.3</v>
      </c>
      <c r="H33" s="60" t="n">
        <v>0</v>
      </c>
      <c r="I33" s="55" t="n">
        <f aca="false">G33+H33</f>
        <v>167.3</v>
      </c>
      <c r="J33" s="61" t="n">
        <f aca="false">IF(L33&gt;0,L33,0)</f>
        <v>0</v>
      </c>
      <c r="K33" s="55" t="n">
        <f aca="false">I33+J33</f>
        <v>167.3</v>
      </c>
      <c r="L33" s="55" t="n">
        <f aca="false">F33-(I33-X33)</f>
        <v>-52.7678094277792</v>
      </c>
      <c r="M33" s="55" t="n">
        <v>179.3</v>
      </c>
      <c r="N33" s="66" t="n">
        <v>0</v>
      </c>
      <c r="O33" s="55" t="n">
        <v>0</v>
      </c>
      <c r="P33" s="5" t="n">
        <f aca="false">M33-(N33+O33)</f>
        <v>179.3</v>
      </c>
      <c r="Q33" s="55" t="n">
        <v>108</v>
      </c>
      <c r="R33" s="55" t="n">
        <v>72.1</v>
      </c>
      <c r="S33" s="55" t="n">
        <f aca="false">SUM(P33:R33)</f>
        <v>359.4</v>
      </c>
      <c r="T33" s="57" t="n">
        <f aca="false">(I33-S33)+T32</f>
        <v>6126.3</v>
      </c>
      <c r="U33" s="55" t="n">
        <v>147.8</v>
      </c>
      <c r="V33" s="55" t="n">
        <v>100.4</v>
      </c>
      <c r="W33" s="57" t="n">
        <f aca="false">W32-V33</f>
        <v>4474.5</v>
      </c>
      <c r="X33" s="5" t="n">
        <f aca="false">N33+O33+S33+U33+V33</f>
        <v>607.6</v>
      </c>
      <c r="Y33" s="55" t="n">
        <f aca="false">IF(L33&lt;0,L33*-1,0)</f>
        <v>52.7678094277792</v>
      </c>
      <c r="Z33" s="55" t="n">
        <f aca="false">X33+Y33</f>
        <v>660.367809427779</v>
      </c>
      <c r="AA33" s="58" t="n">
        <v>0</v>
      </c>
      <c r="AB33" s="51" t="n">
        <v>84</v>
      </c>
      <c r="AC33" s="51" t="n">
        <v>54</v>
      </c>
      <c r="AD33" s="48" t="n">
        <v>24</v>
      </c>
      <c r="AE33" s="10"/>
      <c r="AF33" s="0"/>
      <c r="AG33" s="5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48" t="n">
        <v>25</v>
      </c>
      <c r="B34" s="59" t="n">
        <v>6912.15</v>
      </c>
      <c r="C34" s="57" t="n">
        <v>330656</v>
      </c>
      <c r="D34" s="51" t="n">
        <f aca="false">C34-C33</f>
        <v>-693</v>
      </c>
      <c r="E34" s="57" t="n">
        <f aca="false">C34-152000</f>
        <v>178656</v>
      </c>
      <c r="F34" s="55" t="n">
        <f aca="false">D34/$D$2</f>
        <v>-349.382404839929</v>
      </c>
      <c r="G34" s="55" t="n">
        <v>153.5</v>
      </c>
      <c r="H34" s="60" t="n">
        <v>0</v>
      </c>
      <c r="I34" s="55" t="n">
        <f aca="false">G34+H34</f>
        <v>153.5</v>
      </c>
      <c r="J34" s="61" t="n">
        <f aca="false">IF(L34&gt;0,L34,0)</f>
        <v>95.5175951600706</v>
      </c>
      <c r="K34" s="55" t="n">
        <f aca="false">I34+J34</f>
        <v>249.017595160071</v>
      </c>
      <c r="L34" s="55" t="n">
        <f aca="false">F34-(I34-X34)</f>
        <v>95.5175951600706</v>
      </c>
      <c r="M34" s="55" t="n">
        <v>182.2</v>
      </c>
      <c r="N34" s="66" t="n">
        <v>0</v>
      </c>
      <c r="O34" s="55" t="n">
        <v>0</v>
      </c>
      <c r="P34" s="5" t="n">
        <f aca="false">M34-(N34+O34)</f>
        <v>182.2</v>
      </c>
      <c r="Q34" s="55" t="n">
        <v>107.7</v>
      </c>
      <c r="R34" s="55" t="n">
        <v>71.6</v>
      </c>
      <c r="S34" s="55" t="n">
        <f aca="false">SUM(P34:R34)</f>
        <v>361.5</v>
      </c>
      <c r="T34" s="57" t="n">
        <f aca="false">(I34-S34)+T33</f>
        <v>5918.3</v>
      </c>
      <c r="U34" s="55" t="n">
        <v>136.7</v>
      </c>
      <c r="V34" s="55" t="n">
        <v>100.2</v>
      </c>
      <c r="W34" s="57" t="n">
        <f aca="false">W33-V34</f>
        <v>4374.3</v>
      </c>
      <c r="X34" s="5" t="n">
        <f aca="false">N34+O34+S34+U34+V34</f>
        <v>598.4</v>
      </c>
      <c r="Y34" s="55" t="n">
        <f aca="false">IF(L34&lt;0,L34*-1,0)</f>
        <v>0</v>
      </c>
      <c r="Z34" s="55" t="n">
        <f aca="false">X34+Y34</f>
        <v>598.4</v>
      </c>
      <c r="AA34" s="58" t="n">
        <v>0.3</v>
      </c>
      <c r="AB34" s="51" t="n">
        <v>73</v>
      </c>
      <c r="AC34" s="51" t="n">
        <v>58</v>
      </c>
      <c r="AD34" s="48" t="n">
        <v>25</v>
      </c>
      <c r="AE34" s="10"/>
      <c r="AF34" s="0"/>
      <c r="AG34" s="5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48" t="n">
        <v>26</v>
      </c>
      <c r="B35" s="59" t="n">
        <v>6912</v>
      </c>
      <c r="C35" s="57" t="n">
        <v>330044</v>
      </c>
      <c r="D35" s="51" t="n">
        <f aca="false">C35-C34</f>
        <v>-612</v>
      </c>
      <c r="E35" s="57" t="n">
        <f aca="false">C35-152000</f>
        <v>178044</v>
      </c>
      <c r="F35" s="55" t="n">
        <f aca="false">D35/$D$2</f>
        <v>-308.545500378119</v>
      </c>
      <c r="G35" s="55" t="n">
        <v>176.2</v>
      </c>
      <c r="H35" s="60" t="n">
        <v>0</v>
      </c>
      <c r="I35" s="55" t="n">
        <f aca="false">G35+H35</f>
        <v>176.2</v>
      </c>
      <c r="J35" s="61" t="n">
        <f aca="false">IF(L35&gt;0,L35,0)</f>
        <v>26.8544996218806</v>
      </c>
      <c r="K35" s="55" t="n">
        <f aca="false">I35+J35</f>
        <v>203.054499621881</v>
      </c>
      <c r="L35" s="55" t="n">
        <f aca="false">F35-(I35-X35)</f>
        <v>26.8544996218806</v>
      </c>
      <c r="M35" s="55" t="n">
        <v>168.6</v>
      </c>
      <c r="N35" s="66" t="n">
        <v>0</v>
      </c>
      <c r="O35" s="55" t="n">
        <v>0</v>
      </c>
      <c r="P35" s="5" t="n">
        <f aca="false">M35-(N35+O35)</f>
        <v>168.6</v>
      </c>
      <c r="Q35" s="55" t="n">
        <v>107.8</v>
      </c>
      <c r="R35" s="55" t="n">
        <v>67.1</v>
      </c>
      <c r="S35" s="55" t="n">
        <f aca="false">SUM(P35:R35)</f>
        <v>343.5</v>
      </c>
      <c r="T35" s="57" t="n">
        <f aca="false">(I35-S35)+T34</f>
        <v>5751</v>
      </c>
      <c r="U35" s="55" t="n">
        <v>67.6</v>
      </c>
      <c r="V35" s="55" t="n">
        <v>100.5</v>
      </c>
      <c r="W35" s="57" t="n">
        <f aca="false">W34-V35</f>
        <v>4273.80000000001</v>
      </c>
      <c r="X35" s="5" t="n">
        <f aca="false">N35+O35+S35+U35+V35</f>
        <v>511.6</v>
      </c>
      <c r="Y35" s="55" t="n">
        <f aca="false">IF(L35&lt;0,L35*-1,0)</f>
        <v>0</v>
      </c>
      <c r="Z35" s="55" t="n">
        <f aca="false">X35+Y35</f>
        <v>511.6</v>
      </c>
      <c r="AA35" s="58" t="n">
        <v>0.36</v>
      </c>
      <c r="AB35" s="51" t="n">
        <v>72</v>
      </c>
      <c r="AC35" s="51" t="n">
        <v>51</v>
      </c>
      <c r="AD35" s="48" t="n">
        <v>26</v>
      </c>
      <c r="AE35" s="10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48" t="n">
        <v>27</v>
      </c>
      <c r="B36" s="59" t="n">
        <v>6912</v>
      </c>
      <c r="C36" s="57" t="n">
        <v>330044</v>
      </c>
      <c r="D36" s="51" t="n">
        <f aca="false">C36-C35</f>
        <v>0</v>
      </c>
      <c r="E36" s="57" t="n">
        <f aca="false">C36-152000</f>
        <v>178044</v>
      </c>
      <c r="F36" s="55" t="n">
        <f aca="false">D36/$D$2</f>
        <v>0</v>
      </c>
      <c r="G36" s="55" t="n">
        <v>233</v>
      </c>
      <c r="H36" s="60" t="n">
        <v>0</v>
      </c>
      <c r="I36" s="55" t="n">
        <f aca="false">G36+H36</f>
        <v>233</v>
      </c>
      <c r="J36" s="61" t="n">
        <f aca="false">IF(L36&gt;0,L36,0)</f>
        <v>224</v>
      </c>
      <c r="K36" s="55" t="n">
        <f aca="false">I36+J36</f>
        <v>457</v>
      </c>
      <c r="L36" s="55" t="n">
        <f aca="false">F36-(I36-X36)</f>
        <v>224</v>
      </c>
      <c r="M36" s="55" t="n">
        <v>141.4</v>
      </c>
      <c r="N36" s="66" t="n">
        <v>0</v>
      </c>
      <c r="O36" s="55" t="n">
        <v>0</v>
      </c>
      <c r="P36" s="5" t="n">
        <f aca="false">M36-(N36+O36)</f>
        <v>141.4</v>
      </c>
      <c r="Q36" s="55" t="n">
        <v>97.4</v>
      </c>
      <c r="R36" s="55" t="n">
        <v>63.5</v>
      </c>
      <c r="S36" s="55" t="n">
        <f aca="false">SUM(P36:R36)</f>
        <v>302.3</v>
      </c>
      <c r="T36" s="57" t="n">
        <f aca="false">(I36-S36)+T35</f>
        <v>5681.7</v>
      </c>
      <c r="U36" s="55" t="n">
        <v>54.5</v>
      </c>
      <c r="V36" s="55" t="n">
        <v>100.2</v>
      </c>
      <c r="W36" s="57" t="n">
        <f aca="false">W35-V36</f>
        <v>4173.60000000001</v>
      </c>
      <c r="X36" s="5" t="n">
        <f aca="false">N36+O36+S36+U36+V36</f>
        <v>457</v>
      </c>
      <c r="Y36" s="55" t="n">
        <f aca="false">IF(L36&lt;0,L36*-1,0)</f>
        <v>0</v>
      </c>
      <c r="Z36" s="55" t="n">
        <f aca="false">X36+Y36</f>
        <v>457</v>
      </c>
      <c r="AA36" s="58" t="n">
        <v>0.74</v>
      </c>
      <c r="AB36" s="51" t="n">
        <v>63</v>
      </c>
      <c r="AC36" s="51" t="n">
        <v>51</v>
      </c>
      <c r="AD36" s="48" t="n">
        <v>27</v>
      </c>
      <c r="AE36" s="10"/>
      <c r="AF36" s="0"/>
      <c r="AG36" s="5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140" t="n">
        <v>28</v>
      </c>
      <c r="B37" s="110" t="n">
        <v>1912</v>
      </c>
      <c r="C37" s="111" t="n">
        <v>330044</v>
      </c>
      <c r="D37" s="133" t="n">
        <f aca="false">C37-C36</f>
        <v>0</v>
      </c>
      <c r="E37" s="111" t="n">
        <f aca="false">C37-152000</f>
        <v>178044</v>
      </c>
      <c r="F37" s="95" t="n">
        <f aca="false">D37/$D$2</f>
        <v>0</v>
      </c>
      <c r="G37" s="95" t="n">
        <v>312</v>
      </c>
      <c r="H37" s="141" t="n">
        <v>0</v>
      </c>
      <c r="I37" s="95" t="n">
        <f aca="false">G37+H37</f>
        <v>312</v>
      </c>
      <c r="J37" s="142" t="n">
        <f aca="false">IF(L37&gt;0,L37,0)</f>
        <v>71.9</v>
      </c>
      <c r="K37" s="95" t="n">
        <f aca="false">I37+J37</f>
        <v>383.9</v>
      </c>
      <c r="L37" s="95" t="n">
        <f aca="false">F37-(I37-X37)</f>
        <v>71.9</v>
      </c>
      <c r="M37" s="95" t="n">
        <v>106.5</v>
      </c>
      <c r="N37" s="94" t="n">
        <v>0</v>
      </c>
      <c r="O37" s="95" t="n">
        <v>0</v>
      </c>
      <c r="P37" s="5" t="n">
        <f aca="false">M37-(N37+O37)</f>
        <v>106.5</v>
      </c>
      <c r="Q37" s="95" t="n">
        <v>90.5</v>
      </c>
      <c r="R37" s="95" t="n">
        <v>40.8</v>
      </c>
      <c r="S37" s="95" t="n">
        <f aca="false">SUM(P37:R37)</f>
        <v>237.8</v>
      </c>
      <c r="T37" s="57" t="n">
        <f aca="false">(I37-S37)+T36</f>
        <v>5755.9</v>
      </c>
      <c r="U37" s="95" t="n">
        <v>45.9</v>
      </c>
      <c r="V37" s="55" t="n">
        <v>100.2</v>
      </c>
      <c r="W37" s="57" t="n">
        <f aca="false">W36-V37</f>
        <v>4073.40000000001</v>
      </c>
      <c r="X37" s="5" t="n">
        <f aca="false">N37+O37+S37+U37+V37</f>
        <v>383.9</v>
      </c>
      <c r="Y37" s="95" t="n">
        <f aca="false">IF(L37&lt;0,L37*-1,0)</f>
        <v>0</v>
      </c>
      <c r="Z37" s="95" t="n">
        <f aca="false">X37+Y37</f>
        <v>383.9</v>
      </c>
      <c r="AA37" s="92" t="n">
        <v>0.27</v>
      </c>
      <c r="AB37" s="133" t="n">
        <v>68</v>
      </c>
      <c r="AC37" s="133" t="n">
        <v>50</v>
      </c>
      <c r="AD37" s="140" t="n">
        <v>28</v>
      </c>
      <c r="AE37" s="10"/>
      <c r="AF37" s="0"/>
      <c r="AG37" s="5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140" t="n">
        <v>29</v>
      </c>
      <c r="B38" s="110" t="n">
        <v>6912.01</v>
      </c>
      <c r="C38" s="111" t="n">
        <v>330085</v>
      </c>
      <c r="D38" s="133" t="n">
        <f aca="false">C38-C37</f>
        <v>41</v>
      </c>
      <c r="E38" s="111" t="n">
        <f aca="false">C38-152000</f>
        <v>178085</v>
      </c>
      <c r="F38" s="95" t="n">
        <f aca="false">D38/$D$2</f>
        <v>20.6705318880766</v>
      </c>
      <c r="G38" s="95" t="n">
        <v>387.1</v>
      </c>
      <c r="H38" s="141" t="n">
        <v>0</v>
      </c>
      <c r="I38" s="95" t="n">
        <f aca="false">G38+H38</f>
        <v>387.1</v>
      </c>
      <c r="J38" s="142" t="n">
        <f aca="false">IF(L38&gt;0,L38,0)</f>
        <v>28.9705318880766</v>
      </c>
      <c r="K38" s="95" t="n">
        <f aca="false">I38+J38</f>
        <v>416.070531888077</v>
      </c>
      <c r="L38" s="95" t="n">
        <f aca="false">F38-(I38-X38)</f>
        <v>28.9705318880766</v>
      </c>
      <c r="M38" s="95" t="n">
        <v>117.1</v>
      </c>
      <c r="N38" s="94" t="n">
        <v>0</v>
      </c>
      <c r="O38" s="95" t="n">
        <v>0</v>
      </c>
      <c r="P38" s="5" t="n">
        <f aca="false">M38-(N38+O38)</f>
        <v>117.1</v>
      </c>
      <c r="Q38" s="95" t="n">
        <v>91.1</v>
      </c>
      <c r="R38" s="95" t="n">
        <v>38.3</v>
      </c>
      <c r="S38" s="95" t="n">
        <f aca="false">SUM(P38:R38)</f>
        <v>246.5</v>
      </c>
      <c r="T38" s="57" t="n">
        <f aca="false">(I38-S38)+T37</f>
        <v>5896.5</v>
      </c>
      <c r="U38" s="95" t="n">
        <v>48.9</v>
      </c>
      <c r="V38" s="55" t="n">
        <v>100</v>
      </c>
      <c r="W38" s="57" t="n">
        <f aca="false">W37-V38</f>
        <v>3973.40000000001</v>
      </c>
      <c r="X38" s="5" t="n">
        <f aca="false">N38+O38+S38+U38+V38</f>
        <v>395.4</v>
      </c>
      <c r="Y38" s="95" t="n">
        <f aca="false">IF(L38&lt;0,L38*-1,0)</f>
        <v>0</v>
      </c>
      <c r="Z38" s="95" t="n">
        <f aca="false">X38+Y38</f>
        <v>395.4</v>
      </c>
      <c r="AA38" s="92" t="n">
        <v>0.08</v>
      </c>
      <c r="AB38" s="133" t="n">
        <v>74</v>
      </c>
      <c r="AC38" s="133" t="n">
        <v>50</v>
      </c>
      <c r="AD38" s="140" t="n">
        <v>29</v>
      </c>
      <c r="AE38" s="10"/>
      <c r="AF38" s="0"/>
      <c r="AG38" s="5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140" t="n">
        <v>30</v>
      </c>
      <c r="B39" s="110" t="n">
        <v>6912.03</v>
      </c>
      <c r="C39" s="111" t="n">
        <v>330167</v>
      </c>
      <c r="D39" s="133" t="n">
        <f aca="false">C39-C38</f>
        <v>82</v>
      </c>
      <c r="E39" s="111" t="n">
        <f aca="false">C39-152000</f>
        <v>178167</v>
      </c>
      <c r="F39" s="95" t="n">
        <f aca="false">D39/$D$2</f>
        <v>41.3410637761533</v>
      </c>
      <c r="G39" s="95" t="n">
        <v>378.4</v>
      </c>
      <c r="H39" s="141" t="n">
        <v>0</v>
      </c>
      <c r="I39" s="95" t="n">
        <f aca="false">G39+H39</f>
        <v>378.4</v>
      </c>
      <c r="J39" s="142" t="n">
        <f aca="false">IF(L39&gt;0,L39,0)</f>
        <v>49.8410637761533</v>
      </c>
      <c r="K39" s="95" t="n">
        <f aca="false">I39+J39</f>
        <v>428.241063776153</v>
      </c>
      <c r="L39" s="95" t="n">
        <f aca="false">F39-(I39-X39)</f>
        <v>49.8410637761533</v>
      </c>
      <c r="M39" s="95" t="n">
        <v>98.3</v>
      </c>
      <c r="N39" s="94" t="n">
        <v>0</v>
      </c>
      <c r="O39" s="95" t="n">
        <v>0</v>
      </c>
      <c r="P39" s="5" t="n">
        <f aca="false">M39-(N39+O39)</f>
        <v>98.3</v>
      </c>
      <c r="Q39" s="95" t="n">
        <v>90.7</v>
      </c>
      <c r="R39" s="95" t="n">
        <v>40.8</v>
      </c>
      <c r="S39" s="95" t="n">
        <f aca="false">SUM(P39:R39)</f>
        <v>229.8</v>
      </c>
      <c r="T39" s="57" t="n">
        <f aca="false">(I39-S39)+T38</f>
        <v>6045.1</v>
      </c>
      <c r="U39" s="95" t="n">
        <v>57.5</v>
      </c>
      <c r="V39" s="55" t="n">
        <v>99.6</v>
      </c>
      <c r="W39" s="57" t="n">
        <f aca="false">W38-V39</f>
        <v>3873.8</v>
      </c>
      <c r="X39" s="5" t="n">
        <f aca="false">N39+O39+S39+U39+V39</f>
        <v>386.9</v>
      </c>
      <c r="Y39" s="95" t="n">
        <f aca="false">IF(L39&lt;0,L39*-1,0)</f>
        <v>0</v>
      </c>
      <c r="Z39" s="95" t="n">
        <f aca="false">X39+Y39</f>
        <v>386.9</v>
      </c>
      <c r="AA39" s="92" t="n">
        <v>0.14</v>
      </c>
      <c r="AB39" s="133" t="n">
        <v>76</v>
      </c>
      <c r="AC39" s="133" t="n">
        <v>46</v>
      </c>
      <c r="AD39" s="140" t="n">
        <v>30</v>
      </c>
      <c r="AE39" s="10"/>
      <c r="AF39" s="0"/>
      <c r="AG39" s="5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140" t="n">
        <v>31</v>
      </c>
      <c r="B40" s="110" t="n">
        <v>6912.01</v>
      </c>
      <c r="C40" s="111" t="n">
        <v>330085</v>
      </c>
      <c r="D40" s="133" t="n">
        <f aca="false">C40-C39</f>
        <v>-82</v>
      </c>
      <c r="E40" s="111" t="n">
        <f aca="false">C40-152000</f>
        <v>178085</v>
      </c>
      <c r="F40" s="95" t="n">
        <f aca="false">D40/$D$2</f>
        <v>-41.3410637761533</v>
      </c>
      <c r="G40" s="95" t="n">
        <v>341.1</v>
      </c>
      <c r="H40" s="141" t="n">
        <v>0</v>
      </c>
      <c r="I40" s="95" t="n">
        <f aca="false">G40+H40</f>
        <v>341.1</v>
      </c>
      <c r="J40" s="142" t="n">
        <f aca="false">IF(L40&gt;0,L40,0)</f>
        <v>0.858936223846669</v>
      </c>
      <c r="K40" s="95" t="n">
        <f aca="false">I40+J40</f>
        <v>341.958936223847</v>
      </c>
      <c r="L40" s="95" t="n">
        <f aca="false">F40-(I40-X40)</f>
        <v>0.858936223846669</v>
      </c>
      <c r="M40" s="95" t="n">
        <v>102.8</v>
      </c>
      <c r="N40" s="94" t="n">
        <v>0</v>
      </c>
      <c r="O40" s="95" t="n">
        <v>0</v>
      </c>
      <c r="P40" s="5" t="n">
        <f aca="false">M40-(N40+O40)</f>
        <v>102.8</v>
      </c>
      <c r="Q40" s="95" t="n">
        <v>90.5</v>
      </c>
      <c r="R40" s="95" t="n">
        <v>41.9</v>
      </c>
      <c r="S40" s="95" t="n">
        <f aca="false">SUM(P40:R40)</f>
        <v>235.2</v>
      </c>
      <c r="T40" s="57" t="n">
        <f aca="false">(I40-S40)+T39</f>
        <v>6151</v>
      </c>
      <c r="U40" s="95" t="n">
        <v>54.5</v>
      </c>
      <c r="V40" s="55" t="n">
        <v>93.6</v>
      </c>
      <c r="W40" s="57" t="n">
        <f aca="false">W39-V40</f>
        <v>3780.2</v>
      </c>
      <c r="X40" s="5" t="n">
        <f aca="false">N40+O40+S40+U40+V40</f>
        <v>383.3</v>
      </c>
      <c r="Y40" s="95" t="n">
        <f aca="false">IF(L40&lt;0,L40*-1,0)</f>
        <v>0</v>
      </c>
      <c r="Z40" s="95" t="n">
        <f aca="false">X40+Y40</f>
        <v>383.3</v>
      </c>
      <c r="AA40" s="92" t="n">
        <v>0</v>
      </c>
      <c r="AB40" s="133" t="n">
        <v>74</v>
      </c>
      <c r="AC40" s="133" t="n">
        <v>52</v>
      </c>
      <c r="AD40" s="140" t="n">
        <v>31</v>
      </c>
      <c r="AE40" s="99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84"/>
      <c r="B41" s="84"/>
      <c r="C41" s="86"/>
      <c r="D41" s="84"/>
      <c r="E41" s="86"/>
      <c r="F41" s="84"/>
      <c r="G41" s="84"/>
      <c r="H41" s="139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6"/>
      <c r="U41" s="84"/>
      <c r="V41" s="84"/>
      <c r="W41" s="84"/>
      <c r="X41" s="84"/>
      <c r="Y41" s="84"/>
      <c r="Z41" s="84"/>
      <c r="AA41" s="87"/>
      <c r="AB41" s="52"/>
      <c r="AC41" s="52"/>
      <c r="AD41" s="53"/>
      <c r="AE41" s="81"/>
      <c r="AF41" s="82"/>
    </row>
    <row r="42" customFormat="false" ht="11.1" hidden="false" customHeight="true" outlineLevel="0" collapsed="false">
      <c r="A42" s="55" t="s">
        <v>43</v>
      </c>
      <c r="B42" s="55"/>
      <c r="C42" s="57"/>
      <c r="D42" s="57"/>
      <c r="E42" s="57"/>
      <c r="F42" s="57" t="n">
        <f aca="false">SUM(F10:F40)</f>
        <v>-13441.3914797076</v>
      </c>
      <c r="G42" s="57" t="n">
        <f aca="false">SUM(G10:G40)</f>
        <v>6668.2</v>
      </c>
      <c r="H42" s="57" t="n">
        <f aca="false">SUM(H10:H40)</f>
        <v>0</v>
      </c>
      <c r="I42" s="57" t="n">
        <f aca="false">SUM(I10:I40)</f>
        <v>6668.2</v>
      </c>
      <c r="J42" s="57" t="n">
        <f aca="false">SUM(J10:J40)</f>
        <v>826.508394252584</v>
      </c>
      <c r="K42" s="57" t="n">
        <f aca="false">SUM(K10:K40)</f>
        <v>7494.70839425258</v>
      </c>
      <c r="L42" s="57" t="n">
        <f aca="false">SUM(L10:L40)</f>
        <v>-195.091479707588</v>
      </c>
      <c r="M42" s="57" t="n">
        <f aca="false">SUM(M10:M40)</f>
        <v>6108.1</v>
      </c>
      <c r="N42" s="57" t="n">
        <f aca="false">SUM(N10:N40)</f>
        <v>0</v>
      </c>
      <c r="O42" s="57" t="n">
        <f aca="false">SUM(O10:O40)</f>
        <v>47.4</v>
      </c>
      <c r="P42" s="57" t="n">
        <f aca="false">SUM(P10:P40)</f>
        <v>6060.7</v>
      </c>
      <c r="Q42" s="57" t="n">
        <f aca="false">SUM(Q10:Q40)</f>
        <v>4061.3</v>
      </c>
      <c r="R42" s="57" t="n">
        <f aca="false">SUM(R10:R40)</f>
        <v>2277.3</v>
      </c>
      <c r="S42" s="57" t="n">
        <f aca="false">SUM(S10:S40)</f>
        <v>12399.3</v>
      </c>
      <c r="T42" s="57"/>
      <c r="U42" s="57" t="n">
        <f aca="false">SUM(U10:U40)</f>
        <v>4399.3</v>
      </c>
      <c r="V42" s="57" t="n">
        <f aca="false">SUM(V10:V40)</f>
        <v>3068.5</v>
      </c>
      <c r="W42" s="57"/>
      <c r="X42" s="57" t="n">
        <f aca="false">SUM(X10:X40)</f>
        <v>19914.5</v>
      </c>
      <c r="Y42" s="57" t="n">
        <f aca="false">SUM(Y10:Y40)</f>
        <v>1021.59987396017</v>
      </c>
      <c r="Z42" s="57" t="n">
        <f aca="false">SUM(Z10:Z40)</f>
        <v>20936.0998739602</v>
      </c>
      <c r="AA42" s="58" t="n">
        <f aca="false">SUM(AA10:AA40)</f>
        <v>3.56</v>
      </c>
      <c r="AB42" s="51" t="n">
        <f aca="false">AVERAGE(AB10:AB40)</f>
        <v>78.3548387096774</v>
      </c>
      <c r="AC42" s="51" t="n">
        <f aca="false">AVERAGE(AC10:AC40)</f>
        <v>51.2258064516129</v>
      </c>
      <c r="AD42" s="48" t="s">
        <v>74</v>
      </c>
      <c r="AE42" s="81"/>
      <c r="AF42" s="82"/>
    </row>
    <row r="43" customFormat="false" ht="11.1" hidden="false" customHeight="true" outlineLevel="0" collapsed="false">
      <c r="A43" s="55" t="s">
        <v>44</v>
      </c>
      <c r="B43" s="55"/>
      <c r="C43" s="57"/>
      <c r="D43" s="57" t="n">
        <f aca="false">SUM(D10:D40)</f>
        <v>-26661</v>
      </c>
      <c r="E43" s="57"/>
      <c r="F43" s="57" t="n">
        <f aca="false">F42*$D$2</f>
        <v>-26661</v>
      </c>
      <c r="G43" s="57" t="n">
        <f aca="false">G42*$D$2</f>
        <v>13226.3747</v>
      </c>
      <c r="H43" s="57" t="n">
        <f aca="false">H42*$D$2</f>
        <v>0</v>
      </c>
      <c r="I43" s="57" t="n">
        <f aca="false">I42*$D$2</f>
        <v>13226.3747</v>
      </c>
      <c r="J43" s="57" t="n">
        <f aca="false">J42*$D$2</f>
        <v>1639.3794</v>
      </c>
      <c r="K43" s="57" t="n">
        <f aca="false">K42*$D$2</f>
        <v>14865.7541</v>
      </c>
      <c r="L43" s="57" t="n">
        <f aca="false">L42*$D$2</f>
        <v>-386.96395</v>
      </c>
      <c r="M43" s="57" t="n">
        <f aca="false">M42*$D$2</f>
        <v>12115.41635</v>
      </c>
      <c r="N43" s="57" t="n">
        <f aca="false">N42*$D$2</f>
        <v>0</v>
      </c>
      <c r="O43" s="57" t="n">
        <f aca="false">O42*$D$2</f>
        <v>94.0179</v>
      </c>
      <c r="P43" s="57" t="n">
        <f aca="false">P42*$D$2</f>
        <v>12021.39845</v>
      </c>
      <c r="Q43" s="57" t="n">
        <f aca="false">Q42*$D$2</f>
        <v>8055.58855</v>
      </c>
      <c r="R43" s="57" t="n">
        <f aca="false">R42*$D$2</f>
        <v>4517.02455</v>
      </c>
      <c r="S43" s="57" t="n">
        <f aca="false">S42*$D$2</f>
        <v>24594.01155</v>
      </c>
      <c r="T43" s="57"/>
      <c r="U43" s="57" t="n">
        <f aca="false">U42*$D$2</f>
        <v>8726.01155</v>
      </c>
      <c r="V43" s="57" t="n">
        <f aca="false">V42*$D$2</f>
        <v>6086.36975</v>
      </c>
      <c r="W43" s="57"/>
      <c r="X43" s="57" t="n">
        <f aca="false">X42*$D$2</f>
        <v>39500.41075</v>
      </c>
      <c r="Y43" s="57" t="n">
        <f aca="false">Y42*$D$2</f>
        <v>2026.34335</v>
      </c>
      <c r="Z43" s="57" t="n">
        <f aca="false">Z42*$D$2</f>
        <v>41526.7541</v>
      </c>
      <c r="AA43" s="58"/>
      <c r="AB43" s="51" t="n">
        <f aca="false">MAX(AB10:AB40)</f>
        <v>86</v>
      </c>
      <c r="AC43" s="51" t="n">
        <f aca="false">MAX(AC10:AC40)</f>
        <v>58</v>
      </c>
      <c r="AD43" s="48" t="s">
        <v>45</v>
      </c>
      <c r="AE43" s="81"/>
      <c r="AF43" s="82"/>
    </row>
    <row r="44" customFormat="false" ht="3" hidden="false" customHeight="true" outlineLevel="0" collapsed="false">
      <c r="A44" s="84"/>
      <c r="B44" s="84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4"/>
      <c r="X44" s="86"/>
      <c r="Y44" s="86"/>
      <c r="Z44" s="86"/>
      <c r="AA44" s="58"/>
      <c r="AB44" s="51"/>
      <c r="AC44" s="51"/>
      <c r="AD44" s="48"/>
      <c r="AE44" s="81"/>
      <c r="AF44" s="82"/>
    </row>
    <row r="45" customFormat="false" ht="11.1" hidden="false" customHeight="true" outlineLevel="0" collapsed="false">
      <c r="A45" s="55" t="s">
        <v>46</v>
      </c>
      <c r="B45" s="55"/>
      <c r="C45" s="57"/>
      <c r="D45" s="57"/>
      <c r="E45" s="57"/>
      <c r="F45" s="57" t="n">
        <f aca="false">F7+F42</f>
        <v>979.581547769098</v>
      </c>
      <c r="G45" s="57" t="n">
        <f aca="false">G7+G42</f>
        <v>209084.2</v>
      </c>
      <c r="H45" s="57" t="n">
        <f aca="false">H7+H42</f>
        <v>17400.2</v>
      </c>
      <c r="I45" s="57" t="n">
        <f aca="false">I7+I42</f>
        <v>226484.4</v>
      </c>
      <c r="J45" s="57" t="n">
        <f aca="false">J7+J42</f>
        <v>45215.2308369045</v>
      </c>
      <c r="K45" s="57" t="n">
        <f aca="false">K7+K42</f>
        <v>271699.630836904</v>
      </c>
      <c r="L45" s="57" t="n">
        <f aca="false">L7+L42</f>
        <v>39477.6315477691</v>
      </c>
      <c r="M45" s="57" t="n">
        <f aca="false">M7+M42</f>
        <v>26034.96</v>
      </c>
      <c r="N45" s="57" t="n">
        <f aca="false">N7+N42</f>
        <v>0</v>
      </c>
      <c r="O45" s="57" t="n">
        <f aca="false">O7+O42</f>
        <v>59</v>
      </c>
      <c r="P45" s="57" t="n">
        <f aca="false">P7+P42</f>
        <v>25975.96</v>
      </c>
      <c r="Q45" s="57" t="n">
        <f aca="false">Q7+Q42</f>
        <v>17182.6</v>
      </c>
      <c r="R45" s="57" t="n">
        <f aca="false">R7+R42</f>
        <v>9164.99</v>
      </c>
      <c r="S45" s="57" t="n">
        <f aca="false">S7+S42</f>
        <v>52323.55</v>
      </c>
      <c r="T45" s="134" t="n">
        <f aca="false">T40</f>
        <v>6151</v>
      </c>
      <c r="U45" s="57" t="n">
        <f aca="false">U7+U42</f>
        <v>13617.8</v>
      </c>
      <c r="V45" s="57" t="n">
        <f aca="false">V7+V42</f>
        <v>198982.1</v>
      </c>
      <c r="W45" s="134" t="n">
        <f aca="false">W40</f>
        <v>3780.2</v>
      </c>
      <c r="X45" s="57" t="n">
        <f aca="false">X7+X42</f>
        <v>264982.45</v>
      </c>
      <c r="Y45" s="57" t="n">
        <f aca="false">Y7+Y42</f>
        <v>5737.59928913537</v>
      </c>
      <c r="Z45" s="57" t="n">
        <f aca="false">Z7+Z42</f>
        <v>270720.049289135</v>
      </c>
      <c r="AA45" s="58"/>
      <c r="AB45" s="51" t="n">
        <f aca="false">MIN(AB10:AB40)</f>
        <v>63</v>
      </c>
      <c r="AC45" s="51" t="n">
        <f aca="false">MIN(AC10:AC40)</f>
        <v>46</v>
      </c>
      <c r="AD45" s="48" t="s">
        <v>47</v>
      </c>
      <c r="AE45" s="81"/>
      <c r="AF45" s="82"/>
    </row>
    <row r="46" customFormat="false" ht="11.1" hidden="false" customHeight="true" outlineLevel="0" collapsed="false">
      <c r="A46" s="55" t="s">
        <v>48</v>
      </c>
      <c r="B46" s="55"/>
      <c r="C46" s="57"/>
      <c r="D46" s="57"/>
      <c r="E46" s="57"/>
      <c r="F46" s="57" t="n">
        <f aca="false">F45*$D$2</f>
        <v>1943.00000000001</v>
      </c>
      <c r="G46" s="57" t="n">
        <f aca="false">G45*$D$2</f>
        <v>414718.5107</v>
      </c>
      <c r="H46" s="57" t="n">
        <f aca="false">H45*$D$2</f>
        <v>34513.2967</v>
      </c>
      <c r="I46" s="57" t="n">
        <f aca="false">I45*$D$2</f>
        <v>449231.8074</v>
      </c>
      <c r="J46" s="57" t="n">
        <f aca="false">J45*$D$2</f>
        <v>89684.410365</v>
      </c>
      <c r="K46" s="57" t="n">
        <f aca="false">K45*$D$2</f>
        <v>538916.217765</v>
      </c>
      <c r="L46" s="57" t="n">
        <f aca="false">L45*$D$2</f>
        <v>78303.882175</v>
      </c>
      <c r="M46" s="57" t="n">
        <f aca="false">M45*$D$2</f>
        <v>51640.34316</v>
      </c>
      <c r="N46" s="57" t="n">
        <f aca="false">N45*$D$2</f>
        <v>0</v>
      </c>
      <c r="O46" s="57" t="n">
        <f aca="false">O45*$D$2</f>
        <v>117.0265</v>
      </c>
      <c r="P46" s="57" t="n">
        <f aca="false">P45*$D$2</f>
        <v>51523.31666</v>
      </c>
      <c r="Q46" s="57" t="n">
        <f aca="false">Q45*$D$2</f>
        <v>34081.6871</v>
      </c>
      <c r="R46" s="57" t="n">
        <f aca="false">R45*$D$2</f>
        <v>18178.757665</v>
      </c>
      <c r="S46" s="57" t="n">
        <f aca="false">S45*$D$2</f>
        <v>103783.761425</v>
      </c>
      <c r="T46" s="57" t="n">
        <f aca="false">T45*$D$2</f>
        <v>12200.5085</v>
      </c>
      <c r="U46" s="57" t="n">
        <f aca="false">U45*$D$2</f>
        <v>27010.9063</v>
      </c>
      <c r="V46" s="57" t="n">
        <f aca="false">V45*$D$2</f>
        <v>394680.99535</v>
      </c>
      <c r="W46" s="57" t="n">
        <f aca="false">W45*$D$2</f>
        <v>7498.02670000001</v>
      </c>
      <c r="X46" s="57" t="n">
        <f aca="false">X45*$D$2</f>
        <v>525592.689575</v>
      </c>
      <c r="Y46" s="57" t="n">
        <f aca="false">Y45*$D$2</f>
        <v>11380.52819</v>
      </c>
      <c r="Z46" s="57" t="n">
        <f aca="false">Z45*$D$2</f>
        <v>536973.217765</v>
      </c>
      <c r="AA46" s="58"/>
      <c r="AB46" s="51"/>
      <c r="AC46" s="51"/>
      <c r="AD46" s="48"/>
      <c r="AE46" s="81"/>
      <c r="AF46" s="82"/>
    </row>
    <row r="47" customFormat="false" ht="3" hidden="false" customHeight="true" outlineLevel="0" collapsed="false">
      <c r="A47" s="84"/>
      <c r="B47" s="84"/>
      <c r="C47" s="86"/>
      <c r="D47" s="86"/>
      <c r="E47" s="86"/>
      <c r="F47" s="86"/>
      <c r="G47" s="86"/>
      <c r="H47" s="52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7"/>
      <c r="AB47" s="51"/>
      <c r="AC47" s="51"/>
      <c r="AD47" s="48"/>
      <c r="AE47" s="81"/>
      <c r="AF47" s="82"/>
    </row>
    <row r="48" customFormat="false" ht="11.1" hidden="false" customHeight="true" outlineLevel="0" collapsed="false">
      <c r="A48" s="55" t="s">
        <v>49</v>
      </c>
      <c r="B48" s="55"/>
      <c r="C48" s="57"/>
      <c r="D48" s="57"/>
      <c r="E48" s="57"/>
      <c r="F48" s="57" t="n">
        <f aca="false">F8+F42</f>
        <v>13162.5913788757</v>
      </c>
      <c r="G48" s="57" t="n">
        <f aca="false">G8+G42</f>
        <v>226690.8</v>
      </c>
      <c r="H48" s="51" t="n">
        <f aca="false">H8+H42</f>
        <v>20579.8</v>
      </c>
      <c r="I48" s="57" t="n">
        <f aca="false">I8+I42</f>
        <v>247270.6</v>
      </c>
      <c r="J48" s="57" t="n">
        <f aca="false">J8+J42</f>
        <v>52756.0696823796</v>
      </c>
      <c r="K48" s="57" t="n">
        <f aca="false">K8+K42</f>
        <v>300026.66968238</v>
      </c>
      <c r="L48" s="57" t="n">
        <f aca="false">L8+L42</f>
        <v>46013.5413788757</v>
      </c>
      <c r="M48" s="57" t="n">
        <f aca="false">M8+M42</f>
        <v>27123.26</v>
      </c>
      <c r="N48" s="57" t="n">
        <f aca="false">N8+N42</f>
        <v>0.08</v>
      </c>
      <c r="O48" s="57" t="n">
        <f aca="false">O8+O42</f>
        <v>59</v>
      </c>
      <c r="P48" s="57" t="n">
        <f aca="false">P8+P42</f>
        <v>26392.48</v>
      </c>
      <c r="Q48" s="57" t="n">
        <f aca="false">Q8+Q42</f>
        <v>17182.6</v>
      </c>
      <c r="R48" s="57" t="n">
        <f aca="false">R8+R42</f>
        <v>9343.69</v>
      </c>
      <c r="S48" s="57" t="n">
        <f aca="false">S8+S42</f>
        <v>53590.47</v>
      </c>
      <c r="T48" s="57" t="n">
        <f aca="false">T45</f>
        <v>6151</v>
      </c>
      <c r="U48" s="57" t="n">
        <f aca="false">U8+U42</f>
        <v>13617.8</v>
      </c>
      <c r="V48" s="57" t="n">
        <f aca="false">V8+V42</f>
        <v>212854.2</v>
      </c>
      <c r="W48" s="57" t="n">
        <f aca="false">W40</f>
        <v>3780.2</v>
      </c>
      <c r="X48" s="57" t="n">
        <f aca="false">X8+X42</f>
        <v>280121.55</v>
      </c>
      <c r="Y48" s="57" t="n">
        <f aca="false">Y8+Y42</f>
        <v>6742.52830350391</v>
      </c>
      <c r="Z48" s="57" t="n">
        <f aca="false">Z8+Z42</f>
        <v>286864.078303504</v>
      </c>
      <c r="AA48" s="58" t="n">
        <f aca="false">AA8+AA42</f>
        <v>17.57</v>
      </c>
      <c r="AB48" s="51"/>
      <c r="AC48" s="51"/>
      <c r="AD48" s="48"/>
      <c r="AE48" s="81"/>
      <c r="AF48" s="82"/>
    </row>
    <row r="49" customFormat="false" ht="11.1" hidden="false" customHeight="true" outlineLevel="0" collapsed="false">
      <c r="A49" s="55" t="s">
        <v>50</v>
      </c>
      <c r="B49" s="55"/>
      <c r="C49" s="57"/>
      <c r="D49" s="57" t="n">
        <f aca="false">D8+D43</f>
        <v>26108</v>
      </c>
      <c r="E49" s="57" t="n">
        <f aca="false">E40</f>
        <v>178085</v>
      </c>
      <c r="F49" s="57" t="n">
        <f aca="false">F48*$D$2</f>
        <v>26108</v>
      </c>
      <c r="G49" s="57" t="n">
        <f aca="false">G48*$D$2</f>
        <v>449641.2018</v>
      </c>
      <c r="H49" s="51" t="n">
        <f aca="false">H48*$D$2</f>
        <v>40820.0333</v>
      </c>
      <c r="I49" s="57" t="n">
        <f aca="false">I48*$D$2</f>
        <v>490461.2351</v>
      </c>
      <c r="J49" s="57" t="n">
        <f aca="false">J48*$D$2</f>
        <v>104641.664215</v>
      </c>
      <c r="K49" s="57" t="n">
        <f aca="false">K48*$D$2</f>
        <v>595102.899315</v>
      </c>
      <c r="L49" s="57" t="n">
        <f aca="false">L48*$D$2</f>
        <v>91267.859325</v>
      </c>
      <c r="M49" s="57" t="n">
        <f aca="false">M48*$D$2</f>
        <v>53798.98621</v>
      </c>
      <c r="N49" s="57" t="n">
        <f aca="false">N48*$D$2</f>
        <v>0.15868</v>
      </c>
      <c r="O49" s="57" t="n">
        <f aca="false">O48*$D$2</f>
        <v>117.0265</v>
      </c>
      <c r="P49" s="57" t="n">
        <f aca="false">P48*$D$2</f>
        <v>52349.48408</v>
      </c>
      <c r="Q49" s="57" t="n">
        <f aca="false">Q48*$D$2</f>
        <v>34081.6871</v>
      </c>
      <c r="R49" s="57" t="n">
        <f aca="false">R48*$D$2</f>
        <v>18533.209115</v>
      </c>
      <c r="S49" s="57" t="n">
        <f aca="false">S48*$D$2</f>
        <v>106296.697245</v>
      </c>
      <c r="T49" s="57" t="n">
        <f aca="false">T48*$D$2</f>
        <v>12200.5085</v>
      </c>
      <c r="U49" s="57" t="n">
        <f aca="false">U48*$D$2</f>
        <v>27010.9063</v>
      </c>
      <c r="V49" s="57" t="n">
        <f aca="false">V48*$D$2</f>
        <v>422196.3057</v>
      </c>
      <c r="W49" s="57" t="n">
        <f aca="false">W48*$D$2</f>
        <v>7498.02670000001</v>
      </c>
      <c r="X49" s="57" t="n">
        <f aca="false">X48*$D$2</f>
        <v>555621.094425</v>
      </c>
      <c r="Y49" s="57" t="n">
        <f aca="false">Y48*$D$2</f>
        <v>13373.80489</v>
      </c>
      <c r="Z49" s="57" t="n">
        <f aca="false">Z48*$D$2</f>
        <v>568994.899315</v>
      </c>
      <c r="AA49" s="58"/>
      <c r="AB49" s="51"/>
      <c r="AC49" s="51"/>
      <c r="AD49" s="48"/>
      <c r="AE49" s="81"/>
      <c r="AF49" s="82"/>
    </row>
    <row r="50" customFormat="false" ht="3" hidden="false" customHeight="true" outlineLevel="0" collapsed="false">
      <c r="A50" s="84"/>
      <c r="B50" s="84"/>
      <c r="C50" s="86"/>
      <c r="D50" s="84"/>
      <c r="E50" s="86"/>
      <c r="F50" s="84"/>
      <c r="G50" s="84"/>
      <c r="H50" s="139"/>
      <c r="I50" s="84"/>
      <c r="J50" s="84"/>
      <c r="K50" s="112"/>
      <c r="L50" s="84"/>
      <c r="M50" s="84"/>
      <c r="N50" s="84"/>
      <c r="O50" s="84"/>
      <c r="P50" s="84"/>
      <c r="Q50" s="84"/>
      <c r="R50" s="84"/>
      <c r="S50" s="84"/>
      <c r="T50" s="86"/>
      <c r="U50" s="84"/>
      <c r="V50" s="84"/>
      <c r="W50" s="86"/>
      <c r="X50" s="84"/>
      <c r="Y50" s="84"/>
      <c r="Z50" s="84"/>
      <c r="AA50" s="58"/>
      <c r="AB50" s="51"/>
      <c r="AC50" s="51"/>
      <c r="AD50" s="48"/>
      <c r="AE50" s="81"/>
      <c r="AF50" s="82"/>
    </row>
    <row r="51" customFormat="false" ht="11.1" hidden="false" customHeight="true" outlineLevel="0" collapsed="false">
      <c r="A51" s="54"/>
      <c r="B51" s="54"/>
      <c r="C51" s="57"/>
      <c r="D51" s="54"/>
      <c r="E51" s="57"/>
      <c r="F51" s="54"/>
      <c r="G51" s="63"/>
      <c r="H51" s="60"/>
      <c r="I51" s="54"/>
      <c r="J51" s="54"/>
      <c r="K51" s="54"/>
      <c r="L51" s="54"/>
      <c r="M51" s="61"/>
      <c r="N51" s="61"/>
      <c r="O51" s="61"/>
      <c r="P51" s="54"/>
      <c r="Q51" s="54"/>
      <c r="R51" s="54"/>
      <c r="S51" s="0"/>
      <c r="T51" s="57"/>
      <c r="V51" s="57"/>
      <c r="W51" s="54"/>
      <c r="X51" s="54"/>
      <c r="Y51" s="54"/>
      <c r="Z51" s="62"/>
      <c r="AA51" s="58"/>
      <c r="AB51" s="51"/>
      <c r="AC51" s="48"/>
      <c r="AD51" s="91"/>
    </row>
    <row r="52" customFormat="false" ht="11.1" hidden="false" customHeight="true" outlineLevel="0" collapsed="false">
      <c r="Q52" s="143"/>
      <c r="S52" s="57"/>
      <c r="T52" s="57"/>
    </row>
    <row r="53" customFormat="false" ht="11.1" hidden="false" customHeight="true" outlineLevel="0" collapsed="false">
      <c r="Q53" s="143"/>
      <c r="S53" s="57"/>
      <c r="T53" s="57"/>
    </row>
    <row r="54" customFormat="false" ht="11.1" hidden="false" customHeight="true" outlineLevel="0" collapsed="false">
      <c r="S54" s="57"/>
      <c r="T54" s="57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H20" activePane="bottomRight" state="frozen"/>
      <selection pane="topLeft" activeCell="A1" activeCellId="0" sqref="A1"/>
      <selection pane="topRight" activeCell="H1" activeCellId="0" sqref="H1"/>
      <selection pane="bottomLeft" activeCell="A20" activeCellId="0" sqref="A20"/>
      <selection pane="bottomRight" activeCell="H51" activeCellId="0" sqref="H51"/>
    </sheetView>
  </sheetViews>
  <sheetFormatPr defaultColWidth="9.328125" defaultRowHeight="11.1" zeroHeight="false" outlineLevelRow="0" outlineLevelCol="0"/>
  <cols>
    <col collapsed="false" customWidth="true" hidden="false" outlineLevel="0" max="1" min="1" style="41" width="5.66"/>
    <col collapsed="false" customWidth="true" hidden="false" outlineLevel="0" max="2" min="2" style="41" width="7.82"/>
    <col collapsed="false" customWidth="true" hidden="false" outlineLevel="0" max="3" min="3" style="42" width="7.66"/>
    <col collapsed="false" customWidth="true" hidden="false" outlineLevel="0" max="4" min="4" style="41" width="6.99"/>
    <col collapsed="false" customWidth="true" hidden="false" outlineLevel="0" max="5" min="5" style="42" width="7.66"/>
    <col collapsed="false" customWidth="true" hidden="false" outlineLevel="0" max="6" min="6" style="41" width="7.66"/>
    <col collapsed="false" customWidth="true" hidden="false" outlineLevel="0" max="7" min="7" style="41" width="7.16"/>
    <col collapsed="false" customWidth="true" hidden="false" outlineLevel="0" max="8" min="8" style="135" width="6.66"/>
    <col collapsed="false" customWidth="true" hidden="false" outlineLevel="0" max="9" min="9" style="41" width="7.99"/>
    <col collapsed="false" customWidth="true" hidden="false" outlineLevel="0" max="10" min="10" style="41" width="6.66"/>
    <col collapsed="false" customWidth="true" hidden="false" outlineLevel="0" max="12" min="11" style="41" width="7.16"/>
    <col collapsed="false" customWidth="true" hidden="false" outlineLevel="0" max="13" min="13" style="44" width="6.82"/>
    <col collapsed="false" customWidth="true" hidden="true" outlineLevel="0" max="14" min="14" style="44" width="7.32"/>
    <col collapsed="false" customWidth="true" hidden="false" outlineLevel="0" max="15" min="15" style="44" width="6.49"/>
    <col collapsed="false" customWidth="true" hidden="false" outlineLevel="0" max="16" min="16" style="41" width="7.16"/>
    <col collapsed="false" customWidth="true" hidden="false" outlineLevel="0" max="17" min="17" style="41" width="6.16"/>
    <col collapsed="false" customWidth="true" hidden="false" outlineLevel="0" max="18" min="18" style="41" width="5.82"/>
    <col collapsed="false" customWidth="true" hidden="false" outlineLevel="0" max="19" min="19" style="42" width="6.82"/>
    <col collapsed="false" customWidth="true" hidden="false" outlineLevel="0" max="20" min="20" style="41" width="7.66"/>
    <col collapsed="false" customWidth="true" hidden="false" outlineLevel="0" max="21" min="21" style="41" width="5.99"/>
    <col collapsed="false" customWidth="true" hidden="false" outlineLevel="0" max="22" min="22" style="42" width="6.66"/>
    <col collapsed="false" customWidth="true" hidden="false" outlineLevel="0" max="23" min="23" style="41" width="6.82"/>
    <col collapsed="false" customWidth="true" hidden="false" outlineLevel="0" max="25" min="24" style="41" width="7.82"/>
    <col collapsed="false" customWidth="true" hidden="false" outlineLevel="0" max="26" min="26" style="45" width="8.16"/>
    <col collapsed="false" customWidth="true" hidden="false" outlineLevel="0" max="27" min="27" style="43" width="5.32"/>
    <col collapsed="false" customWidth="true" hidden="false" outlineLevel="0" max="28" min="28" style="46" width="4.66"/>
    <col collapsed="false" customWidth="true" hidden="false" outlineLevel="0" max="29" min="29" style="47" width="4.66"/>
    <col collapsed="false" customWidth="true" hidden="false" outlineLevel="0" max="30" min="30" style="41" width="5.66"/>
    <col collapsed="false" customWidth="false" hidden="false" outlineLevel="0" max="257" min="31" style="41" width="9.32"/>
  </cols>
  <sheetData>
    <row r="1" customFormat="false" ht="14.1" hidden="false" customHeight="true" outlineLevel="0" collapsed="false">
      <c r="A1" s="55"/>
      <c r="B1" s="55"/>
      <c r="C1" s="57"/>
      <c r="D1" s="55"/>
      <c r="E1" s="57"/>
      <c r="F1" s="55"/>
      <c r="G1" s="55"/>
      <c r="H1" s="60"/>
      <c r="I1" s="55"/>
      <c r="J1" s="55"/>
      <c r="K1" s="65" t="s">
        <v>0</v>
      </c>
      <c r="L1" s="55"/>
      <c r="M1" s="55"/>
      <c r="N1" s="55"/>
      <c r="O1" s="55"/>
      <c r="P1" s="55"/>
      <c r="Q1" s="55"/>
      <c r="R1" s="55"/>
      <c r="S1" s="57"/>
      <c r="T1" s="55"/>
      <c r="U1" s="55"/>
      <c r="V1" s="57"/>
      <c r="W1" s="55"/>
      <c r="X1" s="55"/>
      <c r="Y1" s="55"/>
      <c r="Z1" s="62"/>
      <c r="AA1" s="58"/>
      <c r="AB1" s="51"/>
      <c r="AC1" s="48"/>
      <c r="AD1" s="67"/>
    </row>
    <row r="2" customFormat="false" ht="14.1" hidden="false" customHeight="true" outlineLevel="0" collapsed="false">
      <c r="A2" s="55" t="s">
        <v>1</v>
      </c>
      <c r="B2" s="55"/>
      <c r="C2" s="57"/>
      <c r="D2" s="68" t="n">
        <v>1.9835</v>
      </c>
      <c r="E2" s="57"/>
      <c r="F2" s="55"/>
      <c r="G2" s="55"/>
      <c r="H2" s="60"/>
      <c r="I2" s="55"/>
      <c r="J2" s="55"/>
      <c r="K2" s="69" t="s">
        <v>81</v>
      </c>
      <c r="L2" s="69"/>
      <c r="M2" s="69"/>
      <c r="N2" s="69"/>
      <c r="O2" s="69"/>
      <c r="P2" s="69"/>
      <c r="Q2" s="69"/>
      <c r="R2" s="69"/>
      <c r="S2" s="69"/>
      <c r="T2" s="69"/>
      <c r="U2" s="55"/>
      <c r="V2" s="57"/>
      <c r="W2" s="55"/>
      <c r="X2" s="55"/>
      <c r="Y2" s="55"/>
      <c r="Z2" s="62"/>
      <c r="AA2" s="58"/>
      <c r="AB2" s="51"/>
      <c r="AC2" s="48"/>
      <c r="AD2" s="67"/>
    </row>
    <row r="3" customFormat="false" ht="11.1" hidden="false" customHeight="true" outlineLevel="0" collapsed="false">
      <c r="A3" s="55"/>
      <c r="B3" s="55"/>
      <c r="C3" s="57"/>
      <c r="D3" s="70"/>
      <c r="E3" s="57"/>
      <c r="F3" s="55"/>
      <c r="G3" s="55"/>
      <c r="H3" s="60"/>
      <c r="I3" s="55"/>
      <c r="J3" s="55"/>
      <c r="K3" s="55"/>
      <c r="L3" s="55"/>
      <c r="M3" s="55"/>
      <c r="N3" s="55"/>
      <c r="O3" s="55"/>
      <c r="P3" s="55"/>
      <c r="Q3" s="55"/>
      <c r="R3" s="55"/>
      <c r="S3" s="57"/>
      <c r="T3" s="55"/>
      <c r="U3" s="55"/>
      <c r="V3" s="57"/>
      <c r="W3" s="55"/>
      <c r="X3" s="55"/>
      <c r="Y3" s="55"/>
      <c r="Z3" s="62"/>
      <c r="AA3" s="58"/>
      <c r="AB3" s="51"/>
      <c r="AC3" s="48"/>
      <c r="AD3" s="67"/>
    </row>
    <row r="4" customFormat="false" ht="11.1" hidden="false" customHeight="true" outlineLevel="0" collapsed="false">
      <c r="A4" s="71" t="s">
        <v>3</v>
      </c>
      <c r="B4" s="71" t="s">
        <v>4</v>
      </c>
      <c r="C4" s="72" t="s">
        <v>4</v>
      </c>
      <c r="D4" s="71" t="s">
        <v>5</v>
      </c>
      <c r="E4" s="72" t="s">
        <v>6</v>
      </c>
      <c r="F4" s="71" t="s">
        <v>7</v>
      </c>
      <c r="G4" s="71" t="s">
        <v>8</v>
      </c>
      <c r="H4" s="136" t="s">
        <v>9</v>
      </c>
      <c r="I4" s="71" t="s">
        <v>10</v>
      </c>
      <c r="J4" s="71" t="s">
        <v>11</v>
      </c>
      <c r="K4" s="71" t="s">
        <v>12</v>
      </c>
      <c r="L4" s="71" t="s">
        <v>11</v>
      </c>
      <c r="M4" s="71" t="s">
        <v>54</v>
      </c>
      <c r="N4" s="71"/>
      <c r="O4" s="71"/>
      <c r="P4" s="71"/>
      <c r="Q4" s="71" t="s">
        <v>55</v>
      </c>
      <c r="R4" s="71" t="s">
        <v>14</v>
      </c>
      <c r="S4" s="71" t="s">
        <v>12</v>
      </c>
      <c r="T4" s="72" t="s">
        <v>13</v>
      </c>
      <c r="U4" s="71" t="s">
        <v>15</v>
      </c>
      <c r="V4" s="71" t="s">
        <v>17</v>
      </c>
      <c r="W4" s="72" t="s">
        <v>18</v>
      </c>
      <c r="X4" s="71" t="s">
        <v>10</v>
      </c>
      <c r="Y4" s="71" t="s">
        <v>11</v>
      </c>
      <c r="Z4" s="71" t="s">
        <v>12</v>
      </c>
      <c r="AA4" s="73" t="s">
        <v>19</v>
      </c>
      <c r="AB4" s="49" t="s">
        <v>20</v>
      </c>
      <c r="AC4" s="49" t="s">
        <v>21</v>
      </c>
      <c r="AD4" s="49" t="s">
        <v>3</v>
      </c>
      <c r="AE4" s="67"/>
    </row>
    <row r="5" customFormat="false" ht="11.1" hidden="false" customHeight="true" outlineLevel="0" collapsed="false">
      <c r="A5" s="75" t="s">
        <v>82</v>
      </c>
      <c r="B5" s="71" t="s">
        <v>23</v>
      </c>
      <c r="C5" s="72" t="s">
        <v>5</v>
      </c>
      <c r="D5" s="71" t="s">
        <v>24</v>
      </c>
      <c r="E5" s="72" t="s">
        <v>25</v>
      </c>
      <c r="F5" s="71" t="s">
        <v>26</v>
      </c>
      <c r="G5" s="71" t="s">
        <v>27</v>
      </c>
      <c r="H5" s="136" t="s">
        <v>28</v>
      </c>
      <c r="I5" s="71" t="s">
        <v>29</v>
      </c>
      <c r="J5" s="71" t="s">
        <v>29</v>
      </c>
      <c r="K5" s="71" t="s">
        <v>29</v>
      </c>
      <c r="L5" s="71" t="s">
        <v>30</v>
      </c>
      <c r="M5" s="71" t="s">
        <v>57</v>
      </c>
      <c r="N5" s="71" t="s">
        <v>58</v>
      </c>
      <c r="O5" s="71" t="s">
        <v>59</v>
      </c>
      <c r="P5" s="71" t="s">
        <v>60</v>
      </c>
      <c r="Q5" s="71" t="s">
        <v>61</v>
      </c>
      <c r="R5" s="71" t="s">
        <v>62</v>
      </c>
      <c r="S5" s="71" t="s">
        <v>13</v>
      </c>
      <c r="T5" s="72" t="s">
        <v>34</v>
      </c>
      <c r="U5" s="71" t="s">
        <v>35</v>
      </c>
      <c r="V5" s="71" t="s">
        <v>37</v>
      </c>
      <c r="W5" s="72" t="s">
        <v>38</v>
      </c>
      <c r="X5" s="71" t="s">
        <v>39</v>
      </c>
      <c r="Y5" s="71" t="s">
        <v>39</v>
      </c>
      <c r="Z5" s="71" t="s">
        <v>39</v>
      </c>
      <c r="AA5" s="76"/>
      <c r="AB5" s="49" t="s">
        <v>40</v>
      </c>
      <c r="AC5" s="49" t="s">
        <v>40</v>
      </c>
      <c r="AD5" s="50" t="s">
        <v>82</v>
      </c>
      <c r="AE5" s="67"/>
      <c r="AG5" s="137"/>
      <c r="AH5" s="137"/>
    </row>
    <row r="6" customFormat="false" ht="11.1" hidden="false" customHeight="true" outlineLevel="0" collapsed="false">
      <c r="A6" s="77"/>
      <c r="B6" s="77"/>
      <c r="C6" s="144"/>
      <c r="D6" s="77"/>
      <c r="E6" s="78"/>
      <c r="F6" s="77"/>
      <c r="G6" s="77"/>
      <c r="H6" s="138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8"/>
      <c r="U6" s="77"/>
      <c r="V6" s="77"/>
      <c r="W6" s="78"/>
      <c r="X6" s="77"/>
      <c r="Y6" s="77"/>
      <c r="Z6" s="77"/>
      <c r="AA6" s="58"/>
      <c r="AB6" s="48"/>
      <c r="AC6" s="48"/>
      <c r="AD6" s="48"/>
      <c r="AE6" s="81"/>
      <c r="AF6" s="82"/>
      <c r="AG6" s="137"/>
      <c r="AH6" s="137"/>
    </row>
    <row r="7" customFormat="false" ht="11.1" hidden="false" customHeight="true" outlineLevel="0" collapsed="false">
      <c r="A7" s="55" t="s">
        <v>41</v>
      </c>
      <c r="B7" s="55"/>
      <c r="C7" s="145"/>
      <c r="D7" s="57"/>
      <c r="E7" s="57"/>
      <c r="F7" s="57" t="n">
        <f aca="false">AUG!F45</f>
        <v>979.581547769098</v>
      </c>
      <c r="G7" s="57" t="n">
        <f aca="false">AUG!G45</f>
        <v>209084.2</v>
      </c>
      <c r="H7" s="57" t="n">
        <f aca="false">AUG!H45</f>
        <v>17400.2</v>
      </c>
      <c r="I7" s="57" t="n">
        <f aca="false">AUG!I45</f>
        <v>226484.4</v>
      </c>
      <c r="J7" s="57" t="n">
        <f aca="false">AUG!J45</f>
        <v>45215.2308369045</v>
      </c>
      <c r="K7" s="57" t="n">
        <f aca="false">AUG!K45</f>
        <v>271699.630836904</v>
      </c>
      <c r="L7" s="57" t="n">
        <f aca="false">AUG!L45</f>
        <v>39477.6315477691</v>
      </c>
      <c r="M7" s="57" t="n">
        <f aca="false">AUG!M45</f>
        <v>26034.96</v>
      </c>
      <c r="N7" s="57" t="n">
        <f aca="false">AUG!N45</f>
        <v>0</v>
      </c>
      <c r="O7" s="57" t="n">
        <f aca="false">AUG!O45</f>
        <v>59</v>
      </c>
      <c r="P7" s="57" t="n">
        <f aca="false">AUG!P45</f>
        <v>25975.96</v>
      </c>
      <c r="Q7" s="57" t="n">
        <f aca="false">AUG!Q45</f>
        <v>17182.6</v>
      </c>
      <c r="R7" s="57" t="n">
        <f aca="false">AUG!R45</f>
        <v>9164.99</v>
      </c>
      <c r="S7" s="57" t="n">
        <f aca="false">AUG!S45</f>
        <v>52323.55</v>
      </c>
      <c r="T7" s="57" t="n">
        <f aca="false">AUG!T45</f>
        <v>6151</v>
      </c>
      <c r="U7" s="57" t="n">
        <f aca="false">AUG!U45</f>
        <v>13617.8</v>
      </c>
      <c r="V7" s="57" t="n">
        <f aca="false">AUG!V45</f>
        <v>198982.1</v>
      </c>
      <c r="W7" s="57"/>
      <c r="X7" s="57" t="n">
        <f aca="false">AUG!X45</f>
        <v>264982.45</v>
      </c>
      <c r="Y7" s="57" t="n">
        <f aca="false">AUG!Y45</f>
        <v>5737.59928913537</v>
      </c>
      <c r="Z7" s="57" t="n">
        <f aca="false">AUG!Z45</f>
        <v>270720.049289135</v>
      </c>
      <c r="AA7" s="58"/>
      <c r="AB7" s="51"/>
      <c r="AC7" s="51"/>
      <c r="AD7" s="48"/>
      <c r="AE7" s="82"/>
      <c r="AF7" s="82"/>
    </row>
    <row r="8" s="42" customFormat="true" ht="11.1" hidden="false" customHeight="true" outlineLevel="0" collapsed="false">
      <c r="A8" s="57" t="s">
        <v>42</v>
      </c>
      <c r="B8" s="59" t="n">
        <f aca="false">AUG!B40</f>
        <v>6912.01</v>
      </c>
      <c r="C8" s="57" t="n">
        <f aca="false">AUG!C40</f>
        <v>330085</v>
      </c>
      <c r="D8" s="57" t="n">
        <f aca="false">AUG!D49</f>
        <v>26108</v>
      </c>
      <c r="E8" s="57" t="n">
        <f aca="false">AUG!E49</f>
        <v>178085</v>
      </c>
      <c r="F8" s="57" t="n">
        <f aca="false">AUG!F48</f>
        <v>13162.5913788757</v>
      </c>
      <c r="G8" s="57" t="n">
        <f aca="false">AUG!G48</f>
        <v>226690.8</v>
      </c>
      <c r="H8" s="57" t="n">
        <f aca="false">AUG!H48</f>
        <v>20579.8</v>
      </c>
      <c r="I8" s="57" t="n">
        <f aca="false">AUG!I48</f>
        <v>247270.6</v>
      </c>
      <c r="J8" s="57" t="n">
        <f aca="false">AUG!J48</f>
        <v>52756.0696823796</v>
      </c>
      <c r="K8" s="57" t="n">
        <f aca="false">AUG!K48</f>
        <v>300026.66968238</v>
      </c>
      <c r="L8" s="57" t="n">
        <f aca="false">AUG!L48</f>
        <v>46013.5413788757</v>
      </c>
      <c r="M8" s="57" t="n">
        <f aca="false">AUG!M48</f>
        <v>27123.26</v>
      </c>
      <c r="N8" s="57" t="n">
        <f aca="false">AUG!N48</f>
        <v>0.08</v>
      </c>
      <c r="O8" s="57" t="n">
        <f aca="false">AUG!O48</f>
        <v>59</v>
      </c>
      <c r="P8" s="57" t="n">
        <f aca="false">AUG!P48</f>
        <v>26392.48</v>
      </c>
      <c r="Q8" s="57" t="n">
        <f aca="false">AUG!Q48</f>
        <v>17182.6</v>
      </c>
      <c r="R8" s="57" t="n">
        <f aca="false">AUG!R48</f>
        <v>9343.69</v>
      </c>
      <c r="S8" s="57" t="n">
        <f aca="false">AUG!S48</f>
        <v>53590.47</v>
      </c>
      <c r="T8" s="57" t="n">
        <f aca="false">AUG!T48</f>
        <v>6151</v>
      </c>
      <c r="U8" s="57" t="n">
        <f aca="false">AUG!U48</f>
        <v>13617.8</v>
      </c>
      <c r="V8" s="57" t="n">
        <f aca="false">AUG!V48</f>
        <v>212854.2</v>
      </c>
      <c r="W8" s="57" t="n">
        <f aca="false">AUG!W48</f>
        <v>3780.2</v>
      </c>
      <c r="X8" s="57" t="n">
        <f aca="false">AUG!X48</f>
        <v>280121.55</v>
      </c>
      <c r="Y8" s="57" t="n">
        <f aca="false">AUG!Y48</f>
        <v>6742.52830350391</v>
      </c>
      <c r="Z8" s="57" t="n">
        <f aca="false">AUG!Z48</f>
        <v>286864.078303504</v>
      </c>
      <c r="AA8" s="58" t="n">
        <f aca="false">AUG!AA48</f>
        <v>17.57</v>
      </c>
      <c r="AB8" s="51"/>
      <c r="AC8" s="51"/>
      <c r="AD8" s="48"/>
      <c r="AE8" s="81"/>
      <c r="AF8" s="83"/>
      <c r="AG8" s="41"/>
      <c r="AH8" s="41"/>
    </row>
    <row r="9" customFormat="false" ht="3" hidden="false" customHeight="true" outlineLevel="0" collapsed="false">
      <c r="A9" s="84"/>
      <c r="B9" s="85"/>
      <c r="C9" s="86"/>
      <c r="D9" s="84"/>
      <c r="E9" s="86"/>
      <c r="F9" s="84"/>
      <c r="G9" s="84"/>
      <c r="H9" s="139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6"/>
      <c r="U9" s="84"/>
      <c r="V9" s="84"/>
      <c r="W9" s="86"/>
      <c r="X9" s="84"/>
      <c r="Y9" s="84"/>
      <c r="Z9" s="84"/>
      <c r="AA9" s="87"/>
      <c r="AB9" s="52" t="n">
        <v>0</v>
      </c>
      <c r="AC9" s="52"/>
      <c r="AD9" s="53"/>
      <c r="AE9" s="81"/>
      <c r="AF9" s="82"/>
    </row>
    <row r="10" customFormat="false" ht="11.1" hidden="false" customHeight="true" outlineLevel="0" collapsed="false">
      <c r="A10" s="48" t="n">
        <v>1</v>
      </c>
      <c r="B10" s="59" t="n">
        <v>6911.99</v>
      </c>
      <c r="C10" s="57" t="n">
        <v>330004</v>
      </c>
      <c r="D10" s="51" t="n">
        <f aca="false">C10-C8</f>
        <v>-81</v>
      </c>
      <c r="E10" s="57" t="n">
        <f aca="false">C10-151978</f>
        <v>178026</v>
      </c>
      <c r="F10" s="55" t="n">
        <f aca="false">D10/$D$2</f>
        <v>-40.8369044618099</v>
      </c>
      <c r="G10" s="55" t="n">
        <v>307.6</v>
      </c>
      <c r="H10" s="60" t="n">
        <v>0</v>
      </c>
      <c r="I10" s="55" t="n">
        <f aca="false">G10+H10</f>
        <v>307.6</v>
      </c>
      <c r="J10" s="61" t="n">
        <f aca="false">IF(L10&gt;0,L10,0)</f>
        <v>22.46309553819</v>
      </c>
      <c r="K10" s="55" t="n">
        <f aca="false">I10+J10</f>
        <v>330.06309553819</v>
      </c>
      <c r="L10" s="55" t="n">
        <f aca="false">F10-(I10-X10)</f>
        <v>22.46309553819</v>
      </c>
      <c r="M10" s="55" t="n">
        <v>117.6</v>
      </c>
      <c r="N10" s="5" t="n">
        <v>0</v>
      </c>
      <c r="O10" s="55" t="n">
        <v>0</v>
      </c>
      <c r="P10" s="5" t="n">
        <f aca="false">M10-(N10+O10)</f>
        <v>117.6</v>
      </c>
      <c r="Q10" s="55" t="n">
        <v>90.3</v>
      </c>
      <c r="R10" s="55" t="n">
        <v>45.8</v>
      </c>
      <c r="S10" s="55" t="n">
        <f aca="false">SUM(P10:R10)</f>
        <v>253.7</v>
      </c>
      <c r="T10" s="57" t="n">
        <f aca="false">(I10-S10)+T7</f>
        <v>6204.9</v>
      </c>
      <c r="U10" s="55" t="n">
        <v>47.4</v>
      </c>
      <c r="V10" s="55" t="n">
        <v>69.8</v>
      </c>
      <c r="W10" s="57" t="n">
        <f aca="false">W8-V10</f>
        <v>3710.40000000001</v>
      </c>
      <c r="X10" s="5" t="n">
        <f aca="false">N10+O10+S10+U10+V10</f>
        <v>370.9</v>
      </c>
      <c r="Y10" s="55" t="n">
        <f aca="false">IF(L10&lt;0,L10*-1,0)</f>
        <v>0</v>
      </c>
      <c r="Z10" s="55" t="n">
        <f aca="false">X10+Y10</f>
        <v>370.9</v>
      </c>
      <c r="AA10" s="58" t="n">
        <v>0</v>
      </c>
      <c r="AB10" s="51" t="n">
        <v>76</v>
      </c>
      <c r="AC10" s="51" t="n">
        <v>46</v>
      </c>
      <c r="AD10" s="48" t="n">
        <v>1</v>
      </c>
      <c r="AE10" s="83"/>
      <c r="AF10" s="83"/>
    </row>
    <row r="11" customFormat="false" ht="11.1" hidden="false" customHeight="true" outlineLevel="0" collapsed="false">
      <c r="A11" s="48" t="n">
        <v>2</v>
      </c>
      <c r="B11" s="59" t="n">
        <v>6911.93</v>
      </c>
      <c r="C11" s="57" t="n">
        <v>329761</v>
      </c>
      <c r="D11" s="51" t="n">
        <f aca="false">C11-C10</f>
        <v>-243</v>
      </c>
      <c r="E11" s="57" t="n">
        <f aca="false">C11-151978</f>
        <v>177783</v>
      </c>
      <c r="F11" s="55" t="n">
        <f aca="false">D11/$D$2</f>
        <v>-122.51071338543</v>
      </c>
      <c r="G11" s="55" t="n">
        <v>280.2</v>
      </c>
      <c r="H11" s="60" t="n">
        <v>0</v>
      </c>
      <c r="I11" s="55" t="n">
        <f aca="false">G11+H11</f>
        <v>280.2</v>
      </c>
      <c r="J11" s="61" t="n">
        <f aca="false">IF(L11&gt;0,L11,0)</f>
        <v>0</v>
      </c>
      <c r="K11" s="55" t="n">
        <f aca="false">I11+J11</f>
        <v>280.2</v>
      </c>
      <c r="L11" s="55" t="n">
        <f aca="false">F11-(I11-X11)</f>
        <v>-42.9107133854298</v>
      </c>
      <c r="M11" s="55" t="n">
        <v>105.7</v>
      </c>
      <c r="N11" s="5" t="n">
        <v>0</v>
      </c>
      <c r="O11" s="55" t="n">
        <v>0</v>
      </c>
      <c r="P11" s="5" t="n">
        <f aca="false">M11-(N11+O11)</f>
        <v>105.7</v>
      </c>
      <c r="Q11" s="55" t="n">
        <v>90.5</v>
      </c>
      <c r="R11" s="55" t="n">
        <v>48</v>
      </c>
      <c r="S11" s="55" t="n">
        <f aca="false">SUM(P11:R11)</f>
        <v>244.2</v>
      </c>
      <c r="T11" s="57" t="n">
        <f aca="false">(I11-S11)+T10</f>
        <v>6240.9</v>
      </c>
      <c r="U11" s="55" t="n">
        <v>45.4</v>
      </c>
      <c r="V11" s="55" t="n">
        <v>70.2</v>
      </c>
      <c r="W11" s="57" t="n">
        <f aca="false">W10-V11</f>
        <v>3640.20000000001</v>
      </c>
      <c r="X11" s="5" t="n">
        <f aca="false">N11+O11+S11+U11+V11</f>
        <v>359.8</v>
      </c>
      <c r="Y11" s="55" t="n">
        <f aca="false">IF(L11&lt;0,L11*-1,0)</f>
        <v>42.9107133854298</v>
      </c>
      <c r="Z11" s="55" t="n">
        <f aca="false">X11+Y11</f>
        <v>402.71071338543</v>
      </c>
      <c r="AA11" s="58" t="n">
        <v>0</v>
      </c>
      <c r="AB11" s="51" t="n">
        <v>77</v>
      </c>
      <c r="AC11" s="51" t="n">
        <v>47</v>
      </c>
      <c r="AD11" s="48" t="n">
        <v>2</v>
      </c>
      <c r="AE11" s="83"/>
      <c r="AF11" s="83"/>
    </row>
    <row r="12" customFormat="false" ht="11.1" hidden="false" customHeight="true" outlineLevel="0" collapsed="false">
      <c r="A12" s="48" t="n">
        <v>3</v>
      </c>
      <c r="B12" s="59" t="n">
        <v>6911.85</v>
      </c>
      <c r="C12" s="57" t="n">
        <v>329438</v>
      </c>
      <c r="D12" s="51" t="n">
        <f aca="false">C12-C11</f>
        <v>-323</v>
      </c>
      <c r="E12" s="57" t="n">
        <f aca="false">C12-151978</f>
        <v>177460</v>
      </c>
      <c r="F12" s="55" t="n">
        <f aca="false">D12/$D$2</f>
        <v>-162.843458532896</v>
      </c>
      <c r="G12" s="55" t="n">
        <v>239.2</v>
      </c>
      <c r="H12" s="60" t="n">
        <v>0</v>
      </c>
      <c r="I12" s="55" t="n">
        <f aca="false">G12+H12</f>
        <v>239.2</v>
      </c>
      <c r="J12" s="61" t="n">
        <f aca="false">IF(L12&gt;0,L12,0)</f>
        <v>0</v>
      </c>
      <c r="K12" s="55" t="n">
        <f aca="false">I12+J12</f>
        <v>239.2</v>
      </c>
      <c r="L12" s="55" t="n">
        <f aca="false">F12-(I12-X12)</f>
        <v>-23.4434585328964</v>
      </c>
      <c r="M12" s="55" t="n">
        <v>105.5</v>
      </c>
      <c r="N12" s="5" t="n">
        <v>0</v>
      </c>
      <c r="O12" s="55" t="n">
        <v>0</v>
      </c>
      <c r="P12" s="5" t="n">
        <f aca="false">M12-(N12+O12)</f>
        <v>105.5</v>
      </c>
      <c r="Q12" s="55" t="n">
        <v>90.2</v>
      </c>
      <c r="R12" s="55" t="n">
        <v>48.9</v>
      </c>
      <c r="S12" s="55" t="n">
        <f aca="false">SUM(P12:R12)</f>
        <v>244.6</v>
      </c>
      <c r="T12" s="57" t="n">
        <f aca="false">(I12-S12)+T11</f>
        <v>6235.5</v>
      </c>
      <c r="U12" s="55" t="n">
        <v>62</v>
      </c>
      <c r="V12" s="55" t="n">
        <v>72</v>
      </c>
      <c r="W12" s="57" t="n">
        <f aca="false">W11-V12</f>
        <v>3568.20000000001</v>
      </c>
      <c r="X12" s="5" t="n">
        <f aca="false">N12+O12+S12+U12+V12</f>
        <v>378.6</v>
      </c>
      <c r="Y12" s="55" t="n">
        <f aca="false">IF(L12&lt;0,L12*-1,0)</f>
        <v>23.4434585328964</v>
      </c>
      <c r="Z12" s="55" t="n">
        <f aca="false">X12+Y12</f>
        <v>402.043458532896</v>
      </c>
      <c r="AA12" s="58" t="n">
        <v>0</v>
      </c>
      <c r="AB12" s="51" t="n">
        <v>80</v>
      </c>
      <c r="AC12" s="51" t="n">
        <v>48</v>
      </c>
      <c r="AD12" s="48" t="n">
        <v>3</v>
      </c>
      <c r="AE12" s="83"/>
      <c r="AF12" s="83"/>
    </row>
    <row r="13" customFormat="false" ht="11.1" hidden="false" customHeight="true" outlineLevel="0" collapsed="false">
      <c r="A13" s="48" t="n">
        <v>4</v>
      </c>
      <c r="B13" s="59" t="n">
        <v>6911.7</v>
      </c>
      <c r="C13" s="57" t="n">
        <v>328831</v>
      </c>
      <c r="D13" s="51" t="n">
        <f aca="false">C13-C12</f>
        <v>-607</v>
      </c>
      <c r="E13" s="57" t="n">
        <f aca="false">C13-151978</f>
        <v>176853</v>
      </c>
      <c r="F13" s="55" t="n">
        <f aca="false">D13/$D$2</f>
        <v>-306.024703806403</v>
      </c>
      <c r="G13" s="55" t="n">
        <v>209.5</v>
      </c>
      <c r="H13" s="60" t="n">
        <v>0</v>
      </c>
      <c r="I13" s="55" t="n">
        <f aca="false">G13+H13</f>
        <v>209.5</v>
      </c>
      <c r="J13" s="61" t="n">
        <f aca="false">IF(L13&gt;0,L13,0)</f>
        <v>0</v>
      </c>
      <c r="K13" s="55" t="n">
        <f aca="false">I13+J13</f>
        <v>209.5</v>
      </c>
      <c r="L13" s="55" t="n">
        <f aca="false">F13-(I13-X13)</f>
        <v>-131.024703806403</v>
      </c>
      <c r="M13" s="55" t="n">
        <v>115.4</v>
      </c>
      <c r="N13" s="5" t="n">
        <v>0</v>
      </c>
      <c r="O13" s="55" t="n">
        <v>0</v>
      </c>
      <c r="P13" s="5" t="n">
        <f aca="false">M13-(N13+O13)</f>
        <v>115.4</v>
      </c>
      <c r="Q13" s="55" t="n">
        <v>90</v>
      </c>
      <c r="R13" s="55" t="n">
        <v>52.4</v>
      </c>
      <c r="S13" s="55" t="n">
        <f aca="false">SUM(P13:R13)</f>
        <v>257.8</v>
      </c>
      <c r="T13" s="57" t="n">
        <f aca="false">(I13-S13)+T12</f>
        <v>6187.2</v>
      </c>
      <c r="U13" s="55" t="n">
        <v>54</v>
      </c>
      <c r="V13" s="55" t="n">
        <v>72.7</v>
      </c>
      <c r="W13" s="57" t="n">
        <f aca="false">W12-V13</f>
        <v>3495.50000000001</v>
      </c>
      <c r="X13" s="5" t="n">
        <f aca="false">N13+O13+S13+U13+V13</f>
        <v>384.5</v>
      </c>
      <c r="Y13" s="55" t="n">
        <f aca="false">IF(L13&lt;0,L13*-1,0)</f>
        <v>131.024703806403</v>
      </c>
      <c r="Z13" s="55" t="n">
        <f aca="false">X13+Y13</f>
        <v>515.524703806403</v>
      </c>
      <c r="AA13" s="58" t="n">
        <v>0</v>
      </c>
      <c r="AB13" s="51" t="n">
        <v>82</v>
      </c>
      <c r="AC13" s="51" t="n">
        <v>47</v>
      </c>
      <c r="AD13" s="48" t="n">
        <v>4</v>
      </c>
      <c r="AE13" s="83"/>
      <c r="AF13" s="83"/>
    </row>
    <row r="14" customFormat="false" ht="11.1" hidden="false" customHeight="true" outlineLevel="0" collapsed="false">
      <c r="A14" s="48" t="n">
        <v>5</v>
      </c>
      <c r="B14" s="59" t="n">
        <v>6911.63</v>
      </c>
      <c r="C14" s="57" t="n">
        <v>328548</v>
      </c>
      <c r="D14" s="51" t="n">
        <f aca="false">C14-C13</f>
        <v>-283</v>
      </c>
      <c r="E14" s="57" t="n">
        <f aca="false">C14-151978</f>
        <v>176570</v>
      </c>
      <c r="F14" s="55" t="n">
        <f aca="false">D14/$D$2</f>
        <v>-142.677085959163</v>
      </c>
      <c r="G14" s="55" t="n">
        <v>195.5</v>
      </c>
      <c r="H14" s="60" t="n">
        <v>0</v>
      </c>
      <c r="I14" s="55" t="n">
        <f aca="false">G14+H14</f>
        <v>195.5</v>
      </c>
      <c r="J14" s="61" t="n">
        <f aca="false">IF(L14&gt;0,L14,0)</f>
        <v>34.3229140408369</v>
      </c>
      <c r="K14" s="55" t="n">
        <f aca="false">I14+J14</f>
        <v>229.822914040837</v>
      </c>
      <c r="L14" s="55" t="n">
        <f aca="false">F14-(I14-X14)</f>
        <v>34.3229140408369</v>
      </c>
      <c r="M14" s="55" t="n">
        <v>99.6</v>
      </c>
      <c r="N14" s="5" t="n">
        <v>0</v>
      </c>
      <c r="O14" s="55" t="n">
        <v>0</v>
      </c>
      <c r="P14" s="5" t="n">
        <f aca="false">M14-(N14+O14)</f>
        <v>99.6</v>
      </c>
      <c r="Q14" s="55" t="n">
        <v>90.1</v>
      </c>
      <c r="R14" s="55" t="n">
        <v>52.4</v>
      </c>
      <c r="S14" s="55" t="n">
        <f aca="false">SUM(P14:R14)</f>
        <v>242.1</v>
      </c>
      <c r="T14" s="57" t="n">
        <f aca="false">(I14-S14)+T13</f>
        <v>6140.6</v>
      </c>
      <c r="U14" s="55" t="n">
        <v>58</v>
      </c>
      <c r="V14" s="55" t="n">
        <v>72.4</v>
      </c>
      <c r="W14" s="57" t="n">
        <f aca="false">W13-V14</f>
        <v>3423.10000000001</v>
      </c>
      <c r="X14" s="5" t="n">
        <f aca="false">N14+O14+S14+U14+V14</f>
        <v>372.5</v>
      </c>
      <c r="Y14" s="55" t="n">
        <f aca="false">IF(L14&lt;0,L14*-1,0)</f>
        <v>0</v>
      </c>
      <c r="Z14" s="55" t="n">
        <f aca="false">X14+Y14</f>
        <v>372.5</v>
      </c>
      <c r="AA14" s="58" t="n">
        <v>0</v>
      </c>
      <c r="AB14" s="51" t="n">
        <v>78</v>
      </c>
      <c r="AC14" s="51" t="n">
        <v>54</v>
      </c>
      <c r="AD14" s="48" t="n">
        <v>5</v>
      </c>
      <c r="AE14" s="83"/>
      <c r="AF14" s="83"/>
    </row>
    <row r="15" customFormat="false" ht="11.1" hidden="false" customHeight="true" outlineLevel="0" collapsed="false">
      <c r="A15" s="48" t="n">
        <v>6</v>
      </c>
      <c r="B15" s="59" t="n">
        <v>6911.5</v>
      </c>
      <c r="C15" s="57" t="n">
        <v>328022</v>
      </c>
      <c r="D15" s="51" t="n">
        <f aca="false">C15-C14</f>
        <v>-526</v>
      </c>
      <c r="E15" s="57" t="n">
        <f aca="false">C15-151978</f>
        <v>176044</v>
      </c>
      <c r="F15" s="55" t="n">
        <f aca="false">D15/$D$2</f>
        <v>-265.187799344593</v>
      </c>
      <c r="G15" s="55" t="n">
        <v>194</v>
      </c>
      <c r="H15" s="60" t="n">
        <v>0</v>
      </c>
      <c r="I15" s="55" t="n">
        <f aca="false">G15+H15</f>
        <v>194</v>
      </c>
      <c r="J15" s="61" t="n">
        <f aca="false">IF(L15&gt;0,L15,0)</f>
        <v>0</v>
      </c>
      <c r="K15" s="55" t="n">
        <f aca="false">I15+J15</f>
        <v>194</v>
      </c>
      <c r="L15" s="55" t="n">
        <f aca="false">F15-(I15-X15)</f>
        <v>-68.7877993445929</v>
      </c>
      <c r="M15" s="55" t="n">
        <v>109.1</v>
      </c>
      <c r="N15" s="5" t="n">
        <v>0</v>
      </c>
      <c r="O15" s="55" t="n">
        <v>0</v>
      </c>
      <c r="P15" s="5" t="n">
        <f aca="false">M15-(N15+O15)</f>
        <v>109.1</v>
      </c>
      <c r="Q15" s="55" t="n">
        <v>89.9</v>
      </c>
      <c r="R15" s="55" t="n">
        <v>51.4</v>
      </c>
      <c r="S15" s="55" t="n">
        <f aca="false">SUM(P15:R15)</f>
        <v>250.4</v>
      </c>
      <c r="T15" s="57" t="n">
        <f aca="false">(I15-S15)+T14</f>
        <v>6084.2</v>
      </c>
      <c r="U15" s="55" t="n">
        <v>67.6</v>
      </c>
      <c r="V15" s="55" t="n">
        <v>72.4</v>
      </c>
      <c r="W15" s="57" t="n">
        <f aca="false">W14-V15</f>
        <v>3350.70000000001</v>
      </c>
      <c r="X15" s="5" t="n">
        <f aca="false">N15+O15+S15+U15+V15</f>
        <v>390.4</v>
      </c>
      <c r="Y15" s="55" t="n">
        <f aca="false">IF(L15&lt;0,L15*-1,0)</f>
        <v>68.7877993445929</v>
      </c>
      <c r="Z15" s="55" t="n">
        <f aca="false">X15+Y15</f>
        <v>459.187799344593</v>
      </c>
      <c r="AA15" s="58" t="n">
        <v>0</v>
      </c>
      <c r="AB15" s="51" t="n">
        <v>80</v>
      </c>
      <c r="AC15" s="51" t="n">
        <v>48</v>
      </c>
      <c r="AD15" s="48" t="n">
        <v>6</v>
      </c>
      <c r="AE15" s="83"/>
      <c r="AF15" s="83"/>
    </row>
    <row r="16" customFormat="false" ht="11.1" hidden="false" customHeight="true" outlineLevel="0" collapsed="false">
      <c r="A16" s="48" t="n">
        <v>7</v>
      </c>
      <c r="B16" s="59"/>
      <c r="C16" s="57" t="n">
        <v>327536</v>
      </c>
      <c r="D16" s="51" t="n">
        <f aca="false">C16-C15</f>
        <v>-486</v>
      </c>
      <c r="E16" s="57" t="n">
        <f aca="false">C16-151978</f>
        <v>175558</v>
      </c>
      <c r="F16" s="55" t="n">
        <f aca="false">D16/$D$2</f>
        <v>-245.02142677086</v>
      </c>
      <c r="G16" s="55" t="n">
        <v>186.1</v>
      </c>
      <c r="H16" s="60" t="n">
        <v>0</v>
      </c>
      <c r="I16" s="55" t="n">
        <f aca="false">G16+H16</f>
        <v>186.1</v>
      </c>
      <c r="J16" s="61" t="n">
        <f aca="false">IF(L16&gt;0,L16,0)</f>
        <v>10.7785732291404</v>
      </c>
      <c r="K16" s="55" t="n">
        <f aca="false">I16+J16</f>
        <v>196.87857322914</v>
      </c>
      <c r="L16" s="55" t="n">
        <f aca="false">F16-(I16-X16)</f>
        <v>10.7785732291404</v>
      </c>
      <c r="M16" s="55" t="n">
        <v>141.9</v>
      </c>
      <c r="N16" s="5" t="n">
        <v>0</v>
      </c>
      <c r="O16" s="55" t="n">
        <v>0</v>
      </c>
      <c r="P16" s="5" t="n">
        <f aca="false">M16-(N16+O16)</f>
        <v>141.9</v>
      </c>
      <c r="Q16" s="55" t="n">
        <v>89.3</v>
      </c>
      <c r="R16" s="55" t="n">
        <v>59.5</v>
      </c>
      <c r="S16" s="55" t="n">
        <f aca="false">SUM(P16:R16)</f>
        <v>290.7</v>
      </c>
      <c r="T16" s="57" t="n">
        <f aca="false">(I16-S16)+T15</f>
        <v>5979.6</v>
      </c>
      <c r="U16" s="55" t="n">
        <v>78.7</v>
      </c>
      <c r="V16" s="55" t="n">
        <v>72.5</v>
      </c>
      <c r="W16" s="57" t="n">
        <f aca="false">W15-V16</f>
        <v>3278.20000000001</v>
      </c>
      <c r="X16" s="5" t="n">
        <f aca="false">N16+O16+S16+U16+V16</f>
        <v>441.9</v>
      </c>
      <c r="Y16" s="55" t="n">
        <f aca="false">IF(L16&lt;0,L16*-1,0)</f>
        <v>0</v>
      </c>
      <c r="Z16" s="55" t="n">
        <f aca="false">X16+Y16</f>
        <v>441.9</v>
      </c>
      <c r="AA16" s="58" t="n">
        <v>0</v>
      </c>
      <c r="AB16" s="51" t="n">
        <v>77</v>
      </c>
      <c r="AC16" s="51" t="n">
        <v>48</v>
      </c>
      <c r="AD16" s="48" t="n">
        <v>7</v>
      </c>
      <c r="AE16" s="83"/>
      <c r="AF16" s="83"/>
    </row>
    <row r="17" customFormat="false" ht="11.1" hidden="false" customHeight="true" outlineLevel="0" collapsed="false">
      <c r="A17" s="48" t="n">
        <v>8</v>
      </c>
      <c r="B17" s="59" t="n">
        <v>6911.22</v>
      </c>
      <c r="C17" s="57" t="n">
        <v>326889</v>
      </c>
      <c r="D17" s="51" t="n">
        <f aca="false">C17-C16</f>
        <v>-647</v>
      </c>
      <c r="E17" s="57" t="n">
        <f aca="false">C17-151978</f>
        <v>174911</v>
      </c>
      <c r="F17" s="55" t="n">
        <f aca="false">D17/$D$2</f>
        <v>-326.191076380136</v>
      </c>
      <c r="G17" s="55" t="n">
        <v>176.2</v>
      </c>
      <c r="H17" s="60" t="n">
        <v>0</v>
      </c>
      <c r="I17" s="55" t="n">
        <f aca="false">G17+H17</f>
        <v>176.2</v>
      </c>
      <c r="J17" s="61" t="n">
        <f aca="false">IF(L17&gt;0,L17,0)</f>
        <v>0</v>
      </c>
      <c r="K17" s="55" t="n">
        <f aca="false">I17+J17</f>
        <v>176.2</v>
      </c>
      <c r="L17" s="55" t="n">
        <f aca="false">F17-(I17-X17)</f>
        <v>-84.8910763801361</v>
      </c>
      <c r="M17" s="55" t="n">
        <v>120</v>
      </c>
      <c r="N17" s="5" t="n">
        <v>0</v>
      </c>
      <c r="O17" s="55" t="n">
        <v>0</v>
      </c>
      <c r="P17" s="5" t="n">
        <f aca="false">M17-(N17+O17)</f>
        <v>120</v>
      </c>
      <c r="Q17" s="55" t="n">
        <v>89.5</v>
      </c>
      <c r="R17" s="55" t="n">
        <v>60.5</v>
      </c>
      <c r="S17" s="55" t="n">
        <f aca="false">SUM(P17:R17)</f>
        <v>270</v>
      </c>
      <c r="T17" s="57" t="n">
        <f aca="false">(I17-S17)+T16</f>
        <v>5885.8</v>
      </c>
      <c r="U17" s="55" t="n">
        <v>75.1</v>
      </c>
      <c r="V17" s="55" t="n">
        <v>72.4</v>
      </c>
      <c r="W17" s="57" t="n">
        <f aca="false">W16-V17</f>
        <v>3205.80000000001</v>
      </c>
      <c r="X17" s="5" t="n">
        <f aca="false">N17+O17+S17+U17+V17</f>
        <v>417.5</v>
      </c>
      <c r="Y17" s="55" t="n">
        <f aca="false">IF(L17&lt;0,L17*-1,0)</f>
        <v>84.8910763801361</v>
      </c>
      <c r="Z17" s="55" t="n">
        <f aca="false">X17+Y17</f>
        <v>502.391076380136</v>
      </c>
      <c r="AA17" s="58" t="n">
        <v>0</v>
      </c>
      <c r="AB17" s="51" t="n">
        <v>78</v>
      </c>
      <c r="AC17" s="51" t="n">
        <v>44</v>
      </c>
      <c r="AD17" s="48" t="n">
        <v>8</v>
      </c>
      <c r="AE17" s="83"/>
      <c r="AF17" s="83"/>
    </row>
    <row r="18" customFormat="false" ht="11.1" hidden="false" customHeight="true" outlineLevel="0" collapsed="false">
      <c r="A18" s="48" t="n">
        <v>9</v>
      </c>
      <c r="B18" s="59" t="n">
        <v>6911.03</v>
      </c>
      <c r="C18" s="57" t="n">
        <v>326121</v>
      </c>
      <c r="D18" s="51" t="n">
        <f aca="false">C18-C17</f>
        <v>-768</v>
      </c>
      <c r="E18" s="57" t="n">
        <f aca="false">C18-151978</f>
        <v>174143</v>
      </c>
      <c r="F18" s="55" t="n">
        <f aca="false">D18/$D$2</f>
        <v>-387.194353415679</v>
      </c>
      <c r="G18" s="55" t="n">
        <v>165.4</v>
      </c>
      <c r="H18" s="60" t="n">
        <v>0</v>
      </c>
      <c r="I18" s="55" t="n">
        <f aca="false">G18+H18</f>
        <v>165.4</v>
      </c>
      <c r="J18" s="61" t="n">
        <f aca="false">IF(L18&gt;0,L18,0)</f>
        <v>0</v>
      </c>
      <c r="K18" s="55" t="n">
        <f aca="false">I18+J18</f>
        <v>165.4</v>
      </c>
      <c r="L18" s="55" t="n">
        <f aca="false">F18-(I18-X18)</f>
        <v>-91.1943534156794</v>
      </c>
      <c r="M18" s="55" t="n">
        <v>165</v>
      </c>
      <c r="N18" s="55" t="n">
        <v>0</v>
      </c>
      <c r="O18" s="55" t="n">
        <v>0</v>
      </c>
      <c r="P18" s="5" t="n">
        <f aca="false">M18-(N18+O18)</f>
        <v>165</v>
      </c>
      <c r="Q18" s="55" t="n">
        <v>89</v>
      </c>
      <c r="R18" s="55" t="n">
        <v>60</v>
      </c>
      <c r="S18" s="55" t="n">
        <f aca="false">SUM(P18:R18)</f>
        <v>314</v>
      </c>
      <c r="T18" s="57" t="n">
        <f aca="false">(I18-S18)+T17</f>
        <v>5737.2</v>
      </c>
      <c r="U18" s="55" t="n">
        <v>74.1</v>
      </c>
      <c r="V18" s="55" t="n">
        <v>73.3</v>
      </c>
      <c r="W18" s="57" t="n">
        <f aca="false">W17-V18</f>
        <v>3132.50000000001</v>
      </c>
      <c r="X18" s="5" t="n">
        <f aca="false">N18+O18+S18+U18+V18</f>
        <v>461.4</v>
      </c>
      <c r="Y18" s="55" t="n">
        <f aca="false">IF(L18&lt;0,L18*-1,0)</f>
        <v>91.1943534156794</v>
      </c>
      <c r="Z18" s="55" t="n">
        <f aca="false">X18+Y18</f>
        <v>552.594353415679</v>
      </c>
      <c r="AA18" s="58" t="n">
        <v>0</v>
      </c>
      <c r="AB18" s="51" t="n">
        <v>81</v>
      </c>
      <c r="AC18" s="51" t="n">
        <v>43</v>
      </c>
      <c r="AD18" s="48" t="n">
        <v>9</v>
      </c>
      <c r="AE18" s="83"/>
      <c r="AF18" s="83"/>
    </row>
    <row r="19" customFormat="false" ht="11.1" hidden="false" customHeight="true" outlineLevel="0" collapsed="false">
      <c r="A19" s="48" t="n">
        <v>10</v>
      </c>
      <c r="B19" s="59" t="n">
        <v>6910.87</v>
      </c>
      <c r="C19" s="57" t="n">
        <v>325478</v>
      </c>
      <c r="D19" s="51" t="n">
        <f aca="false">C19-C18</f>
        <v>-643</v>
      </c>
      <c r="E19" s="57" t="n">
        <f aca="false">C19-151978</f>
        <v>173500</v>
      </c>
      <c r="F19" s="55" t="n">
        <f aca="false">D19/$D$2</f>
        <v>-324.174439122763</v>
      </c>
      <c r="G19" s="55" t="n">
        <v>157.5</v>
      </c>
      <c r="H19" s="60" t="n">
        <v>0.01</v>
      </c>
      <c r="I19" s="55" t="n">
        <f aca="false">G19+H19</f>
        <v>157.51</v>
      </c>
      <c r="J19" s="61" t="n">
        <f aca="false">IF(L19&gt;0,L19,0)</f>
        <v>0</v>
      </c>
      <c r="K19" s="55" t="n">
        <f aca="false">I19+J19</f>
        <v>157.51</v>
      </c>
      <c r="L19" s="55" t="n">
        <f aca="false">F19-(I19-X19)</f>
        <v>-4.78443912276288</v>
      </c>
      <c r="M19" s="55" t="n">
        <v>171.2</v>
      </c>
      <c r="N19" s="55" t="n">
        <v>0</v>
      </c>
      <c r="O19" s="55" t="n">
        <v>0</v>
      </c>
      <c r="P19" s="5" t="n">
        <f aca="false">M19-(N19+O19)</f>
        <v>171.2</v>
      </c>
      <c r="Q19" s="55" t="n">
        <v>88.8</v>
      </c>
      <c r="R19" s="55" t="n">
        <v>69.6</v>
      </c>
      <c r="S19" s="55" t="n">
        <f aca="false">SUM(P19:R19)</f>
        <v>329.6</v>
      </c>
      <c r="T19" s="57" t="n">
        <f aca="false">(I19-S19)+T18</f>
        <v>5565.11</v>
      </c>
      <c r="U19" s="55" t="n">
        <v>75.1</v>
      </c>
      <c r="V19" s="55" t="n">
        <v>72.2</v>
      </c>
      <c r="W19" s="57" t="n">
        <f aca="false">W18-V19</f>
        <v>3060.30000000001</v>
      </c>
      <c r="X19" s="5" t="n">
        <f aca="false">N19+O19+S19+U19+V19</f>
        <v>476.9</v>
      </c>
      <c r="Y19" s="55" t="n">
        <f aca="false">IF(L19&lt;0,L19*-1,0)</f>
        <v>4.78443912276288</v>
      </c>
      <c r="Z19" s="55" t="n">
        <f aca="false">X19+Y19</f>
        <v>481.684439122763</v>
      </c>
      <c r="AA19" s="58" t="n">
        <v>0</v>
      </c>
      <c r="AB19" s="51" t="n">
        <v>80</v>
      </c>
      <c r="AC19" s="51" t="n">
        <v>48</v>
      </c>
      <c r="AD19" s="48" t="n">
        <v>10</v>
      </c>
      <c r="AE19" s="83"/>
      <c r="AF19" s="83"/>
    </row>
    <row r="20" customFormat="false" ht="11.1" hidden="false" customHeight="true" outlineLevel="0" collapsed="false">
      <c r="A20" s="48" t="n">
        <v>11</v>
      </c>
      <c r="B20" s="59" t="n">
        <v>6910.7</v>
      </c>
      <c r="C20" s="57" t="n">
        <v>324796</v>
      </c>
      <c r="D20" s="51" t="n">
        <f aca="false">C20-C19</f>
        <v>-682</v>
      </c>
      <c r="E20" s="57" t="n">
        <f aca="false">C20-151978</f>
        <v>172818</v>
      </c>
      <c r="F20" s="55" t="n">
        <f aca="false">D20/$D$2</f>
        <v>-343.836652382153</v>
      </c>
      <c r="G20" s="55" t="n">
        <v>152.2</v>
      </c>
      <c r="H20" s="60" t="n">
        <v>0</v>
      </c>
      <c r="I20" s="55" t="n">
        <f aca="false">G20+H20</f>
        <v>152.2</v>
      </c>
      <c r="J20" s="61" t="n">
        <f aca="false">IF(L20&gt;0,L20,0)</f>
        <v>0</v>
      </c>
      <c r="K20" s="55" t="n">
        <f aca="false">I20+J20</f>
        <v>152.2</v>
      </c>
      <c r="L20" s="55" t="n">
        <f aca="false">F20-(I20-X20)</f>
        <v>-57.8366523821528</v>
      </c>
      <c r="M20" s="55" t="n">
        <v>145.5</v>
      </c>
      <c r="N20" s="55" t="n">
        <v>0</v>
      </c>
      <c r="O20" s="55" t="n">
        <v>0</v>
      </c>
      <c r="P20" s="5" t="n">
        <f aca="false">M20-(N20+O20)</f>
        <v>145.5</v>
      </c>
      <c r="Q20" s="55" t="n">
        <v>88.8</v>
      </c>
      <c r="R20" s="55" t="n">
        <v>50.9</v>
      </c>
      <c r="S20" s="55" t="n">
        <f aca="false">SUM(P20:R20)</f>
        <v>285.2</v>
      </c>
      <c r="T20" s="57" t="n">
        <f aca="false">(I20-S20)+T19</f>
        <v>5432.11</v>
      </c>
      <c r="U20" s="55" t="n">
        <v>79.7</v>
      </c>
      <c r="V20" s="55" t="n">
        <v>73.3</v>
      </c>
      <c r="W20" s="57" t="n">
        <f aca="false">W19-V20</f>
        <v>2987</v>
      </c>
      <c r="X20" s="5" t="n">
        <f aca="false">N20+O20+S20+U20+V20</f>
        <v>438.2</v>
      </c>
      <c r="Y20" s="55" t="n">
        <f aca="false">IF(L20&lt;0,L20*-1,0)</f>
        <v>57.8366523821528</v>
      </c>
      <c r="Z20" s="55" t="n">
        <f aca="false">X20+Y20</f>
        <v>496.036652382153</v>
      </c>
      <c r="AA20" s="58" t="n">
        <v>0</v>
      </c>
      <c r="AB20" s="51" t="n">
        <v>82</v>
      </c>
      <c r="AC20" s="51" t="n">
        <v>46</v>
      </c>
      <c r="AD20" s="48" t="n">
        <v>11</v>
      </c>
      <c r="AE20" s="83"/>
      <c r="AF20" s="83"/>
    </row>
    <row r="21" customFormat="false" ht="11.1" hidden="false" customHeight="true" outlineLevel="0" collapsed="false">
      <c r="A21" s="48" t="n">
        <v>12</v>
      </c>
      <c r="B21" s="59" t="n">
        <v>6910.57</v>
      </c>
      <c r="C21" s="57" t="n">
        <v>324274</v>
      </c>
      <c r="D21" s="51" t="n">
        <f aca="false">C21-C20</f>
        <v>-522</v>
      </c>
      <c r="E21" s="57" t="n">
        <f aca="false">C21-151978</f>
        <v>172296</v>
      </c>
      <c r="F21" s="55" t="n">
        <f aca="false">D21/$D$2</f>
        <v>-263.17116208722</v>
      </c>
      <c r="G21" s="55" t="n">
        <v>147.4</v>
      </c>
      <c r="H21" s="60" t="n">
        <v>0</v>
      </c>
      <c r="I21" s="55" t="n">
        <f aca="false">G21+H21</f>
        <v>147.4</v>
      </c>
      <c r="J21" s="61" t="n">
        <f aca="false">IF(L21&gt;0,L21,0)</f>
        <v>44.7288379127804</v>
      </c>
      <c r="K21" s="55" t="n">
        <f aca="false">I21+J21</f>
        <v>192.12883791278</v>
      </c>
      <c r="L21" s="55" t="n">
        <f aca="false">F21-(I21-X21)</f>
        <v>44.7288379127804</v>
      </c>
      <c r="M21" s="55" t="n">
        <v>151.2</v>
      </c>
      <c r="N21" s="55" t="n">
        <v>0</v>
      </c>
      <c r="O21" s="55" t="n">
        <v>0</v>
      </c>
      <c r="P21" s="5" t="n">
        <f aca="false">M21-(N21+O21)</f>
        <v>151.2</v>
      </c>
      <c r="Q21" s="55" t="n">
        <v>89.2</v>
      </c>
      <c r="R21" s="55" t="n">
        <v>79.2</v>
      </c>
      <c r="S21" s="55" t="n">
        <f aca="false">SUM(P21:R21)</f>
        <v>319.6</v>
      </c>
      <c r="T21" s="57" t="n">
        <f aca="false">(I21-S21)+T20</f>
        <v>5259.91</v>
      </c>
      <c r="U21" s="55" t="n">
        <v>63</v>
      </c>
      <c r="V21" s="55" t="n">
        <v>72.7</v>
      </c>
      <c r="W21" s="57" t="n">
        <f aca="false">W20-V21</f>
        <v>2914.30000000001</v>
      </c>
      <c r="X21" s="5" t="n">
        <f aca="false">N21+O21+S21+U21+V21</f>
        <v>455.3</v>
      </c>
      <c r="Y21" s="55" t="n">
        <f aca="false">IF(L21&lt;0,L21*-1,0)</f>
        <v>0</v>
      </c>
      <c r="Z21" s="55" t="n">
        <f aca="false">X21+Y21</f>
        <v>455.3</v>
      </c>
      <c r="AA21" s="58" t="n">
        <v>0.4</v>
      </c>
      <c r="AB21" s="51" t="n">
        <v>75</v>
      </c>
      <c r="AC21" s="51" t="n">
        <v>47</v>
      </c>
      <c r="AD21" s="48" t="n">
        <v>12</v>
      </c>
      <c r="AE21" s="83"/>
      <c r="AF21" s="83"/>
    </row>
    <row r="22" customFormat="false" ht="11.1" hidden="false" customHeight="true" outlineLevel="0" collapsed="false">
      <c r="A22" s="48" t="n">
        <v>13</v>
      </c>
      <c r="B22" s="59" t="n">
        <v>6910.46</v>
      </c>
      <c r="C22" s="57" t="n">
        <v>323832</v>
      </c>
      <c r="D22" s="51" t="n">
        <f aca="false">C22-C21</f>
        <v>-442</v>
      </c>
      <c r="E22" s="57" t="n">
        <f aca="false">C22-151978</f>
        <v>171854</v>
      </c>
      <c r="F22" s="55" t="n">
        <f aca="false">D22/$D$2</f>
        <v>-222.838416939753</v>
      </c>
      <c r="G22" s="55" t="n">
        <v>167.3</v>
      </c>
      <c r="H22" s="60" t="n">
        <v>0.01</v>
      </c>
      <c r="I22" s="55" t="n">
        <f aca="false">G22+H22</f>
        <v>167.31</v>
      </c>
      <c r="J22" s="61" t="n">
        <f aca="false">IF(L22&gt;0,L22,0)</f>
        <v>28.9515830602471</v>
      </c>
      <c r="K22" s="55" t="n">
        <f aca="false">I22+J22</f>
        <v>196.261583060247</v>
      </c>
      <c r="L22" s="55" t="n">
        <f aca="false">F22-(I22-X22)</f>
        <v>28.9515830602471</v>
      </c>
      <c r="M22" s="55" t="n">
        <v>162</v>
      </c>
      <c r="N22" s="55" t="n">
        <v>0</v>
      </c>
      <c r="O22" s="55" t="n">
        <v>0</v>
      </c>
      <c r="P22" s="5" t="n">
        <f aca="false">M22-(N22+O22)</f>
        <v>162</v>
      </c>
      <c r="Q22" s="55" t="n">
        <v>89.1</v>
      </c>
      <c r="R22" s="55" t="n">
        <v>57.5</v>
      </c>
      <c r="S22" s="55" t="n">
        <f aca="false">SUM(P22:R22)</f>
        <v>308.6</v>
      </c>
      <c r="T22" s="57" t="n">
        <f aca="false">(I22-S22)+T21</f>
        <v>5118.62</v>
      </c>
      <c r="U22" s="55" t="n">
        <v>37.8</v>
      </c>
      <c r="V22" s="55" t="n">
        <v>72.7</v>
      </c>
      <c r="W22" s="57" t="n">
        <f aca="false">W21-V22</f>
        <v>2841.60000000001</v>
      </c>
      <c r="X22" s="5" t="n">
        <f aca="false">N22+O22+S22+U22+V22</f>
        <v>419.1</v>
      </c>
      <c r="Y22" s="55" t="n">
        <f aca="false">IF(L22&lt;0,L22*-1,0)</f>
        <v>0</v>
      </c>
      <c r="Z22" s="55" t="n">
        <f aca="false">X22+Y22</f>
        <v>419.1</v>
      </c>
      <c r="AA22" s="58" t="n">
        <v>0</v>
      </c>
      <c r="AB22" s="51" t="n">
        <v>59</v>
      </c>
      <c r="AC22" s="51" t="n">
        <v>44</v>
      </c>
      <c r="AD22" s="48" t="n">
        <v>13</v>
      </c>
      <c r="AE22" s="83"/>
      <c r="AF22" s="83"/>
    </row>
    <row r="23" customFormat="false" ht="11.1" hidden="false" customHeight="true" outlineLevel="0" collapsed="false">
      <c r="A23" s="48" t="n">
        <v>14</v>
      </c>
      <c r="B23" s="59" t="n">
        <v>6910.37</v>
      </c>
      <c r="C23" s="57" t="n">
        <v>323471</v>
      </c>
      <c r="D23" s="51" t="n">
        <f aca="false">C23-C22</f>
        <v>-361</v>
      </c>
      <c r="E23" s="57" t="n">
        <f aca="false">C23-151978</f>
        <v>171493</v>
      </c>
      <c r="F23" s="55" t="n">
        <f aca="false">D23/$D$2</f>
        <v>-182.001512477943</v>
      </c>
      <c r="G23" s="55" t="n">
        <v>193.5</v>
      </c>
      <c r="H23" s="60" t="n">
        <v>0.01</v>
      </c>
      <c r="I23" s="55" t="n">
        <f aca="false">G23+H23</f>
        <v>193.51</v>
      </c>
      <c r="J23" s="61" t="n">
        <f aca="false">IF(L23&gt;0,L23,0)</f>
        <v>0</v>
      </c>
      <c r="K23" s="55" t="n">
        <f aca="false">I23+J23</f>
        <v>193.51</v>
      </c>
      <c r="L23" s="55" t="n">
        <f aca="false">F23-(I23-X23)</f>
        <v>-13.311512477943</v>
      </c>
      <c r="M23" s="55" t="n">
        <v>123.9</v>
      </c>
      <c r="N23" s="55" t="n">
        <v>0</v>
      </c>
      <c r="O23" s="55" t="n">
        <v>0</v>
      </c>
      <c r="P23" s="5" t="n">
        <f aca="false">M23-(N23+O23)</f>
        <v>123.9</v>
      </c>
      <c r="Q23" s="55" t="n">
        <v>75.6</v>
      </c>
      <c r="R23" s="55" t="n">
        <v>54.5</v>
      </c>
      <c r="S23" s="55" t="n">
        <f aca="false">SUM(P23:R23)</f>
        <v>254</v>
      </c>
      <c r="T23" s="57" t="n">
        <f aca="false">(I23-S23)+T22</f>
        <v>5058.13</v>
      </c>
      <c r="U23" s="55" t="n">
        <v>35.8</v>
      </c>
      <c r="V23" s="55" t="n">
        <v>72.4</v>
      </c>
      <c r="W23" s="57" t="n">
        <f aca="false">W22-V23</f>
        <v>2769.20000000001</v>
      </c>
      <c r="X23" s="5" t="n">
        <f aca="false">N23+O23+S23+U23+V23</f>
        <v>362.2</v>
      </c>
      <c r="Y23" s="55" t="n">
        <f aca="false">IF(L23&lt;0,L23*-1,0)</f>
        <v>13.311512477943</v>
      </c>
      <c r="Z23" s="55" t="n">
        <f aca="false">X23+Y23</f>
        <v>375.511512477943</v>
      </c>
      <c r="AA23" s="58" t="n">
        <v>0</v>
      </c>
      <c r="AB23" s="51" t="n">
        <v>67</v>
      </c>
      <c r="AC23" s="51" t="n">
        <v>40</v>
      </c>
      <c r="AD23" s="48" t="n">
        <v>14</v>
      </c>
      <c r="AE23" s="83"/>
      <c r="AF23" s="83"/>
    </row>
    <row r="24" customFormat="false" ht="11.1" hidden="false" customHeight="true" outlineLevel="0" collapsed="false">
      <c r="A24" s="48" t="n">
        <v>15</v>
      </c>
      <c r="B24" s="59" t="n">
        <v>6910.26</v>
      </c>
      <c r="C24" s="57" t="n">
        <v>323030</v>
      </c>
      <c r="D24" s="51" t="n">
        <f aca="false">C24-C23</f>
        <v>-441</v>
      </c>
      <c r="E24" s="57" t="n">
        <f aca="false">C24-151978</f>
        <v>171052</v>
      </c>
      <c r="F24" s="55" t="n">
        <f aca="false">D24/$D$2</f>
        <v>-222.33425762541</v>
      </c>
      <c r="G24" s="55" t="n">
        <v>151.7</v>
      </c>
      <c r="H24" s="60" t="n">
        <v>0</v>
      </c>
      <c r="I24" s="55" t="n">
        <f aca="false">G24+H24</f>
        <v>151.7</v>
      </c>
      <c r="J24" s="61" t="n">
        <f aca="false">IF(L24&gt;0,L24,0)</f>
        <v>0</v>
      </c>
      <c r="K24" s="55" t="n">
        <f aca="false">I24+J24</f>
        <v>151.7</v>
      </c>
      <c r="L24" s="55" t="n">
        <f aca="false">F24-(I24-X24)</f>
        <v>-22.4342576254096</v>
      </c>
      <c r="M24" s="55" t="n">
        <v>112.8</v>
      </c>
      <c r="N24" s="55" t="n">
        <v>0</v>
      </c>
      <c r="O24" s="55" t="n">
        <v>0</v>
      </c>
      <c r="P24" s="5" t="n">
        <f aca="false">M24-(N24+O24)</f>
        <v>112.8</v>
      </c>
      <c r="Q24" s="55" t="n">
        <v>68.5</v>
      </c>
      <c r="R24" s="55" t="n">
        <v>55</v>
      </c>
      <c r="S24" s="55" t="n">
        <f aca="false">SUM(P24:R24)</f>
        <v>236.3</v>
      </c>
      <c r="T24" s="57" t="n">
        <f aca="false">(I24-S24)+T23</f>
        <v>4973.53</v>
      </c>
      <c r="U24" s="55" t="n">
        <v>42.9</v>
      </c>
      <c r="V24" s="55" t="n">
        <v>72.4</v>
      </c>
      <c r="W24" s="57" t="n">
        <f aca="false">W23-V24</f>
        <v>2696.8</v>
      </c>
      <c r="X24" s="5" t="n">
        <f aca="false">N24+O24+S24+U24+V24</f>
        <v>351.6</v>
      </c>
      <c r="Y24" s="55" t="n">
        <f aca="false">IF(L24&lt;0,L24*-1,0)</f>
        <v>22.4342576254096</v>
      </c>
      <c r="Z24" s="55" t="n">
        <f aca="false">X24+Y24</f>
        <v>374.03425762541</v>
      </c>
      <c r="AA24" s="58" t="n">
        <v>0.04</v>
      </c>
      <c r="AB24" s="51" t="n">
        <v>68</v>
      </c>
      <c r="AC24" s="51" t="n">
        <v>32</v>
      </c>
      <c r="AD24" s="48" t="n">
        <v>15</v>
      </c>
      <c r="AE24" s="83"/>
      <c r="AF24" s="83"/>
    </row>
    <row r="25" customFormat="false" ht="11.1" hidden="false" customHeight="true" outlineLevel="0" collapsed="false">
      <c r="A25" s="48" t="n">
        <v>16</v>
      </c>
      <c r="B25" s="59" t="n">
        <v>6910.12</v>
      </c>
      <c r="C25" s="57" t="n">
        <v>322468</v>
      </c>
      <c r="D25" s="51" t="n">
        <f aca="false">C25-C24</f>
        <v>-562</v>
      </c>
      <c r="E25" s="57" t="n">
        <f aca="false">C25-151978</f>
        <v>170490</v>
      </c>
      <c r="F25" s="55" t="n">
        <f aca="false">D25/$D$2</f>
        <v>-283.337534660953</v>
      </c>
      <c r="G25" s="55" t="n">
        <v>124.1</v>
      </c>
      <c r="H25" s="60" t="n">
        <v>0</v>
      </c>
      <c r="I25" s="55" t="n">
        <f aca="false">G25+H25</f>
        <v>124.1</v>
      </c>
      <c r="J25" s="61" t="n">
        <f aca="false">IF(L25&gt;0,L25,0)</f>
        <v>0</v>
      </c>
      <c r="K25" s="55" t="n">
        <f aca="false">I25+J25</f>
        <v>124.1</v>
      </c>
      <c r="L25" s="55" t="n">
        <f aca="false">F25-(I25-X25)</f>
        <v>-48.2375346609528</v>
      </c>
      <c r="M25" s="55" t="n">
        <v>126.9</v>
      </c>
      <c r="N25" s="55" t="n">
        <v>0</v>
      </c>
      <c r="O25" s="55" t="n">
        <v>0</v>
      </c>
      <c r="P25" s="5" t="n">
        <f aca="false">M25-(N25+O25)</f>
        <v>126.9</v>
      </c>
      <c r="Q25" s="55" t="n">
        <v>68.4</v>
      </c>
      <c r="R25" s="55" t="n">
        <v>49.9</v>
      </c>
      <c r="S25" s="55" t="n">
        <f aca="false">SUM(P25:R25)</f>
        <v>245.2</v>
      </c>
      <c r="T25" s="57" t="n">
        <f aca="false">(I25-S25)+T24</f>
        <v>4852.43</v>
      </c>
      <c r="U25" s="55" t="n">
        <v>41.4</v>
      </c>
      <c r="V25" s="55" t="n">
        <v>72.6</v>
      </c>
      <c r="W25" s="57" t="n">
        <f aca="false">W24-V25</f>
        <v>2624.20000000001</v>
      </c>
      <c r="X25" s="5" t="n">
        <f aca="false">N25+O25+S25+U25+V25</f>
        <v>359.2</v>
      </c>
      <c r="Y25" s="55" t="n">
        <f aca="false">IF(L25&lt;0,L25*-1,0)</f>
        <v>48.2375346609528</v>
      </c>
      <c r="Z25" s="55" t="n">
        <f aca="false">X25+Y25</f>
        <v>407.437534660953</v>
      </c>
      <c r="AA25" s="58" t="n">
        <v>0</v>
      </c>
      <c r="AB25" s="51" t="n">
        <v>72</v>
      </c>
      <c r="AC25" s="51" t="n">
        <v>37</v>
      </c>
      <c r="AD25" s="48" t="n">
        <v>16</v>
      </c>
      <c r="AE25" s="83"/>
      <c r="AF25" s="83"/>
    </row>
    <row r="26" customFormat="false" ht="11.1" hidden="false" customHeight="true" outlineLevel="0" collapsed="false">
      <c r="A26" s="48" t="n">
        <v>17</v>
      </c>
      <c r="B26" s="59" t="n">
        <v>6909.95</v>
      </c>
      <c r="C26" s="57" t="n">
        <v>321787</v>
      </c>
      <c r="D26" s="51" t="n">
        <f aca="false">C26-C25</f>
        <v>-681</v>
      </c>
      <c r="E26" s="57" t="n">
        <f aca="false">C26-151978</f>
        <v>169809</v>
      </c>
      <c r="F26" s="55" t="n">
        <f aca="false">D26/$D$2</f>
        <v>-343.332493067809</v>
      </c>
      <c r="G26" s="55" t="n">
        <v>113.3</v>
      </c>
      <c r="H26" s="60" t="n">
        <v>0</v>
      </c>
      <c r="I26" s="55" t="n">
        <f aca="false">G26+H26</f>
        <v>113.3</v>
      </c>
      <c r="J26" s="61" t="n">
        <f aca="false">IF(L26&gt;0,L26,0)</f>
        <v>0</v>
      </c>
      <c r="K26" s="55" t="n">
        <f aca="false">I26+J26</f>
        <v>113.3</v>
      </c>
      <c r="L26" s="55" t="n">
        <f aca="false">F26-(I26-X26)</f>
        <v>-90.4324930678095</v>
      </c>
      <c r="M26" s="55" t="n">
        <v>123.8</v>
      </c>
      <c r="N26" s="55" t="n">
        <v>0</v>
      </c>
      <c r="O26" s="55" t="n">
        <v>0</v>
      </c>
      <c r="P26" s="5" t="n">
        <f aca="false">M26-(N26+O26)</f>
        <v>123.8</v>
      </c>
      <c r="Q26" s="55" t="n">
        <v>68.1</v>
      </c>
      <c r="R26" s="55" t="n">
        <v>49.9</v>
      </c>
      <c r="S26" s="55" t="n">
        <f aca="false">SUM(P26:R26)</f>
        <v>241.8</v>
      </c>
      <c r="T26" s="57" t="n">
        <f aca="false">(I26-S26)+T25</f>
        <v>4723.93</v>
      </c>
      <c r="U26" s="55" t="n">
        <v>51.9</v>
      </c>
      <c r="V26" s="55" t="n">
        <v>72.5</v>
      </c>
      <c r="W26" s="57" t="n">
        <f aca="false">W25-V26</f>
        <v>2551.70000000001</v>
      </c>
      <c r="X26" s="5" t="n">
        <f aca="false">N26+O26+S26+U26+V26</f>
        <v>366.2</v>
      </c>
      <c r="Y26" s="55" t="n">
        <f aca="false">IF(L26&lt;0,L26*-1,0)</f>
        <v>90.4324930678095</v>
      </c>
      <c r="Z26" s="55" t="n">
        <f aca="false">X26+Y26</f>
        <v>456.632493067809</v>
      </c>
      <c r="AA26" s="58" t="n">
        <v>0</v>
      </c>
      <c r="AB26" s="51" t="n">
        <v>69</v>
      </c>
      <c r="AC26" s="51" t="n">
        <v>43</v>
      </c>
      <c r="AD26" s="48" t="n">
        <v>17</v>
      </c>
      <c r="AE26" s="83"/>
      <c r="AF26" s="83"/>
    </row>
    <row r="27" customFormat="false" ht="11.1" hidden="false" customHeight="true" outlineLevel="0" collapsed="false">
      <c r="A27" s="48" t="n">
        <v>18</v>
      </c>
      <c r="B27" s="59" t="n">
        <v>6909.82</v>
      </c>
      <c r="C27" s="57" t="n">
        <v>321270</v>
      </c>
      <c r="D27" s="51" t="n">
        <f aca="false">C27-C26</f>
        <v>-517</v>
      </c>
      <c r="E27" s="57" t="n">
        <f aca="false">C27-151978</f>
        <v>169292</v>
      </c>
      <c r="F27" s="55" t="n">
        <f aca="false">D27/$D$2</f>
        <v>-260.650365515503</v>
      </c>
      <c r="G27" s="55" t="n">
        <v>106.5</v>
      </c>
      <c r="H27" s="60" t="n">
        <v>0</v>
      </c>
      <c r="I27" s="55" t="n">
        <f aca="false">G27+H27</f>
        <v>106.5</v>
      </c>
      <c r="J27" s="61" t="n">
        <f aca="false">IF(L27&gt;0,L27,0)</f>
        <v>0</v>
      </c>
      <c r="K27" s="55" t="n">
        <f aca="false">I27+J27</f>
        <v>106.5</v>
      </c>
      <c r="L27" s="55" t="n">
        <f aca="false">F27-(I27-X27)</f>
        <v>-5.95036551550294</v>
      </c>
      <c r="M27" s="55" t="n">
        <v>120.5</v>
      </c>
      <c r="N27" s="55" t="n">
        <v>0</v>
      </c>
      <c r="O27" s="55" t="n">
        <v>0</v>
      </c>
      <c r="P27" s="5" t="n">
        <f aca="false">M27-(N27+O27)</f>
        <v>120.5</v>
      </c>
      <c r="Q27" s="55" t="n">
        <v>67.8</v>
      </c>
      <c r="R27" s="55" t="n">
        <v>49.4</v>
      </c>
      <c r="S27" s="55" t="n">
        <f aca="false">SUM(P27:R27)</f>
        <v>237.7</v>
      </c>
      <c r="T27" s="57" t="n">
        <f aca="false">(I27-S27)+T26</f>
        <v>4592.73</v>
      </c>
      <c r="U27" s="55" t="n">
        <v>50.9</v>
      </c>
      <c r="V27" s="55" t="n">
        <v>72.6</v>
      </c>
      <c r="W27" s="57" t="n">
        <f aca="false">W26-V27</f>
        <v>2479.10000000001</v>
      </c>
      <c r="X27" s="5" t="n">
        <f aca="false">N27+O27+S27+U27+V27</f>
        <v>361.2</v>
      </c>
      <c r="Y27" s="55" t="n">
        <f aca="false">IF(L27&lt;0,L27*-1,0)</f>
        <v>5.95036551550294</v>
      </c>
      <c r="Z27" s="55" t="n">
        <f aca="false">X27+Y27</f>
        <v>367.150365515503</v>
      </c>
      <c r="AA27" s="58" t="n">
        <v>0</v>
      </c>
      <c r="AB27" s="51" t="n">
        <v>66</v>
      </c>
      <c r="AC27" s="51" t="n">
        <v>46</v>
      </c>
      <c r="AD27" s="48" t="n">
        <v>18</v>
      </c>
      <c r="AE27" s="83"/>
      <c r="AF27" s="83"/>
    </row>
    <row r="28" customFormat="false" ht="11.1" hidden="false" customHeight="true" outlineLevel="0" collapsed="false">
      <c r="A28" s="48" t="n">
        <v>19</v>
      </c>
      <c r="B28" s="59" t="n">
        <v>6909.68</v>
      </c>
      <c r="C28" s="57" t="n">
        <v>320712</v>
      </c>
      <c r="D28" s="51" t="n">
        <f aca="false">C28-C27</f>
        <v>-558</v>
      </c>
      <c r="E28" s="57" t="n">
        <f aca="false">C28-151978</f>
        <v>168734</v>
      </c>
      <c r="F28" s="55" t="n">
        <f aca="false">D28/$D$2</f>
        <v>-281.320897403579</v>
      </c>
      <c r="G28" s="55" t="n">
        <v>102.6</v>
      </c>
      <c r="H28" s="60" t="n">
        <v>0</v>
      </c>
      <c r="I28" s="55" t="n">
        <f aca="false">G28+H28</f>
        <v>102.6</v>
      </c>
      <c r="J28" s="61" t="n">
        <f aca="false">IF(L28&gt;0,L28,0)</f>
        <v>0</v>
      </c>
      <c r="K28" s="55" t="n">
        <f aca="false">I28+J28</f>
        <v>102.6</v>
      </c>
      <c r="L28" s="55" t="n">
        <f aca="false">F28-(I28-X28)</f>
        <v>-32.2208974035795</v>
      </c>
      <c r="M28" s="55" t="n">
        <v>119.8</v>
      </c>
      <c r="N28" s="55" t="n">
        <v>0</v>
      </c>
      <c r="O28" s="55" t="n">
        <v>0</v>
      </c>
      <c r="P28" s="5" t="n">
        <f aca="false">M28-(N28+O28)</f>
        <v>119.8</v>
      </c>
      <c r="Q28" s="55" t="n">
        <v>68.9</v>
      </c>
      <c r="R28" s="55" t="n">
        <v>48.9</v>
      </c>
      <c r="S28" s="55" t="n">
        <f aca="false">SUM(P28:R28)</f>
        <v>237.6</v>
      </c>
      <c r="T28" s="57" t="n">
        <f aca="false">(I28-S28)+T27</f>
        <v>4457.73</v>
      </c>
      <c r="U28" s="55" t="n">
        <v>41.4</v>
      </c>
      <c r="V28" s="55" t="n">
        <v>72.7</v>
      </c>
      <c r="W28" s="57" t="n">
        <f aca="false">W27-V28</f>
        <v>2406.40000000001</v>
      </c>
      <c r="X28" s="5" t="n">
        <f aca="false">N28+O28+S28+U28+V28</f>
        <v>351.7</v>
      </c>
      <c r="Y28" s="55" t="n">
        <f aca="false">IF(L28&lt;0,L28*-1,0)</f>
        <v>32.2208974035795</v>
      </c>
      <c r="Z28" s="55" t="n">
        <f aca="false">X28+Y28</f>
        <v>383.920897403579</v>
      </c>
      <c r="AA28" s="58" t="n">
        <v>0</v>
      </c>
      <c r="AB28" s="51" t="n">
        <v>67</v>
      </c>
      <c r="AC28" s="51" t="n">
        <v>36</v>
      </c>
      <c r="AD28" s="48" t="n">
        <v>19</v>
      </c>
      <c r="AE28" s="83"/>
      <c r="AF28" s="83"/>
    </row>
    <row r="29" customFormat="false" ht="11.1" hidden="false" customHeight="true" outlineLevel="0" collapsed="false">
      <c r="A29" s="48" t="n">
        <v>20</v>
      </c>
      <c r="B29" s="59" t="n">
        <v>6908.58</v>
      </c>
      <c r="C29" s="57" t="n">
        <v>320314</v>
      </c>
      <c r="D29" s="51" t="n">
        <f aca="false">C29-C28</f>
        <v>-398</v>
      </c>
      <c r="E29" s="57" t="n">
        <f aca="false">C29-151978</f>
        <v>168336</v>
      </c>
      <c r="F29" s="55" t="n">
        <f aca="false">D29/$D$2</f>
        <v>-200.655407108646</v>
      </c>
      <c r="G29" s="55" t="n">
        <v>96.4</v>
      </c>
      <c r="H29" s="60" t="n">
        <v>0</v>
      </c>
      <c r="I29" s="55" t="n">
        <f aca="false">G29+H29</f>
        <v>96.4</v>
      </c>
      <c r="J29" s="61" t="n">
        <f aca="false">IF(L29&gt;0,L29,0)</f>
        <v>0.544592891353688</v>
      </c>
      <c r="K29" s="55" t="n">
        <f aca="false">I29+J29</f>
        <v>96.9445928913537</v>
      </c>
      <c r="L29" s="55" t="n">
        <f aca="false">F29-(I29-X29)</f>
        <v>0.544592891353688</v>
      </c>
      <c r="M29" s="55" t="n">
        <v>110.8</v>
      </c>
      <c r="N29" s="55" t="n">
        <v>0</v>
      </c>
      <c r="O29" s="55" t="n">
        <v>0</v>
      </c>
      <c r="P29" s="5" t="n">
        <f aca="false">M29-(N29+O29)</f>
        <v>110.8</v>
      </c>
      <c r="Q29" s="55" t="n">
        <v>58.5</v>
      </c>
      <c r="R29" s="55" t="n">
        <v>48.9</v>
      </c>
      <c r="S29" s="55" t="n">
        <f aca="false">SUM(P29:R29)</f>
        <v>218.2</v>
      </c>
      <c r="T29" s="57" t="n">
        <f aca="false">(I29-S29)+T28</f>
        <v>4335.93</v>
      </c>
      <c r="U29" s="55" t="n">
        <v>36.3</v>
      </c>
      <c r="V29" s="55" t="n">
        <v>43.1</v>
      </c>
      <c r="W29" s="57" t="n">
        <f aca="false">W28-V29</f>
        <v>2363.30000000001</v>
      </c>
      <c r="X29" s="5" t="n">
        <f aca="false">N29+O29+S29+U29+V29</f>
        <v>297.6</v>
      </c>
      <c r="Y29" s="55" t="n">
        <f aca="false">IF(L29&lt;0,L29*-1,0)</f>
        <v>0</v>
      </c>
      <c r="Z29" s="55" t="n">
        <f aca="false">X29+Y29</f>
        <v>297.6</v>
      </c>
      <c r="AA29" s="58" t="n">
        <v>0</v>
      </c>
      <c r="AB29" s="51" t="n">
        <v>74</v>
      </c>
      <c r="AC29" s="51" t="n">
        <v>34</v>
      </c>
      <c r="AD29" s="48" t="n">
        <v>20</v>
      </c>
      <c r="AE29" s="83"/>
      <c r="AF29" s="83"/>
    </row>
    <row r="30" customFormat="false" ht="11.1" hidden="false" customHeight="true" outlineLevel="0" collapsed="false">
      <c r="A30" s="48" t="n">
        <v>21</v>
      </c>
      <c r="B30" s="59" t="n">
        <v>6909.48</v>
      </c>
      <c r="C30" s="57" t="n">
        <v>319916</v>
      </c>
      <c r="D30" s="51" t="n">
        <f aca="false">C30-C29</f>
        <v>-398</v>
      </c>
      <c r="E30" s="57" t="n">
        <f aca="false">C30-151978</f>
        <v>167938</v>
      </c>
      <c r="F30" s="55" t="n">
        <f aca="false">D30/$D$2</f>
        <v>-200.655407108646</v>
      </c>
      <c r="G30" s="55" t="n">
        <v>89.9</v>
      </c>
      <c r="H30" s="60" t="n">
        <v>0</v>
      </c>
      <c r="I30" s="55" t="n">
        <f aca="false">G30+H30</f>
        <v>89.9</v>
      </c>
      <c r="J30" s="61" t="n">
        <f aca="false">IF(L30&gt;0,L30,0)</f>
        <v>0</v>
      </c>
      <c r="K30" s="55" t="n">
        <f aca="false">I30+J30</f>
        <v>89.9</v>
      </c>
      <c r="L30" s="55" t="n">
        <f aca="false">F30-(I30-X30)</f>
        <v>-13.5554071086463</v>
      </c>
      <c r="M30" s="55" t="n">
        <v>98.6</v>
      </c>
      <c r="N30" s="55" t="n">
        <v>0</v>
      </c>
      <c r="O30" s="55" t="n">
        <v>0</v>
      </c>
      <c r="P30" s="5" t="n">
        <f aca="false">M30-(N30+O30)</f>
        <v>98.6</v>
      </c>
      <c r="Q30" s="55" t="n">
        <v>49.9</v>
      </c>
      <c r="R30" s="55" t="n">
        <v>50.4</v>
      </c>
      <c r="S30" s="55" t="n">
        <f aca="false">SUM(P30:R30)</f>
        <v>198.9</v>
      </c>
      <c r="T30" s="57" t="n">
        <f aca="false">(I30-S30)+T29</f>
        <v>4226.93</v>
      </c>
      <c r="U30" s="55" t="n">
        <v>39.3</v>
      </c>
      <c r="V30" s="55" t="n">
        <v>38.8</v>
      </c>
      <c r="W30" s="57" t="n">
        <f aca="false">W29-V30</f>
        <v>2324.50000000001</v>
      </c>
      <c r="X30" s="5" t="n">
        <f aca="false">N30+O30+S30+U30+V30</f>
        <v>277</v>
      </c>
      <c r="Y30" s="55" t="n">
        <f aca="false">IF(L30&lt;0,L30*-1,0)</f>
        <v>13.5554071086463</v>
      </c>
      <c r="Z30" s="55" t="n">
        <f aca="false">X30+Y30</f>
        <v>290.555407108646</v>
      </c>
      <c r="AA30" s="58" t="n">
        <v>0</v>
      </c>
      <c r="AB30" s="51" t="n">
        <v>74</v>
      </c>
      <c r="AC30" s="51" t="n">
        <v>38</v>
      </c>
      <c r="AD30" s="48" t="n">
        <v>21</v>
      </c>
      <c r="AE30" s="83"/>
      <c r="AF30" s="83"/>
    </row>
    <row r="31" customFormat="false" ht="11.1" hidden="false" customHeight="true" outlineLevel="0" collapsed="false">
      <c r="A31" s="48" t="n">
        <v>22</v>
      </c>
      <c r="B31" s="59" t="n">
        <v>6909.35</v>
      </c>
      <c r="C31" s="57" t="n">
        <v>319399</v>
      </c>
      <c r="D31" s="51" t="n">
        <f aca="false">C31-C30</f>
        <v>-517</v>
      </c>
      <c r="E31" s="57" t="n">
        <f aca="false">C31-151978</f>
        <v>167421</v>
      </c>
      <c r="F31" s="55" t="n">
        <f aca="false">D31/$D$2</f>
        <v>-260.650365515503</v>
      </c>
      <c r="G31" s="55" t="n">
        <v>85.5</v>
      </c>
      <c r="H31" s="60" t="n">
        <v>0</v>
      </c>
      <c r="I31" s="55" t="n">
        <f aca="false">G31+H31</f>
        <v>85.5</v>
      </c>
      <c r="J31" s="61" t="n">
        <f aca="false">IF(L31&gt;0,L31,0)</f>
        <v>0</v>
      </c>
      <c r="K31" s="55" t="n">
        <f aca="false">I31+J31</f>
        <v>85.5</v>
      </c>
      <c r="L31" s="55" t="n">
        <f aca="false">F31-(I31-X31)</f>
        <v>-42.8503655155029</v>
      </c>
      <c r="M31" s="55" t="n">
        <v>113.9</v>
      </c>
      <c r="N31" s="55" t="n">
        <v>0</v>
      </c>
      <c r="O31" s="55" t="n">
        <v>0</v>
      </c>
      <c r="P31" s="5" t="n">
        <f aca="false">M31-(N31+O31)</f>
        <v>113.9</v>
      </c>
      <c r="Q31" s="55" t="n">
        <v>49.8</v>
      </c>
      <c r="R31" s="55" t="n">
        <v>48.9</v>
      </c>
      <c r="S31" s="55" t="n">
        <f aca="false">SUM(P31:R31)</f>
        <v>212.6</v>
      </c>
      <c r="T31" s="57" t="n">
        <f aca="false">(I31-S31)+T30</f>
        <v>4099.83</v>
      </c>
      <c r="U31" s="55" t="n">
        <v>39.8</v>
      </c>
      <c r="V31" s="55" t="n">
        <v>50.9</v>
      </c>
      <c r="W31" s="57" t="n">
        <f aca="false">W30-V31</f>
        <v>2273.60000000001</v>
      </c>
      <c r="X31" s="5" t="n">
        <f aca="false">N31+O31+S31+U31+V31</f>
        <v>303.3</v>
      </c>
      <c r="Y31" s="55" t="n">
        <f aca="false">IF(L31&lt;0,L31*-1,0)</f>
        <v>42.8503655155029</v>
      </c>
      <c r="Z31" s="55" t="n">
        <f aca="false">X31+Y31</f>
        <v>346.150365515503</v>
      </c>
      <c r="AA31" s="58" t="n">
        <v>0</v>
      </c>
      <c r="AB31" s="51" t="n">
        <v>80</v>
      </c>
      <c r="AC31" s="51" t="n">
        <v>40</v>
      </c>
      <c r="AD31" s="48" t="n">
        <v>22</v>
      </c>
      <c r="AE31" s="83"/>
      <c r="AF31" s="83"/>
    </row>
    <row r="32" customFormat="false" ht="11.1" hidden="false" customHeight="true" outlineLevel="0" collapsed="false">
      <c r="A32" s="48" t="n">
        <v>23</v>
      </c>
      <c r="B32" s="59" t="n">
        <v>6909.17</v>
      </c>
      <c r="C32" s="57" t="n">
        <v>318682</v>
      </c>
      <c r="D32" s="51" t="n">
        <f aca="false">C32-C31</f>
        <v>-717</v>
      </c>
      <c r="E32" s="57" t="n">
        <f aca="false">C32-151978</f>
        <v>166704</v>
      </c>
      <c r="F32" s="55" t="n">
        <f aca="false">D32/$D$2</f>
        <v>-361.482228384169</v>
      </c>
      <c r="G32" s="55" t="n">
        <v>82.4</v>
      </c>
      <c r="H32" s="60" t="n">
        <v>0</v>
      </c>
      <c r="I32" s="55" t="n">
        <f aca="false">G32+H32</f>
        <v>82.4</v>
      </c>
      <c r="J32" s="61" t="n">
        <f aca="false">IF(L32&gt;0,L32,0)</f>
        <v>0</v>
      </c>
      <c r="K32" s="55" t="n">
        <f aca="false">I32+J32</f>
        <v>82.4</v>
      </c>
      <c r="L32" s="55" t="n">
        <f aca="false">F32-(I32-X32)</f>
        <v>-70.7822283841695</v>
      </c>
      <c r="M32" s="55" t="n">
        <v>162.8</v>
      </c>
      <c r="N32" s="55" t="n">
        <v>0</v>
      </c>
      <c r="O32" s="55" t="n">
        <v>17.7</v>
      </c>
      <c r="P32" s="5" t="n">
        <f aca="false">M32-(N32+O32)</f>
        <v>145.1</v>
      </c>
      <c r="Q32" s="55" t="n">
        <v>49.8</v>
      </c>
      <c r="R32" s="55" t="n">
        <v>48.4</v>
      </c>
      <c r="S32" s="55" t="n">
        <f aca="false">SUM(P32:R32)</f>
        <v>243.3</v>
      </c>
      <c r="T32" s="57" t="n">
        <f aca="false">(I32-S32)+T31</f>
        <v>3938.93</v>
      </c>
      <c r="U32" s="55" t="n">
        <v>41.9</v>
      </c>
      <c r="V32" s="55" t="n">
        <v>70.2</v>
      </c>
      <c r="W32" s="57" t="n">
        <f aca="false">W31-V32</f>
        <v>2203.40000000001</v>
      </c>
      <c r="X32" s="5" t="n">
        <f aca="false">N32+O32+S32+U32+V32</f>
        <v>373.1</v>
      </c>
      <c r="Y32" s="55" t="n">
        <f aca="false">IF(L32&lt;0,L32*-1,0)</f>
        <v>70.7822283841695</v>
      </c>
      <c r="Z32" s="55" t="n">
        <f aca="false">X32+Y32</f>
        <v>443.882228384169</v>
      </c>
      <c r="AA32" s="58" t="n">
        <v>0</v>
      </c>
      <c r="AB32" s="51" t="n">
        <v>77</v>
      </c>
      <c r="AC32" s="51" t="n">
        <v>46</v>
      </c>
      <c r="AD32" s="48" t="n">
        <v>23</v>
      </c>
      <c r="AE32" s="83"/>
      <c r="AF32" s="83"/>
    </row>
    <row r="33" customFormat="false" ht="11.1" hidden="false" customHeight="true" outlineLevel="0" collapsed="false">
      <c r="A33" s="48" t="n">
        <v>24</v>
      </c>
      <c r="B33" s="59" t="n">
        <v>6909.04</v>
      </c>
      <c r="C33" s="57" t="n">
        <v>318165</v>
      </c>
      <c r="D33" s="51" t="n">
        <f aca="false">C33-C32</f>
        <v>-517</v>
      </c>
      <c r="E33" s="57" t="n">
        <f aca="false">C33-151978</f>
        <v>166187</v>
      </c>
      <c r="F33" s="55" t="n">
        <f aca="false">D33/$D$2</f>
        <v>-260.650365515503</v>
      </c>
      <c r="G33" s="55" t="n">
        <v>78.8</v>
      </c>
      <c r="H33" s="60" t="n">
        <v>0</v>
      </c>
      <c r="I33" s="55" t="n">
        <f aca="false">G33+H33</f>
        <v>78.8</v>
      </c>
      <c r="J33" s="61" t="n">
        <f aca="false">IF(L33&gt;0,L33,0)</f>
        <v>0</v>
      </c>
      <c r="K33" s="55" t="n">
        <f aca="false">I33+J33</f>
        <v>78.8</v>
      </c>
      <c r="L33" s="55" t="n">
        <f aca="false">F33-(I33-X33)</f>
        <v>-6.65036551550287</v>
      </c>
      <c r="M33" s="55" t="n">
        <v>134.7</v>
      </c>
      <c r="N33" s="55" t="n">
        <v>0</v>
      </c>
      <c r="O33" s="55" t="n">
        <v>18.7</v>
      </c>
      <c r="P33" s="5" t="n">
        <f aca="false">M33-(N33+O33)</f>
        <v>116</v>
      </c>
      <c r="Q33" s="55" t="n">
        <v>49.6</v>
      </c>
      <c r="R33" s="55" t="n">
        <v>48.4</v>
      </c>
      <c r="S33" s="55" t="n">
        <f aca="false">SUM(P33:R33)</f>
        <v>214</v>
      </c>
      <c r="T33" s="57" t="n">
        <f aca="false">(I33-S33)+T32</f>
        <v>3803.73</v>
      </c>
      <c r="U33" s="55" t="n">
        <v>29.8</v>
      </c>
      <c r="V33" s="55" t="n">
        <v>70.3</v>
      </c>
      <c r="W33" s="57" t="n">
        <f aca="false">W32-V33</f>
        <v>2133.10000000001</v>
      </c>
      <c r="X33" s="5" t="n">
        <f aca="false">N33+O33+S33+U33+V33</f>
        <v>332.8</v>
      </c>
      <c r="Y33" s="55" t="n">
        <f aca="false">IF(L33&lt;0,L33*-1,0)</f>
        <v>6.65036551550287</v>
      </c>
      <c r="Z33" s="55" t="n">
        <f aca="false">X33+Y33</f>
        <v>339.450365515503</v>
      </c>
      <c r="AA33" s="58" t="n">
        <v>0</v>
      </c>
      <c r="AB33" s="51" t="n">
        <v>69</v>
      </c>
      <c r="AC33" s="51" t="n">
        <v>38</v>
      </c>
      <c r="AD33" s="48" t="n">
        <v>24</v>
      </c>
      <c r="AE33" s="83"/>
      <c r="AF33" s="83"/>
    </row>
    <row r="34" customFormat="false" ht="11.1" hidden="false" customHeight="true" outlineLevel="0" collapsed="false">
      <c r="A34" s="48" t="n">
        <v>25</v>
      </c>
      <c r="B34" s="59" t="n">
        <v>6908.87</v>
      </c>
      <c r="C34" s="57" t="n">
        <v>317492</v>
      </c>
      <c r="D34" s="51" t="n">
        <f aca="false">C34-C33</f>
        <v>-673</v>
      </c>
      <c r="E34" s="57" t="n">
        <f aca="false">C34-151978</f>
        <v>165514</v>
      </c>
      <c r="F34" s="55" t="n">
        <f aca="false">D34/$D$2</f>
        <v>-339.299218553063</v>
      </c>
      <c r="G34" s="55" t="n">
        <v>76.9</v>
      </c>
      <c r="H34" s="60" t="n">
        <v>0</v>
      </c>
      <c r="I34" s="55" t="n">
        <f aca="false">G34+H34</f>
        <v>76.9</v>
      </c>
      <c r="J34" s="61" t="n">
        <f aca="false">IF(L34&gt;0,L34,0)</f>
        <v>0</v>
      </c>
      <c r="K34" s="55" t="n">
        <f aca="false">I34+J34</f>
        <v>76.9</v>
      </c>
      <c r="L34" s="55" t="n">
        <f aca="false">F34-(I34-X34)</f>
        <v>-80.0992185530627</v>
      </c>
      <c r="M34" s="55" t="n">
        <v>137.4</v>
      </c>
      <c r="N34" s="55" t="n">
        <v>0</v>
      </c>
      <c r="O34" s="55" t="n">
        <v>0</v>
      </c>
      <c r="P34" s="5" t="n">
        <f aca="false">M34-(N34+O34)</f>
        <v>137.4</v>
      </c>
      <c r="Q34" s="55" t="n">
        <v>49.7</v>
      </c>
      <c r="R34" s="55" t="n">
        <v>48.4</v>
      </c>
      <c r="S34" s="55" t="n">
        <f aca="false">SUM(P34:R34)</f>
        <v>235.5</v>
      </c>
      <c r="T34" s="57" t="n">
        <f aca="false">(I34-S34)+T33</f>
        <v>3645.13</v>
      </c>
      <c r="U34" s="55" t="n">
        <v>30.3</v>
      </c>
      <c r="V34" s="55" t="n">
        <v>70.3</v>
      </c>
      <c r="W34" s="57" t="n">
        <f aca="false">W33-V34</f>
        <v>2062.8</v>
      </c>
      <c r="X34" s="5" t="n">
        <f aca="false">N34+O34+S34+U34+V34</f>
        <v>336.1</v>
      </c>
      <c r="Y34" s="55" t="n">
        <f aca="false">IF(L34&lt;0,L34*-1,0)</f>
        <v>80.0992185530627</v>
      </c>
      <c r="Z34" s="55" t="n">
        <f aca="false">X34+Y34</f>
        <v>416.199218553063</v>
      </c>
      <c r="AA34" s="58" t="n">
        <v>0</v>
      </c>
      <c r="AB34" s="51" t="n">
        <v>71</v>
      </c>
      <c r="AC34" s="51" t="n">
        <v>36</v>
      </c>
      <c r="AD34" s="48" t="n">
        <v>25</v>
      </c>
      <c r="AE34" s="83"/>
      <c r="AF34" s="83"/>
    </row>
    <row r="35" customFormat="false" ht="11.1" hidden="false" customHeight="true" outlineLevel="0" collapsed="false">
      <c r="A35" s="48" t="n">
        <v>26</v>
      </c>
      <c r="B35" s="59" t="n">
        <v>6908.74</v>
      </c>
      <c r="C35" s="57" t="n">
        <v>316978</v>
      </c>
      <c r="D35" s="51" t="n">
        <f aca="false">C35-C34</f>
        <v>-514</v>
      </c>
      <c r="E35" s="57" t="n">
        <f aca="false">C35-151978</f>
        <v>165000</v>
      </c>
      <c r="F35" s="55" t="n">
        <f aca="false">D35/$D$2</f>
        <v>-259.137887572473</v>
      </c>
      <c r="G35" s="55" t="n">
        <v>74.3</v>
      </c>
      <c r="H35" s="60" t="n">
        <v>0</v>
      </c>
      <c r="I35" s="55" t="n">
        <f aca="false">G35+H35</f>
        <v>74.3</v>
      </c>
      <c r="J35" s="61" t="n">
        <f aca="false">IF(L35&gt;0,L35,0)</f>
        <v>3.86211242752711</v>
      </c>
      <c r="K35" s="55" t="n">
        <f aca="false">I35+J35</f>
        <v>78.1621124275271</v>
      </c>
      <c r="L35" s="55" t="n">
        <f aca="false">F35-(I35-X35)</f>
        <v>3.86211242752711</v>
      </c>
      <c r="M35" s="55" t="n">
        <v>140.1</v>
      </c>
      <c r="N35" s="55" t="n">
        <v>0</v>
      </c>
      <c r="O35" s="55" t="n">
        <v>0</v>
      </c>
      <c r="P35" s="5" t="n">
        <f aca="false">M35-(N35+O35)</f>
        <v>140.1</v>
      </c>
      <c r="Q35" s="55" t="n">
        <v>49.8</v>
      </c>
      <c r="R35" s="55" t="n">
        <v>49.4</v>
      </c>
      <c r="S35" s="55" t="n">
        <f aca="false">SUM(P35:R35)</f>
        <v>239.3</v>
      </c>
      <c r="T35" s="57" t="n">
        <f aca="false">(I35-S35)+T34</f>
        <v>3480.13</v>
      </c>
      <c r="U35" s="55" t="n">
        <v>27.7</v>
      </c>
      <c r="V35" s="55" t="n">
        <v>70.3</v>
      </c>
      <c r="W35" s="57" t="n">
        <f aca="false">W34-V35</f>
        <v>1992.50000000001</v>
      </c>
      <c r="X35" s="5" t="n">
        <f aca="false">N35+O35+S35+U35+V35</f>
        <v>337.3</v>
      </c>
      <c r="Y35" s="55" t="n">
        <f aca="false">IF(L35&lt;0,L35*-1,0)</f>
        <v>0</v>
      </c>
      <c r="Z35" s="55" t="n">
        <f aca="false">X35+Y35</f>
        <v>337.3</v>
      </c>
      <c r="AA35" s="58" t="n">
        <v>0</v>
      </c>
      <c r="AB35" s="51" t="n">
        <v>72</v>
      </c>
      <c r="AC35" s="51" t="n">
        <v>38</v>
      </c>
      <c r="AD35" s="48" t="n">
        <v>26</v>
      </c>
      <c r="AE35" s="83"/>
      <c r="AF35" s="83"/>
    </row>
    <row r="36" customFormat="false" ht="11.1" hidden="false" customHeight="true" outlineLevel="0" collapsed="false">
      <c r="A36" s="48" t="n">
        <v>27</v>
      </c>
      <c r="B36" s="59" t="n">
        <v>6908.62</v>
      </c>
      <c r="C36" s="57" t="n">
        <v>316505</v>
      </c>
      <c r="D36" s="51" t="n">
        <f aca="false">C36-C35</f>
        <v>-473</v>
      </c>
      <c r="E36" s="57" t="n">
        <f aca="false">C36-151978</f>
        <v>164527</v>
      </c>
      <c r="F36" s="55" t="n">
        <f aca="false">D36/$D$2</f>
        <v>-238.467355684396</v>
      </c>
      <c r="G36" s="55" t="n">
        <v>70.2</v>
      </c>
      <c r="H36" s="60" t="n">
        <v>0</v>
      </c>
      <c r="I36" s="55" t="n">
        <f aca="false">G36+H36</f>
        <v>70.2</v>
      </c>
      <c r="J36" s="61" t="n">
        <f aca="false">IF(L36&gt;0,L36,0)</f>
        <v>0</v>
      </c>
      <c r="K36" s="55" t="n">
        <f aca="false">I36+J36</f>
        <v>70.2</v>
      </c>
      <c r="L36" s="55" t="n">
        <f aca="false">F36-(I36-X36)</f>
        <v>-19.5673556843962</v>
      </c>
      <c r="M36" s="55" t="n">
        <v>118.8</v>
      </c>
      <c r="N36" s="55" t="n">
        <v>0</v>
      </c>
      <c r="O36" s="55" t="n">
        <v>14</v>
      </c>
      <c r="P36" s="5" t="n">
        <f aca="false">M36-(N36+O36)</f>
        <v>104.8</v>
      </c>
      <c r="Q36" s="55" t="n">
        <v>20.8</v>
      </c>
      <c r="R36" s="55" t="n">
        <v>48.9</v>
      </c>
      <c r="S36" s="55" t="n">
        <f aca="false">SUM(P36:R36)</f>
        <v>174.5</v>
      </c>
      <c r="T36" s="57" t="n">
        <f aca="false">(I36-S36)+T35</f>
        <v>3375.83</v>
      </c>
      <c r="U36" s="55" t="n">
        <v>30.3</v>
      </c>
      <c r="V36" s="55" t="n">
        <v>70.3</v>
      </c>
      <c r="W36" s="57" t="n">
        <f aca="false">W35-V36</f>
        <v>1922.20000000001</v>
      </c>
      <c r="X36" s="5" t="n">
        <f aca="false">N36+O36+S36+U36+V36</f>
        <v>289.1</v>
      </c>
      <c r="Y36" s="55" t="n">
        <f aca="false">IF(L36&lt;0,L36*-1,0)</f>
        <v>19.5673556843962</v>
      </c>
      <c r="Z36" s="55" t="n">
        <f aca="false">X36+Y36</f>
        <v>308.667355684396</v>
      </c>
      <c r="AA36" s="58" t="n">
        <v>0</v>
      </c>
      <c r="AB36" s="51" t="n">
        <v>74</v>
      </c>
      <c r="AC36" s="51" t="n">
        <v>40</v>
      </c>
      <c r="AD36" s="48" t="n">
        <v>27</v>
      </c>
      <c r="AE36" s="83"/>
      <c r="AF36" s="83"/>
    </row>
    <row r="37" customFormat="false" ht="11.1" hidden="false" customHeight="true" outlineLevel="0" collapsed="false">
      <c r="A37" s="48" t="n">
        <v>28</v>
      </c>
      <c r="B37" s="59" t="n">
        <v>6908.47</v>
      </c>
      <c r="C37" s="57" t="n">
        <v>315912</v>
      </c>
      <c r="D37" s="51" t="n">
        <f aca="false">C37-C36</f>
        <v>-593</v>
      </c>
      <c r="E37" s="57" t="n">
        <f aca="false">C37-151978</f>
        <v>163934</v>
      </c>
      <c r="F37" s="55" t="n">
        <f aca="false">D37/$D$2</f>
        <v>-298.966473405596</v>
      </c>
      <c r="G37" s="55" t="n">
        <v>68.4</v>
      </c>
      <c r="H37" s="60" t="n">
        <v>0</v>
      </c>
      <c r="I37" s="55" t="n">
        <f aca="false">G37+H37</f>
        <v>68.4</v>
      </c>
      <c r="J37" s="61" t="n">
        <f aca="false">IF(L37&gt;0,L37,0)</f>
        <v>0</v>
      </c>
      <c r="K37" s="55" t="n">
        <f aca="false">I37+J37</f>
        <v>68.4</v>
      </c>
      <c r="L37" s="55" t="n">
        <f aca="false">F37-(I37-X37)</f>
        <v>-109.366473405596</v>
      </c>
      <c r="M37" s="55" t="n">
        <v>113.1</v>
      </c>
      <c r="N37" s="55" t="n">
        <v>0</v>
      </c>
      <c r="O37" s="55" t="n">
        <v>16.6</v>
      </c>
      <c r="P37" s="5" t="n">
        <f aca="false">M37-(N37+O37)</f>
        <v>96.5</v>
      </c>
      <c r="Q37" s="55" t="n">
        <v>0</v>
      </c>
      <c r="R37" s="55" t="n">
        <v>46.9</v>
      </c>
      <c r="S37" s="55" t="n">
        <f aca="false">SUM(P37:R37)</f>
        <v>143.4</v>
      </c>
      <c r="T37" s="57" t="n">
        <f aca="false">(I37-S37)+T36</f>
        <v>3300.83</v>
      </c>
      <c r="U37" s="55" t="n">
        <v>27.7</v>
      </c>
      <c r="V37" s="55" t="n">
        <v>70.3</v>
      </c>
      <c r="W37" s="57" t="n">
        <f aca="false">W36-V37</f>
        <v>1851.90000000001</v>
      </c>
      <c r="X37" s="5" t="n">
        <f aca="false">N37+O37+S37+U37+V37</f>
        <v>258</v>
      </c>
      <c r="Y37" s="55" t="n">
        <f aca="false">IF(L37&lt;0,L37*-1,0)</f>
        <v>109.366473405596</v>
      </c>
      <c r="Z37" s="55" t="n">
        <f aca="false">X37+Y37</f>
        <v>367.366473405596</v>
      </c>
      <c r="AA37" s="58" t="n">
        <v>0</v>
      </c>
      <c r="AB37" s="51" t="n">
        <v>76</v>
      </c>
      <c r="AC37" s="51" t="n">
        <v>38</v>
      </c>
      <c r="AD37" s="48" t="n">
        <v>28</v>
      </c>
      <c r="AE37" s="83"/>
      <c r="AF37" s="83"/>
    </row>
    <row r="38" customFormat="false" ht="11.1" hidden="false" customHeight="true" outlineLevel="0" collapsed="false">
      <c r="A38" s="48" t="n">
        <v>29</v>
      </c>
      <c r="B38" s="59" t="n">
        <v>6908.35</v>
      </c>
      <c r="C38" s="57" t="n">
        <v>315438</v>
      </c>
      <c r="D38" s="51" t="n">
        <f aca="false">C38-C37</f>
        <v>-474</v>
      </c>
      <c r="E38" s="57" t="n">
        <f aca="false">C38-151978</f>
        <v>163460</v>
      </c>
      <c r="F38" s="55" t="n">
        <f aca="false">D38/$D$2</f>
        <v>-238.97151499874</v>
      </c>
      <c r="G38" s="55" t="n">
        <v>66</v>
      </c>
      <c r="H38" s="60" t="n">
        <v>0</v>
      </c>
      <c r="I38" s="55" t="n">
        <f aca="false">G38+H38</f>
        <v>66</v>
      </c>
      <c r="J38" s="61" t="n">
        <f aca="false">IF(L38&gt;0,L38,0)</f>
        <v>0</v>
      </c>
      <c r="K38" s="55" t="n">
        <f aca="false">I38+J38</f>
        <v>66</v>
      </c>
      <c r="L38" s="55" t="n">
        <f aca="false">F38-(I38-X38)</f>
        <v>-33.2715149987396</v>
      </c>
      <c r="M38" s="55" t="n">
        <v>125.3</v>
      </c>
      <c r="N38" s="55" t="n">
        <v>0</v>
      </c>
      <c r="O38" s="55" t="n">
        <v>10</v>
      </c>
      <c r="P38" s="5" t="n">
        <f aca="false">M38-(N38+O38)</f>
        <v>115.3</v>
      </c>
      <c r="Q38" s="55" t="n">
        <v>0</v>
      </c>
      <c r="R38" s="55" t="n">
        <v>46.9</v>
      </c>
      <c r="S38" s="55" t="n">
        <f aca="false">SUM(P38:R38)</f>
        <v>162.2</v>
      </c>
      <c r="T38" s="57" t="n">
        <f aca="false">(I38-S38)+T37</f>
        <v>3204.63</v>
      </c>
      <c r="U38" s="55" t="n">
        <v>29.2</v>
      </c>
      <c r="V38" s="55" t="n">
        <v>70.3</v>
      </c>
      <c r="W38" s="57" t="n">
        <f aca="false">W37-V38</f>
        <v>1781.60000000001</v>
      </c>
      <c r="X38" s="5" t="n">
        <f aca="false">N38+O38+S38+U38+V38</f>
        <v>271.7</v>
      </c>
      <c r="Y38" s="55" t="n">
        <f aca="false">IF(L38&lt;0,L38*-1,0)</f>
        <v>33.2715149987396</v>
      </c>
      <c r="Z38" s="55" t="n">
        <f aca="false">X38+Y38</f>
        <v>304.97151499874</v>
      </c>
      <c r="AA38" s="58" t="n">
        <v>0</v>
      </c>
      <c r="AB38" s="51" t="n">
        <v>78</v>
      </c>
      <c r="AC38" s="51" t="n">
        <v>36</v>
      </c>
      <c r="AD38" s="48" t="n">
        <v>29</v>
      </c>
      <c r="AE38" s="83"/>
      <c r="AF38" s="83"/>
    </row>
    <row r="39" customFormat="false" ht="11.1" hidden="false" customHeight="true" outlineLevel="0" collapsed="false">
      <c r="A39" s="48" t="n">
        <v>30</v>
      </c>
      <c r="B39" s="59" t="n">
        <v>6908.2</v>
      </c>
      <c r="C39" s="57" t="n">
        <v>314846</v>
      </c>
      <c r="D39" s="51" t="n">
        <f aca="false">C39-C38</f>
        <v>-592</v>
      </c>
      <c r="E39" s="57" t="n">
        <f aca="false">C39-151978</f>
        <v>162868</v>
      </c>
      <c r="F39" s="55" t="n">
        <f aca="false">D39/$D$2</f>
        <v>-298.462314091253</v>
      </c>
      <c r="G39" s="55" t="n">
        <v>65.1</v>
      </c>
      <c r="H39" s="60" t="n">
        <v>0</v>
      </c>
      <c r="I39" s="55" t="n">
        <f aca="false">G39+H39</f>
        <v>65.1</v>
      </c>
      <c r="J39" s="61" t="n">
        <f aca="false">IF(L39&gt;0,L39,0)</f>
        <v>0</v>
      </c>
      <c r="K39" s="55" t="n">
        <f aca="false">I39+J39</f>
        <v>65.1</v>
      </c>
      <c r="L39" s="55" t="n">
        <f aca="false">F39-(I39-X39)</f>
        <v>-67.6623140912528</v>
      </c>
      <c r="M39" s="55" t="n">
        <v>145.9</v>
      </c>
      <c r="N39" s="55" t="n">
        <v>0</v>
      </c>
      <c r="O39" s="55" t="n">
        <v>13.7</v>
      </c>
      <c r="P39" s="5" t="n">
        <f aca="false">M39-(N39+O39)</f>
        <v>132.2</v>
      </c>
      <c r="Q39" s="55" t="n">
        <v>0</v>
      </c>
      <c r="R39" s="55" t="n">
        <v>46.9</v>
      </c>
      <c r="S39" s="55" t="n">
        <f aca="false">SUM(P39:R39)</f>
        <v>179.1</v>
      </c>
      <c r="T39" s="57" t="n">
        <f aca="false">(I39-S39)+T38</f>
        <v>3090.63</v>
      </c>
      <c r="U39" s="55" t="n">
        <v>32.8</v>
      </c>
      <c r="V39" s="55" t="n">
        <v>70.3</v>
      </c>
      <c r="W39" s="57" t="n">
        <f aca="false">W38-V39</f>
        <v>1711.30000000001</v>
      </c>
      <c r="X39" s="5" t="n">
        <f aca="false">N39+O39+S39+U39+V39</f>
        <v>295.9</v>
      </c>
      <c r="Y39" s="55" t="n">
        <f aca="false">IF(L39&lt;0,L39*-1,0)</f>
        <v>67.6623140912528</v>
      </c>
      <c r="Z39" s="55" t="n">
        <f aca="false">X39+Y39</f>
        <v>363.562314091253</v>
      </c>
      <c r="AA39" s="58" t="n">
        <v>0</v>
      </c>
      <c r="AB39" s="133" t="n">
        <v>73</v>
      </c>
      <c r="AC39" s="51" t="n">
        <v>40</v>
      </c>
      <c r="AD39" s="48" t="n">
        <v>30</v>
      </c>
      <c r="AE39" s="83"/>
      <c r="AF39" s="83"/>
    </row>
    <row r="40" customFormat="false" ht="3" hidden="false" customHeight="true" outlineLevel="0" collapsed="false">
      <c r="A40" s="84"/>
      <c r="B40" s="84"/>
      <c r="C40" s="86"/>
      <c r="D40" s="84"/>
      <c r="E40" s="86"/>
      <c r="F40" s="84"/>
      <c r="G40" s="84"/>
      <c r="H40" s="139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6"/>
      <c r="U40" s="84"/>
      <c r="V40" s="84"/>
      <c r="W40" s="84"/>
      <c r="X40" s="84"/>
      <c r="Y40" s="84"/>
      <c r="Z40" s="84"/>
      <c r="AA40" s="87"/>
      <c r="AB40" s="52"/>
      <c r="AC40" s="52"/>
      <c r="AD40" s="53"/>
      <c r="AE40" s="81"/>
      <c r="AF40" s="82"/>
    </row>
    <row r="41" customFormat="false" ht="11.1" hidden="false" customHeight="true" outlineLevel="0" collapsed="false">
      <c r="A41" s="55" t="s">
        <v>43</v>
      </c>
      <c r="B41" s="55"/>
      <c r="C41" s="57"/>
      <c r="D41" s="57"/>
      <c r="E41" s="57"/>
      <c r="F41" s="57" t="n">
        <f aca="false">SUM(F10:F39)</f>
        <v>-7682.88379127804</v>
      </c>
      <c r="G41" s="57" t="n">
        <f aca="false">SUM(G10:G39)</f>
        <v>4223.7</v>
      </c>
      <c r="H41" s="57" t="n">
        <f aca="false">SUM(H10:H39)</f>
        <v>0.03</v>
      </c>
      <c r="I41" s="57" t="n">
        <f aca="false">SUM(I10:I39)</f>
        <v>4223.73</v>
      </c>
      <c r="J41" s="57" t="n">
        <f aca="false">SUM(J10:J39)</f>
        <v>145.651709100076</v>
      </c>
      <c r="K41" s="57" t="n">
        <f aca="false">SUM(K10:K39)</f>
        <v>4369.38170910008</v>
      </c>
      <c r="L41" s="57" t="n">
        <f aca="false">SUM(L10:L39)</f>
        <v>-1015.61379127804</v>
      </c>
      <c r="M41" s="57" t="n">
        <f aca="false">SUM(M10:M39)</f>
        <v>3838.8</v>
      </c>
      <c r="N41" s="57" t="n">
        <f aca="false">SUM(N10:N39)</f>
        <v>0</v>
      </c>
      <c r="O41" s="57" t="n">
        <f aca="false">SUM(O10:O39)</f>
        <v>90.7</v>
      </c>
      <c r="P41" s="57" t="n">
        <f aca="false">SUM(P10:P39)</f>
        <v>3748.1</v>
      </c>
      <c r="Q41" s="57" t="n">
        <f aca="false">SUM(Q10:Q39)</f>
        <v>1959.9</v>
      </c>
      <c r="R41" s="57" t="n">
        <f aca="false">SUM(R10:R39)</f>
        <v>1576.1</v>
      </c>
      <c r="S41" s="57" t="n">
        <f aca="false">SUM(S10:S39)</f>
        <v>7284.1</v>
      </c>
      <c r="T41" s="57"/>
      <c r="U41" s="57" t="n">
        <f aca="false">SUM(U10:U39)</f>
        <v>1447.3</v>
      </c>
      <c r="V41" s="57" t="n">
        <f aca="false">SUM(V10:V40)</f>
        <v>2068.9</v>
      </c>
      <c r="W41" s="57"/>
      <c r="X41" s="57" t="n">
        <f aca="false">SUM(X10:X39)</f>
        <v>10891</v>
      </c>
      <c r="Y41" s="57" t="n">
        <f aca="false">SUM(Y10:Y39)</f>
        <v>1161.26550037812</v>
      </c>
      <c r="Z41" s="57" t="n">
        <f aca="false">SUM(Z10:Z39)</f>
        <v>12052.2655003781</v>
      </c>
      <c r="AA41" s="58" t="n">
        <f aca="false">SUM(AA10:AA39)</f>
        <v>0.44</v>
      </c>
      <c r="AB41" s="51" t="n">
        <f aca="false">AVERAGE(AB10:AB39)</f>
        <v>74.4</v>
      </c>
      <c r="AC41" s="51" t="n">
        <f aca="false">AVERAGE(AC10:AC39)</f>
        <v>42.2666666666667</v>
      </c>
      <c r="AD41" s="48" t="s">
        <v>74</v>
      </c>
      <c r="AE41" s="81"/>
      <c r="AF41" s="82"/>
    </row>
    <row r="42" customFormat="false" ht="11.1" hidden="false" customHeight="true" outlineLevel="0" collapsed="false">
      <c r="A42" s="55" t="s">
        <v>44</v>
      </c>
      <c r="B42" s="55"/>
      <c r="C42" s="57"/>
      <c r="D42" s="57" t="n">
        <f aca="false">SUM(D10:D40)</f>
        <v>-15239</v>
      </c>
      <c r="E42" s="57"/>
      <c r="F42" s="57" t="n">
        <f aca="false">F41*$D$2</f>
        <v>-15239</v>
      </c>
      <c r="G42" s="57" t="n">
        <f aca="false">G41*$D$2</f>
        <v>8377.70895</v>
      </c>
      <c r="H42" s="57" t="n">
        <f aca="false">H41*$D$2</f>
        <v>0.059505</v>
      </c>
      <c r="I42" s="57" t="n">
        <f aca="false">I41*$D$2</f>
        <v>8377.768455</v>
      </c>
      <c r="J42" s="57" t="n">
        <f aca="false">J41*$D$2</f>
        <v>288.900165</v>
      </c>
      <c r="K42" s="57" t="n">
        <f aca="false">K41*$D$2</f>
        <v>8666.66862</v>
      </c>
      <c r="L42" s="57" t="n">
        <f aca="false">L41*$D$2</f>
        <v>-2014.469955</v>
      </c>
      <c r="M42" s="57" t="n">
        <f aca="false">M41*$D$2</f>
        <v>7614.2598</v>
      </c>
      <c r="N42" s="57" t="n">
        <f aca="false">N41*$D$2</f>
        <v>0</v>
      </c>
      <c r="O42" s="57" t="n">
        <f aca="false">O41*$D$2</f>
        <v>179.90345</v>
      </c>
      <c r="P42" s="57" t="n">
        <f aca="false">P41*$D$2</f>
        <v>7434.35635</v>
      </c>
      <c r="Q42" s="57" t="n">
        <f aca="false">Q41*$D$2</f>
        <v>3887.46165</v>
      </c>
      <c r="R42" s="57" t="n">
        <f aca="false">R41*$D$2</f>
        <v>3126.19435</v>
      </c>
      <c r="S42" s="57" t="n">
        <f aca="false">S41*$D$2</f>
        <v>14448.01235</v>
      </c>
      <c r="T42" s="57"/>
      <c r="U42" s="57" t="n">
        <f aca="false">U41*$D$2</f>
        <v>2870.71955</v>
      </c>
      <c r="V42" s="57" t="n">
        <f aca="false">V41*$D$2</f>
        <v>4103.66315</v>
      </c>
      <c r="W42" s="57"/>
      <c r="X42" s="57" t="n">
        <f aca="false">X41*$D$2</f>
        <v>21602.2985</v>
      </c>
      <c r="Y42" s="57" t="n">
        <f aca="false">Y41*$D$2</f>
        <v>2303.37012</v>
      </c>
      <c r="Z42" s="57" t="n">
        <f aca="false">Z41*$D$2</f>
        <v>23905.66862</v>
      </c>
      <c r="AA42" s="58"/>
      <c r="AB42" s="51" t="n">
        <f aca="false">MAX(AB10:AB39)</f>
        <v>82</v>
      </c>
      <c r="AC42" s="51" t="n">
        <f aca="false">MAX(AC10:AC39)</f>
        <v>54</v>
      </c>
      <c r="AD42" s="48" t="s">
        <v>45</v>
      </c>
      <c r="AE42" s="81"/>
      <c r="AF42" s="82"/>
    </row>
    <row r="43" customFormat="false" ht="3" hidden="false" customHeight="true" outlineLevel="0" collapsed="false">
      <c r="A43" s="84"/>
      <c r="B43" s="84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4"/>
      <c r="X43" s="86"/>
      <c r="Y43" s="86"/>
      <c r="Z43" s="86"/>
      <c r="AA43" s="86"/>
      <c r="AB43" s="86"/>
      <c r="AC43" s="86"/>
      <c r="AD43" s="86"/>
      <c r="AE43" s="81"/>
      <c r="AF43" s="82"/>
    </row>
    <row r="44" customFormat="false" ht="11.1" hidden="false" customHeight="true" outlineLevel="0" collapsed="false">
      <c r="A44" s="55" t="s">
        <v>46</v>
      </c>
      <c r="B44" s="55"/>
      <c r="C44" s="57"/>
      <c r="D44" s="57"/>
      <c r="E44" s="57"/>
      <c r="F44" s="57" t="n">
        <f aca="false">F7+F41</f>
        <v>-6703.30224350895</v>
      </c>
      <c r="G44" s="57" t="n">
        <f aca="false">G7+G41</f>
        <v>213307.9</v>
      </c>
      <c r="H44" s="57" t="n">
        <f aca="false">H7+H41</f>
        <v>17400.23</v>
      </c>
      <c r="I44" s="57" t="n">
        <f aca="false">I7+I41</f>
        <v>230708.13</v>
      </c>
      <c r="J44" s="57" t="n">
        <f aca="false">J7+J41</f>
        <v>45360.8825460045</v>
      </c>
      <c r="K44" s="57" t="n">
        <f aca="false">K7+K41</f>
        <v>276069.012546005</v>
      </c>
      <c r="L44" s="57" t="n">
        <f aca="false">L7+L41</f>
        <v>38462.017756491</v>
      </c>
      <c r="M44" s="57" t="n">
        <f aca="false">M7+M41</f>
        <v>29873.76</v>
      </c>
      <c r="N44" s="57" t="n">
        <f aca="false">N7+N41</f>
        <v>0</v>
      </c>
      <c r="O44" s="57" t="n">
        <f aca="false">O7+O41</f>
        <v>149.7</v>
      </c>
      <c r="P44" s="57" t="n">
        <f aca="false">P7+P41</f>
        <v>29724.06</v>
      </c>
      <c r="Q44" s="57" t="n">
        <f aca="false">Q7+Q41</f>
        <v>19142.5</v>
      </c>
      <c r="R44" s="57" t="n">
        <f aca="false">R7+R41</f>
        <v>10741.09</v>
      </c>
      <c r="S44" s="57" t="n">
        <f aca="false">S7+S41</f>
        <v>59607.65</v>
      </c>
      <c r="T44" s="57" t="n">
        <f aca="false">T39</f>
        <v>3090.63</v>
      </c>
      <c r="U44" s="57" t="n">
        <f aca="false">U7+U41</f>
        <v>15065.1</v>
      </c>
      <c r="V44" s="57" t="n">
        <f aca="false">V7+V41</f>
        <v>201051</v>
      </c>
      <c r="W44" s="57" t="n">
        <f aca="false">W39</f>
        <v>1711.30000000001</v>
      </c>
      <c r="X44" s="57" t="n">
        <f aca="false">X7+X41</f>
        <v>275873.45</v>
      </c>
      <c r="Y44" s="57" t="n">
        <f aca="false">Y7+Y41</f>
        <v>6898.86478951349</v>
      </c>
      <c r="Z44" s="57" t="n">
        <f aca="false">Z7+Z41</f>
        <v>282772.314789513</v>
      </c>
      <c r="AA44" s="58"/>
      <c r="AB44" s="51" t="n">
        <f aca="false">MIN(AB10:AB39)</f>
        <v>59</v>
      </c>
      <c r="AC44" s="51" t="n">
        <f aca="false">MIN(AC10:AC39)</f>
        <v>32</v>
      </c>
      <c r="AD44" s="48" t="s">
        <v>47</v>
      </c>
      <c r="AE44" s="81"/>
      <c r="AF44" s="82"/>
    </row>
    <row r="45" customFormat="false" ht="11.1" hidden="false" customHeight="true" outlineLevel="0" collapsed="false">
      <c r="A45" s="55" t="s">
        <v>48</v>
      </c>
      <c r="B45" s="55"/>
      <c r="C45" s="57"/>
      <c r="D45" s="57"/>
      <c r="E45" s="57"/>
      <c r="F45" s="57" t="n">
        <f aca="false">F44*$D$2</f>
        <v>-13296</v>
      </c>
      <c r="G45" s="57" t="n">
        <f aca="false">G44*$D$2</f>
        <v>423096.21965</v>
      </c>
      <c r="H45" s="57" t="n">
        <f aca="false">H44*$D$2</f>
        <v>34513.356205</v>
      </c>
      <c r="I45" s="57" t="n">
        <f aca="false">I44*$D$2</f>
        <v>457609.575855</v>
      </c>
      <c r="J45" s="57" t="n">
        <f aca="false">J44*$D$2</f>
        <v>89973.31053</v>
      </c>
      <c r="K45" s="57" t="n">
        <f aca="false">K44*$D$2</f>
        <v>547582.886385</v>
      </c>
      <c r="L45" s="57" t="n">
        <f aca="false">L44*$D$2</f>
        <v>76289.41222</v>
      </c>
      <c r="M45" s="57" t="n">
        <f aca="false">M44*$D$2</f>
        <v>59254.60296</v>
      </c>
      <c r="N45" s="57" t="n">
        <f aca="false">N44*$D$2</f>
        <v>0</v>
      </c>
      <c r="O45" s="57" t="n">
        <f aca="false">O44*$D$2</f>
        <v>296.92995</v>
      </c>
      <c r="P45" s="57" t="n">
        <f aca="false">P44*$D$2</f>
        <v>58957.67301</v>
      </c>
      <c r="Q45" s="57" t="n">
        <f aca="false">Q44*$D$2</f>
        <v>37969.14875</v>
      </c>
      <c r="R45" s="57" t="n">
        <f aca="false">R44*$D$2</f>
        <v>21304.952015</v>
      </c>
      <c r="S45" s="57" t="n">
        <f aca="false">S44*$D$2</f>
        <v>118231.773775</v>
      </c>
      <c r="T45" s="57" t="n">
        <f aca="false">T44*$D$2</f>
        <v>6130.264605</v>
      </c>
      <c r="U45" s="57" t="n">
        <f aca="false">U44*$D$2</f>
        <v>29881.62585</v>
      </c>
      <c r="V45" s="57" t="n">
        <f aca="false">V44*$D$2</f>
        <v>398784.6585</v>
      </c>
      <c r="W45" s="57" t="n">
        <f aca="false">W44*$D$2</f>
        <v>3394.36355000001</v>
      </c>
      <c r="X45" s="57" t="n">
        <f aca="false">X44*$D$2</f>
        <v>547194.988075</v>
      </c>
      <c r="Y45" s="57" t="n">
        <f aca="false">Y44*$D$2</f>
        <v>13683.89831</v>
      </c>
      <c r="Z45" s="57" t="n">
        <f aca="false">Z44*$D$2</f>
        <v>560878.886385</v>
      </c>
      <c r="AA45" s="58"/>
      <c r="AB45" s="51"/>
      <c r="AC45" s="51"/>
      <c r="AD45" s="48"/>
      <c r="AE45" s="81"/>
      <c r="AF45" s="82"/>
    </row>
    <row r="46" customFormat="false" ht="3" hidden="false" customHeight="true" outlineLevel="0" collapsed="false">
      <c r="A46" s="84"/>
      <c r="B46" s="84"/>
      <c r="C46" s="86"/>
      <c r="D46" s="86"/>
      <c r="E46" s="86"/>
      <c r="F46" s="86"/>
      <c r="G46" s="86"/>
      <c r="H46" s="52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7"/>
      <c r="AB46" s="87"/>
      <c r="AC46" s="87"/>
      <c r="AD46" s="87"/>
      <c r="AE46" s="81"/>
      <c r="AF46" s="82"/>
    </row>
    <row r="47" customFormat="false" ht="11.1" hidden="false" customHeight="true" outlineLevel="0" collapsed="false">
      <c r="A47" s="55" t="s">
        <v>49</v>
      </c>
      <c r="B47" s="55"/>
      <c r="C47" s="57"/>
      <c r="D47" s="57"/>
      <c r="E47" s="57"/>
      <c r="F47" s="57" t="n">
        <f aca="false">F8+F41</f>
        <v>5479.70758759769</v>
      </c>
      <c r="G47" s="57" t="n">
        <f aca="false">G8+G41</f>
        <v>230914.5</v>
      </c>
      <c r="H47" s="51" t="n">
        <f aca="false">H8+H41</f>
        <v>20579.83</v>
      </c>
      <c r="I47" s="57" t="n">
        <f aca="false">I8+I41</f>
        <v>251494.33</v>
      </c>
      <c r="J47" s="57" t="n">
        <f aca="false">J8+J41</f>
        <v>52901.7213914797</v>
      </c>
      <c r="K47" s="57" t="n">
        <f aca="false">K8+K41</f>
        <v>304396.05139148</v>
      </c>
      <c r="L47" s="57" t="n">
        <f aca="false">L8+L41</f>
        <v>44997.9275875977</v>
      </c>
      <c r="M47" s="57" t="n">
        <f aca="false">M8+M41</f>
        <v>30962.06</v>
      </c>
      <c r="N47" s="57" t="n">
        <f aca="false">N8+N41</f>
        <v>0.08</v>
      </c>
      <c r="O47" s="57" t="n">
        <f aca="false">O8+O41</f>
        <v>149.7</v>
      </c>
      <c r="P47" s="57" t="n">
        <f aca="false">P8+P41</f>
        <v>30140.58</v>
      </c>
      <c r="Q47" s="57" t="n">
        <f aca="false">Q8+Q41</f>
        <v>19142.5</v>
      </c>
      <c r="R47" s="57" t="n">
        <f aca="false">R8+R41</f>
        <v>10919.79</v>
      </c>
      <c r="S47" s="57" t="n">
        <f aca="false">S8+S41</f>
        <v>60874.57</v>
      </c>
      <c r="T47" s="57" t="n">
        <f aca="false">T44</f>
        <v>3090.63</v>
      </c>
      <c r="U47" s="57" t="n">
        <f aca="false">U8+U41</f>
        <v>15065.1</v>
      </c>
      <c r="V47" s="57" t="n">
        <f aca="false">V8+V41</f>
        <v>214923.1</v>
      </c>
      <c r="W47" s="57" t="n">
        <f aca="false">W39</f>
        <v>1711.30000000001</v>
      </c>
      <c r="X47" s="57" t="n">
        <f aca="false">X8+X41</f>
        <v>291012.55</v>
      </c>
      <c r="Y47" s="57" t="n">
        <f aca="false">Y8+Y41</f>
        <v>7903.79380388203</v>
      </c>
      <c r="Z47" s="57" t="n">
        <f aca="false">Z8+Z41</f>
        <v>298916.343803882</v>
      </c>
      <c r="AA47" s="58" t="n">
        <f aca="false">AA8+AA41</f>
        <v>18.01</v>
      </c>
      <c r="AB47" s="51"/>
      <c r="AC47" s="51"/>
      <c r="AD47" s="48"/>
      <c r="AE47" s="81"/>
      <c r="AF47" s="82"/>
    </row>
    <row r="48" customFormat="false" ht="11.1" hidden="false" customHeight="true" outlineLevel="0" collapsed="false">
      <c r="A48" s="55" t="s">
        <v>50</v>
      </c>
      <c r="B48" s="55"/>
      <c r="C48" s="57"/>
      <c r="D48" s="57" t="n">
        <f aca="false">D8+D42</f>
        <v>10869</v>
      </c>
      <c r="E48" s="57" t="n">
        <f aca="false">E39</f>
        <v>162868</v>
      </c>
      <c r="F48" s="57" t="n">
        <f aca="false">F47*$D$2</f>
        <v>10869</v>
      </c>
      <c r="G48" s="57" t="n">
        <f aca="false">G47*$D$2</f>
        <v>458018.91075</v>
      </c>
      <c r="H48" s="51" t="n">
        <f aca="false">H47*$D$2</f>
        <v>40820.092805</v>
      </c>
      <c r="I48" s="57" t="n">
        <f aca="false">I47*$D$2</f>
        <v>498839.003555</v>
      </c>
      <c r="J48" s="57" t="n">
        <f aca="false">J47*$D$2</f>
        <v>104930.56438</v>
      </c>
      <c r="K48" s="57" t="n">
        <f aca="false">K47*$D$2</f>
        <v>603769.567935</v>
      </c>
      <c r="L48" s="57" t="n">
        <f aca="false">L47*$D$2</f>
        <v>89253.38937</v>
      </c>
      <c r="M48" s="57" t="n">
        <f aca="false">M47*$D$2</f>
        <v>61413.24601</v>
      </c>
      <c r="N48" s="57" t="n">
        <f aca="false">N47*$D$2</f>
        <v>0.15868</v>
      </c>
      <c r="O48" s="57" t="n">
        <f aca="false">O47*$D$2</f>
        <v>296.92995</v>
      </c>
      <c r="P48" s="57" t="n">
        <f aca="false">P47*$D$2</f>
        <v>59783.84043</v>
      </c>
      <c r="Q48" s="57" t="n">
        <f aca="false">Q47*$D$2</f>
        <v>37969.14875</v>
      </c>
      <c r="R48" s="57" t="n">
        <f aca="false">R47*$D$2</f>
        <v>21659.403465</v>
      </c>
      <c r="S48" s="57" t="n">
        <f aca="false">S47*$D$2</f>
        <v>120744.709595</v>
      </c>
      <c r="T48" s="57" t="n">
        <f aca="false">T47*$D$2</f>
        <v>6130.264605</v>
      </c>
      <c r="U48" s="57" t="n">
        <f aca="false">U47*$D$2</f>
        <v>29881.62585</v>
      </c>
      <c r="V48" s="57" t="n">
        <f aca="false">V47*$D$2</f>
        <v>426299.96885</v>
      </c>
      <c r="W48" s="57" t="n">
        <f aca="false">W47*$D$2</f>
        <v>3394.36355000001</v>
      </c>
      <c r="X48" s="57" t="n">
        <f aca="false">X47*$D$2</f>
        <v>577223.392925</v>
      </c>
      <c r="Y48" s="57" t="n">
        <f aca="false">Y47*$D$2</f>
        <v>15677.17501</v>
      </c>
      <c r="Z48" s="57" t="n">
        <f aca="false">Z47*$D$2</f>
        <v>592900.567935</v>
      </c>
      <c r="AA48" s="58"/>
      <c r="AB48" s="51"/>
      <c r="AC48" s="51"/>
      <c r="AD48" s="48"/>
      <c r="AE48" s="81"/>
      <c r="AF48" s="82"/>
    </row>
    <row r="49" customFormat="false" ht="3" hidden="false" customHeight="true" outlineLevel="0" collapsed="false">
      <c r="A49" s="84"/>
      <c r="B49" s="84"/>
      <c r="C49" s="86"/>
      <c r="D49" s="84"/>
      <c r="E49" s="86"/>
      <c r="F49" s="84"/>
      <c r="G49" s="84"/>
      <c r="H49" s="139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6"/>
      <c r="U49" s="84"/>
      <c r="V49" s="84"/>
      <c r="W49" s="86"/>
      <c r="X49" s="84"/>
      <c r="Y49" s="84"/>
      <c r="Z49" s="84"/>
      <c r="AA49" s="84"/>
      <c r="AB49" s="84"/>
      <c r="AC49" s="84"/>
      <c r="AD49" s="84"/>
      <c r="AE49" s="81"/>
      <c r="AF49" s="82"/>
    </row>
    <row r="50" customFormat="false" ht="11.1" hidden="false" customHeight="true" outlineLevel="0" collapsed="false">
      <c r="A50" s="54"/>
      <c r="B50" s="54"/>
      <c r="C50" s="57"/>
      <c r="D50" s="54"/>
      <c r="E50" s="57"/>
      <c r="F50" s="54"/>
      <c r="G50" s="60"/>
      <c r="I50" s="39"/>
      <c r="J50" s="54"/>
      <c r="K50" s="54"/>
      <c r="L50" s="54"/>
      <c r="M50" s="61"/>
      <c r="N50" s="6"/>
      <c r="O50" s="61"/>
      <c r="P50" s="54"/>
      <c r="Q50" s="54"/>
      <c r="R50" s="54"/>
      <c r="S50" s="0"/>
      <c r="T50" s="57"/>
      <c r="U50" s="44"/>
      <c r="V50" s="57"/>
      <c r="W50" s="54"/>
      <c r="X50" s="54"/>
      <c r="Y50" s="54"/>
      <c r="Z50" s="62"/>
      <c r="AA50" s="58"/>
      <c r="AB50" s="51"/>
      <c r="AC50" s="48"/>
      <c r="AD50" s="91"/>
    </row>
    <row r="51" customFormat="false" ht="11.1" hidden="false" customHeight="true" outlineLevel="0" collapsed="false">
      <c r="Q51" s="143"/>
      <c r="S51" s="57"/>
      <c r="T51" s="55"/>
      <c r="U51" s="44"/>
    </row>
    <row r="52" customFormat="false" ht="11.1" hidden="false" customHeight="true" outlineLevel="0" collapsed="false">
      <c r="Q52" s="143"/>
      <c r="S52" s="57"/>
      <c r="T52" s="55"/>
      <c r="U52" s="44"/>
    </row>
    <row r="53" customFormat="false" ht="11.1" hidden="false" customHeight="true" outlineLevel="0" collapsed="false">
      <c r="Q53" s="143"/>
    </row>
    <row r="54" customFormat="false" ht="11.1" hidden="false" customHeight="true" outlineLevel="0" collapsed="false">
      <c r="Q54" s="143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I18" activePane="bottomRight" state="frozen"/>
      <selection pane="topLeft" activeCell="A1" activeCellId="0" sqref="A1"/>
      <selection pane="topRight" activeCell="I1" activeCellId="0" sqref="I1"/>
      <selection pane="bottomLeft" activeCell="A18" activeCellId="0" sqref="A18"/>
      <selection pane="bottomRight" activeCell="I51" activeCellId="0" sqref="I51"/>
    </sheetView>
  </sheetViews>
  <sheetFormatPr defaultColWidth="9.328125" defaultRowHeight="11.1" zeroHeight="false" outlineLevelRow="0" outlineLevelCol="0"/>
  <cols>
    <col collapsed="false" customWidth="true" hidden="false" outlineLevel="0" max="1" min="1" style="41" width="5.66"/>
    <col collapsed="false" customWidth="true" hidden="false" outlineLevel="0" max="2" min="2" style="41" width="7.82"/>
    <col collapsed="false" customWidth="true" hidden="false" outlineLevel="0" max="3" min="3" style="42" width="7.66"/>
    <col collapsed="false" customWidth="true" hidden="false" outlineLevel="0" max="4" min="4" style="41" width="6.99"/>
    <col collapsed="false" customWidth="true" hidden="false" outlineLevel="0" max="5" min="5" style="42" width="7.66"/>
    <col collapsed="false" customWidth="true" hidden="false" outlineLevel="0" max="6" min="6" style="41" width="7.66"/>
    <col collapsed="false" customWidth="true" hidden="false" outlineLevel="0" max="7" min="7" style="41" width="7.16"/>
    <col collapsed="false" customWidth="true" hidden="false" outlineLevel="0" max="8" min="8" style="146" width="6.82"/>
    <col collapsed="false" customWidth="true" hidden="false" outlineLevel="0" max="9" min="9" style="41" width="7.99"/>
    <col collapsed="false" customWidth="true" hidden="false" outlineLevel="0" max="10" min="10" style="41" width="6.66"/>
    <col collapsed="false" customWidth="true" hidden="false" outlineLevel="0" max="12" min="11" style="41" width="7.16"/>
    <col collapsed="false" customWidth="true" hidden="false" outlineLevel="0" max="13" min="13" style="44" width="6.32"/>
    <col collapsed="false" customWidth="true" hidden="true" outlineLevel="0" max="14" min="14" style="44" width="7.32"/>
    <col collapsed="false" customWidth="true" hidden="false" outlineLevel="0" max="15" min="15" style="44" width="6.49"/>
    <col collapsed="false" customWidth="true" hidden="false" outlineLevel="0" max="16" min="16" style="41" width="7.99"/>
    <col collapsed="false" customWidth="true" hidden="false" outlineLevel="0" max="17" min="17" style="41" width="6.32"/>
    <col collapsed="false" customWidth="true" hidden="false" outlineLevel="0" max="18" min="18" style="41" width="5.82"/>
    <col collapsed="false" customWidth="true" hidden="false" outlineLevel="0" max="19" min="19" style="42" width="6.82"/>
    <col collapsed="false" customWidth="true" hidden="false" outlineLevel="0" max="20" min="20" style="41" width="7.66"/>
    <col collapsed="false" customWidth="true" hidden="false" outlineLevel="0" max="21" min="21" style="41" width="5.99"/>
    <col collapsed="false" customWidth="true" hidden="false" outlineLevel="0" max="22" min="22" style="42" width="6.66"/>
    <col collapsed="false" customWidth="true" hidden="false" outlineLevel="0" max="23" min="23" style="41" width="6.82"/>
    <col collapsed="false" customWidth="true" hidden="false" outlineLevel="0" max="25" min="24" style="41" width="7.82"/>
    <col collapsed="false" customWidth="true" hidden="false" outlineLevel="0" max="26" min="26" style="45" width="8.16"/>
    <col collapsed="false" customWidth="true" hidden="false" outlineLevel="0" max="27" min="27" style="45" width="5.16"/>
    <col collapsed="false" customWidth="true" hidden="false" outlineLevel="0" max="28" min="28" style="46" width="4.66"/>
    <col collapsed="false" customWidth="true" hidden="false" outlineLevel="0" max="29" min="29" style="47" width="4.66"/>
    <col collapsed="false" customWidth="true" hidden="false" outlineLevel="0" max="30" min="30" style="41" width="5.66"/>
    <col collapsed="false" customWidth="false" hidden="false" outlineLevel="0" max="257" min="31" style="41" width="9.32"/>
  </cols>
  <sheetData>
    <row r="1" customFormat="false" ht="14.1" hidden="false" customHeight="true" outlineLevel="0" collapsed="false">
      <c r="A1" s="55"/>
      <c r="B1" s="55"/>
      <c r="C1" s="57"/>
      <c r="D1" s="55"/>
      <c r="E1" s="57"/>
      <c r="F1" s="55"/>
      <c r="G1" s="55"/>
      <c r="H1" s="147"/>
      <c r="I1" s="55"/>
      <c r="J1" s="55"/>
      <c r="K1" s="65" t="s">
        <v>0</v>
      </c>
      <c r="L1" s="55"/>
      <c r="M1" s="55"/>
      <c r="N1" s="55"/>
      <c r="O1" s="55"/>
      <c r="P1" s="55"/>
      <c r="Q1" s="55"/>
      <c r="R1" s="55"/>
      <c r="S1" s="57"/>
      <c r="T1" s="55"/>
      <c r="U1" s="55"/>
      <c r="V1" s="57"/>
      <c r="W1" s="55"/>
      <c r="X1" s="55"/>
      <c r="Y1" s="55"/>
      <c r="Z1" s="62"/>
      <c r="AA1" s="62"/>
      <c r="AB1" s="51"/>
      <c r="AC1" s="48"/>
      <c r="AD1" s="67"/>
    </row>
    <row r="2" customFormat="false" ht="14.1" hidden="false" customHeight="true" outlineLevel="0" collapsed="false">
      <c r="A2" s="55" t="s">
        <v>1</v>
      </c>
      <c r="B2" s="55"/>
      <c r="C2" s="57"/>
      <c r="D2" s="68" t="n">
        <v>1.9835</v>
      </c>
      <c r="E2" s="57"/>
      <c r="F2" s="55"/>
      <c r="G2" s="55"/>
      <c r="H2" s="147"/>
      <c r="I2" s="55"/>
      <c r="J2" s="55"/>
      <c r="K2" s="69" t="s">
        <v>83</v>
      </c>
      <c r="L2" s="69"/>
      <c r="M2" s="69"/>
      <c r="N2" s="69"/>
      <c r="O2" s="69"/>
      <c r="P2" s="69"/>
      <c r="Q2" s="69"/>
      <c r="R2" s="69"/>
      <c r="S2" s="69"/>
      <c r="T2" s="69"/>
      <c r="U2" s="55"/>
      <c r="V2" s="57"/>
      <c r="W2" s="55"/>
      <c r="X2" s="55"/>
      <c r="Y2" s="55"/>
      <c r="Z2" s="62"/>
      <c r="AA2" s="62"/>
      <c r="AB2" s="51"/>
      <c r="AC2" s="48"/>
      <c r="AD2" s="67"/>
    </row>
    <row r="3" customFormat="false" ht="11.1" hidden="false" customHeight="true" outlineLevel="0" collapsed="false">
      <c r="A3" s="55"/>
      <c r="B3" s="55"/>
      <c r="C3" s="57"/>
      <c r="D3" s="70"/>
      <c r="E3" s="57"/>
      <c r="F3" s="55"/>
      <c r="G3" s="55"/>
      <c r="H3" s="147"/>
      <c r="I3" s="55"/>
      <c r="J3" s="55"/>
      <c r="K3" s="55"/>
      <c r="L3" s="55"/>
      <c r="M3" s="55"/>
      <c r="N3" s="55"/>
      <c r="O3" s="55"/>
      <c r="P3" s="55"/>
      <c r="Q3" s="55"/>
      <c r="R3" s="55"/>
      <c r="S3" s="57"/>
      <c r="T3" s="55"/>
      <c r="U3" s="55"/>
      <c r="V3" s="57"/>
      <c r="W3" s="55"/>
      <c r="X3" s="55"/>
      <c r="Y3" s="55"/>
      <c r="Z3" s="62"/>
      <c r="AA3" s="62"/>
      <c r="AB3" s="51"/>
      <c r="AC3" s="48"/>
      <c r="AD3" s="67"/>
    </row>
    <row r="4" customFormat="false" ht="11.1" hidden="false" customHeight="true" outlineLevel="0" collapsed="false">
      <c r="A4" s="71" t="s">
        <v>3</v>
      </c>
      <c r="B4" s="71" t="s">
        <v>4</v>
      </c>
      <c r="C4" s="72" t="s">
        <v>4</v>
      </c>
      <c r="D4" s="71" t="s">
        <v>5</v>
      </c>
      <c r="E4" s="72" t="s">
        <v>6</v>
      </c>
      <c r="F4" s="71" t="s">
        <v>7</v>
      </c>
      <c r="G4" s="71" t="s">
        <v>8</v>
      </c>
      <c r="H4" s="148" t="s">
        <v>9</v>
      </c>
      <c r="I4" s="71" t="s">
        <v>10</v>
      </c>
      <c r="J4" s="71" t="s">
        <v>11</v>
      </c>
      <c r="K4" s="71" t="s">
        <v>12</v>
      </c>
      <c r="L4" s="71" t="s">
        <v>11</v>
      </c>
      <c r="M4" s="71" t="s">
        <v>54</v>
      </c>
      <c r="N4" s="71"/>
      <c r="O4" s="71"/>
      <c r="P4" s="71"/>
      <c r="Q4" s="71" t="s">
        <v>55</v>
      </c>
      <c r="R4" s="71" t="s">
        <v>14</v>
      </c>
      <c r="S4" s="71" t="s">
        <v>12</v>
      </c>
      <c r="T4" s="72" t="s">
        <v>13</v>
      </c>
      <c r="U4" s="71" t="s">
        <v>15</v>
      </c>
      <c r="V4" s="71" t="s">
        <v>17</v>
      </c>
      <c r="W4" s="72" t="s">
        <v>18</v>
      </c>
      <c r="X4" s="71" t="s">
        <v>10</v>
      </c>
      <c r="Y4" s="71" t="s">
        <v>11</v>
      </c>
      <c r="Z4" s="71" t="s">
        <v>12</v>
      </c>
      <c r="AA4" s="129" t="s">
        <v>19</v>
      </c>
      <c r="AB4" s="49" t="s">
        <v>20</v>
      </c>
      <c r="AC4" s="49" t="s">
        <v>21</v>
      </c>
      <c r="AD4" s="49" t="s">
        <v>3</v>
      </c>
      <c r="AE4" s="67"/>
    </row>
    <row r="5" customFormat="false" ht="11.1" hidden="false" customHeight="true" outlineLevel="0" collapsed="false">
      <c r="A5" s="75" t="s">
        <v>84</v>
      </c>
      <c r="B5" s="71" t="s">
        <v>23</v>
      </c>
      <c r="C5" s="72" t="s">
        <v>5</v>
      </c>
      <c r="D5" s="71" t="s">
        <v>24</v>
      </c>
      <c r="E5" s="72" t="s">
        <v>25</v>
      </c>
      <c r="F5" s="71" t="s">
        <v>26</v>
      </c>
      <c r="G5" s="71" t="s">
        <v>27</v>
      </c>
      <c r="H5" s="148" t="s">
        <v>28</v>
      </c>
      <c r="I5" s="71" t="s">
        <v>29</v>
      </c>
      <c r="J5" s="71" t="s">
        <v>29</v>
      </c>
      <c r="K5" s="71" t="s">
        <v>29</v>
      </c>
      <c r="L5" s="71" t="s">
        <v>30</v>
      </c>
      <c r="M5" s="71" t="s">
        <v>57</v>
      </c>
      <c r="N5" s="71" t="s">
        <v>58</v>
      </c>
      <c r="O5" s="71" t="s">
        <v>59</v>
      </c>
      <c r="P5" s="71" t="s">
        <v>60</v>
      </c>
      <c r="Q5" s="71" t="s">
        <v>61</v>
      </c>
      <c r="R5" s="71" t="s">
        <v>62</v>
      </c>
      <c r="S5" s="71" t="s">
        <v>13</v>
      </c>
      <c r="T5" s="72" t="s">
        <v>34</v>
      </c>
      <c r="U5" s="71" t="s">
        <v>35</v>
      </c>
      <c r="V5" s="71" t="s">
        <v>37</v>
      </c>
      <c r="W5" s="72" t="s">
        <v>38</v>
      </c>
      <c r="X5" s="71" t="s">
        <v>39</v>
      </c>
      <c r="Y5" s="71" t="s">
        <v>39</v>
      </c>
      <c r="Z5" s="71" t="s">
        <v>39</v>
      </c>
      <c r="AA5" s="130"/>
      <c r="AB5" s="49" t="s">
        <v>40</v>
      </c>
      <c r="AC5" s="49" t="s">
        <v>40</v>
      </c>
      <c r="AD5" s="50" t="s">
        <v>84</v>
      </c>
      <c r="AE5" s="67"/>
      <c r="AG5" s="137"/>
      <c r="AH5" s="137"/>
    </row>
    <row r="6" customFormat="false" ht="11.1" hidden="false" customHeight="true" outlineLevel="0" collapsed="false">
      <c r="A6" s="77"/>
      <c r="B6" s="77"/>
      <c r="C6" s="78"/>
      <c r="D6" s="77"/>
      <c r="E6" s="78"/>
      <c r="F6" s="77"/>
      <c r="G6" s="77"/>
      <c r="H6" s="14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8"/>
      <c r="U6" s="77"/>
      <c r="V6" s="77"/>
      <c r="W6" s="78"/>
      <c r="X6" s="77"/>
      <c r="Y6" s="77"/>
      <c r="Z6" s="77"/>
      <c r="AA6" s="62"/>
      <c r="AB6" s="48"/>
      <c r="AC6" s="48"/>
      <c r="AD6" s="48"/>
      <c r="AE6" s="81"/>
      <c r="AF6" s="82"/>
      <c r="AG6" s="137"/>
      <c r="AH6" s="137"/>
    </row>
    <row r="7" customFormat="false" ht="11.1" hidden="false" customHeight="true" outlineLevel="0" collapsed="false">
      <c r="A7" s="55" t="s">
        <v>41</v>
      </c>
      <c r="B7" s="55"/>
      <c r="C7" s="57"/>
      <c r="D7" s="57"/>
      <c r="E7" s="57"/>
      <c r="F7" s="57" t="n">
        <f aca="false">SEP!F44</f>
        <v>-6703.30224350895</v>
      </c>
      <c r="G7" s="57" t="n">
        <f aca="false">SEP!G44</f>
        <v>213307.9</v>
      </c>
      <c r="H7" s="149" t="n">
        <f aca="false">SEP!H44</f>
        <v>17400.23</v>
      </c>
      <c r="I7" s="57" t="n">
        <f aca="false">SEP!I44</f>
        <v>230708.13</v>
      </c>
      <c r="J7" s="57" t="n">
        <f aca="false">SEP!J44</f>
        <v>45360.8825460045</v>
      </c>
      <c r="K7" s="57" t="n">
        <f aca="false">SEP!K44</f>
        <v>276069.012546005</v>
      </c>
      <c r="L7" s="57" t="n">
        <f aca="false">SEP!L44</f>
        <v>38462.017756491</v>
      </c>
      <c r="M7" s="57" t="n">
        <f aca="false">SEP!M44</f>
        <v>29873.76</v>
      </c>
      <c r="N7" s="57" t="n">
        <f aca="false">SEP!N44</f>
        <v>0</v>
      </c>
      <c r="O7" s="57" t="n">
        <f aca="false">SEP!O44</f>
        <v>149.7</v>
      </c>
      <c r="P7" s="57" t="n">
        <f aca="false">SEP!P44</f>
        <v>29724.06</v>
      </c>
      <c r="Q7" s="57" t="n">
        <f aca="false">SEP!Q44</f>
        <v>19142.5</v>
      </c>
      <c r="R7" s="57" t="n">
        <f aca="false">SEP!R44</f>
        <v>10741.09</v>
      </c>
      <c r="S7" s="57" t="n">
        <f aca="false">SEP!S44</f>
        <v>59607.65</v>
      </c>
      <c r="T7" s="57" t="n">
        <f aca="false">SEP!T44</f>
        <v>3090.63</v>
      </c>
      <c r="U7" s="57" t="n">
        <f aca="false">SEP!U44</f>
        <v>15065.1</v>
      </c>
      <c r="V7" s="57" t="n">
        <f aca="false">SEP!V44</f>
        <v>201051</v>
      </c>
      <c r="W7" s="57"/>
      <c r="X7" s="57" t="n">
        <f aca="false">SEP!X44</f>
        <v>275873.45</v>
      </c>
      <c r="Y7" s="57" t="n">
        <f aca="false">SEP!Y44</f>
        <v>6898.86478951349</v>
      </c>
      <c r="Z7" s="57" t="n">
        <f aca="false">SEP!Z44</f>
        <v>282772.314789513</v>
      </c>
      <c r="AA7" s="62"/>
      <c r="AB7" s="51"/>
      <c r="AC7" s="51"/>
      <c r="AD7" s="48"/>
      <c r="AE7" s="82"/>
      <c r="AF7" s="82"/>
    </row>
    <row r="8" s="42" customFormat="true" ht="11.1" hidden="false" customHeight="true" outlineLevel="0" collapsed="false">
      <c r="A8" s="57" t="s">
        <v>42</v>
      </c>
      <c r="B8" s="59" t="n">
        <f aca="false">SEP!B39</f>
        <v>6908.2</v>
      </c>
      <c r="C8" s="57" t="n">
        <f aca="false">SEP!C39</f>
        <v>314846</v>
      </c>
      <c r="D8" s="57" t="n">
        <f aca="false">SEP!D48</f>
        <v>10869</v>
      </c>
      <c r="E8" s="57" t="n">
        <f aca="false">SEP!E48</f>
        <v>162868</v>
      </c>
      <c r="F8" s="57" t="n">
        <f aca="false">SEP!F47</f>
        <v>5479.70758759769</v>
      </c>
      <c r="G8" s="57" t="n">
        <f aca="false">SEP!G47</f>
        <v>230914.5</v>
      </c>
      <c r="H8" s="147" t="n">
        <f aca="false">SEP!H47</f>
        <v>20579.83</v>
      </c>
      <c r="I8" s="57" t="n">
        <f aca="false">SEP!I47</f>
        <v>251494.33</v>
      </c>
      <c r="J8" s="57" t="n">
        <f aca="false">SEP!J47</f>
        <v>52901.7213914797</v>
      </c>
      <c r="K8" s="57" t="n">
        <f aca="false">SEP!K47</f>
        <v>304396.05139148</v>
      </c>
      <c r="L8" s="57" t="n">
        <f aca="false">SEP!L47</f>
        <v>44997.9275875977</v>
      </c>
      <c r="M8" s="57" t="n">
        <f aca="false">SEP!M47</f>
        <v>30962.06</v>
      </c>
      <c r="N8" s="57" t="n">
        <f aca="false">SEP!N47</f>
        <v>0.08</v>
      </c>
      <c r="O8" s="57" t="n">
        <f aca="false">SEP!O47</f>
        <v>149.7</v>
      </c>
      <c r="P8" s="57" t="n">
        <f aca="false">SEP!P47</f>
        <v>30140.58</v>
      </c>
      <c r="Q8" s="57" t="n">
        <f aca="false">SEP!Q47</f>
        <v>19142.5</v>
      </c>
      <c r="R8" s="57" t="n">
        <f aca="false">SEP!R47</f>
        <v>10919.79</v>
      </c>
      <c r="S8" s="57" t="n">
        <f aca="false">SEP!S47</f>
        <v>60874.57</v>
      </c>
      <c r="T8" s="57" t="n">
        <f aca="false">SEP!T47</f>
        <v>3090.63</v>
      </c>
      <c r="U8" s="57" t="n">
        <f aca="false">SEP!U47</f>
        <v>15065.1</v>
      </c>
      <c r="V8" s="57" t="n">
        <f aca="false">SEP!V47</f>
        <v>214923.1</v>
      </c>
      <c r="W8" s="57" t="n">
        <f aca="false">SEP!W47</f>
        <v>1711.30000000001</v>
      </c>
      <c r="X8" s="57" t="n">
        <f aca="false">SEP!X47</f>
        <v>291012.55</v>
      </c>
      <c r="Y8" s="57" t="n">
        <f aca="false">SEP!Y47</f>
        <v>7903.79380388203</v>
      </c>
      <c r="Z8" s="57" t="n">
        <f aca="false">SEP!Z47</f>
        <v>298916.343803882</v>
      </c>
      <c r="AA8" s="62" t="n">
        <f aca="false">SEP!AA47</f>
        <v>18.01</v>
      </c>
      <c r="AB8" s="51"/>
      <c r="AC8" s="51"/>
      <c r="AD8" s="48"/>
      <c r="AE8" s="81"/>
      <c r="AF8" s="82"/>
      <c r="AG8" s="41"/>
      <c r="AH8" s="41"/>
    </row>
    <row r="9" customFormat="false" ht="3" hidden="false" customHeight="true" outlineLevel="0" collapsed="false">
      <c r="A9" s="84"/>
      <c r="B9" s="85"/>
      <c r="C9" s="86"/>
      <c r="D9" s="84"/>
      <c r="E9" s="86"/>
      <c r="F9" s="84"/>
      <c r="G9" s="84"/>
      <c r="H9" s="150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6"/>
      <c r="U9" s="84"/>
      <c r="V9" s="84"/>
      <c r="W9" s="86"/>
      <c r="X9" s="84"/>
      <c r="Y9" s="84"/>
      <c r="Z9" s="84"/>
      <c r="AA9" s="132"/>
      <c r="AB9" s="52"/>
      <c r="AC9" s="52"/>
      <c r="AD9" s="53"/>
      <c r="AE9" s="81"/>
      <c r="AF9" s="82"/>
    </row>
    <row r="10" customFormat="false" ht="11.1" hidden="false" customHeight="true" outlineLevel="0" collapsed="false">
      <c r="A10" s="48" t="n">
        <v>1</v>
      </c>
      <c r="B10" s="59" t="n">
        <v>6908.07</v>
      </c>
      <c r="C10" s="57" t="n">
        <v>314332</v>
      </c>
      <c r="D10" s="51" t="n">
        <f aca="false">C10-C8</f>
        <v>-514</v>
      </c>
      <c r="E10" s="57" t="n">
        <f aca="false">C10-152000</f>
        <v>162332</v>
      </c>
      <c r="F10" s="55" t="n">
        <f aca="false">D10/$D$2</f>
        <v>-259.137887572473</v>
      </c>
      <c r="G10" s="55" t="n">
        <v>58.8</v>
      </c>
      <c r="H10" s="147" t="n">
        <v>0</v>
      </c>
      <c r="I10" s="55" t="n">
        <f aca="false">G10+H10</f>
        <v>58.8</v>
      </c>
      <c r="J10" s="61" t="n">
        <f aca="false">IF(L10&gt;0,L10,0)</f>
        <v>0</v>
      </c>
      <c r="K10" s="55" t="n">
        <f aca="false">I10+J10</f>
        <v>58.8</v>
      </c>
      <c r="L10" s="55" t="n">
        <f aca="false">F10-(I10-X10)</f>
        <v>-21.1378875724729</v>
      </c>
      <c r="M10" s="55" t="n">
        <v>162</v>
      </c>
      <c r="N10" s="55" t="n">
        <v>0</v>
      </c>
      <c r="O10" s="55" t="n">
        <v>0</v>
      </c>
      <c r="P10" s="5" t="n">
        <f aca="false">M10-(N10+O10)</f>
        <v>162</v>
      </c>
      <c r="Q10" s="55" t="n">
        <v>0</v>
      </c>
      <c r="R10" s="55" t="n">
        <v>45.9</v>
      </c>
      <c r="S10" s="55" t="n">
        <f aca="false">SUM(P10:R10)</f>
        <v>207.9</v>
      </c>
      <c r="T10" s="57" t="n">
        <f aca="false">(I10-S10)+T7</f>
        <v>2941.53</v>
      </c>
      <c r="U10" s="55" t="n">
        <v>31.3</v>
      </c>
      <c r="V10" s="55" t="n">
        <v>57.6</v>
      </c>
      <c r="W10" s="57" t="n">
        <f aca="false">W8-V10</f>
        <v>1653.70000000001</v>
      </c>
      <c r="X10" s="5" t="n">
        <f aca="false">N10+O10+S10+U10+V10</f>
        <v>296.8</v>
      </c>
      <c r="Y10" s="55" t="n">
        <f aca="false">IF(L10&lt;0,L10*-1,0)</f>
        <v>21.1378875724729</v>
      </c>
      <c r="Z10" s="55" t="n">
        <f aca="false">X10+Y10</f>
        <v>317.937887572473</v>
      </c>
      <c r="AA10" s="62" t="n">
        <v>0</v>
      </c>
      <c r="AB10" s="51" t="n">
        <v>75</v>
      </c>
      <c r="AC10" s="51" t="n">
        <v>39</v>
      </c>
      <c r="AD10" s="48" t="n">
        <v>1</v>
      </c>
      <c r="AE10" s="83"/>
      <c r="AF10" s="83"/>
    </row>
    <row r="11" customFormat="false" ht="11.1" hidden="false" customHeight="true" outlineLevel="0" collapsed="false">
      <c r="A11" s="48" t="n">
        <f aca="false">A10+1</f>
        <v>2</v>
      </c>
      <c r="B11" s="59" t="n">
        <v>6907.99</v>
      </c>
      <c r="C11" s="57" t="n">
        <v>314017</v>
      </c>
      <c r="D11" s="51" t="n">
        <f aca="false">C11-C10</f>
        <v>-315</v>
      </c>
      <c r="E11" s="57" t="n">
        <f aca="false">C11-152000</f>
        <v>162017</v>
      </c>
      <c r="F11" s="55" t="n">
        <f aca="false">D11/$D$2</f>
        <v>-158.81018401815</v>
      </c>
      <c r="G11" s="55" t="n">
        <v>62.1</v>
      </c>
      <c r="H11" s="147" t="n">
        <v>0</v>
      </c>
      <c r="I11" s="55" t="n">
        <f aca="false">G11+H11</f>
        <v>62.1</v>
      </c>
      <c r="J11" s="61" t="n">
        <f aca="false">IF(L11&gt;0,L11,0)</f>
        <v>48.3898159818503</v>
      </c>
      <c r="K11" s="55" t="n">
        <f aca="false">I11+J11</f>
        <v>110.48981598185</v>
      </c>
      <c r="L11" s="55" t="n">
        <f aca="false">F11-(I11-X11)</f>
        <v>48.3898159818503</v>
      </c>
      <c r="M11" s="55" t="n">
        <v>148.1</v>
      </c>
      <c r="N11" s="55" t="n">
        <v>0</v>
      </c>
      <c r="O11" s="55" t="n">
        <v>0</v>
      </c>
      <c r="P11" s="5" t="n">
        <f aca="false">M11-(N11+O11)</f>
        <v>148.1</v>
      </c>
      <c r="Q11" s="55" t="n">
        <v>0</v>
      </c>
      <c r="R11" s="55" t="n">
        <v>48.9</v>
      </c>
      <c r="S11" s="55" t="n">
        <f aca="false">SUM(P11:R11)</f>
        <v>197</v>
      </c>
      <c r="T11" s="57" t="n">
        <f aca="false">(I11-S11)+T10</f>
        <v>2806.63</v>
      </c>
      <c r="U11" s="55" t="n">
        <v>21.7</v>
      </c>
      <c r="V11" s="55" t="n">
        <v>50.6</v>
      </c>
      <c r="W11" s="57" t="n">
        <f aca="false">W10-V11</f>
        <v>1603.10000000001</v>
      </c>
      <c r="X11" s="5" t="n">
        <f aca="false">N11+O11+S11+U11+V11</f>
        <v>269.3</v>
      </c>
      <c r="Y11" s="55" t="n">
        <f aca="false">IF(L11&lt;0,L11*-1,0)</f>
        <v>0</v>
      </c>
      <c r="Z11" s="55" t="n">
        <f aca="false">X11+Y11</f>
        <v>269.3</v>
      </c>
      <c r="AA11" s="62" t="n">
        <v>0</v>
      </c>
      <c r="AB11" s="51" t="n">
        <v>76</v>
      </c>
      <c r="AC11" s="51" t="n">
        <v>40</v>
      </c>
      <c r="AD11" s="48" t="n">
        <f aca="false">AD10+1</f>
        <v>2</v>
      </c>
      <c r="AE11" s="83"/>
      <c r="AF11" s="83"/>
    </row>
    <row r="12" customFormat="false" ht="11.1" hidden="false" customHeight="true" outlineLevel="0" collapsed="false">
      <c r="A12" s="48" t="n">
        <f aca="false">A11+1</f>
        <v>3</v>
      </c>
      <c r="B12" s="59" t="n">
        <v>6907.87</v>
      </c>
      <c r="C12" s="57" t="n">
        <v>313547</v>
      </c>
      <c r="D12" s="51" t="n">
        <f aca="false">C12-C11</f>
        <v>-470</v>
      </c>
      <c r="E12" s="57" t="n">
        <f aca="false">C12-152000</f>
        <v>161547</v>
      </c>
      <c r="F12" s="55" t="n">
        <f aca="false">D12/$D$2</f>
        <v>-236.954877741366</v>
      </c>
      <c r="G12" s="55" t="n">
        <v>61.9</v>
      </c>
      <c r="H12" s="147" t="n">
        <v>0</v>
      </c>
      <c r="I12" s="55" t="n">
        <f aca="false">G12+H12</f>
        <v>61.9</v>
      </c>
      <c r="J12" s="61" t="n">
        <f aca="false">IF(L12&gt;0,L12,0)</f>
        <v>0</v>
      </c>
      <c r="K12" s="55" t="n">
        <f aca="false">I12+J12</f>
        <v>61.9</v>
      </c>
      <c r="L12" s="55" t="n">
        <f aca="false">F12-(I12-X12)</f>
        <v>-40.9548777413663</v>
      </c>
      <c r="M12" s="55" t="n">
        <v>132.2</v>
      </c>
      <c r="N12" s="55" t="n">
        <v>0</v>
      </c>
      <c r="O12" s="55" t="n">
        <v>5</v>
      </c>
      <c r="P12" s="5" t="n">
        <f aca="false">M12-(N12+O12)</f>
        <v>127.2</v>
      </c>
      <c r="Q12" s="55" t="n">
        <v>0</v>
      </c>
      <c r="R12" s="55" t="n">
        <v>48.4</v>
      </c>
      <c r="S12" s="55" t="n">
        <f aca="false">SUM(P12:R12)</f>
        <v>175.6</v>
      </c>
      <c r="T12" s="57" t="n">
        <f aca="false">(I12-S12)+T11</f>
        <v>2692.93</v>
      </c>
      <c r="U12" s="55" t="n">
        <v>26.7</v>
      </c>
      <c r="V12" s="55" t="n">
        <v>50.6</v>
      </c>
      <c r="W12" s="57" t="n">
        <f aca="false">W11-V12</f>
        <v>1552.50000000001</v>
      </c>
      <c r="X12" s="5" t="n">
        <f aca="false">N12+O12+S12+U12+V12</f>
        <v>257.9</v>
      </c>
      <c r="Y12" s="55" t="n">
        <f aca="false">IF(L12&lt;0,L12*-1,0)</f>
        <v>40.9548777413663</v>
      </c>
      <c r="Z12" s="55" t="n">
        <f aca="false">X12+Y12</f>
        <v>298.854877741366</v>
      </c>
      <c r="AA12" s="62" t="n">
        <v>0</v>
      </c>
      <c r="AB12" s="51" t="n">
        <v>76</v>
      </c>
      <c r="AC12" s="51" t="n">
        <v>40</v>
      </c>
      <c r="AD12" s="48" t="n">
        <f aca="false">AD11+1</f>
        <v>3</v>
      </c>
      <c r="AE12" s="83"/>
      <c r="AF12" s="83"/>
    </row>
    <row r="13" customFormat="false" ht="11.1" hidden="false" customHeight="true" outlineLevel="0" collapsed="false">
      <c r="A13" s="48" t="n">
        <f aca="false">A12+1</f>
        <v>4</v>
      </c>
      <c r="B13" s="59" t="n">
        <v>6907.7</v>
      </c>
      <c r="C13" s="57" t="n">
        <v>312880</v>
      </c>
      <c r="D13" s="51" t="n">
        <f aca="false">C13-C12</f>
        <v>-667</v>
      </c>
      <c r="E13" s="57" t="n">
        <f aca="false">C13-152000</f>
        <v>160880</v>
      </c>
      <c r="F13" s="55" t="n">
        <f aca="false">D13/$D$2</f>
        <v>-336.274262667003</v>
      </c>
      <c r="G13" s="55" t="n">
        <v>59.8</v>
      </c>
      <c r="H13" s="147" t="n">
        <v>0</v>
      </c>
      <c r="I13" s="55" t="n">
        <f aca="false">G13+H13</f>
        <v>59.8</v>
      </c>
      <c r="J13" s="61" t="n">
        <f aca="false">IF(L13&gt;0,L13,0)</f>
        <v>0</v>
      </c>
      <c r="K13" s="55" t="n">
        <f aca="false">I13+J13</f>
        <v>59.8</v>
      </c>
      <c r="L13" s="55" t="n">
        <f aca="false">F13-(I13-X13)</f>
        <v>-59.1742626670028</v>
      </c>
      <c r="M13" s="55" t="n">
        <v>119.2</v>
      </c>
      <c r="N13" s="55" t="n">
        <v>0</v>
      </c>
      <c r="O13" s="55" t="n">
        <v>15</v>
      </c>
      <c r="P13" s="5" t="n">
        <f aca="false">M13-(N13+O13)</f>
        <v>104.2</v>
      </c>
      <c r="Q13" s="55" t="n">
        <v>0</v>
      </c>
      <c r="R13" s="55" t="n">
        <v>49.4</v>
      </c>
      <c r="S13" s="55" t="n">
        <f aca="false">SUM(P13:R13)</f>
        <v>153.6</v>
      </c>
      <c r="T13" s="57" t="n">
        <f aca="false">(I13-S13)+T12</f>
        <v>2599.13</v>
      </c>
      <c r="U13" s="55" t="n">
        <v>18.7</v>
      </c>
      <c r="V13" s="55" t="n">
        <v>149.6</v>
      </c>
      <c r="W13" s="57" t="n">
        <f aca="false">W12-V13</f>
        <v>1402.90000000001</v>
      </c>
      <c r="X13" s="5" t="n">
        <f aca="false">N13+O13+S13+U13+V13</f>
        <v>336.9</v>
      </c>
      <c r="Y13" s="55" t="n">
        <f aca="false">IF(L13&lt;0,L13*-1,0)</f>
        <v>59.1742626670028</v>
      </c>
      <c r="Z13" s="55" t="n">
        <f aca="false">X13+Y13</f>
        <v>396.074262667003</v>
      </c>
      <c r="AA13" s="62" t="n">
        <v>0</v>
      </c>
      <c r="AB13" s="51" t="n">
        <v>78</v>
      </c>
      <c r="AC13" s="51" t="n">
        <v>42</v>
      </c>
      <c r="AD13" s="48" t="n">
        <f aca="false">AD12+1</f>
        <v>4</v>
      </c>
      <c r="AE13" s="83"/>
      <c r="AF13" s="83"/>
    </row>
    <row r="14" customFormat="false" ht="11.1" hidden="false" customHeight="true" outlineLevel="0" collapsed="false">
      <c r="A14" s="48" t="n">
        <f aca="false">A13+1</f>
        <v>5</v>
      </c>
      <c r="B14" s="59" t="n">
        <v>6907.6</v>
      </c>
      <c r="C14" s="57" t="n">
        <v>312489</v>
      </c>
      <c r="D14" s="51" t="n">
        <f aca="false">C14-C13</f>
        <v>-391</v>
      </c>
      <c r="E14" s="57" t="n">
        <f aca="false">C14-152000</f>
        <v>160489</v>
      </c>
      <c r="F14" s="55" t="n">
        <f aca="false">D14/$D$2</f>
        <v>-197.126291908243</v>
      </c>
      <c r="G14" s="55" t="n">
        <v>56.6</v>
      </c>
      <c r="H14" s="147" t="n">
        <v>0</v>
      </c>
      <c r="I14" s="55" t="n">
        <f aca="false">G14+H14</f>
        <v>56.6</v>
      </c>
      <c r="J14" s="61" t="n">
        <f aca="false">IF(L14&gt;0,L14,0)</f>
        <v>0</v>
      </c>
      <c r="K14" s="55" t="n">
        <f aca="false">I14+J14</f>
        <v>56.6</v>
      </c>
      <c r="L14" s="55" t="n">
        <f aca="false">F14-(I14-X14)</f>
        <v>-11.126291908243</v>
      </c>
      <c r="M14" s="55" t="n">
        <v>126.4</v>
      </c>
      <c r="N14" s="55" t="n">
        <v>0</v>
      </c>
      <c r="O14" s="55" t="n">
        <v>15</v>
      </c>
      <c r="P14" s="5" t="n">
        <f aca="false">M14-(N14+O14)</f>
        <v>111.4</v>
      </c>
      <c r="Q14" s="55" t="n">
        <v>0</v>
      </c>
      <c r="R14" s="55" t="n">
        <v>48.9</v>
      </c>
      <c r="S14" s="55" t="n">
        <f aca="false">SUM(P14:R14)</f>
        <v>160.3</v>
      </c>
      <c r="T14" s="57" t="n">
        <f aca="false">(I14-S14)+T13</f>
        <v>2495.43</v>
      </c>
      <c r="U14" s="55" t="n">
        <v>17.7</v>
      </c>
      <c r="V14" s="55" t="n">
        <v>49.6</v>
      </c>
      <c r="W14" s="57" t="n">
        <f aca="false">W13-V14</f>
        <v>1353.30000000001</v>
      </c>
      <c r="X14" s="5" t="n">
        <f aca="false">N14+O14+S14+U14+V14</f>
        <v>242.6</v>
      </c>
      <c r="Y14" s="55" t="n">
        <f aca="false">IF(L14&lt;0,L14*-1,0)</f>
        <v>11.126291908243</v>
      </c>
      <c r="Z14" s="55" t="n">
        <f aca="false">X14+Y14</f>
        <v>253.726291908243</v>
      </c>
      <c r="AA14" s="62" t="n">
        <v>0</v>
      </c>
      <c r="AB14" s="51" t="n">
        <v>78</v>
      </c>
      <c r="AC14" s="51" t="n">
        <v>44</v>
      </c>
      <c r="AD14" s="48" t="n">
        <f aca="false">AD13+1</f>
        <v>5</v>
      </c>
      <c r="AE14" s="83"/>
      <c r="AF14" s="83"/>
    </row>
    <row r="15" customFormat="false" ht="11.1" hidden="false" customHeight="true" outlineLevel="0" collapsed="false">
      <c r="A15" s="48" t="n">
        <f aca="false">A14+1</f>
        <v>6</v>
      </c>
      <c r="B15" s="59" t="n">
        <v>6907.52</v>
      </c>
      <c r="C15" s="57" t="n">
        <v>312175</v>
      </c>
      <c r="D15" s="51" t="n">
        <f aca="false">C15-C14</f>
        <v>-314</v>
      </c>
      <c r="E15" s="57" t="n">
        <f aca="false">C15-152000</f>
        <v>160175</v>
      </c>
      <c r="F15" s="55" t="n">
        <f aca="false">D15/$D$2</f>
        <v>-158.306024703806</v>
      </c>
      <c r="G15" s="55" t="n">
        <v>53.4</v>
      </c>
      <c r="H15" s="147" t="n">
        <v>0</v>
      </c>
      <c r="I15" s="55" t="n">
        <f aca="false">G15+H15</f>
        <v>53.4</v>
      </c>
      <c r="J15" s="61" t="n">
        <f aca="false">IF(L15&gt;0,L15,0)</f>
        <v>13.0939752961936</v>
      </c>
      <c r="K15" s="55" t="n">
        <f aca="false">I15+J15</f>
        <v>66.4939752961936</v>
      </c>
      <c r="L15" s="55" t="n">
        <f aca="false">F15-(I15-X15)</f>
        <v>13.0939752961936</v>
      </c>
      <c r="M15" s="55" t="n">
        <v>118.2</v>
      </c>
      <c r="N15" s="55" t="n">
        <v>0</v>
      </c>
      <c r="O15" s="55" t="n">
        <v>14.8</v>
      </c>
      <c r="P15" s="5" t="n">
        <f aca="false">M15-(N15+O15)</f>
        <v>103.4</v>
      </c>
      <c r="Q15" s="55" t="n">
        <v>0</v>
      </c>
      <c r="R15" s="55" t="n">
        <v>48.9</v>
      </c>
      <c r="S15" s="55" t="n">
        <f aca="false">SUM(P15:R15)</f>
        <v>152.3</v>
      </c>
      <c r="T15" s="57" t="n">
        <f aca="false">(I15-S15)+T14</f>
        <v>2396.53</v>
      </c>
      <c r="U15" s="55" t="n">
        <v>8.1</v>
      </c>
      <c r="V15" s="55" t="n">
        <v>49.6</v>
      </c>
      <c r="W15" s="57" t="n">
        <f aca="false">W14-V15</f>
        <v>1303.70000000001</v>
      </c>
      <c r="X15" s="5" t="n">
        <f aca="false">N15+O15+S15+U15+V15</f>
        <v>224.8</v>
      </c>
      <c r="Y15" s="55" t="n">
        <f aca="false">IF(L15&lt;0,L15*-1,0)</f>
        <v>0</v>
      </c>
      <c r="Z15" s="55" t="n">
        <f aca="false">X15+Y15</f>
        <v>224.8</v>
      </c>
      <c r="AA15" s="62" t="n">
        <v>0.51</v>
      </c>
      <c r="AB15" s="51" t="n">
        <v>70</v>
      </c>
      <c r="AC15" s="51" t="n">
        <v>46</v>
      </c>
      <c r="AD15" s="48" t="n">
        <f aca="false">AD14+1</f>
        <v>6</v>
      </c>
      <c r="AE15" s="83"/>
      <c r="AF15" s="83"/>
    </row>
    <row r="16" customFormat="false" ht="11.1" hidden="false" customHeight="true" outlineLevel="0" collapsed="false">
      <c r="A16" s="48" t="n">
        <f aca="false">A15+1</f>
        <v>7</v>
      </c>
      <c r="B16" s="59" t="n">
        <v>6907.47</v>
      </c>
      <c r="C16" s="57" t="n">
        <v>311979</v>
      </c>
      <c r="D16" s="51" t="n">
        <f aca="false">C16-C15</f>
        <v>-196</v>
      </c>
      <c r="E16" s="57" t="n">
        <f aca="false">C16-152000</f>
        <v>159979</v>
      </c>
      <c r="F16" s="55" t="n">
        <f aca="false">D16/$D$2</f>
        <v>-98.8152256112932</v>
      </c>
      <c r="G16" s="55" t="n">
        <v>75.4</v>
      </c>
      <c r="H16" s="147" t="n">
        <v>0</v>
      </c>
      <c r="I16" s="55" t="n">
        <f aca="false">G16+H16</f>
        <v>75.4</v>
      </c>
      <c r="J16" s="61" t="n">
        <f aca="false">IF(L16&gt;0,L16,0)</f>
        <v>46.6847743887068</v>
      </c>
      <c r="K16" s="55" t="n">
        <f aca="false">I16+J16</f>
        <v>122.084774388707</v>
      </c>
      <c r="L16" s="55" t="n">
        <f aca="false">F16-(I16-X16)</f>
        <v>46.6847743887068</v>
      </c>
      <c r="M16" s="55" t="n">
        <v>127.1</v>
      </c>
      <c r="N16" s="55" t="n">
        <v>0</v>
      </c>
      <c r="O16" s="55" t="n">
        <v>11</v>
      </c>
      <c r="P16" s="5" t="n">
        <f aca="false">M16-(N16+O16)</f>
        <v>116.1</v>
      </c>
      <c r="Q16" s="55" t="n">
        <v>0</v>
      </c>
      <c r="R16" s="55" t="n">
        <v>43.9</v>
      </c>
      <c r="S16" s="55" t="n">
        <f aca="false">SUM(P16:R16)</f>
        <v>160</v>
      </c>
      <c r="T16" s="57" t="n">
        <f aca="false">(I16-S16)+T15</f>
        <v>2311.93</v>
      </c>
      <c r="U16" s="55" t="n">
        <v>0</v>
      </c>
      <c r="V16" s="55" t="n">
        <v>49.9</v>
      </c>
      <c r="W16" s="57" t="n">
        <f aca="false">W15-V16</f>
        <v>1253.80000000001</v>
      </c>
      <c r="X16" s="5" t="n">
        <f aca="false">N16+O16+S16+U16+V16</f>
        <v>220.9</v>
      </c>
      <c r="Y16" s="55" t="n">
        <f aca="false">IF(L16&lt;0,L16*-1,0)</f>
        <v>0</v>
      </c>
      <c r="Z16" s="55" t="n">
        <f aca="false">X16+Y16</f>
        <v>220.9</v>
      </c>
      <c r="AA16" s="62" t="n">
        <v>0.33</v>
      </c>
      <c r="AB16" s="51" t="n">
        <v>63</v>
      </c>
      <c r="AC16" s="51" t="n">
        <v>42</v>
      </c>
      <c r="AD16" s="48" t="n">
        <f aca="false">AD15+1</f>
        <v>7</v>
      </c>
      <c r="AE16" s="83"/>
      <c r="AF16" s="83"/>
    </row>
    <row r="17" customFormat="false" ht="11.1" hidden="false" customHeight="true" outlineLevel="0" collapsed="false">
      <c r="A17" s="48" t="n">
        <f aca="false">A16+1</f>
        <v>8</v>
      </c>
      <c r="B17" s="59" t="n">
        <v>6907.44</v>
      </c>
      <c r="C17" s="57" t="n">
        <v>311862</v>
      </c>
      <c r="D17" s="51" t="n">
        <f aca="false">C17-C16</f>
        <v>-117</v>
      </c>
      <c r="E17" s="57" t="n">
        <f aca="false">C17-152000</f>
        <v>159862</v>
      </c>
      <c r="F17" s="55" t="n">
        <f aca="false">D17/$D$2</f>
        <v>-58.9866397781699</v>
      </c>
      <c r="G17" s="55" t="n">
        <v>103.9</v>
      </c>
      <c r="H17" s="147" t="n">
        <v>0</v>
      </c>
      <c r="I17" s="55" t="n">
        <f aca="false">G17+H17</f>
        <v>103.9</v>
      </c>
      <c r="J17" s="61" t="n">
        <f aca="false">IF(L17&gt;0,L17,0)</f>
        <v>52.3133602218301</v>
      </c>
      <c r="K17" s="55" t="n">
        <f aca="false">I17+J17</f>
        <v>156.21336022183</v>
      </c>
      <c r="L17" s="55" t="n">
        <f aca="false">F17-(I17-X17)</f>
        <v>52.3133602218301</v>
      </c>
      <c r="M17" s="55" t="n">
        <v>116.3</v>
      </c>
      <c r="N17" s="55" t="n">
        <v>0</v>
      </c>
      <c r="O17" s="55" t="n">
        <v>7.9</v>
      </c>
      <c r="P17" s="5" t="n">
        <f aca="false">M17-(N17+O17)</f>
        <v>108.4</v>
      </c>
      <c r="Q17" s="55" t="n">
        <v>0</v>
      </c>
      <c r="R17" s="55" t="n">
        <v>43.7</v>
      </c>
      <c r="S17" s="55" t="n">
        <f aca="false">SUM(P17:R17)</f>
        <v>152.1</v>
      </c>
      <c r="T17" s="57" t="n">
        <f aca="false">(I17-S17)+T16</f>
        <v>2263.73</v>
      </c>
      <c r="U17" s="55" t="n">
        <v>5.5</v>
      </c>
      <c r="V17" s="55" t="n">
        <v>49.7</v>
      </c>
      <c r="W17" s="57" t="n">
        <f aca="false">W16-V17</f>
        <v>1204.10000000001</v>
      </c>
      <c r="X17" s="5" t="n">
        <f aca="false">N17+O17+S17+U17+V17</f>
        <v>215.2</v>
      </c>
      <c r="Y17" s="55" t="n">
        <f aca="false">IF(L17&lt;0,L17*-1,0)</f>
        <v>0</v>
      </c>
      <c r="Z17" s="55" t="n">
        <f aca="false">X17+Y17</f>
        <v>215.2</v>
      </c>
      <c r="AA17" s="62" t="n">
        <v>0.18</v>
      </c>
      <c r="AB17" s="51" t="n">
        <v>60</v>
      </c>
      <c r="AC17" s="51" t="n">
        <v>38</v>
      </c>
      <c r="AD17" s="48" t="n">
        <f aca="false">AD16+1</f>
        <v>8</v>
      </c>
      <c r="AE17" s="83"/>
      <c r="AF17" s="83"/>
    </row>
    <row r="18" customFormat="false" ht="11.1" hidden="false" customHeight="true" outlineLevel="0" collapsed="false">
      <c r="A18" s="48" t="n">
        <f aca="false">A17+1</f>
        <v>9</v>
      </c>
      <c r="B18" s="59" t="n">
        <v>6907.4</v>
      </c>
      <c r="C18" s="57" t="n">
        <v>311705</v>
      </c>
      <c r="D18" s="51" t="n">
        <f aca="false">C18-C17</f>
        <v>-157</v>
      </c>
      <c r="E18" s="57" t="n">
        <f aca="false">C18-152000</f>
        <v>159705</v>
      </c>
      <c r="F18" s="55" t="n">
        <f aca="false">D18/$D$2</f>
        <v>-79.1530123519032</v>
      </c>
      <c r="G18" s="55" t="n">
        <v>104</v>
      </c>
      <c r="H18" s="147" t="n">
        <v>0</v>
      </c>
      <c r="I18" s="55" t="n">
        <f aca="false">G18+H18</f>
        <v>104</v>
      </c>
      <c r="J18" s="61" t="n">
        <f aca="false">IF(L18&gt;0,L18,0)</f>
        <v>0</v>
      </c>
      <c r="K18" s="55" t="n">
        <f aca="false">I18+J18</f>
        <v>104</v>
      </c>
      <c r="L18" s="55" t="n">
        <f aca="false">F18-(I18-X18)</f>
        <v>-8.45301235190321</v>
      </c>
      <c r="M18" s="55" t="n">
        <v>84.3</v>
      </c>
      <c r="N18" s="55" t="n">
        <v>0</v>
      </c>
      <c r="O18" s="55" t="n">
        <v>6.8</v>
      </c>
      <c r="P18" s="5" t="n">
        <f aca="false">M18-(N18+O18)</f>
        <v>77.5</v>
      </c>
      <c r="Q18" s="55" t="n">
        <v>0</v>
      </c>
      <c r="R18" s="55" t="n">
        <v>35.7</v>
      </c>
      <c r="S18" s="55" t="n">
        <f aca="false">SUM(P18:R18)</f>
        <v>113.2</v>
      </c>
      <c r="T18" s="57" t="n">
        <f aca="false">(I18-S18)+T17</f>
        <v>2254.53</v>
      </c>
      <c r="U18" s="55" t="n">
        <v>5</v>
      </c>
      <c r="V18" s="55" t="n">
        <v>49.7</v>
      </c>
      <c r="W18" s="57" t="n">
        <f aca="false">W17-V18</f>
        <v>1154.40000000001</v>
      </c>
      <c r="X18" s="5" t="n">
        <f aca="false">N18+O18+S18+U18+V18</f>
        <v>174.7</v>
      </c>
      <c r="Y18" s="55" t="n">
        <f aca="false">IF(L18&lt;0,L18*-1,0)</f>
        <v>8.45301235190321</v>
      </c>
      <c r="Z18" s="55" t="n">
        <f aca="false">X18+Y18</f>
        <v>183.153012351903</v>
      </c>
      <c r="AA18" s="62" t="n">
        <v>0.22</v>
      </c>
      <c r="AB18" s="54" t="n">
        <v>58</v>
      </c>
      <c r="AC18" s="51" t="n">
        <v>38</v>
      </c>
      <c r="AD18" s="48" t="n">
        <f aca="false">AD17+1</f>
        <v>9</v>
      </c>
      <c r="AE18" s="83"/>
      <c r="AF18" s="83"/>
    </row>
    <row r="19" customFormat="false" ht="11.1" hidden="false" customHeight="true" outlineLevel="0" collapsed="false">
      <c r="A19" s="48" t="n">
        <f aca="false">A18+1</f>
        <v>10</v>
      </c>
      <c r="B19" s="59" t="n">
        <v>6907.36</v>
      </c>
      <c r="C19" s="57" t="n">
        <v>311548</v>
      </c>
      <c r="D19" s="51" t="n">
        <f aca="false">C19-C18</f>
        <v>-157</v>
      </c>
      <c r="E19" s="57" t="n">
        <f aca="false">C19-152000</f>
        <v>159548</v>
      </c>
      <c r="F19" s="55" t="n">
        <f aca="false">D19/$D$2</f>
        <v>-79.1530123519032</v>
      </c>
      <c r="G19" s="55" t="n">
        <v>107.3</v>
      </c>
      <c r="H19" s="147" t="n">
        <v>0</v>
      </c>
      <c r="I19" s="55" t="n">
        <f aca="false">G19+H19</f>
        <v>107.3</v>
      </c>
      <c r="J19" s="61" t="n">
        <f aca="false">IF(L19&gt;0,L19,0)</f>
        <v>0</v>
      </c>
      <c r="K19" s="55" t="n">
        <f aca="false">I19+J19</f>
        <v>107.3</v>
      </c>
      <c r="L19" s="55" t="n">
        <f aca="false">F19-(I19-X19)</f>
        <v>-7.15301235190319</v>
      </c>
      <c r="M19" s="55" t="n">
        <v>84.2</v>
      </c>
      <c r="N19" s="55" t="n">
        <v>0</v>
      </c>
      <c r="O19" s="55" t="n">
        <v>4.6</v>
      </c>
      <c r="P19" s="5" t="n">
        <f aca="false">M19-(N19+O19)</f>
        <v>79.6</v>
      </c>
      <c r="Q19" s="55" t="n">
        <v>0</v>
      </c>
      <c r="R19" s="55" t="n">
        <v>40.3</v>
      </c>
      <c r="S19" s="55" t="n">
        <f aca="false">SUM(P19:R19)</f>
        <v>119.9</v>
      </c>
      <c r="T19" s="57" t="n">
        <f aca="false">(I19-S19)+T18</f>
        <v>2241.93</v>
      </c>
      <c r="U19" s="55" t="n">
        <v>5</v>
      </c>
      <c r="V19" s="55" t="n">
        <v>49.8</v>
      </c>
      <c r="W19" s="57" t="n">
        <f aca="false">W18-V19</f>
        <v>1104.60000000001</v>
      </c>
      <c r="X19" s="5" t="n">
        <f aca="false">N19+O19+S19+U19+V19</f>
        <v>179.3</v>
      </c>
      <c r="Y19" s="55" t="n">
        <f aca="false">IF(L19&lt;0,L19*-1,0)</f>
        <v>7.15301235190319</v>
      </c>
      <c r="Z19" s="55" t="n">
        <f aca="false">X19+Y19</f>
        <v>186.453012351903</v>
      </c>
      <c r="AA19" s="62" t="n">
        <v>0</v>
      </c>
      <c r="AB19" s="51" t="n">
        <v>62</v>
      </c>
      <c r="AC19" s="51" t="n">
        <v>36</v>
      </c>
      <c r="AD19" s="48" t="n">
        <f aca="false">AD18+1</f>
        <v>10</v>
      </c>
      <c r="AE19" s="83"/>
      <c r="AF19" s="83"/>
    </row>
    <row r="20" customFormat="false" ht="11.1" hidden="false" customHeight="true" outlineLevel="0" collapsed="false">
      <c r="A20" s="48" t="n">
        <f aca="false">A19+1</f>
        <v>11</v>
      </c>
      <c r="B20" s="59" t="n">
        <v>6907.32</v>
      </c>
      <c r="C20" s="57" t="n">
        <v>311392</v>
      </c>
      <c r="D20" s="51" t="n">
        <f aca="false">C20-C19</f>
        <v>-156</v>
      </c>
      <c r="E20" s="57" t="n">
        <f aca="false">C20-152000</f>
        <v>159392</v>
      </c>
      <c r="F20" s="55" t="n">
        <f aca="false">D20/$D$2</f>
        <v>-78.6488530375599</v>
      </c>
      <c r="G20" s="55" t="n">
        <v>100.9</v>
      </c>
      <c r="H20" s="147" t="n">
        <v>0</v>
      </c>
      <c r="I20" s="55" t="n">
        <f aca="false">G20+H20</f>
        <v>100.9</v>
      </c>
      <c r="J20" s="61" t="n">
        <f aca="false">IF(L20&gt;0,L20,0)</f>
        <v>0</v>
      </c>
      <c r="K20" s="55" t="n">
        <f aca="false">I20+J20</f>
        <v>100.9</v>
      </c>
      <c r="L20" s="55" t="n">
        <f aca="false">F20-(I20-X20)</f>
        <v>-13.8488530375599</v>
      </c>
      <c r="M20" s="55" t="n">
        <v>86</v>
      </c>
      <c r="N20" s="55" t="n">
        <v>0</v>
      </c>
      <c r="O20" s="55" t="n">
        <v>0</v>
      </c>
      <c r="P20" s="5" t="n">
        <f aca="false">M20-(N20+O20)</f>
        <v>86</v>
      </c>
      <c r="Q20" s="55" t="n">
        <v>0</v>
      </c>
      <c r="R20" s="55" t="n">
        <v>29.3</v>
      </c>
      <c r="S20" s="55" t="n">
        <f aca="false">SUM(P20:R20)</f>
        <v>115.3</v>
      </c>
      <c r="T20" s="57" t="n">
        <f aca="false">(I20-S20)+T19</f>
        <v>2227.53</v>
      </c>
      <c r="U20" s="55" t="n">
        <v>0</v>
      </c>
      <c r="V20" s="55" t="n">
        <v>50.4</v>
      </c>
      <c r="W20" s="57" t="n">
        <f aca="false">W19-V20</f>
        <v>1054.20000000001</v>
      </c>
      <c r="X20" s="5" t="n">
        <f aca="false">N20+O20+S20+U20+V20</f>
        <v>165.7</v>
      </c>
      <c r="Y20" s="55" t="n">
        <f aca="false">IF(L20&lt;0,L20*-1,0)</f>
        <v>13.8488530375599</v>
      </c>
      <c r="Z20" s="55" t="n">
        <f aca="false">X20+Y20</f>
        <v>179.54885303756</v>
      </c>
      <c r="AA20" s="62" t="n">
        <v>0.12</v>
      </c>
      <c r="AB20" s="51" t="n">
        <v>64</v>
      </c>
      <c r="AC20" s="51" t="n">
        <v>36</v>
      </c>
      <c r="AD20" s="48" t="n">
        <f aca="false">AD19+1</f>
        <v>11</v>
      </c>
      <c r="AE20" s="83"/>
      <c r="AF20" s="83"/>
      <c r="AG20" s="151"/>
      <c r="AH20" s="151"/>
      <c r="AI20" s="151"/>
    </row>
    <row r="21" customFormat="false" ht="11.1" hidden="false" customHeight="true" outlineLevel="0" collapsed="false">
      <c r="A21" s="48" t="n">
        <f aca="false">A20+1</f>
        <v>12</v>
      </c>
      <c r="B21" s="59" t="n">
        <v>6907.3</v>
      </c>
      <c r="C21" s="57" t="n">
        <v>311313</v>
      </c>
      <c r="D21" s="51" t="n">
        <f aca="false">C21-C20</f>
        <v>-79</v>
      </c>
      <c r="E21" s="57" t="n">
        <f aca="false">C21-152000</f>
        <v>159313</v>
      </c>
      <c r="F21" s="55" t="n">
        <f aca="false">D21/$D$2</f>
        <v>-39.8285858331233</v>
      </c>
      <c r="G21" s="55" t="n">
        <v>101</v>
      </c>
      <c r="H21" s="147" t="n">
        <v>0</v>
      </c>
      <c r="I21" s="55" t="n">
        <f aca="false">G21+H21</f>
        <v>101</v>
      </c>
      <c r="J21" s="61" t="n">
        <f aca="false">IF(L21&gt;0,L21,0)</f>
        <v>0</v>
      </c>
      <c r="K21" s="55" t="n">
        <f aca="false">I21+J21</f>
        <v>101</v>
      </c>
      <c r="L21" s="55" t="n">
        <f aca="false">F21-(I21-X21)</f>
        <v>-7.22858583312327</v>
      </c>
      <c r="M21" s="55" t="n">
        <v>59.6</v>
      </c>
      <c r="N21" s="55" t="n">
        <v>0</v>
      </c>
      <c r="O21" s="55" t="n">
        <v>2.7</v>
      </c>
      <c r="P21" s="5" t="n">
        <f aca="false">M21-(N21+O21)</f>
        <v>56.9</v>
      </c>
      <c r="Q21" s="55" t="n">
        <v>0</v>
      </c>
      <c r="R21" s="55" t="n">
        <v>24.4</v>
      </c>
      <c r="S21" s="55" t="n">
        <f aca="false">SUM(P21:R21)</f>
        <v>81.3</v>
      </c>
      <c r="T21" s="57" t="n">
        <f aca="false">(I21-S21)+T20</f>
        <v>2247.23</v>
      </c>
      <c r="U21" s="55" t="n">
        <v>0</v>
      </c>
      <c r="V21" s="55" t="n">
        <v>49.6</v>
      </c>
      <c r="W21" s="57" t="n">
        <f aca="false">W20-V21</f>
        <v>1004.60000000001</v>
      </c>
      <c r="X21" s="5" t="n">
        <f aca="false">N21+O21+S21+U21+V21</f>
        <v>133.6</v>
      </c>
      <c r="Y21" s="55" t="n">
        <f aca="false">IF(L21&lt;0,L21*-1,0)</f>
        <v>7.22858583312327</v>
      </c>
      <c r="Z21" s="55" t="n">
        <f aca="false">X21+Y21</f>
        <v>140.828585833123</v>
      </c>
      <c r="AA21" s="62" t="n">
        <v>0.28</v>
      </c>
      <c r="AB21" s="51" t="n">
        <v>66</v>
      </c>
      <c r="AC21" s="51" t="n">
        <v>38</v>
      </c>
      <c r="AD21" s="48" t="n">
        <f aca="false">AD20+1</f>
        <v>12</v>
      </c>
      <c r="AE21" s="81"/>
      <c r="AF21" s="83"/>
    </row>
    <row r="22" customFormat="false" ht="11.1" hidden="false" customHeight="true" outlineLevel="0" collapsed="false">
      <c r="A22" s="48" t="n">
        <f aca="false">A21+1</f>
        <v>13</v>
      </c>
      <c r="B22" s="59" t="n">
        <v>6907.27</v>
      </c>
      <c r="C22" s="57" t="n">
        <v>311196</v>
      </c>
      <c r="D22" s="51" t="n">
        <f aca="false">C22-C21</f>
        <v>-117</v>
      </c>
      <c r="E22" s="57" t="n">
        <f aca="false">C22-152000</f>
        <v>159196</v>
      </c>
      <c r="F22" s="55" t="n">
        <f aca="false">D22/$D$2</f>
        <v>-58.9866397781699</v>
      </c>
      <c r="G22" s="55" t="n">
        <v>105.2</v>
      </c>
      <c r="H22" s="147" t="n">
        <v>0</v>
      </c>
      <c r="I22" s="55" t="n">
        <f aca="false">G22+H22</f>
        <v>105.2</v>
      </c>
      <c r="J22" s="61" t="n">
        <f aca="false">IF(L22&gt;0,L22,0)</f>
        <v>0</v>
      </c>
      <c r="K22" s="55" t="n">
        <f aca="false">I22+J22</f>
        <v>105.2</v>
      </c>
      <c r="L22" s="55" t="n">
        <f aca="false">F22-(I22-X22)</f>
        <v>-27.3866397781699</v>
      </c>
      <c r="M22" s="55" t="n">
        <v>58.2</v>
      </c>
      <c r="N22" s="55" t="n">
        <v>0</v>
      </c>
      <c r="O22" s="55" t="n">
        <v>6.7</v>
      </c>
      <c r="P22" s="5" t="n">
        <f aca="false">M22-(N22+O22)</f>
        <v>51.5</v>
      </c>
      <c r="Q22" s="55" t="n">
        <v>0</v>
      </c>
      <c r="R22" s="55" t="n">
        <v>25.2</v>
      </c>
      <c r="S22" s="55" t="n">
        <f aca="false">SUM(P22:R22)</f>
        <v>76.7</v>
      </c>
      <c r="T22" s="57" t="n">
        <f aca="false">(I22-S22)+T21</f>
        <v>2275.73</v>
      </c>
      <c r="U22" s="55" t="n">
        <v>0</v>
      </c>
      <c r="V22" s="55" t="n">
        <v>53.4</v>
      </c>
      <c r="W22" s="57" t="n">
        <f aca="false">W21-V22</f>
        <v>951.200000000006</v>
      </c>
      <c r="X22" s="5" t="n">
        <f aca="false">N22+O22+S22+U22+V22</f>
        <v>136.8</v>
      </c>
      <c r="Y22" s="55" t="n">
        <f aca="false">IF(L22&lt;0,L22*-1,0)</f>
        <v>27.3866397781699</v>
      </c>
      <c r="Z22" s="55" t="n">
        <f aca="false">X22+Y22</f>
        <v>164.18663977817</v>
      </c>
      <c r="AA22" s="62" t="n">
        <v>0</v>
      </c>
      <c r="AB22" s="51" t="n">
        <v>66</v>
      </c>
      <c r="AC22" s="51" t="n">
        <v>35</v>
      </c>
      <c r="AD22" s="48" t="n">
        <f aca="false">AD21+1</f>
        <v>13</v>
      </c>
      <c r="AE22" s="81"/>
      <c r="AF22" s="83"/>
    </row>
    <row r="23" customFormat="false" ht="11.1" hidden="false" customHeight="true" outlineLevel="0" collapsed="false">
      <c r="A23" s="48" t="n">
        <f aca="false">A22+1</f>
        <v>14</v>
      </c>
      <c r="B23" s="59" t="n">
        <v>6907.25</v>
      </c>
      <c r="C23" s="57" t="n">
        <v>311118</v>
      </c>
      <c r="D23" s="51" t="n">
        <f aca="false">C23-C22</f>
        <v>-78</v>
      </c>
      <c r="E23" s="57" t="n">
        <f aca="false">C23-152000</f>
        <v>159118</v>
      </c>
      <c r="F23" s="55" t="n">
        <f aca="false">D23/$D$2</f>
        <v>-39.3244265187799</v>
      </c>
      <c r="G23" s="55" t="n">
        <v>94</v>
      </c>
      <c r="H23" s="147" t="n">
        <v>0</v>
      </c>
      <c r="I23" s="55" t="n">
        <f aca="false">G23+H23</f>
        <v>94</v>
      </c>
      <c r="J23" s="61" t="n">
        <f aca="false">IF(L23&gt;0,L23,0)</f>
        <v>0</v>
      </c>
      <c r="K23" s="55" t="n">
        <f aca="false">I23+J23</f>
        <v>94</v>
      </c>
      <c r="L23" s="55" t="n">
        <f aca="false">F23-(I23-X23)</f>
        <v>-6.62442651877993</v>
      </c>
      <c r="M23" s="55" t="n">
        <v>48.8</v>
      </c>
      <c r="N23" s="55" t="n">
        <v>0</v>
      </c>
      <c r="O23" s="55" t="n">
        <v>11</v>
      </c>
      <c r="P23" s="5" t="n">
        <f aca="false">M23-(N23+O23)</f>
        <v>37.8</v>
      </c>
      <c r="Q23" s="55" t="n">
        <v>0</v>
      </c>
      <c r="R23" s="95" t="n">
        <v>23.7</v>
      </c>
      <c r="S23" s="55" t="n">
        <f aca="false">SUM(P23:R23)</f>
        <v>61.5</v>
      </c>
      <c r="T23" s="57" t="n">
        <f aca="false">(I23-S23)+T22</f>
        <v>2308.23</v>
      </c>
      <c r="U23" s="55" t="n">
        <v>0</v>
      </c>
      <c r="V23" s="55" t="n">
        <v>54.2</v>
      </c>
      <c r="W23" s="57" t="n">
        <f aca="false">W22-V23</f>
        <v>897.000000000006</v>
      </c>
      <c r="X23" s="5" t="n">
        <f aca="false">N23+O23+S23+U23+V23</f>
        <v>126.7</v>
      </c>
      <c r="Y23" s="55" t="n">
        <f aca="false">IF(L23&lt;0,L23*-1,0)</f>
        <v>6.62442651877993</v>
      </c>
      <c r="Z23" s="55" t="n">
        <f aca="false">X23+Y23</f>
        <v>133.32442651878</v>
      </c>
      <c r="AA23" s="62" t="n">
        <v>0</v>
      </c>
      <c r="AB23" s="54" t="n">
        <v>62</v>
      </c>
      <c r="AC23" s="51" t="n">
        <v>35</v>
      </c>
      <c r="AD23" s="48" t="n">
        <f aca="false">AD22+1</f>
        <v>14</v>
      </c>
      <c r="AE23" s="81"/>
      <c r="AF23" s="83"/>
    </row>
    <row r="24" customFormat="false" ht="11.1" hidden="false" customHeight="true" outlineLevel="0" collapsed="false">
      <c r="A24" s="48" t="n">
        <f aca="false">A23+1</f>
        <v>15</v>
      </c>
      <c r="B24" s="59" t="n">
        <v>6907.24</v>
      </c>
      <c r="C24" s="57" t="n">
        <v>311079</v>
      </c>
      <c r="D24" s="51" t="n">
        <f aca="false">C24-C23</f>
        <v>-39</v>
      </c>
      <c r="E24" s="57" t="n">
        <f aca="false">C24-152000</f>
        <v>159079</v>
      </c>
      <c r="F24" s="55" t="n">
        <f aca="false">D24/$D$2</f>
        <v>-19.66221325939</v>
      </c>
      <c r="G24" s="55" t="n">
        <v>86.8</v>
      </c>
      <c r="H24" s="147" t="n">
        <v>0</v>
      </c>
      <c r="I24" s="55" t="n">
        <f aca="false">G24+H24</f>
        <v>86.8</v>
      </c>
      <c r="J24" s="61" t="n">
        <f aca="false">IF(L24&gt;0,L24,0)</f>
        <v>0</v>
      </c>
      <c r="K24" s="55" t="n">
        <f aca="false">I24+J24</f>
        <v>86.8</v>
      </c>
      <c r="L24" s="55" t="n">
        <f aca="false">F24-(I24-X24)</f>
        <v>-19.26221325939</v>
      </c>
      <c r="M24" s="55" t="n">
        <v>17.9</v>
      </c>
      <c r="N24" s="55" t="n">
        <v>0</v>
      </c>
      <c r="O24" s="55" t="n">
        <v>11.2</v>
      </c>
      <c r="P24" s="5" t="n">
        <f aca="false">M24-(N24+O24)</f>
        <v>6.7</v>
      </c>
      <c r="Q24" s="55" t="n">
        <v>0</v>
      </c>
      <c r="R24" s="95" t="n">
        <v>15.1</v>
      </c>
      <c r="S24" s="55" t="n">
        <f aca="false">SUM(P24:R24)</f>
        <v>21.8</v>
      </c>
      <c r="T24" s="57" t="n">
        <f aca="false">(I24-S24)+T23</f>
        <v>2373.23</v>
      </c>
      <c r="U24" s="55" t="n">
        <v>0</v>
      </c>
      <c r="V24" s="55" t="n">
        <v>54.2</v>
      </c>
      <c r="W24" s="57" t="n">
        <f aca="false">W23-V24</f>
        <v>842.800000000006</v>
      </c>
      <c r="X24" s="5" t="n">
        <f aca="false">N24+O24+S24+U24+V24</f>
        <v>87.2</v>
      </c>
      <c r="Y24" s="55" t="n">
        <f aca="false">IF(L24&lt;0,L24*-1,0)</f>
        <v>19.26221325939</v>
      </c>
      <c r="Z24" s="55" t="n">
        <f aca="false">X24+Y24</f>
        <v>106.46221325939</v>
      </c>
      <c r="AA24" s="62" t="n">
        <v>0.02</v>
      </c>
      <c r="AB24" s="54" t="n">
        <v>59</v>
      </c>
      <c r="AC24" s="51" t="n">
        <v>36</v>
      </c>
      <c r="AD24" s="48" t="n">
        <f aca="false">AD23+1</f>
        <v>15</v>
      </c>
      <c r="AE24" s="81"/>
      <c r="AF24" s="83"/>
    </row>
    <row r="25" customFormat="false" ht="11.1" hidden="false" customHeight="true" outlineLevel="0" collapsed="false">
      <c r="A25" s="48" t="n">
        <f aca="false">A24+1</f>
        <v>16</v>
      </c>
      <c r="B25" s="59" t="n">
        <v>6907.27</v>
      </c>
      <c r="C25" s="57" t="n">
        <v>311196</v>
      </c>
      <c r="D25" s="51" t="n">
        <f aca="false">C25-C24</f>
        <v>117</v>
      </c>
      <c r="E25" s="57" t="n">
        <f aca="false">C25-152000</f>
        <v>159196</v>
      </c>
      <c r="F25" s="55" t="n">
        <f aca="false">D25/$D$2</f>
        <v>58.9866397781699</v>
      </c>
      <c r="G25" s="55" t="n">
        <v>83.7</v>
      </c>
      <c r="H25" s="147" t="n">
        <v>0</v>
      </c>
      <c r="I25" s="55" t="n">
        <f aca="false">G25+H25</f>
        <v>83.7</v>
      </c>
      <c r="J25" s="61" t="n">
        <f aca="false">IF(L25&gt;0,L25,0)</f>
        <v>61.9866397781699</v>
      </c>
      <c r="K25" s="55" t="n">
        <f aca="false">I25+J25</f>
        <v>145.68663977817</v>
      </c>
      <c r="L25" s="55" t="n">
        <f aca="false">F25-(I25-X25)</f>
        <v>61.9866397781699</v>
      </c>
      <c r="M25" s="55" t="n">
        <v>17.4</v>
      </c>
      <c r="N25" s="55" t="n">
        <v>0</v>
      </c>
      <c r="O25" s="55" t="n">
        <v>8.8</v>
      </c>
      <c r="P25" s="5" t="n">
        <f aca="false">M25-(N25+O25)</f>
        <v>8.6</v>
      </c>
      <c r="Q25" s="55" t="n">
        <v>0</v>
      </c>
      <c r="R25" s="55" t="n">
        <v>15.1</v>
      </c>
      <c r="S25" s="55" t="n">
        <f aca="false">SUM(P25:R25)</f>
        <v>23.7</v>
      </c>
      <c r="T25" s="57" t="n">
        <f aca="false">(I25-S25)+T24</f>
        <v>2433.23</v>
      </c>
      <c r="U25" s="55" t="n">
        <v>0</v>
      </c>
      <c r="V25" s="55" t="n">
        <v>54.2</v>
      </c>
      <c r="W25" s="57" t="n">
        <f aca="false">W24-V25</f>
        <v>788.600000000006</v>
      </c>
      <c r="X25" s="5" t="n">
        <f aca="false">N25+O25+S25+U25+V25</f>
        <v>86.7</v>
      </c>
      <c r="Y25" s="55" t="n">
        <f aca="false">IF(L25&lt;0,L25*-1,0)</f>
        <v>0</v>
      </c>
      <c r="Z25" s="55" t="n">
        <f aca="false">X25+Y25</f>
        <v>86.7</v>
      </c>
      <c r="AA25" s="62" t="n">
        <v>0.28</v>
      </c>
      <c r="AB25" s="54" t="n">
        <v>54</v>
      </c>
      <c r="AC25" s="51" t="n">
        <v>36</v>
      </c>
      <c r="AD25" s="48" t="n">
        <f aca="false">AD24+1</f>
        <v>16</v>
      </c>
      <c r="AE25" s="81"/>
      <c r="AF25" s="83"/>
    </row>
    <row r="26" customFormat="false" ht="11.1" hidden="false" customHeight="true" outlineLevel="0" collapsed="false">
      <c r="A26" s="48" t="n">
        <f aca="false">A25+1</f>
        <v>17</v>
      </c>
      <c r="B26" s="59" t="n">
        <v>6907.32</v>
      </c>
      <c r="C26" s="57" t="n">
        <v>311391</v>
      </c>
      <c r="D26" s="51" t="n">
        <f aca="false">C26-C25</f>
        <v>195</v>
      </c>
      <c r="E26" s="57" t="n">
        <f aca="false">C26-152000</f>
        <v>159391</v>
      </c>
      <c r="F26" s="55" t="n">
        <f aca="false">D26/$D$2</f>
        <v>98.3110662969498</v>
      </c>
      <c r="G26" s="55" t="n">
        <v>98.9</v>
      </c>
      <c r="H26" s="147" t="n">
        <v>0</v>
      </c>
      <c r="I26" s="55" t="n">
        <f aca="false">G26+H26</f>
        <v>98.9</v>
      </c>
      <c r="J26" s="61" t="n">
        <f aca="false">IF(L26&gt;0,L26,0)</f>
        <v>87.9110662969498</v>
      </c>
      <c r="K26" s="55" t="n">
        <f aca="false">I26+J26</f>
        <v>186.81106629695</v>
      </c>
      <c r="L26" s="55" t="n">
        <f aca="false">F26-(I26-X26)</f>
        <v>87.9110662969498</v>
      </c>
      <c r="M26" s="55" t="n">
        <v>19</v>
      </c>
      <c r="N26" s="55" t="n">
        <v>0</v>
      </c>
      <c r="O26" s="55" t="n">
        <v>7.4</v>
      </c>
      <c r="P26" s="5" t="n">
        <f aca="false">M26-(N26+O26)</f>
        <v>11.6</v>
      </c>
      <c r="Q26" s="55" t="n">
        <v>0</v>
      </c>
      <c r="R26" s="55" t="n">
        <v>15.1</v>
      </c>
      <c r="S26" s="55" t="n">
        <f aca="false">SUM(P26:R26)</f>
        <v>26.7</v>
      </c>
      <c r="T26" s="57" t="n">
        <f aca="false">(I26-S26)+T25</f>
        <v>2505.43</v>
      </c>
      <c r="U26" s="55" t="n">
        <v>0</v>
      </c>
      <c r="V26" s="55" t="n">
        <v>54.4</v>
      </c>
      <c r="W26" s="57" t="n">
        <f aca="false">W25-V26</f>
        <v>734.200000000006</v>
      </c>
      <c r="X26" s="5" t="n">
        <f aca="false">N26+O26+S26+U26+V26</f>
        <v>88.5</v>
      </c>
      <c r="Y26" s="55" t="n">
        <f aca="false">IF(L26&lt;0,L26*-1,0)</f>
        <v>0</v>
      </c>
      <c r="Z26" s="55" t="n">
        <f aca="false">X26+Y26</f>
        <v>88.5</v>
      </c>
      <c r="AA26" s="62" t="n">
        <v>0.52</v>
      </c>
      <c r="AB26" s="54" t="n">
        <v>48</v>
      </c>
      <c r="AC26" s="51" t="n">
        <v>36</v>
      </c>
      <c r="AD26" s="48" t="n">
        <f aca="false">AD25+1</f>
        <v>17</v>
      </c>
      <c r="AE26" s="81"/>
      <c r="AF26" s="83"/>
    </row>
    <row r="27" customFormat="false" ht="11.1" hidden="false" customHeight="true" outlineLevel="0" collapsed="false">
      <c r="A27" s="48" t="n">
        <f aca="false">A26+1</f>
        <v>18</v>
      </c>
      <c r="B27" s="59" t="n">
        <v>6907.32</v>
      </c>
      <c r="C27" s="57" t="n">
        <v>311391</v>
      </c>
      <c r="D27" s="51" t="n">
        <f aca="false">C27-C26</f>
        <v>0</v>
      </c>
      <c r="E27" s="57" t="n">
        <f aca="false">C27-152000</f>
        <v>159391</v>
      </c>
      <c r="F27" s="55" t="n">
        <f aca="false">D27/$D$2</f>
        <v>0</v>
      </c>
      <c r="G27" s="55" t="n">
        <v>112.5</v>
      </c>
      <c r="H27" s="147" t="n">
        <v>0</v>
      </c>
      <c r="I27" s="55" t="n">
        <f aca="false">G27+H27</f>
        <v>112.5</v>
      </c>
      <c r="J27" s="61" t="n">
        <f aca="false">IF(L27&gt;0,L27,0)</f>
        <v>0</v>
      </c>
      <c r="K27" s="55" t="n">
        <f aca="false">I27+J27</f>
        <v>112.5</v>
      </c>
      <c r="L27" s="55" t="n">
        <f aca="false">F27-(I27-X27)</f>
        <v>-24.9</v>
      </c>
      <c r="M27" s="55" t="n">
        <v>18</v>
      </c>
      <c r="N27" s="55" t="n">
        <v>0</v>
      </c>
      <c r="O27" s="55" t="n">
        <v>7.4</v>
      </c>
      <c r="P27" s="5" t="n">
        <f aca="false">M27-(N27+O27)</f>
        <v>10.6</v>
      </c>
      <c r="Q27" s="55" t="n">
        <v>0</v>
      </c>
      <c r="R27" s="55" t="n">
        <v>12.6</v>
      </c>
      <c r="S27" s="55" t="n">
        <f aca="false">SUM(P27:R27)</f>
        <v>23.2</v>
      </c>
      <c r="T27" s="57" t="n">
        <f aca="false">(I27-S27)+T26</f>
        <v>2594.73</v>
      </c>
      <c r="U27" s="55" t="n">
        <v>0</v>
      </c>
      <c r="V27" s="55" t="n">
        <v>57</v>
      </c>
      <c r="W27" s="57" t="n">
        <f aca="false">W26-V27</f>
        <v>677.200000000006</v>
      </c>
      <c r="X27" s="5" t="n">
        <f aca="false">N27+O27+S27+U27+V27</f>
        <v>87.6</v>
      </c>
      <c r="Y27" s="55" t="n">
        <f aca="false">IF(L27&lt;0,L27*-1,0)</f>
        <v>24.9</v>
      </c>
      <c r="Z27" s="55" t="n">
        <f aca="false">X27+Y27</f>
        <v>112.5</v>
      </c>
      <c r="AA27" s="62" t="n">
        <v>0</v>
      </c>
      <c r="AB27" s="54" t="n">
        <v>52</v>
      </c>
      <c r="AC27" s="51" t="n">
        <v>28</v>
      </c>
      <c r="AD27" s="48" t="n">
        <f aca="false">AD26+1</f>
        <v>18</v>
      </c>
      <c r="AE27" s="81"/>
      <c r="AF27" s="83"/>
    </row>
    <row r="28" customFormat="false" ht="11.1" hidden="false" customHeight="true" outlineLevel="0" collapsed="false">
      <c r="A28" s="48" t="n">
        <f aca="false">A27+1</f>
        <v>19</v>
      </c>
      <c r="B28" s="59" t="n">
        <v>6907.33</v>
      </c>
      <c r="C28" s="93" t="n">
        <v>311431</v>
      </c>
      <c r="D28" s="51" t="n">
        <f aca="false">C28-C27</f>
        <v>40</v>
      </c>
      <c r="E28" s="57" t="n">
        <f aca="false">C28-152000</f>
        <v>159431</v>
      </c>
      <c r="F28" s="55" t="n">
        <f aca="false">D28/$D$2</f>
        <v>20.1663725737333</v>
      </c>
      <c r="G28" s="55" t="n">
        <v>103.8</v>
      </c>
      <c r="H28" s="147" t="n">
        <v>0</v>
      </c>
      <c r="I28" s="55" t="n">
        <f aca="false">G28+H28</f>
        <v>103.8</v>
      </c>
      <c r="J28" s="61" t="n">
        <f aca="false">IF(L28&gt;0,L28,0)</f>
        <v>0</v>
      </c>
      <c r="K28" s="55" t="n">
        <f aca="false">I28+J28</f>
        <v>103.8</v>
      </c>
      <c r="L28" s="55" t="n">
        <f aca="false">F28-(I28-X28)</f>
        <v>-1.5336274262667</v>
      </c>
      <c r="M28" s="55" t="n">
        <v>15</v>
      </c>
      <c r="N28" s="55" t="n">
        <v>0</v>
      </c>
      <c r="O28" s="55" t="n">
        <v>8.8</v>
      </c>
      <c r="P28" s="5" t="n">
        <f aca="false">M28-(N28+O28)</f>
        <v>6.2</v>
      </c>
      <c r="Q28" s="55" t="n">
        <v>0</v>
      </c>
      <c r="R28" s="55" t="n">
        <v>11.6</v>
      </c>
      <c r="S28" s="55" t="n">
        <f aca="false">SUM(P28:R28)</f>
        <v>17.8</v>
      </c>
      <c r="T28" s="57" t="n">
        <f aca="false">(I28-S28)+T27</f>
        <v>2680.73</v>
      </c>
      <c r="U28" s="55" t="n">
        <v>0</v>
      </c>
      <c r="V28" s="55" t="n">
        <v>55.5</v>
      </c>
      <c r="W28" s="57" t="n">
        <f aca="false">W27-V28</f>
        <v>621.700000000006</v>
      </c>
      <c r="X28" s="5" t="n">
        <f aca="false">N28+O28+S28+U28+V28</f>
        <v>82.1</v>
      </c>
      <c r="Y28" s="55" t="n">
        <f aca="false">IF(L28&lt;0,L28*-1,0)</f>
        <v>1.5336274262667</v>
      </c>
      <c r="Z28" s="55" t="n">
        <f aca="false">X28+Y28</f>
        <v>83.6336274262667</v>
      </c>
      <c r="AA28" s="62" t="n">
        <v>0</v>
      </c>
      <c r="AB28" s="54" t="n">
        <v>54</v>
      </c>
      <c r="AC28" s="51" t="n">
        <v>26</v>
      </c>
      <c r="AD28" s="48" t="n">
        <f aca="false">AD27+1</f>
        <v>19</v>
      </c>
      <c r="AE28" s="81"/>
      <c r="AF28" s="83"/>
    </row>
    <row r="29" customFormat="false" ht="11.1" hidden="false" customHeight="true" outlineLevel="0" collapsed="false">
      <c r="A29" s="48" t="n">
        <f aca="false">A28+1</f>
        <v>20</v>
      </c>
      <c r="B29" s="59" t="n">
        <v>6907.34</v>
      </c>
      <c r="C29" s="57" t="n">
        <v>311470</v>
      </c>
      <c r="D29" s="51" t="n">
        <f aca="false">C29-C28</f>
        <v>39</v>
      </c>
      <c r="E29" s="57" t="n">
        <f aca="false">C29-152000</f>
        <v>159470</v>
      </c>
      <c r="F29" s="55" t="n">
        <f aca="false">D29/$D$2</f>
        <v>19.66221325939</v>
      </c>
      <c r="G29" s="55" t="n">
        <v>95.6</v>
      </c>
      <c r="H29" s="147" t="n">
        <v>0</v>
      </c>
      <c r="I29" s="55" t="n">
        <f aca="false">G29+H29</f>
        <v>95.6</v>
      </c>
      <c r="J29" s="61" t="n">
        <f aca="false">IF(L29&gt;0,L29,0)</f>
        <v>8.36221325938997</v>
      </c>
      <c r="K29" s="55" t="n">
        <f aca="false">I29+J29</f>
        <v>103.96221325939</v>
      </c>
      <c r="L29" s="55" t="n">
        <f aca="false">F29-(I29-X29)</f>
        <v>8.36221325938997</v>
      </c>
      <c r="M29" s="55" t="n">
        <v>17.8</v>
      </c>
      <c r="N29" s="55" t="n">
        <v>0</v>
      </c>
      <c r="O29" s="55" t="n">
        <v>6.2</v>
      </c>
      <c r="P29" s="5" t="n">
        <f aca="false">M29-(N29+O29)</f>
        <v>11.6</v>
      </c>
      <c r="Q29" s="55" t="n">
        <v>0</v>
      </c>
      <c r="R29" s="55" t="n">
        <v>12.2</v>
      </c>
      <c r="S29" s="55" t="n">
        <f aca="false">SUM(P29:R29)</f>
        <v>23.8</v>
      </c>
      <c r="T29" s="57" t="n">
        <f aca="false">(I29-S29)+T28</f>
        <v>2752.53</v>
      </c>
      <c r="U29" s="55" t="n">
        <v>0</v>
      </c>
      <c r="V29" s="55" t="n">
        <v>54.3</v>
      </c>
      <c r="W29" s="57" t="n">
        <f aca="false">W28-V29</f>
        <v>567.400000000006</v>
      </c>
      <c r="X29" s="5" t="n">
        <f aca="false">N29+O29+S29+U29+V29</f>
        <v>84.3</v>
      </c>
      <c r="Y29" s="55" t="n">
        <f aca="false">IF(L29&lt;0,L29*-1,0)</f>
        <v>0</v>
      </c>
      <c r="Z29" s="55" t="n">
        <f aca="false">X29+Y29</f>
        <v>84.3</v>
      </c>
      <c r="AA29" s="62" t="n">
        <v>0</v>
      </c>
      <c r="AB29" s="54" t="n">
        <v>59</v>
      </c>
      <c r="AC29" s="51" t="n">
        <v>30</v>
      </c>
      <c r="AD29" s="48" t="n">
        <f aca="false">AD28+1</f>
        <v>20</v>
      </c>
      <c r="AE29" s="81"/>
      <c r="AF29" s="83"/>
    </row>
    <row r="30" customFormat="false" ht="11.1" hidden="false" customHeight="true" outlineLevel="0" collapsed="false">
      <c r="A30" s="48" t="n">
        <f aca="false">A29+1</f>
        <v>21</v>
      </c>
      <c r="B30" s="59" t="n">
        <v>6907.32</v>
      </c>
      <c r="C30" s="57" t="n">
        <v>311391</v>
      </c>
      <c r="D30" s="51" t="n">
        <f aca="false">C30-C29</f>
        <v>-79</v>
      </c>
      <c r="E30" s="57" t="n">
        <f aca="false">C30-152000</f>
        <v>159391</v>
      </c>
      <c r="F30" s="55" t="n">
        <f aca="false">D30/$D$2</f>
        <v>-39.8285858331233</v>
      </c>
      <c r="G30" s="55" t="n">
        <v>87.6</v>
      </c>
      <c r="H30" s="147" t="n">
        <v>0</v>
      </c>
      <c r="I30" s="55" t="n">
        <f aca="false">G30+H30</f>
        <v>87.6</v>
      </c>
      <c r="J30" s="61" t="n">
        <f aca="false">IF(L30&gt;0,L30,0)</f>
        <v>0</v>
      </c>
      <c r="K30" s="55" t="n">
        <f aca="false">I30+J30</f>
        <v>87.6</v>
      </c>
      <c r="L30" s="55" t="n">
        <f aca="false">F30-(I30-X30)</f>
        <v>-47.5285858331233</v>
      </c>
      <c r="M30" s="55" t="n">
        <v>12.6</v>
      </c>
      <c r="N30" s="55" t="n">
        <v>0</v>
      </c>
      <c r="O30" s="55" t="n">
        <v>9</v>
      </c>
      <c r="P30" s="5" t="n">
        <f aca="false">M30-(N30+O30)</f>
        <v>3.6</v>
      </c>
      <c r="Q30" s="55" t="n">
        <v>0</v>
      </c>
      <c r="R30" s="55" t="n">
        <v>12.2</v>
      </c>
      <c r="S30" s="55" t="n">
        <f aca="false">SUM(P30:R30)</f>
        <v>15.8</v>
      </c>
      <c r="T30" s="57" t="n">
        <f aca="false">(I30-S30)+T29</f>
        <v>2824.33</v>
      </c>
      <c r="U30" s="55" t="n">
        <v>0</v>
      </c>
      <c r="V30" s="55" t="n">
        <v>55.1</v>
      </c>
      <c r="W30" s="57" t="n">
        <f aca="false">W29-V30</f>
        <v>512.300000000006</v>
      </c>
      <c r="X30" s="5" t="n">
        <f aca="false">N30+O30+S30+U30+V30</f>
        <v>79.9</v>
      </c>
      <c r="Y30" s="55" t="n">
        <f aca="false">IF(L30&lt;0,L30*-1,0)</f>
        <v>47.5285858331233</v>
      </c>
      <c r="Z30" s="55" t="n">
        <f aca="false">X30+Y30</f>
        <v>127.428585833123</v>
      </c>
      <c r="AA30" s="62" t="n">
        <v>0</v>
      </c>
      <c r="AB30" s="51" t="n">
        <v>59</v>
      </c>
      <c r="AC30" s="51" t="n">
        <v>28</v>
      </c>
      <c r="AD30" s="48" t="n">
        <f aca="false">AD29+1</f>
        <v>21</v>
      </c>
      <c r="AE30" s="81"/>
      <c r="AF30" s="83"/>
    </row>
    <row r="31" customFormat="false" ht="11.1" hidden="false" customHeight="true" outlineLevel="0" collapsed="false">
      <c r="A31" s="48" t="n">
        <f aca="false">A30+1</f>
        <v>22</v>
      </c>
      <c r="B31" s="59" t="n">
        <v>6907.29</v>
      </c>
      <c r="C31" s="57" t="n">
        <v>311274</v>
      </c>
      <c r="D31" s="51" t="n">
        <f aca="false">C31-C30</f>
        <v>-117</v>
      </c>
      <c r="E31" s="57" t="n">
        <f aca="false">C31-152000</f>
        <v>159274</v>
      </c>
      <c r="F31" s="55" t="n">
        <f aca="false">D31/$D$2</f>
        <v>-58.9866397781699</v>
      </c>
      <c r="G31" s="55" t="n">
        <v>80.6</v>
      </c>
      <c r="H31" s="147" t="n">
        <v>0</v>
      </c>
      <c r="I31" s="55" t="n">
        <f aca="false">G31+H31</f>
        <v>80.6</v>
      </c>
      <c r="J31" s="61" t="n">
        <f aca="false">IF(L31&gt;0,L31,0)</f>
        <v>0</v>
      </c>
      <c r="K31" s="55" t="n">
        <f aca="false">I31+J31</f>
        <v>80.6</v>
      </c>
      <c r="L31" s="55" t="n">
        <f aca="false">F31-(I31-X31)</f>
        <v>-55.7866397781699</v>
      </c>
      <c r="M31" s="55" t="n">
        <v>16.5</v>
      </c>
      <c r="N31" s="55" t="n">
        <v>0</v>
      </c>
      <c r="O31" s="55" t="n">
        <v>9</v>
      </c>
      <c r="P31" s="5" t="n">
        <f aca="false">M31-(N31+O31)</f>
        <v>7.5</v>
      </c>
      <c r="Q31" s="55" t="n">
        <v>0</v>
      </c>
      <c r="R31" s="55" t="n">
        <v>12.2</v>
      </c>
      <c r="S31" s="55" t="n">
        <f aca="false">SUM(P31:R31)</f>
        <v>19.7</v>
      </c>
      <c r="T31" s="57" t="n">
        <f aca="false">(I31-S31)+T30</f>
        <v>2885.23</v>
      </c>
      <c r="U31" s="55" t="n">
        <v>0</v>
      </c>
      <c r="V31" s="55" t="n">
        <v>55.1</v>
      </c>
      <c r="W31" s="57" t="n">
        <f aca="false">W30-V31</f>
        <v>457.200000000006</v>
      </c>
      <c r="X31" s="5" t="n">
        <f aca="false">N31+O31+S31+U31+V31</f>
        <v>83.8</v>
      </c>
      <c r="Y31" s="55" t="n">
        <f aca="false">IF(L31&lt;0,L31*-1,0)</f>
        <v>55.7866397781699</v>
      </c>
      <c r="Z31" s="55" t="n">
        <f aca="false">X31+Y31</f>
        <v>139.58663977817</v>
      </c>
      <c r="AA31" s="62" t="n">
        <v>0</v>
      </c>
      <c r="AB31" s="51" t="n">
        <v>61</v>
      </c>
      <c r="AC31" s="51" t="n">
        <v>31</v>
      </c>
      <c r="AD31" s="48" t="n">
        <f aca="false">AD30+1</f>
        <v>22</v>
      </c>
      <c r="AE31" s="81"/>
      <c r="AF31" s="83"/>
      <c r="AG31" s="151"/>
      <c r="AH31" s="151"/>
      <c r="AI31" s="151"/>
    </row>
    <row r="32" customFormat="false" ht="11.1" hidden="false" customHeight="true" outlineLevel="0" collapsed="false">
      <c r="A32" s="48" t="n">
        <f aca="false">A31+1</f>
        <v>23</v>
      </c>
      <c r="B32" s="59" t="n">
        <v>6907.3</v>
      </c>
      <c r="C32" s="57" t="n">
        <v>311313</v>
      </c>
      <c r="D32" s="51" t="n">
        <f aca="false">C32-C31</f>
        <v>39</v>
      </c>
      <c r="E32" s="57" t="n">
        <f aca="false">C32-152000</f>
        <v>159313</v>
      </c>
      <c r="F32" s="55" t="n">
        <f aca="false">D32/$D$2</f>
        <v>19.66221325939</v>
      </c>
      <c r="G32" s="55" t="n">
        <v>83.5</v>
      </c>
      <c r="H32" s="147" t="n">
        <v>0</v>
      </c>
      <c r="I32" s="55" t="n">
        <f aca="false">G32+H32</f>
        <v>83.5</v>
      </c>
      <c r="J32" s="61" t="n">
        <f aca="false">IF(L32&gt;0,L32,0)</f>
        <v>14.76221325939</v>
      </c>
      <c r="K32" s="55" t="n">
        <f aca="false">I32+J32</f>
        <v>98.26221325939</v>
      </c>
      <c r="L32" s="55" t="n">
        <f aca="false">F32-(I32-X32)</f>
        <v>14.76221325939</v>
      </c>
      <c r="M32" s="55" t="n">
        <v>11.7</v>
      </c>
      <c r="N32" s="55" t="n">
        <v>0</v>
      </c>
      <c r="O32" s="55" t="n">
        <v>9</v>
      </c>
      <c r="P32" s="5" t="n">
        <f aca="false">M32-(N32+O32)</f>
        <v>2.7</v>
      </c>
      <c r="Q32" s="55" t="n">
        <v>0</v>
      </c>
      <c r="R32" s="55" t="n">
        <v>11.8</v>
      </c>
      <c r="S32" s="55" t="n">
        <f aca="false">SUM(P32:R32)</f>
        <v>14.5</v>
      </c>
      <c r="T32" s="57" t="n">
        <f aca="false">(I32-S32)+T31</f>
        <v>2954.23</v>
      </c>
      <c r="U32" s="55" t="n">
        <v>0</v>
      </c>
      <c r="V32" s="55" t="n">
        <v>55.1</v>
      </c>
      <c r="W32" s="57" t="n">
        <f aca="false">W31-V32</f>
        <v>402.100000000006</v>
      </c>
      <c r="X32" s="5" t="n">
        <f aca="false">N32+O32+S32+U32+V32</f>
        <v>78.6</v>
      </c>
      <c r="Y32" s="55" t="n">
        <f aca="false">IF(L32&lt;0,L32*-1,0)</f>
        <v>0</v>
      </c>
      <c r="Z32" s="55" t="n">
        <f aca="false">X32+Y32</f>
        <v>78.6</v>
      </c>
      <c r="AA32" s="62" t="n">
        <v>0</v>
      </c>
      <c r="AB32" s="51" t="n">
        <v>64</v>
      </c>
      <c r="AC32" s="54" t="n">
        <v>31</v>
      </c>
      <c r="AD32" s="48" t="n">
        <f aca="false">AD31+1</f>
        <v>23</v>
      </c>
      <c r="AE32" s="81"/>
      <c r="AF32" s="83"/>
    </row>
    <row r="33" customFormat="false" ht="11.1" hidden="false" customHeight="true" outlineLevel="0" collapsed="false">
      <c r="A33" s="48" t="n">
        <f aca="false">A32+1</f>
        <v>24</v>
      </c>
      <c r="B33" s="59" t="n">
        <v>6907.29</v>
      </c>
      <c r="C33" s="57" t="n">
        <v>311274</v>
      </c>
      <c r="D33" s="51" t="n">
        <f aca="false">C33-C32</f>
        <v>-39</v>
      </c>
      <c r="E33" s="57" t="n">
        <f aca="false">C33-152000</f>
        <v>159274</v>
      </c>
      <c r="F33" s="55" t="n">
        <f aca="false">D33/$D$2</f>
        <v>-19.66221325939</v>
      </c>
      <c r="G33" s="55" t="n">
        <v>79.3</v>
      </c>
      <c r="H33" s="147" t="n">
        <v>0</v>
      </c>
      <c r="I33" s="55" t="n">
        <f aca="false">G33+H33</f>
        <v>79.3</v>
      </c>
      <c r="J33" s="61" t="n">
        <f aca="false">IF(L33&gt;0,L33,0)</f>
        <v>0</v>
      </c>
      <c r="K33" s="55" t="n">
        <f aca="false">I33+J33</f>
        <v>79.3</v>
      </c>
      <c r="L33" s="55" t="n">
        <f aca="false">F33-(I33-X33)</f>
        <v>-20.76221325939</v>
      </c>
      <c r="M33" s="55" t="n">
        <v>11.3</v>
      </c>
      <c r="N33" s="55" t="n">
        <v>0</v>
      </c>
      <c r="O33" s="55" t="n">
        <v>9</v>
      </c>
      <c r="P33" s="5" t="n">
        <f aca="false">M33-(N33+O33)</f>
        <v>2.3</v>
      </c>
      <c r="Q33" s="55" t="n">
        <v>0</v>
      </c>
      <c r="R33" s="55" t="n">
        <v>11.8</v>
      </c>
      <c r="S33" s="55" t="n">
        <f aca="false">SUM(P33:R33)</f>
        <v>14.1</v>
      </c>
      <c r="T33" s="57" t="n">
        <f aca="false">(I33-S33)+T32</f>
        <v>3019.43</v>
      </c>
      <c r="U33" s="55" t="n">
        <v>0</v>
      </c>
      <c r="V33" s="55" t="n">
        <v>55.1</v>
      </c>
      <c r="W33" s="57" t="n">
        <f aca="false">W32-V33</f>
        <v>347.000000000006</v>
      </c>
      <c r="X33" s="5" t="n">
        <f aca="false">N33+O33+S33+U33+V33</f>
        <v>78.2</v>
      </c>
      <c r="Y33" s="55" t="n">
        <f aca="false">IF(L33&lt;0,L33*-1,0)</f>
        <v>20.76221325939</v>
      </c>
      <c r="Z33" s="55" t="n">
        <f aca="false">X33+Y33</f>
        <v>98.96221325939</v>
      </c>
      <c r="AA33" s="62" t="n">
        <v>0</v>
      </c>
      <c r="AB33" s="51" t="n">
        <v>64</v>
      </c>
      <c r="AC33" s="54" t="n">
        <v>30</v>
      </c>
      <c r="AD33" s="48" t="n">
        <f aca="false">AD32+1</f>
        <v>24</v>
      </c>
      <c r="AE33" s="81"/>
      <c r="AF33" s="83"/>
    </row>
    <row r="34" customFormat="false" ht="11.1" hidden="false" customHeight="true" outlineLevel="0" collapsed="false">
      <c r="A34" s="48" t="n">
        <v>25</v>
      </c>
      <c r="B34" s="59" t="n">
        <v>6907.27</v>
      </c>
      <c r="C34" s="57" t="n">
        <v>311196</v>
      </c>
      <c r="D34" s="51" t="n">
        <f aca="false">C34-C33</f>
        <v>-78</v>
      </c>
      <c r="E34" s="57" t="n">
        <f aca="false">C34-152000</f>
        <v>159196</v>
      </c>
      <c r="F34" s="55" t="n">
        <f aca="false">D34/$D$2</f>
        <v>-39.3244265187799</v>
      </c>
      <c r="G34" s="55" t="n">
        <v>73.7</v>
      </c>
      <c r="H34" s="147" t="n">
        <v>0</v>
      </c>
      <c r="I34" s="55" t="n">
        <f aca="false">G34+H34</f>
        <v>73.7</v>
      </c>
      <c r="J34" s="61" t="n">
        <f aca="false">IF(L34&gt;0,L34,0)</f>
        <v>0</v>
      </c>
      <c r="K34" s="55" t="n">
        <f aca="false">I34+J34</f>
        <v>73.7</v>
      </c>
      <c r="L34" s="55" t="n">
        <f aca="false">F34-(I34-X34)</f>
        <v>-32.7244265187799</v>
      </c>
      <c r="M34" s="55" t="n">
        <v>13.4</v>
      </c>
      <c r="N34" s="55" t="n">
        <v>0</v>
      </c>
      <c r="O34" s="55" t="n">
        <v>6.4</v>
      </c>
      <c r="P34" s="5" t="n">
        <f aca="false">M34-(N34+O34)</f>
        <v>7</v>
      </c>
      <c r="Q34" s="55" t="n">
        <v>0</v>
      </c>
      <c r="R34" s="55" t="n">
        <v>11.8</v>
      </c>
      <c r="S34" s="55" t="n">
        <f aca="false">SUM(P34:R34)</f>
        <v>18.8</v>
      </c>
      <c r="T34" s="57" t="n">
        <f aca="false">(I34-S34)+T33</f>
        <v>3074.33</v>
      </c>
      <c r="U34" s="55" t="n">
        <v>0</v>
      </c>
      <c r="V34" s="55" t="n">
        <v>55.1</v>
      </c>
      <c r="W34" s="57" t="n">
        <f aca="false">W33-V34</f>
        <v>291.900000000006</v>
      </c>
      <c r="X34" s="5" t="n">
        <f aca="false">N34+O34+S34+U34+V34</f>
        <v>80.3</v>
      </c>
      <c r="Y34" s="55" t="n">
        <f aca="false">IF(L34&lt;0,L34*-1,0)</f>
        <v>32.7244265187799</v>
      </c>
      <c r="Z34" s="55" t="n">
        <f aca="false">X34+Y34</f>
        <v>113.02442651878</v>
      </c>
      <c r="AA34" s="62" t="n">
        <v>0</v>
      </c>
      <c r="AB34" s="51" t="n">
        <v>65</v>
      </c>
      <c r="AC34" s="54" t="n">
        <v>34</v>
      </c>
      <c r="AD34" s="48" t="n">
        <v>25</v>
      </c>
      <c r="AE34" s="81"/>
      <c r="AF34" s="83"/>
    </row>
    <row r="35" customFormat="false" ht="11.1" hidden="false" customHeight="true" outlineLevel="0" collapsed="false">
      <c r="A35" s="48" t="n">
        <v>26</v>
      </c>
      <c r="B35" s="59" t="n">
        <v>6907.25</v>
      </c>
      <c r="C35" s="57" t="n">
        <v>311117</v>
      </c>
      <c r="D35" s="51" t="n">
        <f aca="false">C35-C34</f>
        <v>-79</v>
      </c>
      <c r="E35" s="57" t="n">
        <f aca="false">C35-152000</f>
        <v>159117</v>
      </c>
      <c r="F35" s="55" t="n">
        <f aca="false">D35/$D$2</f>
        <v>-39.8285858331233</v>
      </c>
      <c r="G35" s="55" t="n">
        <v>73.8</v>
      </c>
      <c r="H35" s="147" t="n">
        <v>0</v>
      </c>
      <c r="I35" s="55" t="n">
        <f aca="false">G35+H35</f>
        <v>73.8</v>
      </c>
      <c r="J35" s="61" t="n">
        <f aca="false">IF(L35&gt;0,L35,0)</f>
        <v>0</v>
      </c>
      <c r="K35" s="55" t="n">
        <f aca="false">I35+J35</f>
        <v>73.8</v>
      </c>
      <c r="L35" s="55" t="n">
        <f aca="false">F35-(I35-X35)</f>
        <v>-26.6285858331233</v>
      </c>
      <c r="M35" s="55" t="n">
        <v>17.3</v>
      </c>
      <c r="N35" s="55" t="n">
        <v>0</v>
      </c>
      <c r="O35" s="55" t="n">
        <v>3.5</v>
      </c>
      <c r="P35" s="5" t="n">
        <f aca="false">M35-(N35+O35)</f>
        <v>13.8</v>
      </c>
      <c r="Q35" s="55" t="n">
        <v>0</v>
      </c>
      <c r="R35" s="55" t="n">
        <v>14.6</v>
      </c>
      <c r="S35" s="55" t="n">
        <f aca="false">SUM(P35:R35)</f>
        <v>28.4</v>
      </c>
      <c r="T35" s="57" t="n">
        <f aca="false">(I35-S35)+T34</f>
        <v>3119.73</v>
      </c>
      <c r="U35" s="55" t="n">
        <v>0</v>
      </c>
      <c r="V35" s="55" t="n">
        <v>55.1</v>
      </c>
      <c r="W35" s="57" t="n">
        <f aca="false">W34-V35</f>
        <v>236.800000000006</v>
      </c>
      <c r="X35" s="5" t="n">
        <f aca="false">N35+O35+S35+U35+V35</f>
        <v>87</v>
      </c>
      <c r="Y35" s="55" t="n">
        <f aca="false">IF(L35&lt;0,L35*-1,0)</f>
        <v>26.6285858331233</v>
      </c>
      <c r="Z35" s="55" t="n">
        <f aca="false">X35+Y35</f>
        <v>113.628585833123</v>
      </c>
      <c r="AA35" s="62" t="n">
        <v>0</v>
      </c>
      <c r="AB35" s="51" t="n">
        <v>52</v>
      </c>
      <c r="AC35" s="54" t="n">
        <v>32</v>
      </c>
      <c r="AD35" s="48" t="n">
        <v>26</v>
      </c>
      <c r="AE35" s="81"/>
      <c r="AF35" s="83"/>
    </row>
    <row r="36" customFormat="false" ht="11.1" hidden="false" customHeight="true" outlineLevel="0" collapsed="false">
      <c r="A36" s="48" t="n">
        <v>27</v>
      </c>
      <c r="B36" s="59" t="n">
        <v>6907.24</v>
      </c>
      <c r="C36" s="57" t="n">
        <v>311078</v>
      </c>
      <c r="D36" s="51" t="n">
        <f aca="false">C36-C35</f>
        <v>-39</v>
      </c>
      <c r="E36" s="57" t="n">
        <f aca="false">C36-152000</f>
        <v>159078</v>
      </c>
      <c r="F36" s="55" t="n">
        <f aca="false">D36/$D$2</f>
        <v>-19.66221325939</v>
      </c>
      <c r="G36" s="55" t="n">
        <v>74.1</v>
      </c>
      <c r="H36" s="147" t="n">
        <v>0</v>
      </c>
      <c r="I36" s="55" t="n">
        <f aca="false">G36+H36</f>
        <v>74.1</v>
      </c>
      <c r="J36" s="61" t="n">
        <f aca="false">IF(L36&gt;0,L36,0)</f>
        <v>0</v>
      </c>
      <c r="K36" s="55" t="n">
        <f aca="false">I36+J36</f>
        <v>74.1</v>
      </c>
      <c r="L36" s="55" t="n">
        <f aca="false">F36-(I36-X36)</f>
        <v>-5.66221325938997</v>
      </c>
      <c r="M36" s="55" t="n">
        <v>21.4</v>
      </c>
      <c r="N36" s="55" t="n">
        <v>0</v>
      </c>
      <c r="O36" s="55" t="n">
        <v>0</v>
      </c>
      <c r="P36" s="5" t="n">
        <f aca="false">M36-(N36+O36)</f>
        <v>21.4</v>
      </c>
      <c r="Q36" s="55" t="n">
        <v>0</v>
      </c>
      <c r="R36" s="55" t="n">
        <v>11.6</v>
      </c>
      <c r="S36" s="55" t="n">
        <f aca="false">SUM(P36:R36)</f>
        <v>33</v>
      </c>
      <c r="T36" s="57" t="n">
        <f aca="false">(I36-S36)+T35</f>
        <v>3160.83</v>
      </c>
      <c r="U36" s="55" t="n">
        <v>0</v>
      </c>
      <c r="V36" s="55" t="n">
        <v>55.1</v>
      </c>
      <c r="W36" s="57" t="n">
        <f aca="false">W35-V36</f>
        <v>181.700000000006</v>
      </c>
      <c r="X36" s="5" t="n">
        <f aca="false">N36+O36+S36+U36+V36</f>
        <v>88.1</v>
      </c>
      <c r="Y36" s="55" t="n">
        <f aca="false">IF(L36&lt;0,L36*-1,0)</f>
        <v>5.66221325938997</v>
      </c>
      <c r="Z36" s="55" t="n">
        <f aca="false">X36+Y36</f>
        <v>93.76221325939</v>
      </c>
      <c r="AA36" s="62" t="n">
        <v>0</v>
      </c>
      <c r="AB36" s="51" t="n">
        <v>53</v>
      </c>
      <c r="AC36" s="54" t="n">
        <v>22</v>
      </c>
      <c r="AD36" s="48" t="n">
        <v>27</v>
      </c>
      <c r="AE36" s="81"/>
      <c r="AF36" s="83"/>
    </row>
    <row r="37" customFormat="false" ht="11.1" hidden="false" customHeight="true" outlineLevel="0" collapsed="false">
      <c r="A37" s="48" t="n">
        <v>28</v>
      </c>
      <c r="B37" s="59" t="n">
        <v>6907.22</v>
      </c>
      <c r="C37" s="57" t="n">
        <v>311000</v>
      </c>
      <c r="D37" s="51" t="n">
        <f aca="false">C37-C36</f>
        <v>-78</v>
      </c>
      <c r="E37" s="57" t="n">
        <f aca="false">C37-152000</f>
        <v>159000</v>
      </c>
      <c r="F37" s="55" t="n">
        <f aca="false">D37/$D$2</f>
        <v>-39.3244265187799</v>
      </c>
      <c r="G37" s="55" t="n">
        <v>66.1</v>
      </c>
      <c r="H37" s="147" t="n">
        <v>0</v>
      </c>
      <c r="I37" s="55" t="n">
        <f aca="false">G37+H37</f>
        <v>66.1</v>
      </c>
      <c r="J37" s="61" t="n">
        <f aca="false">IF(L37&gt;0,L37,0)</f>
        <v>0</v>
      </c>
      <c r="K37" s="55" t="n">
        <f aca="false">I37+J37</f>
        <v>66.1</v>
      </c>
      <c r="L37" s="55" t="n">
        <f aca="false">F37-(I37-X37)</f>
        <v>-17.3244265187799</v>
      </c>
      <c r="M37" s="55" t="n">
        <v>21.2</v>
      </c>
      <c r="N37" s="55" t="n">
        <v>0</v>
      </c>
      <c r="O37" s="55" t="n">
        <v>0</v>
      </c>
      <c r="P37" s="5" t="n">
        <f aca="false">M37-(N37+O37)</f>
        <v>21.2</v>
      </c>
      <c r="Q37" s="55" t="n">
        <v>0</v>
      </c>
      <c r="R37" s="55" t="n">
        <v>11.8</v>
      </c>
      <c r="S37" s="55" t="n">
        <f aca="false">SUM(P37:R37)</f>
        <v>33</v>
      </c>
      <c r="T37" s="57" t="n">
        <f aca="false">(I37-S37)+T36</f>
        <v>3193.93</v>
      </c>
      <c r="U37" s="55" t="n">
        <v>0</v>
      </c>
      <c r="V37" s="55" t="n">
        <v>55.1</v>
      </c>
      <c r="W37" s="57" t="n">
        <f aca="false">W36-V37</f>
        <v>126.600000000006</v>
      </c>
      <c r="X37" s="5" t="n">
        <f aca="false">N37+O37+S37+U37+V37</f>
        <v>88.1</v>
      </c>
      <c r="Y37" s="55" t="n">
        <f aca="false">IF(L37&lt;0,L37*-1,0)</f>
        <v>17.3244265187799</v>
      </c>
      <c r="Z37" s="55" t="n">
        <f aca="false">X37+Y37</f>
        <v>105.42442651878</v>
      </c>
      <c r="AA37" s="62" t="n">
        <v>0</v>
      </c>
      <c r="AB37" s="51" t="n">
        <v>47</v>
      </c>
      <c r="AC37" s="54" t="n">
        <v>21</v>
      </c>
      <c r="AD37" s="48" t="n">
        <v>28</v>
      </c>
      <c r="AE37" s="81"/>
      <c r="AF37" s="83"/>
    </row>
    <row r="38" customFormat="false" ht="11.1" hidden="false" customHeight="true" outlineLevel="0" collapsed="false">
      <c r="A38" s="48" t="n">
        <v>29</v>
      </c>
      <c r="B38" s="59" t="n">
        <v>6907.19</v>
      </c>
      <c r="C38" s="57" t="n">
        <v>310882</v>
      </c>
      <c r="D38" s="51" t="n">
        <f aca="false">C38-C37</f>
        <v>-118</v>
      </c>
      <c r="E38" s="57" t="n">
        <f aca="false">C38-152000</f>
        <v>158882</v>
      </c>
      <c r="F38" s="55" t="n">
        <f aca="false">D38/$D$2</f>
        <v>-59.4907990925132</v>
      </c>
      <c r="G38" s="55" t="n">
        <v>71.3</v>
      </c>
      <c r="H38" s="147" t="n">
        <v>0</v>
      </c>
      <c r="I38" s="55" t="n">
        <f aca="false">G38+H38</f>
        <v>71.3</v>
      </c>
      <c r="J38" s="61" t="n">
        <f aca="false">IF(L38&gt;0,L38,0)</f>
        <v>0</v>
      </c>
      <c r="K38" s="55" t="n">
        <f aca="false">I38+J38</f>
        <v>71.3</v>
      </c>
      <c r="L38" s="55" t="n">
        <f aca="false">F38-(I38-X38)</f>
        <v>-41.4907990925132</v>
      </c>
      <c r="M38" s="55" t="n">
        <v>21.6</v>
      </c>
      <c r="N38" s="55" t="n">
        <v>0</v>
      </c>
      <c r="O38" s="55" t="n">
        <v>0</v>
      </c>
      <c r="P38" s="5" t="n">
        <f aca="false">M38-(N38+O38)</f>
        <v>21.6</v>
      </c>
      <c r="Q38" s="55" t="n">
        <v>0</v>
      </c>
      <c r="R38" s="55" t="n">
        <v>12.6</v>
      </c>
      <c r="S38" s="55" t="n">
        <f aca="false">SUM(P38:R38)</f>
        <v>34.2</v>
      </c>
      <c r="T38" s="57" t="n">
        <f aca="false">(I38-S38)+T37</f>
        <v>3231.03</v>
      </c>
      <c r="U38" s="55" t="n">
        <v>0</v>
      </c>
      <c r="V38" s="55" t="n">
        <v>55.1</v>
      </c>
      <c r="W38" s="57" t="n">
        <f aca="false">W37-V38</f>
        <v>71.5000000000056</v>
      </c>
      <c r="X38" s="5" t="n">
        <f aca="false">N38+O38+S38+U38+V38</f>
        <v>89.3</v>
      </c>
      <c r="Y38" s="55" t="n">
        <f aca="false">IF(L38&lt;0,L38*-1,0)</f>
        <v>41.4907990925132</v>
      </c>
      <c r="Z38" s="55" t="n">
        <f aca="false">X38+Y38</f>
        <v>130.790799092513</v>
      </c>
      <c r="AA38" s="62" t="n">
        <v>0</v>
      </c>
      <c r="AB38" s="51" t="n">
        <v>46</v>
      </c>
      <c r="AC38" s="54" t="n">
        <v>22</v>
      </c>
      <c r="AD38" s="48" t="n">
        <v>29</v>
      </c>
      <c r="AE38" s="81"/>
      <c r="AF38" s="83"/>
    </row>
    <row r="39" customFormat="false" ht="11.1" hidden="false" customHeight="true" outlineLevel="0" collapsed="false">
      <c r="A39" s="48" t="n">
        <v>30</v>
      </c>
      <c r="B39" s="59" t="n">
        <v>6907.15</v>
      </c>
      <c r="C39" s="57" t="n">
        <v>310725</v>
      </c>
      <c r="D39" s="51" t="n">
        <f aca="false">C39-C38</f>
        <v>-157</v>
      </c>
      <c r="E39" s="57" t="n">
        <f aca="false">C39-152000</f>
        <v>158725</v>
      </c>
      <c r="F39" s="55" t="n">
        <f aca="false">D39/$D$2</f>
        <v>-79.1530123519032</v>
      </c>
      <c r="G39" s="55" t="n">
        <v>62.7</v>
      </c>
      <c r="H39" s="147" t="n">
        <v>0</v>
      </c>
      <c r="I39" s="55" t="n">
        <f aca="false">G39+H39</f>
        <v>62.7</v>
      </c>
      <c r="J39" s="61" t="n">
        <f aca="false">IF(L39&gt;0,L39,0)</f>
        <v>0</v>
      </c>
      <c r="K39" s="55" t="n">
        <f aca="false">I39+J39</f>
        <v>62.7</v>
      </c>
      <c r="L39" s="55" t="n">
        <f aca="false">F39-(I39-X39)</f>
        <v>-53.3530123519032</v>
      </c>
      <c r="M39" s="55" t="n">
        <v>21.6</v>
      </c>
      <c r="N39" s="55" t="n">
        <v>0</v>
      </c>
      <c r="O39" s="55" t="n">
        <v>0</v>
      </c>
      <c r="P39" s="5" t="n">
        <f aca="false">M39-(N39+O39)</f>
        <v>21.6</v>
      </c>
      <c r="Q39" s="55" t="n">
        <v>0</v>
      </c>
      <c r="R39" s="55" t="n">
        <v>11.8</v>
      </c>
      <c r="S39" s="55" t="n">
        <f aca="false">SUM(P39:R39)</f>
        <v>33.4</v>
      </c>
      <c r="T39" s="57" t="n">
        <f aca="false">(I39-S39)+T38</f>
        <v>3260.33</v>
      </c>
      <c r="U39" s="55" t="n">
        <v>0</v>
      </c>
      <c r="V39" s="55" t="n">
        <v>55.1</v>
      </c>
      <c r="W39" s="57" t="n">
        <f aca="false">W38-V39</f>
        <v>16.4000000000056</v>
      </c>
      <c r="X39" s="5" t="n">
        <f aca="false">N39+O39+S39+U39+V39</f>
        <v>88.5</v>
      </c>
      <c r="Y39" s="55" t="n">
        <f aca="false">IF(L39&lt;0,L39*-1,0)</f>
        <v>53.3530123519032</v>
      </c>
      <c r="Z39" s="55" t="n">
        <f aca="false">X39+Y39</f>
        <v>141.853012351903</v>
      </c>
      <c r="AA39" s="62" t="n">
        <v>0</v>
      </c>
      <c r="AB39" s="51" t="n">
        <v>39</v>
      </c>
      <c r="AC39" s="54" t="n">
        <v>13</v>
      </c>
      <c r="AD39" s="48" t="n">
        <v>30</v>
      </c>
      <c r="AE39" s="81"/>
      <c r="AF39" s="83"/>
    </row>
    <row r="40" customFormat="false" ht="11.1" hidden="false" customHeight="true" outlineLevel="0" collapsed="false">
      <c r="A40" s="48" t="n">
        <v>31</v>
      </c>
      <c r="B40" s="59" t="n">
        <v>6907.14</v>
      </c>
      <c r="C40" s="57" t="n">
        <v>310687</v>
      </c>
      <c r="D40" s="51" t="n">
        <f aca="false">C40-C39</f>
        <v>-38</v>
      </c>
      <c r="E40" s="57" t="n">
        <f aca="false">C40-152000</f>
        <v>158687</v>
      </c>
      <c r="F40" s="55" t="n">
        <f aca="false">D40/$D$2</f>
        <v>-19.1580539450466</v>
      </c>
      <c r="G40" s="55" t="n">
        <v>49.9</v>
      </c>
      <c r="H40" s="147" t="n">
        <v>0</v>
      </c>
      <c r="I40" s="55" t="n">
        <f aca="false">G40+H40</f>
        <v>49.9</v>
      </c>
      <c r="J40" s="61" t="n">
        <f aca="false">IF(L40&gt;0,L40,0)</f>
        <v>20.3419460549534</v>
      </c>
      <c r="K40" s="55" t="n">
        <f aca="false">I40+J40</f>
        <v>70.2419460549534</v>
      </c>
      <c r="L40" s="55" t="n">
        <f aca="false">F40-(I40-X40)</f>
        <v>20.3419460549534</v>
      </c>
      <c r="M40" s="55" t="n">
        <v>21.6</v>
      </c>
      <c r="N40" s="55" t="n">
        <v>0</v>
      </c>
      <c r="O40" s="55" t="n">
        <v>0</v>
      </c>
      <c r="P40" s="5" t="n">
        <f aca="false">M40-(N40+O40)</f>
        <v>21.6</v>
      </c>
      <c r="Q40" s="55" t="n">
        <v>0</v>
      </c>
      <c r="R40" s="55" t="n">
        <v>12.6</v>
      </c>
      <c r="S40" s="55" t="n">
        <f aca="false">SUM(P40:R40)</f>
        <v>34.2</v>
      </c>
      <c r="T40" s="57" t="n">
        <f aca="false">(I40-S40)+T39</f>
        <v>3276.03</v>
      </c>
      <c r="U40" s="55" t="n">
        <v>0</v>
      </c>
      <c r="V40" s="55" t="n">
        <v>55.2</v>
      </c>
      <c r="W40" s="57" t="n">
        <f aca="false">W39-V40</f>
        <v>-38.7999999999944</v>
      </c>
      <c r="X40" s="5" t="n">
        <f aca="false">N40+O40+S40+U40+V40</f>
        <v>89.4</v>
      </c>
      <c r="Y40" s="55" t="n">
        <f aca="false">IF(L40&lt;0,L40*-1,0)</f>
        <v>0</v>
      </c>
      <c r="Z40" s="55" t="n">
        <f aca="false">X40+Y40</f>
        <v>89.4</v>
      </c>
      <c r="AA40" s="62" t="n">
        <v>0</v>
      </c>
      <c r="AB40" s="51" t="n">
        <v>43</v>
      </c>
      <c r="AC40" s="54" t="n">
        <v>15</v>
      </c>
      <c r="AD40" s="48" t="n">
        <v>31</v>
      </c>
      <c r="AE40" s="81"/>
      <c r="AF40" s="83"/>
    </row>
    <row r="41" customFormat="false" ht="3" hidden="false" customHeight="true" outlineLevel="0" collapsed="false">
      <c r="A41" s="84"/>
      <c r="B41" s="84"/>
      <c r="C41" s="86"/>
      <c r="D41" s="84"/>
      <c r="E41" s="86"/>
      <c r="F41" s="84"/>
      <c r="G41" s="84"/>
      <c r="H41" s="150" t="n">
        <v>0</v>
      </c>
      <c r="I41" s="84"/>
      <c r="J41" s="84"/>
      <c r="K41" s="84"/>
      <c r="L41" s="84"/>
      <c r="M41" s="84" t="n">
        <v>0</v>
      </c>
      <c r="N41" s="84"/>
      <c r="O41" s="84"/>
      <c r="P41" s="84"/>
      <c r="Q41" s="84"/>
      <c r="R41" s="84" t="n">
        <v>0</v>
      </c>
      <c r="S41" s="84"/>
      <c r="T41" s="86"/>
      <c r="U41" s="84"/>
      <c r="V41" s="84" t="n">
        <v>0</v>
      </c>
      <c r="W41" s="84"/>
      <c r="X41" s="84"/>
      <c r="Y41" s="84"/>
      <c r="Z41" s="84"/>
      <c r="AA41" s="132"/>
      <c r="AB41" s="52"/>
      <c r="AC41" s="52"/>
      <c r="AD41" s="53"/>
      <c r="AE41" s="81"/>
      <c r="AF41" s="82"/>
    </row>
    <row r="42" customFormat="false" ht="11.1" hidden="false" customHeight="true" outlineLevel="0" collapsed="false">
      <c r="A42" s="55" t="s">
        <v>43</v>
      </c>
      <c r="B42" s="55"/>
      <c r="C42" s="57"/>
      <c r="D42" s="57"/>
      <c r="E42" s="57"/>
      <c r="F42" s="57" t="n">
        <f aca="false">SUM(F10:F40)</f>
        <v>-2096.79858835392</v>
      </c>
      <c r="G42" s="57" t="n">
        <f aca="false">SUM(G10:G40)</f>
        <v>2528.2</v>
      </c>
      <c r="H42" s="147" t="n">
        <f aca="false">SUM(H10:H40)</f>
        <v>0</v>
      </c>
      <c r="I42" s="57" t="n">
        <f aca="false">SUM(I10:I40)</f>
        <v>2528.2</v>
      </c>
      <c r="J42" s="57" t="n">
        <f aca="false">SUM(J10:J40)</f>
        <v>353.846004537434</v>
      </c>
      <c r="K42" s="57" t="n">
        <f aca="false">SUM(K10:K40)</f>
        <v>2882.04600453743</v>
      </c>
      <c r="L42" s="57" t="n">
        <f aca="false">SUM(L10:L40)</f>
        <v>-196.19858835392</v>
      </c>
      <c r="M42" s="57" t="n">
        <f aca="false">SUM(M10:M40)</f>
        <v>1765.9</v>
      </c>
      <c r="N42" s="57" t="n">
        <f aca="false">SUM(N10:N40)</f>
        <v>0</v>
      </c>
      <c r="O42" s="57" t="n">
        <f aca="false">SUM(O10:O40)</f>
        <v>196.2</v>
      </c>
      <c r="P42" s="57" t="n">
        <f aca="false">SUM(P10:P40)</f>
        <v>1569.7</v>
      </c>
      <c r="Q42" s="57" t="n">
        <f aca="false">SUM(Q10:Q40)</f>
        <v>0</v>
      </c>
      <c r="R42" s="57" t="n">
        <f aca="false">SUM(R10:R40)</f>
        <v>773.1</v>
      </c>
      <c r="S42" s="57" t="n">
        <f aca="false">SUM(S10:S40)</f>
        <v>2342.8</v>
      </c>
      <c r="T42" s="57"/>
      <c r="U42" s="57" t="n">
        <f aca="false">SUM(U10:U40)</f>
        <v>139.7</v>
      </c>
      <c r="V42" s="57" t="n">
        <f aca="false">SUM(V10:V40)</f>
        <v>1750.1</v>
      </c>
      <c r="W42" s="57"/>
      <c r="X42" s="57" t="n">
        <f aca="false">SUM(X10:X40)</f>
        <v>4428.8</v>
      </c>
      <c r="Y42" s="57" t="n">
        <f aca="false">SUM(Y10:Y40)</f>
        <v>550.044592891354</v>
      </c>
      <c r="Z42" s="57" t="n">
        <f aca="false">SUM(Z10:Z40)</f>
        <v>4978.84459289135</v>
      </c>
      <c r="AA42" s="62" t="n">
        <f aca="false">SUM(AA10:AA40)</f>
        <v>2.46</v>
      </c>
      <c r="AB42" s="51" t="n">
        <f aca="false">AVERAGE(AB10:AB40)</f>
        <v>60.4193548387097</v>
      </c>
      <c r="AC42" s="51" t="n">
        <f aca="false">AVERAGE(AC10:AC40)</f>
        <v>32.9032258064516</v>
      </c>
      <c r="AD42" s="48" t="s">
        <v>74</v>
      </c>
      <c r="AE42" s="81"/>
      <c r="AF42" s="82"/>
    </row>
    <row r="43" customFormat="false" ht="11.1" hidden="false" customHeight="true" outlineLevel="0" collapsed="false">
      <c r="A43" s="55" t="s">
        <v>44</v>
      </c>
      <c r="B43" s="55"/>
      <c r="C43" s="57"/>
      <c r="D43" s="57" t="n">
        <f aca="false">SUM(D10:D40)</f>
        <v>-4159</v>
      </c>
      <c r="E43" s="57"/>
      <c r="F43" s="57" t="n">
        <f aca="false">F42*$D$2</f>
        <v>-4159</v>
      </c>
      <c r="G43" s="57" t="n">
        <f aca="false">G42*$D$2</f>
        <v>5014.6847</v>
      </c>
      <c r="H43" s="147" t="n">
        <f aca="false">H42*$D$2</f>
        <v>0</v>
      </c>
      <c r="I43" s="57" t="n">
        <f aca="false">I42*$D$2</f>
        <v>5014.6847</v>
      </c>
      <c r="J43" s="57" t="n">
        <f aca="false">J42*$D$2</f>
        <v>701.85355</v>
      </c>
      <c r="K43" s="57" t="n">
        <f aca="false">K42*$D$2</f>
        <v>5716.53825</v>
      </c>
      <c r="L43" s="57" t="n">
        <f aca="false">L42*$D$2</f>
        <v>-389.1599</v>
      </c>
      <c r="M43" s="57" t="n">
        <f aca="false">M42*$D$2</f>
        <v>3502.66265</v>
      </c>
      <c r="N43" s="57" t="n">
        <f aca="false">N42*$D$2</f>
        <v>0</v>
      </c>
      <c r="O43" s="57" t="n">
        <f aca="false">O42*$D$2</f>
        <v>389.1627</v>
      </c>
      <c r="P43" s="57" t="n">
        <f aca="false">P42*$D$2</f>
        <v>3113.49995</v>
      </c>
      <c r="Q43" s="57" t="n">
        <f aca="false">Q42*$D$2</f>
        <v>0</v>
      </c>
      <c r="R43" s="57" t="n">
        <f aca="false">R42*$D$2</f>
        <v>1533.44385</v>
      </c>
      <c r="S43" s="57" t="n">
        <f aca="false">S42*$D$2</f>
        <v>4646.9438</v>
      </c>
      <c r="T43" s="57"/>
      <c r="U43" s="57" t="n">
        <f aca="false">U42*$D$2</f>
        <v>277.09495</v>
      </c>
      <c r="V43" s="57" t="n">
        <f aca="false">V42*$D$2</f>
        <v>3471.32335</v>
      </c>
      <c r="W43" s="57"/>
      <c r="X43" s="57" t="n">
        <f aca="false">X42*$D$2</f>
        <v>8784.5248</v>
      </c>
      <c r="Y43" s="57" t="n">
        <f aca="false">Y42*$D$2</f>
        <v>1091.01345</v>
      </c>
      <c r="Z43" s="57" t="n">
        <f aca="false">Z42*$D$2</f>
        <v>9875.53825</v>
      </c>
      <c r="AA43" s="62"/>
      <c r="AB43" s="51" t="n">
        <f aca="false">MAX(AB10:AB40)</f>
        <v>78</v>
      </c>
      <c r="AC43" s="51" t="n">
        <f aca="false">MAX(AC10:AC40)</f>
        <v>46</v>
      </c>
      <c r="AD43" s="48" t="s">
        <v>45</v>
      </c>
      <c r="AE43" s="81"/>
      <c r="AF43" s="82"/>
    </row>
    <row r="44" customFormat="false" ht="3" hidden="false" customHeight="true" outlineLevel="0" collapsed="false">
      <c r="A44" s="84"/>
      <c r="B44" s="84"/>
      <c r="C44" s="86"/>
      <c r="D44" s="86"/>
      <c r="E44" s="86"/>
      <c r="F44" s="86"/>
      <c r="G44" s="86"/>
      <c r="H44" s="150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4"/>
      <c r="X44" s="86"/>
      <c r="Y44" s="86"/>
      <c r="Z44" s="86"/>
      <c r="AA44" s="132"/>
      <c r="AB44" s="86"/>
      <c r="AC44" s="86"/>
      <c r="AD44" s="86"/>
      <c r="AE44" s="81"/>
      <c r="AF44" s="82"/>
    </row>
    <row r="45" customFormat="false" ht="11.1" hidden="false" customHeight="true" outlineLevel="0" collapsed="false">
      <c r="A45" s="55" t="s">
        <v>46</v>
      </c>
      <c r="B45" s="55"/>
      <c r="C45" s="57"/>
      <c r="D45" s="57"/>
      <c r="E45" s="57"/>
      <c r="F45" s="57" t="n">
        <f aca="false">F7+F42</f>
        <v>-8800.10083186287</v>
      </c>
      <c r="G45" s="57" t="n">
        <f aca="false">G7+G42</f>
        <v>215836.1</v>
      </c>
      <c r="H45" s="147" t="n">
        <f aca="false">H7+H42</f>
        <v>17400.23</v>
      </c>
      <c r="I45" s="57" t="n">
        <f aca="false">I7+I42</f>
        <v>233236.33</v>
      </c>
      <c r="J45" s="57" t="n">
        <f aca="false">J7+J42</f>
        <v>45714.728550542</v>
      </c>
      <c r="K45" s="57" t="n">
        <f aca="false">K7+K42</f>
        <v>278951.058550542</v>
      </c>
      <c r="L45" s="57" t="n">
        <f aca="false">L7+L42</f>
        <v>38265.8191681371</v>
      </c>
      <c r="M45" s="57" t="n">
        <f aca="false">M7+M42</f>
        <v>31639.66</v>
      </c>
      <c r="N45" s="57" t="n">
        <f aca="false">N7+N42</f>
        <v>0</v>
      </c>
      <c r="O45" s="57" t="n">
        <f aca="false">O7+O42</f>
        <v>345.9</v>
      </c>
      <c r="P45" s="57" t="n">
        <f aca="false">P7+P42</f>
        <v>31293.76</v>
      </c>
      <c r="Q45" s="57" t="n">
        <f aca="false">Q7+Q42</f>
        <v>19142.5</v>
      </c>
      <c r="R45" s="57" t="n">
        <f aca="false">R7+R42</f>
        <v>11514.19</v>
      </c>
      <c r="S45" s="57" t="n">
        <f aca="false">S7+S42</f>
        <v>61950.45</v>
      </c>
      <c r="T45" s="57" t="n">
        <f aca="false">T40</f>
        <v>3276.03</v>
      </c>
      <c r="U45" s="57" t="n">
        <f aca="false">U7+U42</f>
        <v>15204.8</v>
      </c>
      <c r="V45" s="57" t="n">
        <f aca="false">V7+V42</f>
        <v>202801.1</v>
      </c>
      <c r="W45" s="57" t="n">
        <f aca="false">W40</f>
        <v>-38.7999999999944</v>
      </c>
      <c r="X45" s="57" t="n">
        <f aca="false">X7+X42</f>
        <v>280302.25</v>
      </c>
      <c r="Y45" s="57" t="n">
        <f aca="false">Y7+Y42</f>
        <v>7448.90938240484</v>
      </c>
      <c r="Z45" s="57" t="n">
        <f aca="false">Z7+Z42</f>
        <v>287751.159382405</v>
      </c>
      <c r="AA45" s="62"/>
      <c r="AB45" s="51" t="n">
        <f aca="false">MIN(AB10:AB40)</f>
        <v>39</v>
      </c>
      <c r="AC45" s="51" t="n">
        <f aca="false">MIN(AC10:AC40)</f>
        <v>13</v>
      </c>
      <c r="AD45" s="48" t="s">
        <v>47</v>
      </c>
      <c r="AE45" s="81"/>
      <c r="AF45" s="82"/>
    </row>
    <row r="46" customFormat="false" ht="11.1" hidden="false" customHeight="true" outlineLevel="0" collapsed="false">
      <c r="A46" s="55" t="s">
        <v>48</v>
      </c>
      <c r="B46" s="55"/>
      <c r="C46" s="57"/>
      <c r="D46" s="57"/>
      <c r="E46" s="57"/>
      <c r="F46" s="57" t="n">
        <f aca="false">F45*$D$2</f>
        <v>-17455</v>
      </c>
      <c r="G46" s="57" t="n">
        <f aca="false">G45*$D$2</f>
        <v>428110.90435</v>
      </c>
      <c r="H46" s="147" t="n">
        <f aca="false">H45*$D$2</f>
        <v>34513.356205</v>
      </c>
      <c r="I46" s="57" t="n">
        <f aca="false">I45*$D$2</f>
        <v>462624.260555</v>
      </c>
      <c r="J46" s="57" t="n">
        <f aca="false">J45*$D$2</f>
        <v>90675.16408</v>
      </c>
      <c r="K46" s="57" t="n">
        <f aca="false">K45*$D$2</f>
        <v>553299.424635</v>
      </c>
      <c r="L46" s="57" t="n">
        <f aca="false">L45*$D$2</f>
        <v>75900.25232</v>
      </c>
      <c r="M46" s="57" t="n">
        <f aca="false">M45*$D$2</f>
        <v>62757.26561</v>
      </c>
      <c r="N46" s="57" t="n">
        <f aca="false">N45*$D$2</f>
        <v>0</v>
      </c>
      <c r="O46" s="57" t="n">
        <f aca="false">O45*$D$2</f>
        <v>686.09265</v>
      </c>
      <c r="P46" s="57" t="n">
        <f aca="false">P45*$D$2</f>
        <v>62071.17296</v>
      </c>
      <c r="Q46" s="57" t="n">
        <f aca="false">Q45*$D$2</f>
        <v>37969.14875</v>
      </c>
      <c r="R46" s="57" t="n">
        <f aca="false">R45*$D$2</f>
        <v>22838.395865</v>
      </c>
      <c r="S46" s="57" t="n">
        <f aca="false">S45*$D$2</f>
        <v>122878.717575</v>
      </c>
      <c r="T46" s="57" t="n">
        <f aca="false">T45*$D$2</f>
        <v>6498.005505</v>
      </c>
      <c r="U46" s="57" t="n">
        <f aca="false">U45*$D$2</f>
        <v>30158.7208</v>
      </c>
      <c r="V46" s="57" t="n">
        <f aca="false">V45*$D$2</f>
        <v>402255.98185</v>
      </c>
      <c r="W46" s="57" t="n">
        <f aca="false">W45*$D$2</f>
        <v>-76.959799999989</v>
      </c>
      <c r="X46" s="57" t="n">
        <f aca="false">X45*$D$2</f>
        <v>555979.512875</v>
      </c>
      <c r="Y46" s="57" t="n">
        <f aca="false">Y45*$D$2</f>
        <v>14774.91176</v>
      </c>
      <c r="Z46" s="57" t="n">
        <f aca="false">Z45*$D$2</f>
        <v>570754.424635</v>
      </c>
      <c r="AA46" s="62"/>
      <c r="AB46" s="51"/>
      <c r="AC46" s="51"/>
      <c r="AD46" s="48"/>
      <c r="AE46" s="81"/>
      <c r="AF46" s="82"/>
    </row>
    <row r="47" customFormat="false" ht="3" hidden="false" customHeight="true" outlineLevel="0" collapsed="false">
      <c r="A47" s="84"/>
      <c r="B47" s="84"/>
      <c r="C47" s="86"/>
      <c r="D47" s="86"/>
      <c r="E47" s="86"/>
      <c r="F47" s="86"/>
      <c r="G47" s="86"/>
      <c r="H47" s="150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132"/>
      <c r="AB47" s="132"/>
      <c r="AC47" s="132"/>
      <c r="AD47" s="132"/>
      <c r="AE47" s="81"/>
      <c r="AF47" s="82"/>
    </row>
    <row r="48" customFormat="false" ht="11.1" hidden="false" customHeight="true" outlineLevel="0" collapsed="false">
      <c r="A48" s="55" t="s">
        <v>49</v>
      </c>
      <c r="B48" s="55"/>
      <c r="C48" s="57"/>
      <c r="D48" s="57"/>
      <c r="E48" s="57"/>
      <c r="F48" s="57" t="n">
        <f aca="false">F8+F42</f>
        <v>3382.90899924377</v>
      </c>
      <c r="G48" s="57" t="n">
        <f aca="false">G8+G42</f>
        <v>233442.7</v>
      </c>
      <c r="H48" s="147" t="n">
        <f aca="false">H8+H42</f>
        <v>20579.83</v>
      </c>
      <c r="I48" s="57" t="n">
        <f aca="false">I8+I42</f>
        <v>254022.53</v>
      </c>
      <c r="J48" s="57" t="n">
        <f aca="false">J8+J42</f>
        <v>53255.5673960171</v>
      </c>
      <c r="K48" s="57" t="n">
        <f aca="false">K8+K42</f>
        <v>307278.097396017</v>
      </c>
      <c r="L48" s="57" t="n">
        <f aca="false">L8+L42</f>
        <v>44801.7289992438</v>
      </c>
      <c r="M48" s="57" t="n">
        <f aca="false">M8+M42</f>
        <v>32727.96</v>
      </c>
      <c r="N48" s="57" t="n">
        <f aca="false">N8+N42</f>
        <v>0.08</v>
      </c>
      <c r="O48" s="57" t="n">
        <f aca="false">O8+O42</f>
        <v>345.9</v>
      </c>
      <c r="P48" s="57" t="n">
        <f aca="false">P8+P42</f>
        <v>31710.28</v>
      </c>
      <c r="Q48" s="57" t="n">
        <f aca="false">Q8+Q42</f>
        <v>19142.5</v>
      </c>
      <c r="R48" s="57" t="n">
        <f aca="false">R8+R42</f>
        <v>11692.89</v>
      </c>
      <c r="S48" s="57" t="n">
        <f aca="false">S8+S42</f>
        <v>63217.37</v>
      </c>
      <c r="T48" s="57" t="n">
        <f aca="false">T45</f>
        <v>3276.03</v>
      </c>
      <c r="U48" s="57" t="n">
        <f aca="false">U8+U42</f>
        <v>15204.8</v>
      </c>
      <c r="V48" s="57" t="n">
        <f aca="false">V8+V42</f>
        <v>216673.2</v>
      </c>
      <c r="W48" s="57" t="n">
        <f aca="false">W40</f>
        <v>-38.7999999999944</v>
      </c>
      <c r="X48" s="57" t="n">
        <f aca="false">X8+X42</f>
        <v>295441.35</v>
      </c>
      <c r="Y48" s="57" t="n">
        <f aca="false">Y8+Y42</f>
        <v>8453.83839677338</v>
      </c>
      <c r="Z48" s="57" t="n">
        <f aca="false">Z8+Z42</f>
        <v>303895.188396773</v>
      </c>
      <c r="AA48" s="62" t="n">
        <f aca="false">AA8+AA42</f>
        <v>20.47</v>
      </c>
      <c r="AB48" s="51"/>
      <c r="AC48" s="51"/>
      <c r="AD48" s="48"/>
      <c r="AE48" s="81"/>
      <c r="AF48" s="82"/>
    </row>
    <row r="49" customFormat="false" ht="11.1" hidden="false" customHeight="true" outlineLevel="0" collapsed="false">
      <c r="A49" s="55" t="s">
        <v>50</v>
      </c>
      <c r="B49" s="55"/>
      <c r="C49" s="57"/>
      <c r="D49" s="57" t="n">
        <f aca="false">D8+D43</f>
        <v>6710</v>
      </c>
      <c r="E49" s="57" t="n">
        <f aca="false">E40</f>
        <v>158687</v>
      </c>
      <c r="F49" s="57" t="n">
        <f aca="false">F48*$D$2</f>
        <v>6710.00000000001</v>
      </c>
      <c r="G49" s="57" t="n">
        <f aca="false">G48*$D$2</f>
        <v>463033.59545</v>
      </c>
      <c r="H49" s="147" t="n">
        <f aca="false">H48*$D$2</f>
        <v>40820.092805</v>
      </c>
      <c r="I49" s="57" t="n">
        <f aca="false">I48*$D$2</f>
        <v>503853.688255</v>
      </c>
      <c r="J49" s="57" t="n">
        <f aca="false">J48*$D$2</f>
        <v>105632.41793</v>
      </c>
      <c r="K49" s="57" t="n">
        <f aca="false">K48*$D$2</f>
        <v>609486.106185</v>
      </c>
      <c r="L49" s="57" t="n">
        <f aca="false">L48*$D$2</f>
        <v>88864.22947</v>
      </c>
      <c r="M49" s="57" t="n">
        <f aca="false">M48*$D$2</f>
        <v>64915.90866</v>
      </c>
      <c r="N49" s="57" t="n">
        <f aca="false">N48*$D$2</f>
        <v>0.15868</v>
      </c>
      <c r="O49" s="57" t="n">
        <f aca="false">O48*$D$2</f>
        <v>686.09265</v>
      </c>
      <c r="P49" s="57" t="n">
        <f aca="false">P48*$D$2</f>
        <v>62897.34038</v>
      </c>
      <c r="Q49" s="57" t="n">
        <f aca="false">Q48*$D$2</f>
        <v>37969.14875</v>
      </c>
      <c r="R49" s="57" t="n">
        <f aca="false">R48*$D$2</f>
        <v>23192.847315</v>
      </c>
      <c r="S49" s="57" t="n">
        <f aca="false">S48*$D$2</f>
        <v>125391.653395</v>
      </c>
      <c r="T49" s="57" t="n">
        <f aca="false">T48*$D$2</f>
        <v>6498.005505</v>
      </c>
      <c r="U49" s="57" t="n">
        <f aca="false">U48*$D$2</f>
        <v>30158.7208</v>
      </c>
      <c r="V49" s="57" t="n">
        <f aca="false">V48*$D$2</f>
        <v>429771.2922</v>
      </c>
      <c r="W49" s="57" t="n">
        <f aca="false">W48*$D$2</f>
        <v>-76.959799999989</v>
      </c>
      <c r="X49" s="57" t="n">
        <f aca="false">X48*$D$2</f>
        <v>586007.917725</v>
      </c>
      <c r="Y49" s="57" t="n">
        <f aca="false">Y48*$D$2</f>
        <v>16768.18846</v>
      </c>
      <c r="Z49" s="57" t="n">
        <f aca="false">Z48*$D$2</f>
        <v>602776.106185</v>
      </c>
      <c r="AA49" s="62"/>
      <c r="AB49" s="51"/>
      <c r="AC49" s="51"/>
      <c r="AD49" s="48"/>
      <c r="AE49" s="81"/>
      <c r="AF49" s="82"/>
    </row>
    <row r="50" customFormat="false" ht="3" hidden="false" customHeight="true" outlineLevel="0" collapsed="false">
      <c r="A50" s="84"/>
      <c r="B50" s="84"/>
      <c r="C50" s="86"/>
      <c r="D50" s="84"/>
      <c r="E50" s="86"/>
      <c r="F50" s="84"/>
      <c r="G50" s="84"/>
      <c r="H50" s="150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6"/>
      <c r="U50" s="84"/>
      <c r="V50" s="84"/>
      <c r="W50" s="86"/>
      <c r="X50" s="84"/>
      <c r="Y50" s="84"/>
      <c r="Z50" s="84"/>
      <c r="AA50" s="132"/>
      <c r="AB50" s="84"/>
      <c r="AC50" s="84"/>
      <c r="AD50" s="84"/>
      <c r="AE50" s="81"/>
      <c r="AF50" s="8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EA BIRK</cp:lastModifiedBy>
  <cp:lastPrinted>2003-01-29T15:10:29Z</cp:lastPrinted>
  <dcterms:modified xsi:type="dcterms:W3CDTF">2010-03-01T10:10:21Z</dcterms:modified>
  <cp:revision>0</cp:revision>
  <dc:subject>MCPHEE IN/OUT FLOW</dc:subject>
  <dc:title>RIVER</dc:title>
</cp:coreProperties>
</file>